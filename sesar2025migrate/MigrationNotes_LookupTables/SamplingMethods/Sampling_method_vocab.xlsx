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SamplingMethods/"/>
    </mc:Choice>
  </mc:AlternateContent>
  <xr:revisionPtr revIDLastSave="188" documentId="8_{FE9147B2-EDE6-4E95-B0BF-C8D92E6EF6FE}" xr6:coauthVersionLast="47" xr6:coauthVersionMax="47" xr10:uidLastSave="{7DD0FEAC-D4A4-4AB0-83BD-4E416A3D9596}"/>
  <bookViews>
    <workbookView xWindow="3495" yWindow="1785" windowWidth="24330" windowHeight="13455" xr2:uid="{76FC87A2-F470-4A16-BF07-A9EEB8135CE7}"/>
  </bookViews>
  <sheets>
    <sheet name="SamplingMethod" sheetId="1" r:id="rId1"/>
    <sheet name="Sheet1" sheetId="3" r:id="rId2"/>
    <sheet name="SamplingMethod-wParent" sheetId="2" r:id="rId3"/>
  </sheets>
  <definedNames>
    <definedName name="_xlnm._FilterDatabase" localSheetId="0" hidden="1">SamplingMethod!$C$1:$C$180</definedName>
    <definedName name="_xlnm._FilterDatabase" localSheetId="1" hidden="1">Sheet1!$G$1:$G$156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9" i="1" l="1"/>
  <c r="D158" i="1"/>
  <c r="D157" i="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E1" i="3"/>
  <c r="F1" i="3"/>
  <c r="G1" i="3"/>
  <c r="D54" i="3"/>
  <c r="D56" i="3"/>
  <c r="D90" i="3"/>
  <c r="D140" i="3"/>
  <c r="D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 i="3"/>
  <c r="D47" i="1"/>
  <c r="D47" i="3" s="1"/>
  <c r="D48" i="1"/>
  <c r="D48" i="3" s="1"/>
  <c r="D50" i="1"/>
  <c r="D50" i="3" s="1"/>
  <c r="D108" i="1"/>
  <c r="D108" i="3" s="1"/>
  <c r="D53" i="1"/>
  <c r="D53" i="3" s="1"/>
  <c r="D129" i="1"/>
  <c r="D129" i="3" s="1"/>
  <c r="D51" i="1"/>
  <c r="D51" i="3" s="1"/>
  <c r="D54" i="1"/>
  <c r="D56" i="1"/>
  <c r="D59" i="1"/>
  <c r="D59" i="3" s="1"/>
  <c r="D10" i="1"/>
  <c r="D10" i="3" s="1"/>
  <c r="D61" i="1"/>
  <c r="D61" i="3" s="1"/>
  <c r="D62" i="1"/>
  <c r="D62" i="3" s="1"/>
  <c r="D63" i="1"/>
  <c r="D63" i="3" s="1"/>
  <c r="D66" i="1"/>
  <c r="D66" i="3" s="1"/>
  <c r="D71" i="1"/>
  <c r="D71" i="3" s="1"/>
  <c r="D73" i="1"/>
  <c r="D73" i="3" s="1"/>
  <c r="D127" i="1"/>
  <c r="D127" i="3" s="1"/>
  <c r="D146" i="1"/>
  <c r="D146" i="3" s="1"/>
  <c r="D74" i="1"/>
  <c r="D74" i="3" s="1"/>
  <c r="D103" i="1"/>
  <c r="D103" i="3" s="1"/>
  <c r="D85" i="1"/>
  <c r="D85" i="3" s="1"/>
  <c r="D86" i="1"/>
  <c r="D86" i="3" s="1"/>
  <c r="D91" i="1"/>
  <c r="D91" i="3" s="1"/>
  <c r="D96" i="1"/>
  <c r="D96" i="3" s="1"/>
  <c r="D98" i="1"/>
  <c r="D98" i="3" s="1"/>
  <c r="D100" i="1"/>
  <c r="D100" i="3" s="1"/>
  <c r="D57" i="1"/>
  <c r="D57" i="3" s="1"/>
  <c r="D102" i="1"/>
  <c r="D102" i="3" s="1"/>
  <c r="D107" i="1"/>
  <c r="D107" i="3" s="1"/>
  <c r="D109" i="1"/>
  <c r="D109" i="3" s="1"/>
  <c r="D110" i="1"/>
  <c r="D110" i="3" s="1"/>
  <c r="D111" i="1"/>
  <c r="D111" i="3" s="1"/>
  <c r="D112" i="1"/>
  <c r="D112" i="3" s="1"/>
  <c r="D113" i="1"/>
  <c r="D113" i="3" s="1"/>
  <c r="D2" i="1"/>
  <c r="D2" i="3" s="1"/>
  <c r="D136" i="1"/>
  <c r="D136" i="3" s="1"/>
  <c r="D8" i="1"/>
  <c r="D8" i="3" s="1"/>
  <c r="D9" i="1"/>
  <c r="D9" i="3" s="1"/>
  <c r="D12" i="1"/>
  <c r="D12" i="3" s="1"/>
  <c r="D25" i="1"/>
  <c r="D25" i="3" s="1"/>
  <c r="D26" i="1"/>
  <c r="D26" i="3" s="1"/>
  <c r="D27" i="1"/>
  <c r="D27" i="3" s="1"/>
  <c r="D29" i="1"/>
  <c r="D29" i="3" s="1"/>
  <c r="D35" i="1"/>
  <c r="D35" i="3" s="1"/>
  <c r="D140" i="1"/>
  <c r="D135" i="1"/>
  <c r="D135" i="3" s="1"/>
  <c r="D68" i="1"/>
  <c r="D68" i="3" s="1"/>
  <c r="D70" i="1"/>
  <c r="D70" i="3" s="1"/>
  <c r="D76" i="1"/>
  <c r="D76" i="3" s="1"/>
  <c r="D77" i="1"/>
  <c r="D77" i="3" s="1"/>
  <c r="D80" i="1"/>
  <c r="D80" i="3" s="1"/>
  <c r="D142" i="1"/>
  <c r="D142" i="3" s="1"/>
  <c r="D83" i="1"/>
  <c r="D83" i="3" s="1"/>
  <c r="D89" i="1"/>
  <c r="D89" i="3" s="1"/>
  <c r="D90" i="1"/>
  <c r="D92" i="1"/>
  <c r="D92" i="3" s="1"/>
  <c r="D94" i="1"/>
  <c r="D94" i="3" s="1"/>
  <c r="D106" i="1"/>
  <c r="D106" i="3" s="1"/>
  <c r="D116" i="1"/>
  <c r="D116" i="3" s="1"/>
  <c r="D120" i="1"/>
  <c r="D120" i="3" s="1"/>
  <c r="D121" i="1"/>
  <c r="D121" i="3" s="1"/>
  <c r="D122" i="1"/>
  <c r="D122" i="3" s="1"/>
  <c r="D124" i="1"/>
  <c r="D124" i="3" s="1"/>
  <c r="D125" i="1"/>
  <c r="D125" i="3" s="1"/>
  <c r="D137" i="1"/>
  <c r="D137" i="3" s="1"/>
  <c r="D49" i="1"/>
  <c r="D49" i="3" s="1"/>
  <c r="D123" i="1"/>
  <c r="D123" i="3" s="1"/>
  <c r="D99" i="1"/>
  <c r="D99" i="3" s="1"/>
  <c r="D114" i="1"/>
  <c r="D114" i="3" s="1"/>
  <c r="D126" i="1"/>
  <c r="D126" i="3" s="1"/>
  <c r="D39" i="1"/>
  <c r="D39" i="3" s="1"/>
  <c r="D40" i="1"/>
  <c r="D40" i="3" s="1"/>
  <c r="D38" i="1"/>
  <c r="D38" i="3" s="1"/>
  <c r="D128" i="1"/>
  <c r="D128" i="3" s="1"/>
  <c r="D28" i="1"/>
  <c r="D28" i="3" s="1"/>
  <c r="D78" i="1"/>
  <c r="D78" i="3" s="1"/>
  <c r="D81" i="1"/>
  <c r="D81" i="3" s="1"/>
  <c r="D82" i="1"/>
  <c r="D82" i="3" s="1"/>
  <c r="D37" i="1"/>
  <c r="D37" i="3" s="1"/>
  <c r="D60" i="1"/>
  <c r="D60" i="3" s="1"/>
  <c r="D64" i="1"/>
  <c r="D64" i="3" s="1"/>
  <c r="D67" i="1"/>
  <c r="D67" i="3" s="1"/>
  <c r="D151" i="1"/>
  <c r="D151" i="3" s="1"/>
  <c r="D152" i="1"/>
  <c r="D152" i="3" s="1"/>
  <c r="D33" i="1"/>
  <c r="D33" i="3" s="1"/>
  <c r="D36" i="1"/>
  <c r="D36" i="3" s="1"/>
  <c r="D88" i="1"/>
  <c r="D88" i="3" s="1"/>
  <c r="D118" i="1"/>
  <c r="D118" i="3" s="1"/>
  <c r="D97" i="1"/>
  <c r="D97" i="3" s="1"/>
  <c r="D130" i="1"/>
  <c r="D130" i="3" s="1"/>
  <c r="D139" i="1"/>
  <c r="D139" i="3" s="1"/>
  <c r="D153" i="1"/>
  <c r="D153" i="3" s="1"/>
  <c r="D154" i="1"/>
  <c r="D154" i="3" s="1"/>
  <c r="D155" i="1"/>
  <c r="D155" i="3" s="1"/>
  <c r="D23" i="1"/>
  <c r="D23" i="3" s="1"/>
  <c r="D75" i="1"/>
  <c r="D75" i="3" s="1"/>
  <c r="D79" i="1"/>
  <c r="D79" i="3" s="1"/>
  <c r="D93" i="1"/>
  <c r="D93" i="3" s="1"/>
  <c r="D101" i="1"/>
  <c r="D101" i="3" s="1"/>
  <c r="D104" i="1"/>
  <c r="D104" i="3" s="1"/>
  <c r="D147" i="1"/>
  <c r="D147" i="3" s="1"/>
  <c r="D13" i="1"/>
  <c r="D13" i="3" s="1"/>
  <c r="D58" i="1"/>
  <c r="D58" i="3" s="1"/>
  <c r="D72" i="1"/>
  <c r="D72" i="3" s="1"/>
  <c r="D87" i="1"/>
  <c r="D87" i="3" s="1"/>
  <c r="D117" i="1"/>
  <c r="D117" i="3" s="1"/>
  <c r="D132" i="1"/>
  <c r="D132" i="3" s="1"/>
  <c r="D133" i="1"/>
  <c r="D133" i="3" s="1"/>
  <c r="D148" i="1"/>
  <c r="D148" i="3" s="1"/>
  <c r="D84" i="1"/>
  <c r="D84" i="3" s="1"/>
  <c r="D52" i="1"/>
  <c r="D52" i="3" s="1"/>
  <c r="D65" i="1"/>
  <c r="D65" i="3" s="1"/>
  <c r="D95" i="1"/>
  <c r="D95" i="3" s="1"/>
  <c r="D105" i="1"/>
  <c r="D105" i="3" s="1"/>
  <c r="D131" i="1"/>
  <c r="D131" i="3" s="1"/>
  <c r="D138" i="1"/>
  <c r="D138" i="3" s="1"/>
  <c r="D115" i="1"/>
  <c r="D115" i="3" s="1"/>
  <c r="D119" i="1"/>
  <c r="D119" i="3" s="1"/>
  <c r="D134" i="1"/>
  <c r="D134" i="3" s="1"/>
  <c r="D141" i="1"/>
  <c r="D141" i="3" s="1"/>
  <c r="D143" i="1"/>
  <c r="D143" i="3" s="1"/>
  <c r="D144" i="1"/>
  <c r="D144" i="3" s="1"/>
  <c r="D145" i="1"/>
  <c r="D145" i="3" s="1"/>
  <c r="D149" i="1"/>
  <c r="D149" i="3" s="1"/>
  <c r="D150" i="1"/>
  <c r="D150" i="3" s="1"/>
  <c r="D156" i="1"/>
  <c r="D156" i="3" s="1"/>
  <c r="D43" i="1"/>
  <c r="D43" i="3" s="1"/>
  <c r="D44" i="1"/>
  <c r="D44" i="3" s="1"/>
  <c r="D55" i="1"/>
  <c r="D55" i="3" s="1"/>
  <c r="D45" i="1"/>
  <c r="D45" i="3" s="1"/>
  <c r="D69" i="1"/>
  <c r="D69" i="3" s="1"/>
  <c r="D46" i="1"/>
  <c r="D46" i="3" s="1"/>
  <c r="D5" i="1"/>
  <c r="D5" i="3" s="1"/>
  <c r="D6" i="1"/>
  <c r="D6" i="3" s="1"/>
  <c r="D7" i="1"/>
  <c r="D7" i="3" s="1"/>
  <c r="D14" i="1"/>
  <c r="D14" i="3" s="1"/>
  <c r="D11" i="1"/>
  <c r="D11" i="3" s="1"/>
  <c r="D15" i="1"/>
  <c r="D15" i="3" s="1"/>
  <c r="D16" i="1"/>
  <c r="D16" i="3" s="1"/>
  <c r="D17" i="1"/>
  <c r="D17" i="3" s="1"/>
  <c r="D19" i="1"/>
  <c r="D19" i="3" s="1"/>
  <c r="D18" i="1"/>
  <c r="D18" i="3" s="1"/>
  <c r="D20" i="1"/>
  <c r="D20" i="3" s="1"/>
  <c r="D21" i="1"/>
  <c r="D21" i="3" s="1"/>
  <c r="D22" i="1"/>
  <c r="D22" i="3" s="1"/>
  <c r="D41" i="1"/>
  <c r="D41" i="3" s="1"/>
  <c r="D24" i="1"/>
  <c r="D24" i="3" s="1"/>
  <c r="D30" i="1"/>
  <c r="D30" i="3" s="1"/>
  <c r="D31" i="1"/>
  <c r="D31" i="3" s="1"/>
  <c r="D32" i="1"/>
  <c r="D32" i="3" s="1"/>
  <c r="D34" i="1"/>
  <c r="D34" i="3" s="1"/>
  <c r="D3" i="1"/>
  <c r="D3" i="3" s="1"/>
  <c r="D42" i="1"/>
  <c r="D42" i="3" s="1"/>
  <c r="D4" i="1"/>
  <c r="D4" i="3" s="1"/>
</calcChain>
</file>

<file path=xl/sharedStrings.xml><?xml version="1.0" encoding="utf-8"?>
<sst xmlns="http://schemas.openxmlformats.org/spreadsheetml/2006/main" count="1861" uniqueCount="586">
  <si>
    <t>[s]</t>
  </si>
  <si>
    <t>label</t>
  </si>
  <si>
    <t>def</t>
  </si>
  <si>
    <t>note</t>
  </si>
  <si>
    <t>b</t>
  </si>
  <si>
    <t>blabel</t>
  </si>
  <si>
    <t>source</t>
  </si>
  <si>
    <t>secm:airfall_dust_collector</t>
  </si>
  <si>
    <t>Airfall dust collection</t>
  </si>
  <si>
    <t>Sample of fine-grained solid material that is passively collected by airfall from the atmosphere.</t>
  </si>
  <si>
    <t>secm:sm100</t>
  </si>
  <si>
    <t>Sampling method</t>
  </si>
  <si>
    <t>Geoscience Australia</t>
  </si>
  <si>
    <t>secm:airlift</t>
  </si>
  <si>
    <t>Airlift water sampling</t>
  </si>
  <si>
    <t>Compressed air is used to extract groundwater</t>
  </si>
  <si>
    <t>secm:sm014</t>
  </si>
  <si>
    <t>Water sampling</t>
  </si>
  <si>
    <t>secm:borehole_fluid_sampling</t>
  </si>
  <si>
    <t>Borehole fluid sampling</t>
  </si>
  <si>
    <t>secm:artesian_flow</t>
  </si>
  <si>
    <t>Artesian flow sampling</t>
  </si>
  <si>
    <t>Groundwater sample obtained from flowing artesian bore</t>
  </si>
  <si>
    <t>secm:auger</t>
  </si>
  <si>
    <t>Auger</t>
  </si>
  <si>
    <t>Specimens collected by hand or mechanical auger which enable samples to be taken at intervals down profile. For example regolith, soil or sediment.</t>
  </si>
  <si>
    <t>secm:drilling</t>
  </si>
  <si>
    <t>Drilling</t>
  </si>
  <si>
    <t>secm:bailer</t>
  </si>
  <si>
    <t>Borehole bailer sampling</t>
  </si>
  <si>
    <t>Bailer is a hollow tube used to retrieve groundwater samples from monitoring wells. A bailer is tied to a piece of rope or wire and lowered into the water column to collect a sample.</t>
  </si>
  <si>
    <t>secm:benthic_trawl</t>
  </si>
  <si>
    <t>Benthic trawl</t>
  </si>
  <si>
    <t>Seabed sampling taken over a small area seaward of the continental shelf. Sample of the upper few cm of rocky sea floor particularly for biota.</t>
  </si>
  <si>
    <t>secm:trawlsampling</t>
  </si>
  <si>
    <t>Trawl sampling</t>
  </si>
  <si>
    <t>secm:borehole_dst_test</t>
  </si>
  <si>
    <t>Borehole drill stem test</t>
  </si>
  <si>
    <t>A sample is collected during drilling by a test using a hydrostatic head to measure the formation pressures and to bring the formation fluids to the surface. The test can provide information for determination of potential petroleum producing formations and their exact depth.</t>
  </si>
  <si>
    <t>Sampling of fluids (oil, gas, or water) from a borehole by an unspecified method.</t>
  </si>
  <si>
    <t>secm:sm043</t>
  </si>
  <si>
    <t>Fluid sampling</t>
  </si>
  <si>
    <t>secm:borehole_prod_test</t>
  </si>
  <si>
    <t>Borehole production test</t>
  </si>
  <si>
    <t>A borehole sampling test similar to DST test, but on a larger scale and under the production conditions after the well completion is conducted.</t>
  </si>
  <si>
    <t>secm:borehole_wft_test</t>
  </si>
  <si>
    <t>Borehole wireline formation test</t>
  </si>
  <si>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</si>
  <si>
    <t>secm:boreholewaterpump</t>
  </si>
  <si>
    <t>Borehole water pumping</t>
  </si>
  <si>
    <t>A pump designed to lift water or other fluid to the surface from a borehole.  Various designs exist, including electric submersible, helical coil, jet.  Include pump jacks and windmills that are specific to pumping fluid from boreholes, as well as pumps design to be placed inside the borehole</t>
  </si>
  <si>
    <t>secm:waterbodywatersampling</t>
  </si>
  <si>
    <t>Water body water sampling</t>
  </si>
  <si>
    <t>secm:bottle_incubation</t>
  </si>
  <si>
    <t>bottle incubation</t>
  </si>
  <si>
    <t>A method to derive the oxygen consumption rate/respiration rates of organic matter conducted in a bottle or vial  under controlled light and temperature conditions.</t>
  </si>
  <si>
    <t>secm:sm200</t>
  </si>
  <si>
    <t>Sediment water incubation sampling</t>
  </si>
  <si>
    <t>secm:bottle_incubation_dark</t>
  </si>
  <si>
    <t>bottle incubation dark</t>
  </si>
  <si>
    <t>secm:bottle_incubation_light</t>
  </si>
  <si>
    <t>bottle incubation light</t>
  </si>
  <si>
    <t>secm:bottlesampling</t>
  </si>
  <si>
    <t>Container sampling</t>
  </si>
  <si>
    <t>Water is collected in a container that is opened to collect water at some specific depth in a water body. Includes Niskin bottles, bottles on Rosette samplers https://en.wikipedia.org/wiki/Rosette_sampler.  Also bottled samples collected by simple bailer or scoop from water surface. If water is filtered or preserved use the water sampling -filtere or -preserved categories.</t>
  </si>
  <si>
    <t>include Hydrothermal Fluid and Particle Sampler (HFPS) collect fluids and particles,  Using a 25-port valve and two pumps, fluids are pumped through a titanium intake nozzle, through a Teflon hose and custom titanium and Teflon manifold with 24 ports. The sampler has a capacity of 18 water samples (700ml each) and 6 in-situ filters.        include _Titanium major water sampler_, another tool to sample high temperature water in submarine environment. Similar to a syringe, a trigger on the outside of the bottle can be pressed by the ROV pilot to release a spring that will draw fluid into the chamber. Approximately 750ml of fluid can be collected using the Major bottles. https://oceanexplorer.noaa.gov/explorations/05lostcity/logs/july28/july28.html</t>
  </si>
  <si>
    <t>this vocabulary</t>
  </si>
  <si>
    <t>secm:cable_tool_drilling</t>
  </si>
  <si>
    <t>cable tool drilling</t>
  </si>
  <si>
    <t>A percussion drilling method that uses a heavy drilling tool that is raised and lowered with enough force to pulverise the rock, with the debris removed by a bailer.</t>
  </si>
  <si>
    <t>secm:percussion_drilling</t>
  </si>
  <si>
    <t>Percussion drilling</t>
  </si>
  <si>
    <t>National Groundwater Information System (NGIS)</t>
  </si>
  <si>
    <t>secm:chamber_incubation</t>
  </si>
  <si>
    <t>Chamber incubation</t>
  </si>
  <si>
    <t>A method that isolates sediment and overlying water in a benthic chamber. Water samples are collected from the benthic chamber during the incubation.</t>
  </si>
  <si>
    <t>secm:chamber_incubation_dark</t>
  </si>
  <si>
    <t>chamber incubation dark</t>
  </si>
  <si>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</si>
  <si>
    <t>secm:chamber_incubation_light</t>
  </si>
  <si>
    <t>chamber incubation light</t>
  </si>
  <si>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</si>
  <si>
    <t>secm:chemicalseparation</t>
  </si>
  <si>
    <t>Chemical separation</t>
  </si>
  <si>
    <t>sample collection by chemical processing of a sampled material</t>
  </si>
  <si>
    <t>secm:sm045</t>
  </si>
  <si>
    <t>Processed separation</t>
  </si>
  <si>
    <t>secm:core_air</t>
  </si>
  <si>
    <t>Air cooled core drilling</t>
  </si>
  <si>
    <t>Rock or sediment core derived from a dry, air-cooled diamond drilling method.</t>
  </si>
  <si>
    <t>secm:core_drilling_unspecified</t>
  </si>
  <si>
    <t>Core drilling</t>
  </si>
  <si>
    <t>secm:core_catcher</t>
  </si>
  <si>
    <t>Core catcher</t>
  </si>
  <si>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</si>
  <si>
    <t>secm:core_conventional</t>
  </si>
  <si>
    <t>core conventional</t>
  </si>
  <si>
    <t>Core drilling using diamond or tungsten carbide bit using a core barrel with fibreglass inner sleeves. Used in the oil industry.</t>
  </si>
  <si>
    <t>secm:core_diamond</t>
  </si>
  <si>
    <t>Diamond bit drill coring</t>
  </si>
  <si>
    <t>secm:core_cutter</t>
  </si>
  <si>
    <t>Core cutter</t>
  </si>
  <si>
    <t>A method by which a specimen of sediment is collected from the lowest part of a coring assembly at the core cutter. The core cutter has sharp edges which cut and shape the sediment entering the core liner as the corer goes into the sediment.</t>
  </si>
  <si>
    <t>Rock or sediment core drilling using a liquid-cooled, diamond or tungsten carbide bit.</t>
  </si>
  <si>
    <t>Sampling of a core of earth material by an unspecified drilling method</t>
  </si>
  <si>
    <t>secm:sm041</t>
  </si>
  <si>
    <t>Coring</t>
  </si>
  <si>
    <t>SESAR collection method</t>
  </si>
  <si>
    <t>secm:core_geoprobe</t>
  </si>
  <si>
    <t>Geoprobe coring</t>
  </si>
  <si>
    <t>High quality core extracted by hydraulic power. Used in rough terrain, soft sand, mud, shallow water, or tight, congested areas. Long high quality cores.</t>
  </si>
  <si>
    <t>[Ed. note] Geoprobe is a company that makes a variety of drilling and coring equipment; just saying 'Geoprobe' isn't obviously communicating what drilling technology is intended.</t>
  </si>
  <si>
    <t>secm:sm005</t>
  </si>
  <si>
    <t>Soft material coring</t>
  </si>
  <si>
    <t>https://geoprobe.com/tooling/rock-coring-wet-rotary-systems</t>
  </si>
  <si>
    <t>secm:core_incubation_dark</t>
  </si>
  <si>
    <t>core incubation dark</t>
  </si>
  <si>
    <t>A method whereby a sediment core is collected along with overlying water. The sediment and water are incubated under no light and controlled temperature conditions.</t>
  </si>
  <si>
    <t>secm:core_incubation_light</t>
  </si>
  <si>
    <t>core incubation light</t>
  </si>
  <si>
    <t>A method whereby a sediment core is collected along with overlying water. The sediment and water are incubated under controlled light and temperature conditions.</t>
  </si>
  <si>
    <t>secm:core_mackereth</t>
  </si>
  <si>
    <t>core Mackereth</t>
  </si>
  <si>
    <t>The Mackereth is a complex coring system utilizing compressed gas to penetrate and recover single-drive moderate (up to 12 m) cores from lakes of diverse depths.  Mackereth cores can be deployed on virutally any small craft and and can be used in water depths up to 80 m.</t>
  </si>
  <si>
    <t>secm:core_press</t>
  </si>
  <si>
    <t>core press</t>
  </si>
  <si>
    <t>Pore water is extracted from core material under pressure.</t>
  </si>
  <si>
    <t>secm:core_push</t>
  </si>
  <si>
    <t>Push coring</t>
  </si>
  <si>
    <t>A pipe that is pushed into the sediment to gain a core that is no longer than 2m long. Core pipe has a valve on top that is used to create a vacuum at the top of the core when pulling the core out of the sediment. Can be operated by a human working on land, shallow water, or from a boat in shallow water with a pipe extension to reach the bottom. Can be operated mechanically from a submersible (HOV or ROV).</t>
  </si>
  <si>
    <t>a smaller hand-held device made up of a length of clear plastic tubing attached to a corer head and extension poles. In the marine environment, the push corer is lowered overboard and manually pushed into the sediment before a valve at the top of the core, is closed creating a vacuum. The core and barrel is then lifted out of the surrounding sediment and back to the surface. The operation is the same on land or in shallow waters where a boat is not required. https://www.ga.gov.au/scientific-topics/marine/survey-techniques/sedimentary-coring-drilling</t>
  </si>
  <si>
    <t>secm:core_rov</t>
  </si>
  <si>
    <t>Coring from submersible</t>
  </si>
  <si>
    <t>A core produced by a drill mounted on a submersible vehicle, ROV, HOV.</t>
  </si>
  <si>
    <t>secm:core_sonic</t>
  </si>
  <si>
    <t>Sonic coring</t>
  </si>
  <si>
    <t>Similar to the vibro-core technique, the drill stem and barrel are vibrated vertically at frequencies between 50Hz and 180Hz such that the sampler barrel advances by slicing through the regolith.</t>
  </si>
  <si>
    <t>secm:sm031</t>
  </si>
  <si>
    <t>Vibrator Coring</t>
  </si>
  <si>
    <t>https://www.frtr.gov/site/3_1_6.html</t>
  </si>
  <si>
    <t>secm:core_spike</t>
  </si>
  <si>
    <t>core spike</t>
  </si>
  <si>
    <t>A core of surficial material taken by driving a spike into the ground.</t>
  </si>
  <si>
    <t>secm:densityseparation</t>
  </si>
  <si>
    <t>Density separation</t>
  </si>
  <si>
    <t>isolation of a component of an agregate based on particle density, e.g. heavy liquid</t>
  </si>
  <si>
    <t>secm:diamantina_dredge</t>
  </si>
  <si>
    <t>dredge diamantina</t>
  </si>
  <si>
    <t>Used as a spot dredge to quickly ascertain sea bed geology. Samples give the seabed character unless it is deep when any mud is washed out during retrieval. In shallow water this dredge will return rock, mud, benthic samples and any thing else that is on the bottom.</t>
  </si>
  <si>
    <t>secm:sm033</t>
  </si>
  <si>
    <t>Dredge sampling</t>
  </si>
  <si>
    <t>Sampling by a hole drilled into the Earth by any method</t>
  </si>
  <si>
    <t>secm:epibenthic_sled</t>
  </si>
  <si>
    <t>Benthic sled sampling</t>
  </si>
  <si>
    <t>A method designed to collect benthic and benthopelagic faunas from the deep sea. The sled is made from a steel frame consisting of two skids and stabilizing planes to keep it from sinking too deep into the mud.</t>
  </si>
  <si>
    <t>Sampling benthic flora and fauna using a device towed along the seafloor. The devices has have a secondary net to study plankton and can be fitted with video or stills cameras to monitor sampling in real time. https://www.ga.gov.au/scientific-topics/marine/survey-techniques/sedimentary-coring-drilling</t>
  </si>
  <si>
    <t>secm:waterbodysampling</t>
  </si>
  <si>
    <t>Water body survey sampling</t>
  </si>
  <si>
    <t>secm:field_mapping_observation</t>
  </si>
  <si>
    <t>Field mapping survey</t>
  </si>
  <si>
    <t>A mapping survey undertaken in a land environment. May include observations and/or sampling.</t>
  </si>
  <si>
    <t>secm:filtered_dust_collector</t>
  </si>
  <si>
    <t>Filtered dust collector</t>
  </si>
  <si>
    <t>Sample of fine-grained solid material that is actively collected from the atmosphere by pumping and filtration.</t>
  </si>
  <si>
    <t>secm:filtration</t>
  </si>
  <si>
    <t>Filtration residue sampling</t>
  </si>
  <si>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</si>
  <si>
    <t>secm:freefallcoring</t>
  </si>
  <si>
    <t>Free fall coring</t>
  </si>
  <si>
    <t>collection of core with a tube that has an assembly with weights and fins, allowed to drop through the water column and penetrate water bottom sediment.</t>
  </si>
  <si>
    <t>see https://www.kc-denmark.dk/products/sediment-samplers/free-fall-corer.aspx.  This device used in sandy sediment, core tube lengths to 2 m long</t>
  </si>
  <si>
    <t>reported in SESAR data.</t>
  </si>
  <si>
    <t>secm:grab_eckman</t>
  </si>
  <si>
    <t>grab Eckman</t>
  </si>
  <si>
    <t>The Eckman Bottom Grab sampler is designed for sampling in soft bottomed lakes and rivers composed of muck, mud or fine peat</t>
  </si>
  <si>
    <t>secm:sm036</t>
  </si>
  <si>
    <t>Sediment grab</t>
  </si>
  <si>
    <t>secm:grab_shipek</t>
  </si>
  <si>
    <t>grab Shipek</t>
  </si>
  <si>
    <t>When the grab touches the bottom, inertia from a self-contained weight releases a catch and helical springs rotate the inner half cylinder by 180°. After turning, the scoop remains closed by the residual torque of the scoop spring. Because the rotation of the bucket is extremely rapid, it cuts the sediment cleanly, particularly in soft clays, muds, silts &amp; sands.  After closing, the sample has optimum protection from washout during retrieval by the cylindrical design. https://www.wildco.com/how-does-the-shipek-grab-operate/, https://www.feritech.com/products/geotechnical/sea-floor-grabs/shipek-grab/</t>
  </si>
  <si>
    <t>centre-pivot sampler is designed to sample unconsolidated sediments from soft ooze to hard-packed silts from deep lakes and near offshore. It brings up virtually undisturbed, unwashed samples to the surface from any depth. Its speciality is sampling benthic organisms living at or immediately below the water/bottom interface and sediment containing a significant population of non-sessile forms. https://envcoglobal.com/catalog/water/shipek-grab/</t>
  </si>
  <si>
    <t>secm:grab_smith_mcintyre</t>
  </si>
  <si>
    <t>Smith Mcintyre grab sampling</t>
  </si>
  <si>
    <t>Near surface sediment grab sample. Sample has a surface area of 0.1m2. It is useful for quantitative macrobenthos sampling in either shallow or deep water.</t>
  </si>
  <si>
    <t>two spring hinged jaws with triggers on either side of the grab frame. The jaws are 'locked' in place within the frame until two pads hit the seafloor allowing the spring-loaded jaws to snap shut and collect the sediment. The strong hinges aid penetration of dense sediment while the large jaws return a substantial volume of sediment. Access to the sediment is through flaps on the upper side. The Smith McIntyre grab is used to get a quick sample of the seafloor and is not designed to get an undistributed sample</t>
  </si>
  <si>
    <t>secm:sm039</t>
  </si>
  <si>
    <t>Water body bottom grab</t>
  </si>
  <si>
    <t>https://www.ga.gov.au/scientific-topics/marine/survey-techniques/sedimentary-coring-drilling</t>
  </si>
  <si>
    <t>secm:grab_van_veen</t>
  </si>
  <si>
    <t>Van Veen grab sampling</t>
  </si>
  <si>
    <t>Quantitative sample of the sediment. Van Veen grab has long arms for levering the clam shell scoop.</t>
  </si>
  <si>
    <t>Two thin, hinged overlapping lids open while the equipment is descending which close on retrieval and are held shut by water pressure. The grab is triggered by a messenger weight dropped down the rope. Used for taking quantitative and qualitative samples of macroscopic benthic fauna. It can be used to determine the productivity of soft sediments, particularly those composed of finely divided muds, ooze, submerged marl and fine peaty materials. It is not recommended for rocky or sandy environments or where there is moderate benthic vegetation because small pebbles or vegetation stems can prevent proper jaw closure. https://www.ga.gov.au/scientific-topics/marine/survey-techniques/sedimentary-coring-drilling</t>
  </si>
  <si>
    <t>secm:grainsize_separation</t>
  </si>
  <si>
    <t>Grain size separation</t>
  </si>
  <si>
    <t>Separation of various size fractions of mineral or rock particles from the original specimen. For example, by using a seive or particle settling.</t>
  </si>
  <si>
    <t>secm:in_situ_grab_sampler</t>
  </si>
  <si>
    <t>Point souce bailer sampling</t>
  </si>
  <si>
    <t>A point souce bailer that has a check valve at each end of the bailer allowing sample collection from a discrete depth</t>
  </si>
  <si>
    <t>secm:liquid-gas_separation</t>
  </si>
  <si>
    <t>Liquid-gas separation</t>
  </si>
  <si>
    <t>Separation of natural gas from a liquid phase at a surface separator to generate samples of both phases.</t>
  </si>
  <si>
    <t>secm:lysimeter</t>
  </si>
  <si>
    <t>Lysimeter water collection</t>
  </si>
  <si>
    <t xml:space="preserve">A lysimeter is a container used to measure water movement in soil and the quality of water. They are used in hydrology and water quality research to study the natural environment and understand how water moves through soil.   </t>
  </si>
  <si>
    <t>https://www.sciencedirect.com/topics/agricultural-and-biological-sciences/lysimeters</t>
  </si>
  <si>
    <t>secm:microanalyticsampling</t>
  </si>
  <si>
    <t>Microanalytic sampling</t>
  </si>
  <si>
    <t>Sampling microscopic regions of a prepared sample by particle bombardment (electron, ion...) or with electromagneting beams (laser, x-ray...)</t>
  </si>
  <si>
    <t>secm:outcrop_sampling</t>
  </si>
  <si>
    <t>Outcrop sampling</t>
  </si>
  <si>
    <t>Collection of material from a rock outcrop or subcrop at the ground surface, typically using a hammer, or feathers and wedges.</t>
  </si>
  <si>
    <t>secm:surface_material_sampling</t>
  </si>
  <si>
    <t>Subaerial surface sampling</t>
  </si>
  <si>
    <t>Rock or sediment chips or fragments derived from a percussion (hammer) method. Include pneumatic drilling</t>
  </si>
  <si>
    <t>secm:phlegercoring</t>
  </si>
  <si>
    <t>Phleger coring</t>
  </si>
  <si>
    <t>Small coring device for use in shallow water, for cores &lt;1 m in length, in  sediment types ranging from soft to sandy, semi-compacted material, as well as peat and plant roots in shallow lakes or marshes</t>
  </si>
  <si>
    <t>https://archive.epa.gov/water/archive/polwaste/web/pdf/ch3.pdf</t>
  </si>
  <si>
    <t>secm:pipe_dredge</t>
  </si>
  <si>
    <t>dredge pipe</t>
  </si>
  <si>
    <t>Sampling of small fragments and mud from the sea floor, using a metal pipe linked to the tow cable. Total weight of the dredge is around 25kg.</t>
  </si>
  <si>
    <t>secm:pit_or_trench_sampling</t>
  </si>
  <si>
    <t>Pit or trench sampling</t>
  </si>
  <si>
    <t>Collection of materials, typically regolith, near the ground surface from a pit, trench, or costean dug by spade, backhoe, or other mechanical means (not drilling).</t>
  </si>
  <si>
    <t>secm:pumpsampling</t>
  </si>
  <si>
    <t>Pump sampling</t>
  </si>
  <si>
    <t>Sampling a fluid using a pump to move fluid to the sample container</t>
  </si>
  <si>
    <t>SESAR sample descriptions</t>
  </si>
  <si>
    <t>secm:rab_drilling</t>
  </si>
  <si>
    <t>RAB drilling</t>
  </si>
  <si>
    <t>RAB, rotary air blast, or Down-the-hole drilling. Rock or sediment chips or fragments are derived from a percussion drilling method where the cuttings are blown up the outside of the rods and collected at surface, using air or a combination of air and foam lift the cuttings.</t>
  </si>
  <si>
    <t>http://www.foragefte.com; http://www.masterdrilling.com</t>
  </si>
  <si>
    <t>secm:rain_gauge</t>
  </si>
  <si>
    <t>Rain gauge</t>
  </si>
  <si>
    <t>Rainwater is collected using an approved rain gauge/collector method.</t>
  </si>
  <si>
    <t>secm:reverse_circulation_drilling</t>
  </si>
  <si>
    <t>reverse circulation drilling</t>
  </si>
  <si>
    <t>A drilling technique similar to rotary drilling except that drilling fluid flow down the annular space between the drilling stem and the wall of the hole forcing cuttings up through the inside of the drill stem .</t>
  </si>
  <si>
    <t>secm:rotary_drilling</t>
  </si>
  <si>
    <t>Rotary drilling</t>
  </si>
  <si>
    <t>A drilling method using a drill stem equipped with a bit that is rotated to cut and grind the rock with a fluid pumped down the stem to force cuttings up through the annular space between the stem and the wall of the hole</t>
  </si>
  <si>
    <t>secm:rotary_hammer_drilling</t>
  </si>
  <si>
    <t>Rotary hammer drilling</t>
  </si>
  <si>
    <t>A percussion drilling method using a cutting tool powered by compressed air that creates a rapid percussion effect coupled with rotary action to drill hard rocks.</t>
  </si>
  <si>
    <t>secm:ses200</t>
  </si>
  <si>
    <t>Agassiz trawl</t>
  </si>
  <si>
    <t>Nets towed over the sea floor to sample species living on or near the bottom, with single rectangular mouth piece, a conical filtering net, and equipped with closing mouth mechanism.</t>
  </si>
  <si>
    <t>&lt;http://vocab.nerc.ac.uk/collection/L22/current/TOOL0991/1&gt;</t>
  </si>
  <si>
    <t>secm:ses201</t>
  </si>
  <si>
    <t>Submersible grab</t>
  </si>
  <si>
    <t>Collect sample from an underwater vehicle, using mechanical arms on vehicle.</t>
  </si>
  <si>
    <t>secm:ses202</t>
  </si>
  <si>
    <t>Backhoe</t>
  </si>
  <si>
    <t>secm:sm047</t>
  </si>
  <si>
    <t xml:space="preserve">Surface grab </t>
  </si>
  <si>
    <t>secm:ses203</t>
  </si>
  <si>
    <t>Beam trawl</t>
  </si>
  <si>
    <t>Nets towed over the sea floor having the horizontal net opening provided by a wooden or metal beam that disrupts the surface of the bed.</t>
  </si>
  <si>
    <t>&lt;http://vocab.nerc.ac.uk/collection/L05/current/62&gt;</t>
  </si>
  <si>
    <t>secm:ses204</t>
  </si>
  <si>
    <t>Blake trawl</t>
  </si>
  <si>
    <t>secm:ses205</t>
  </si>
  <si>
    <t>Campbell grab sampling</t>
  </si>
  <si>
    <t>utilizes a pulley arrangement to gain extra purchase to activate a pair of jaws.  Shepard (1973) reports that  large Petersen grabs have been known to bring back undisturbed samples that still retain stratification characteristics.  However, Schlieper (1972) points out  that the tensile closing action from the attached hydrowire creates a secondary lifting force at the central axis that the two jaws pivot around, resulting in a shallower bite (5 centimeters (cm) or less), especially in firmer sediments. photo shows large jaw pincers, bigger that other grab samplers, dated 1963, so it is likely old technology no longer in use.</t>
  </si>
  <si>
    <t>photo shows large jaw pincers, bigger that other grab samplers, dated 1963, so it is likely old technology no longer in use.   'Campbell' grab is a large version of a Petersen grab.  https://woodshole.er.usgs.gov/openfile/of2005-1001/htmldocs/samplers/grab/campbell.htm</t>
  </si>
  <si>
    <t xml:space="preserve">PSEP, 1997. Recommended Guidelines for Sampling Marine Sediment, Water Column, and Tissue in Puget Sound. </t>
  </si>
  <si>
    <t>secm:ses206</t>
  </si>
  <si>
    <t>Cartridge filter filtrate</t>
  </si>
  <si>
    <t>liquid that has been passed through a cartridge filter</t>
  </si>
  <si>
    <t>secm:sm023</t>
  </si>
  <si>
    <t>Water sampling-filter</t>
  </si>
  <si>
    <t>secm:ses207</t>
  </si>
  <si>
    <t>Cartridge filter residue</t>
  </si>
  <si>
    <t>material left behind when liquid passed throught cartridge filter</t>
  </si>
  <si>
    <t>secm:ses208</t>
  </si>
  <si>
    <t>Chain saw</t>
  </si>
  <si>
    <t>Sample extracted from feature of interest by cutting with a chain saw.</t>
  </si>
  <si>
    <t>SESAR data</t>
  </si>
  <si>
    <t>secm:ses210</t>
  </si>
  <si>
    <t>Chip sampling</t>
  </si>
  <si>
    <t>sampling over an area of a feature off interest by breaking off small pieces; produces an aggregate</t>
  </si>
  <si>
    <t>secm:sm016</t>
  </si>
  <si>
    <t>Collected from outcrop</t>
  </si>
  <si>
    <t>secm:ses212</t>
  </si>
  <si>
    <t>Syringe sampling</t>
  </si>
  <si>
    <t>Sampling by using a tube with a plunger to pull material into a cylinder; used in soils, soft sediment, and fluids, commonly for analysis of volatiles.</t>
  </si>
  <si>
    <t>secm:ses233</t>
  </si>
  <si>
    <t>Suction Sampler</t>
  </si>
  <si>
    <t>Based on web search for syringe sampling and inspection of SESAR records reporting methods with 'syringe' in the text.  Examples from soil environmental sampling, sediment sampling, water sampling</t>
  </si>
  <si>
    <t>secm:ses213</t>
  </si>
  <si>
    <t>Subaqueous organism trap</t>
  </si>
  <si>
    <t>Collection of sample using trap to collect organisms in water, e.g. crabs, bacteria.</t>
  </si>
  <si>
    <t>generalize from crap trap, mussel pot, bacteria trap, _trap_ found in SESAR data.</t>
  </si>
  <si>
    <t>secm:ses214</t>
  </si>
  <si>
    <t>Gas tight bottle sampling</t>
  </si>
  <si>
    <t>Gas collection in a collection bottle that is sealed well enough to maintain the pressure of the original sample fluid; used to sample gasses from deep sea sources.  Described technique uses flow-through gas sampling.</t>
  </si>
  <si>
    <t>secm:sm013</t>
  </si>
  <si>
    <t>Gas sampling</t>
  </si>
  <si>
    <t>https://doi.org/10.1016/j.dsr.2020.103282</t>
  </si>
  <si>
    <t>secm:ses215</t>
  </si>
  <si>
    <t>Ghostbuster fluid sampler</t>
  </si>
  <si>
    <t>Ghostbuster appears to be a device for in situ chemical measurements in a high temperature/pressure environment (e.g. sea floor black smoker), designed by Kang Ding/Bill Seyfried of UMN.  The information found on the web doesn't indicate it returns material samples, just measurements. (https://www.marine-geo.org/services/vocab/vocab_device_type).  https://gfd.whoi.edu/wp-content/uploads/sites/66/2023/08/at11-7-cruise_report.pdf. https://www.unols.org/sites/default/files/CA_InstrumentationManipulators.pdf</t>
  </si>
  <si>
    <t>secm:ses216</t>
  </si>
  <si>
    <t>Hammer from outcrop</t>
  </si>
  <si>
    <t>secm:ses217</t>
  </si>
  <si>
    <t>Hand auger</t>
  </si>
  <si>
    <t>secm:ses218</t>
  </si>
  <si>
    <t>Human grab from surface</t>
  </si>
  <si>
    <t>Sample collected by picking up some loose material from subaerial solid earth boundary surface</t>
  </si>
  <si>
    <t>secm:sm035</t>
  </si>
  <si>
    <t>Manual grab</t>
  </si>
  <si>
    <t>secm:ses220</t>
  </si>
  <si>
    <t>Trigger Coring</t>
  </si>
  <si>
    <t>secm:ses221</t>
  </si>
  <si>
    <t>Kasten Corer</t>
  </si>
  <si>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</si>
  <si>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A slight variation on the gravity corer is the Kasten corer. This uses a similar set up, but uses a sample tube manufactured from sheet metal of square cross section with sides approximately 150mm. No liner is used. A cutter section fitted to the end of the sample tube has two spring-loaded flaps that close when the corer is withdrawn from the sediment. The sample tube is designed to be split to gain access to the sample. https://noc.ac.uk/facilities/national-marine-equipment-pool/scientific-engineering/seafloor-sampling</t>
  </si>
  <si>
    <t>secm:ses222</t>
  </si>
  <si>
    <t>Mechanical grab from surface</t>
  </si>
  <si>
    <t>under water or atmosphere</t>
  </si>
  <si>
    <t>secm:ses223</t>
  </si>
  <si>
    <t>Menzie trawl</t>
  </si>
  <si>
    <t>secm:ses224</t>
  </si>
  <si>
    <t>Micropillar Sampling</t>
  </si>
  <si>
    <t>focused ion beam (FIB) machining is used to fabricate nano to micron sized pillars of material for testing of mechanical properties</t>
  </si>
  <si>
    <t>reported for samples of carrera marble by pskemer@wustl.edu, 45 samples.  Interpret to mean the sample is the ion-milled micropillar.</t>
  </si>
  <si>
    <t>https://www.sciencedirect.com/topics/engineering/micropillar-compression</t>
  </si>
  <si>
    <t>secm:ses225</t>
  </si>
  <si>
    <t>Niskin bottle</t>
  </si>
  <si>
    <t>device used to collect water samples at different depths in the ocean. It consists of a PVC or metal cylinder with two or more hinged caps at either end that are remotely operated using a wire or cable. When the sampler is lowered into the ocean, the caps are opened at predetermined depths, allowing seawater to be trapped inside without contamination from the surrounding water.</t>
  </si>
  <si>
    <t>https://adkinstruments.in/index.php/categories/oceanography/niskin-water-sampler</t>
  </si>
  <si>
    <t>Surface water/seawater collection. A device for collection of water samples from a specific depth in the water column.</t>
  </si>
  <si>
    <t>secm:ses226</t>
  </si>
  <si>
    <t>Pulverize</t>
  </si>
  <si>
    <t>reduce to powder</t>
  </si>
  <si>
    <t>secm:ses227</t>
  </si>
  <si>
    <t>Scoop</t>
  </si>
  <si>
    <t>Interpret to mean collecting some amount of a liquid or fine-grained aggregate using a spoon-like instrument (scoop); size can range from milligram to kilogram mass.  Metallurgy: _A shallow, spherical 1.25-inch diameter disc is sawed out of the feature of interest._ https://www.stress.com/services/materials-engineering/field-inspection-and-testing/non-destructive-scoop-sampling/.</t>
  </si>
  <si>
    <t>secm:ses228</t>
  </si>
  <si>
    <t>Settlement Plate</t>
  </si>
  <si>
    <t>Plates designed to remain in an environment (typically subaqueous) to monitor biome development. DOI: 10.13140/RG.2.2.33138.71361.  Also colonization substrate sampler collected in submarine exploration.</t>
  </si>
  <si>
    <t>secm:ses229</t>
  </si>
  <si>
    <t>Shaker table</t>
  </si>
  <si>
    <t>secm:ses230</t>
  </si>
  <si>
    <t>Shovel</t>
  </si>
  <si>
    <t>secm:ses231</t>
  </si>
  <si>
    <t>Sieved aggregate</t>
  </si>
  <si>
    <t>Sample of particular grain size particles using sieves.</t>
  </si>
  <si>
    <t>secm:ses232</t>
  </si>
  <si>
    <t>Slide hammer corer</t>
  </si>
  <si>
    <t>secm:ses234</t>
  </si>
  <si>
    <t>Core preserved with wax</t>
  </si>
  <si>
    <t>Core coated with wax or other sealant to preserve volatile content</t>
  </si>
  <si>
    <t>A standard procedure for core preservation consists of wrapping the sample with plastic film and aluminum foil before dip coating it. For the purposes of this paper, the term ‘wax’ will be used to describe the meltable coating used to cover the wrapped core plug or whole core section.</t>
  </si>
  <si>
    <t>https://jgmaas.com/SCA/2014/SCA2014-097.pdf</t>
  </si>
  <si>
    <t>secm:sidewall_core</t>
  </si>
  <si>
    <t>Sidewall coring</t>
  </si>
  <si>
    <t>A method to extract core or plug from the sidewall of a borehole.</t>
  </si>
  <si>
    <t>secm:sidewall_core_bullet</t>
  </si>
  <si>
    <t>Percussion sidewall coring</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</si>
  <si>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</si>
  <si>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secm:sidewall_core_mechanical</t>
  </si>
  <si>
    <t>Rotary sidewall coring</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</si>
  <si>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</si>
  <si>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secm:slurpsampling</t>
  </si>
  <si>
    <t>Slurp sampling</t>
  </si>
  <si>
    <t>For some small, delicate, or flexible specimens, the “slurp” hose is used to ensure that the sample is collected and handled with the proper care. ROV pilots use the manipulator arm to pick up the handle of this vacuum-like hose, which then sucks up water, sediment, and small or delicate fauna into one of the slurp containers.</t>
  </si>
  <si>
    <t>https://nautiluslive.org/science/sampling-procedures</t>
  </si>
  <si>
    <t>secm:sm001</t>
  </si>
  <si>
    <t>Composite water sampling- preserve with reagent</t>
  </si>
  <si>
    <t>composite water sample  preserved with reagent (e.g. nitric acid  sulfuric acid) as part of sampling process</t>
  </si>
  <si>
    <t>secm:sm010</t>
  </si>
  <si>
    <t>Composite water sampling</t>
  </si>
  <si>
    <t>e.g. see http://www.azdeq.gov/environ/water/assessment/download/sampling.pdf</t>
  </si>
  <si>
    <t>secm:sm002</t>
  </si>
  <si>
    <t>Composite water sampling-filter</t>
  </si>
  <si>
    <t>composite water sample  filtered as part of the sampling process (in the field or within a very short time period after collection)</t>
  </si>
  <si>
    <t>secm:sm003</t>
  </si>
  <si>
    <t>Composite water sampling- filter and preserve with reagent</t>
  </si>
  <si>
    <t>composite filtered water sample  preserved with reagent (e.g. nitric acid  sulfuric acid) as part of sampling process</t>
  </si>
  <si>
    <t>General category for methods to extract columnar samples perpendicular to the depositional surface from soil or sediment that is poorly enough consolidated that it can be sampled without rotary drilling.</t>
  </si>
  <si>
    <t>secm:sm006</t>
  </si>
  <si>
    <t>Chain bag dredge</t>
  </si>
  <si>
    <t>Sampling of large rocks from the sea floor using a chain bag</t>
  </si>
  <si>
    <t>SESAR collection method; http://www.deepreef.org/technology/79-rock-dredge.html</t>
  </si>
  <si>
    <t>A rock dredge is a large bag made of metal chain links attached to a simple heavy frame that keeps the bag expanded. The dredge is lowered off the back of a ship to the seafloor and dragged along to collect large pieces of rock. Because of the coarse chain links  most of the finer material is washed out of the bag  leaving behind the larger rock and gravel pieces within the chain bag. The dredge is then winched up to the surface and any samples are dumped onto the deck of the ship to be sorted and preserved.</t>
  </si>
  <si>
    <t>secm:sm007</t>
  </si>
  <si>
    <t>Hand auger coring</t>
  </si>
  <si>
    <t>core extracted from sediment or soil by a hand rotated tool with a special bit that extracts short segments of cored sediment; many variations in design.</t>
  </si>
  <si>
    <t>this vocabulary; http://www.oakenviro.com/pdfs/Dutch%20Auger%20equipment%20options%20-%20Eijkelkamp.pdf</t>
  </si>
  <si>
    <t>secm:sm008</t>
  </si>
  <si>
    <t>Inverted funnel to evacuated bottle gas collection</t>
  </si>
  <si>
    <t>Gas is collected from a bubbling subaqueous gas source by inverting a suitable size and composition funnel over the gas source connected by a tube to an evacuated bottle gas collector.</t>
  </si>
  <si>
    <t>secm:sm011</t>
  </si>
  <si>
    <t>Evacuated bottle gas sampling</t>
  </si>
  <si>
    <t>secm:sm009</t>
  </si>
  <si>
    <t>Inverted funnel to flow through bottle gas collection</t>
  </si>
  <si>
    <t>Gas is collected from a bubbling subaqueous gas source by inverting a suitable size and composition funnel over the gas source  connected by a tube to a  flow through bottle gas collector.</t>
  </si>
  <si>
    <t>secm:sm012</t>
  </si>
  <si>
    <t>Flow through bottle gas sampling</t>
  </si>
  <si>
    <t>water sample collected through some documented process over an extended water volume  meant to characterize that volume  e.g. a profile in a lake  a stream cross section  or some volume in the ocean. Many different processes may be used to collect subsamples and aggregate them into a representative single sample.</t>
  </si>
  <si>
    <t>A chemically inert and durable tube e.g. titanium quartz alumina or mullite) is inserted into the gas source, and allowed to thermally equilibrate with the gas; a specially prepared collection bottle with a high vacuum stopcock and sample port is attached to the collection tube.   The bottle is prepared with a concentrated aqueous sodium hydroxide solution, carefully weighed and evacuated with a vacuum pump. As gas bubbles through the alkaline solution, acid gases such as CO2 H2S SO2 HCl and HF dissolve into the liquid. The remaining gases such as N2 O2 H2 CO and He collect in the headspace of the bottle. Geothermal system gases are typically omposed mostly of water and condensable acid gases that are absorbed into the alkaline solution, so many liters of gas can be collected in a single bottle. This method concentrates gases in the solution and headspace and thereby promotes better analytical precision. Typically used for hot (volcanic geothermal) gas collection.</t>
  </si>
  <si>
    <t>http://volcanoes.usgs.gov/activity/methods/gas/sample.php</t>
  </si>
  <si>
    <t>https://asgmt.com/wp-content/uploads/2018/10/105.pdf</t>
  </si>
  <si>
    <t>https://pubs.usgs.gov/of/1974/0361/report.pdf</t>
  </si>
  <si>
    <t>Insert a suitable chemically inert and durable tube (e.g. titanium  quartz  alumina  or mullite) into gas source. After allowing the tube to heat until condensation in the tube has reached equilibrium with the escaping gases  usually about 5 minutes  a specially-designed flow-through sample bottle with a stopcock at each end and a hand-operated pump is attached to the collection tubing.  The hand pump flushes out air and draws the gas into the bottle. This collection method is faster that the evacuated bottle method. It is used when a complete gas analysis is not necessary  or where field conditions are too hazardous to safely make an evacuated-bottle collection. Sulfur gases are stable for only a short time so this type of sample must be analyzed within a few hours of collection.</t>
  </si>
  <si>
    <t>general class for gas sampling methods</t>
  </si>
  <si>
    <t>include Headspace equilibration method; https://doi.org/10.1016/j.jenvman.2012.06.033</t>
  </si>
  <si>
    <t>Generic category for any method off acquiring a water sample. Water collected into a suitable container from a single sampling point. Includes grab sample from stream  samples collected by machines that open and close sampling bottles as the device is lowered through water column. e.g. Van Dorn bottles,  Kemmerer Water Sampler</t>
  </si>
  <si>
    <t>Any method used to sample water.</t>
  </si>
  <si>
    <t>secm:sm015</t>
  </si>
  <si>
    <t>Channel sampling</t>
  </si>
  <si>
    <t>sampling material along a channel through a feature of interest.</t>
  </si>
  <si>
    <t>chip an approximately 3-inch by 3-inch (7.5 cm by 7.5 cm) channel accross the sampled feature (e.g. a coal bed) with a chisel or pick-point hammer  producing  fragments 2 inches (5 cm) or less across. Positioning a horizontal plastic sheet below the level of channel cutting is sometimes helpful.  May also be applied to sampling at regular intervals along a channel or trench cut across a surface.</t>
  </si>
  <si>
    <t>USGS Circular; Vernon E. Swanson and Claude Huffman  Jr.  1976  GUIDELINES FOR SAMPLE COLLECTING AND ANALYTICAL METHODS USED IN THE U.S. GEOLOGICAL SURVEY FOR DETERMINING CHEMICAL COMPOSITION OF COAL: U. S. Geological Survey  CIRCULAR 735. accessed at http://energy.er.usgs.gov/products/databases/CoalQual/Docs/c735.pdf</t>
  </si>
  <si>
    <t>specimen obtained by breaking piece(s) of rock from rock outcrop  on surface  or in a subsurface tunnel</t>
  </si>
  <si>
    <t>secm:sm017</t>
  </si>
  <si>
    <t>Manual surface grab</t>
  </si>
  <si>
    <t>Specimen obtained from loose material on surface  e.g. from talus, colluvium, mine heap.</t>
  </si>
  <si>
    <t>secm:sm018</t>
  </si>
  <si>
    <t>Sediment trap</t>
  </si>
  <si>
    <t>Sediment traps are containers placed in the water column to collect particles falling toward the sea floor. The traps collect tiny sediment or larger accumulations called marine snow - made up of organic matter, dead sea creatures, tiny shells, dust and minerals.</t>
  </si>
  <si>
    <t>The basic sediment trap consists of a broad funnel with a collecting jar at the bottom. The funnel opening covers a standard area (such as 0.25 square meter [2.7 square feet]) and has baffles at the top to keep out very large objects that might clog the funnel.</t>
  </si>
  <si>
    <t>http://www.whoi.edu/instruments/viewInstrument.do?id=10286</t>
  </si>
  <si>
    <t xml:space="preserve">SESAR collection method; </t>
  </si>
  <si>
    <t>secm:sm019</t>
  </si>
  <si>
    <t>Panned concentrate sampling</t>
  </si>
  <si>
    <t>Use of a gold-miners pan to concentrate heavy minerals from a loose sediment (typcially stream sediment) sample</t>
  </si>
  <si>
    <t>secm:sm020</t>
  </si>
  <si>
    <t>Split processed sample</t>
  </si>
  <si>
    <t>mechanical separation of part a processed sample; e.g. taking grains from a mineral separate, splitting a powdered sample  splitting a crushed sample</t>
  </si>
  <si>
    <t>secm:sm021</t>
  </si>
  <si>
    <t>Suspended sediment separate</t>
  </si>
  <si>
    <t>Suspended sediment separated from containing water by filtration or centrifuge.</t>
  </si>
  <si>
    <t>SESAR collection method; this vocabulary</t>
  </si>
  <si>
    <t>secm:sm022</t>
  </si>
  <si>
    <t>Water sampling- preserve with reagent</t>
  </si>
  <si>
    <t>water sample  preserved with reagent (e.g. nitric acid  sulfuric acid) as part of sampling process</t>
  </si>
  <si>
    <t>water is filtered as part of the sampling process (in the field or within a very short time period after collection) Sample is filtrate.</t>
  </si>
  <si>
    <t>Include Hot Fluid Sampler (HFS), collects hot fluid samples using various types of filters https://www.pmel.noaa.gov/eoi/nemo2003/logbook/aug27.html</t>
  </si>
  <si>
    <t>secm:sm024</t>
  </si>
  <si>
    <t>Water sampling-filter and preserve with reagent</t>
  </si>
  <si>
    <t>water sample is filtered and preserved with reagent (e.g. nitric acid  sulfuric acid) as part of sampling process</t>
  </si>
  <si>
    <t>secm:sm025</t>
  </si>
  <si>
    <t>Box Coring</t>
  </si>
  <si>
    <t>A method that obtains a large volume or large surface area core with shallow penetration and minimum disturbance. Commonly uses a double spade system.  A box core uses trigger plates that contact the seafloor to close the top and bottom of a metal box plunged into the seabed. This device neatly extracts a plug of sediment that is mostly undisturbed and allows scientists to examine the layers of sediment carefully and any marine life found within.  Use this category for Eckman Dredge samples as well</t>
  </si>
  <si>
    <t>SESAR collection method; http://www.deepreef.org/technology/9-grab.html; http://www.eu-hermione.net/box-core; http://www.azdeq.gov/environ/water/assessment/download/sampling.pdf (Eckman dredge)</t>
  </si>
  <si>
    <t>secm:sm026</t>
  </si>
  <si>
    <t>Gravity Coring</t>
  </si>
  <si>
    <t>Coring that relies on the weight of the device for penetration into the seafloor. Geoscience Australia's gravity corer consists of a one tonne weight atop a steel core barrel which houses an internal PVC core sleeve. The unit is lowered to a predetermined height above the seafloor using a wire rope before being allowed to freefall. The resulting core enters the internal sleeve and is held in place by a core catcher. The wire rope is then reeled in and the inner sleeve is removed from the core barrel and the core is processed. Gravity cores up to 12 metres in length can be collected with some systems but in practice recoveries are typically less than six metres. The gravity corer is designed for use in areas of soft, unconsolidated sediment.</t>
  </si>
  <si>
    <t>SESAR collection method; http://www.whoi.edu/instruments/viewInstrument.do?id=8087  http://www.whoi.edu/instruments/viewInstrument.do?id=1079</t>
  </si>
  <si>
    <t>secm:sm027</t>
  </si>
  <si>
    <t>Hand Held Coring</t>
  </si>
  <si>
    <t>Collects core by operator pushing the core tube into the sediment to be sampled; may be assisted by vibration induced in the core tube.  Like push core, but manually operated.</t>
  </si>
  <si>
    <t>secm:sm028</t>
  </si>
  <si>
    <t>Multi coring</t>
  </si>
  <si>
    <t>sampling by pushing a device into seafloor sediments that extracts many tubular samples of sediment at once. The multicore has a cone-shaped aluminum frame. In the middle are eight plastic tubes. When the frame settles on the floor  the center of the multicore slowly and evenly pushes the tubes into the sediment. The tubes are capped at the top and bottom and the multicore comes back to the surface with eight samples of sediment.</t>
  </si>
  <si>
    <t xml:space="preserve">http://polardiscovery.whoi.edu/expedition5/tools_multicore.html </t>
  </si>
  <si>
    <t>secm:sm029</t>
  </si>
  <si>
    <t>Piston Coring</t>
  </si>
  <si>
    <t>Piston corers have a piston mechanism that is triggered when the corer hits the bottom. As the barrel enters the sediment a special internal piston creates a vacuum and helps to draw the core into the barrel. The piston helps to avoid disturbing the sediment. As the piston corer penetrates the seafloor  the piston inside stops at the sediment surface. The action of the piston creates a pressure differential at the top of the sediment column. This allows the soft material to enter the core liner without disruption. A piston corer uses a 'free fall' of the coring rig to achieve a greater initial force on impact than gravity coring  and a sliding piston inside the core barrel to reduce inside wall friction with the sediment and to assist in the evacuation of displaced water from the top of the corer. The piston-coring rig is comprised of a trigger assembly  the coring weight assembly  core barrels  tip assembly  and piston.</t>
  </si>
  <si>
    <t>consists of a weight fitted connected to a steel sample tube, with a PVC liner tube inside the full-length of the core barrel. A piston is fitted inside the PVC liner and is attached to a wire that runs inside the corer barrel, through a hole in the centre of the weight and is attached to the main deployment wire. The corer is lowered on a wire to the seabed until a trigger weight, suspended from the corer weight via an arm, contacts the seabed, and releases the corer for free-fall a distance pre-set by the length of trigger wire to sink into the sediment. As the corer penetrates the sediment it reaches a point where the piston inside the barrel  is level with the surface of the sediment. As the corer sinks further into the sediment, the piston should remain static at its optimum point at the sediment surface. The core tube then moves past the piston into the sediment creating a vacuum at the top of the tube which helps to overcome the friction generated between the sediment and the inside of the core liner. https://noc.ac.uk/facilities/national-marine-equipment-pool/scientific-engineering/seafloor-sampling</t>
  </si>
  <si>
    <t>SESAR collection method; http://www.whoi.edu/instruments/gallery.do?mainid=17288&amp;iid=8087; http://www.tdi-bi.com/field_services/sge_info/piston_coring.htm</t>
  </si>
  <si>
    <t>secm:sm030</t>
  </si>
  <si>
    <t>Probe core</t>
  </si>
  <si>
    <t>Soil or sediment collected by pneumatically pushing or pounding a sleeve  through soft sediments via a rig mounted on the back of a pick-up truck or on an ATV.  Note: Sediment in cores commonly is compressed to 30-50% of the in situ volume. Wildco corer.</t>
  </si>
  <si>
    <t>SESAR collection method; http://www.fandm.edu/earth-and-environment/sediment-sampling-methods</t>
  </si>
  <si>
    <t>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t>
  </si>
  <si>
    <t>Vibracoring (or vibrocoring) is a technology and a technique for collecting core samples of underwater sediments and wetland soils.  The vibrating mechanism of a vibracorer  sometimes called the _vibrahead_  operates on hydraulic  pneumatic  mechanical or electrical power from an external source.  The attached core tube is driven into sediment by the force of gravity  enhanced by vibration energy.  When the insertion is completed  the vibracorer is turned off  and the tube is withdrawn with the aid of hoist equipment.</t>
  </si>
  <si>
    <t>http://www.pvltech.com</t>
  </si>
  <si>
    <t>SESAR collection method; http://www.vibracoring.com/vcconcepts.html</t>
  </si>
  <si>
    <t>secm:sm032</t>
  </si>
  <si>
    <t>Blasting</t>
  </si>
  <si>
    <t>sample collected from rock material freed from outcrop by explosives; similar to surface grab in that precise location of specimen in the rock body is not precisely known</t>
  </si>
  <si>
    <t>samples _grabbed_ from submarine surface by dragging a basket with an enclosed bottom (solid or open-chain) along the bottom of the water body.</t>
  </si>
  <si>
    <t>Used for sampling sediment material or rock from the bottom of a water body.  Use Trawl if focus is on pelagic or benthic biome.</t>
  </si>
  <si>
    <t>secm:sm034</t>
  </si>
  <si>
    <t>Grab from trench or pit</t>
  </si>
  <si>
    <t>loose sediment collected into bag from the wall of a trench, stream bank  or pit--any vertical cut that provides access to a near surface soil and sediment profile; common for sampling soil horizons.</t>
  </si>
  <si>
    <t>Material sample is obtained by picking up an object by hand</t>
  </si>
  <si>
    <t>Sediment grabs come in all shapes and sizes  but they all do much the same thing  to collect a sample of sediment from the seabed. Sediment grabs are often named after their inventors. For example  the Smith-MacIntyre grab is lowered from ships  and on contact with the seabed a split cylindrical bucket is triggered which scoops up about 10 litres of sediment. Another is the Van-Veen grab like a giant pair of tongs which closes two halves of the bucket together as the winch draws the cable in. Sediment is then evenly scooped into the large buckets. A sediment grab does not attempt to preserve the internal structure of the sediment  which disginguishes it from soft sediment coring.</t>
  </si>
  <si>
    <t>http://www.deepreef.org/technology/9-grab.html</t>
  </si>
  <si>
    <t>secm:sm037</t>
  </si>
  <si>
    <t>Stream sediment composite</t>
  </si>
  <si>
    <t>composite of several single grab sediment samples collected from a stream channel agregatted in the field. Sample might be collected from subaqueous stream bed, or in a dry stream channel.</t>
  </si>
  <si>
    <t>secm:sm038</t>
  </si>
  <si>
    <t>Stream sediment single grab</t>
  </si>
  <si>
    <t>stream sediment collected from bed of a stream at a single location; Sample might be collected from subaqueous stream bed, or in a dry stream channel.</t>
  </si>
  <si>
    <t>Specimens gathered from the bed of a water body by a mechanical grab primarily for lithogical and petrographical analyses.</t>
  </si>
  <si>
    <t>Samples _grabbed_ from submarine surface</t>
  </si>
  <si>
    <t>secm:sm040</t>
  </si>
  <si>
    <t>Lag sample</t>
  </si>
  <si>
    <t>Sample collected by sweeping up surface lag material over some area and bagging it.  Generally only used in arid or semi-arid environments where surface lag is representative in some way of underlying bedrock.</t>
  </si>
  <si>
    <t>Sample is removed from sampling feature by extracting an undisturbed provile  typically as a long cylinder  meant to preserve the internal structure of the sampled sediment or rock.  sample extracted as a cylinder of material drilled out of the feature of interest; diameter can range from mm to m, lengths mm to 100_s of m.</t>
  </si>
  <si>
    <t>General category for gas and water sampling procedures that obtain a specimen in a sealed container, or feed directly to analytical equipment (e.g. autosamplers).</t>
  </si>
  <si>
    <t>secm:sm044</t>
  </si>
  <si>
    <t>Other sampling procedure</t>
  </si>
  <si>
    <t>Specimen obtained using some mechnical process not identified in this vocabulary</t>
  </si>
  <si>
    <t>separation of part of a sample by some lab technique; have to look at processing method for details. E.g. density separation  magnetic separation  insoluble residue  hand picking.  Too many possibilities to categorize each subsampling method.</t>
  </si>
  <si>
    <t>secm:sm046</t>
  </si>
  <si>
    <t>Splitting from bulk sample</t>
  </si>
  <si>
    <t>mechanical separation of part of a bulk sample. E.g. breaking a hand sample up with a hammer and taking pieces, cutting peices from a solid sample, splitting material in a bagged sample</t>
  </si>
  <si>
    <t>Specimen obtained by picking up material from a surface, subaerial or subaqueous; may involve breaking material away from outcrop  or picking up loose material on surface</t>
  </si>
  <si>
    <t>Top concept, for all methods used to collect material samples</t>
  </si>
  <si>
    <t>Samples that include sediment and water, typically from near water body bottom, collected</t>
  </si>
  <si>
    <t>Collection of earth materials at the ground surface on land.</t>
  </si>
  <si>
    <t>Collection of sample by dragging a net through the water column or along the bottom of the water column. Connotation is focus on biome in the water or at the water-sediment interface, but might include suspended sediment in water or sediment from water body bottom.</t>
  </si>
  <si>
    <t>Include net systems that might be simple manual scoops through near surface, and systems that pump lots of water through a net (e.g. 'big Bertha, https://serc.si.edu/node/38659) to achieve the same effect.</t>
  </si>
  <si>
    <t>secm:undergound_mine_sampling</t>
  </si>
  <si>
    <t>Undergound mine sampling</t>
  </si>
  <si>
    <t>Collection of material from a rock outcrop exposed beneath the ground surface (eg, a mine), typically using a hammer.</t>
  </si>
  <si>
    <t>secm:unknown</t>
  </si>
  <si>
    <t>unknown</t>
  </si>
  <si>
    <t>The sampling method is unknown.</t>
  </si>
  <si>
    <t>secm:vacuumporewatersampling</t>
  </si>
  <si>
    <t>Vacuum pore water sampling</t>
  </si>
  <si>
    <t>Extraction of pore water from soil or sediment by creating a vacuum.</t>
  </si>
  <si>
    <t>https://www.sedgeochem.uni-bremen.de/rhizon.html</t>
  </si>
  <si>
    <t>https://www.rhizosphere.com/rhizons/</t>
  </si>
  <si>
    <t>Collection of materials during a marine, lacustrine, or coastal survey by any method.</t>
  </si>
  <si>
    <t>Collection of water samples from a water body; includes surface water, lakes, marine water.</t>
  </si>
  <si>
    <t>secm:waxcoring</t>
  </si>
  <si>
    <t>Wax coring</t>
  </si>
  <si>
    <t>Samples sediment and volcanic glass at the sea floor by crashing a weighted core tube that has a ring of sticky wax at the bottom into the sea floor.  Invented to sample volcanic glass shards in surface deposits along mid ocean ridges.</t>
  </si>
  <si>
    <t>https://web.mit.edu/deeparch/www/publications/papers/YoergerEtAl1999.pdf</t>
  </si>
  <si>
    <t>https://ui.adsabs.harvard.edu/abs/2023AGUFMV43B018.1L/abstract</t>
  </si>
  <si>
    <t>Geoscience Australia, SESAR collection method</t>
  </si>
  <si>
    <t>https://geoprobe.com/tooling/rock-coring-wet-rotary-systems | Geoscience Australia</t>
  </si>
  <si>
    <t>https://www.frtr.gov/site/3_1_6.html | Geoscience Australia</t>
  </si>
  <si>
    <t xml:space="preserve">device used to collect water samples at different depths in the ocean. It consists of a PVC or metal cylinder with two or more hinged caps at either end that are remotely operated using a wire or cable. When the sampler is lowered into the ocean, the caps are opened at predetermined depths, allowing seawater to be trapped inside without contamination from the surrounding water. Surface water or seawater collection. </t>
  </si>
  <si>
    <t>https://adkinstruments.in/index.php/categories/oceanography/niskin-water-sampler | Geoscience Australia</t>
  </si>
  <si>
    <t>Sampling of large rocks from the sea floor using a chain bag. A rock dredge is a large bag made of metal chain links attached to a simple heavy frame that keeps the bag expanded. The dredge is lowered off the back of a ship to the seafloor and dragged along to collect large pieces of rock. Because of the coarse chain links  most of the finer material is washed out of the bag  leaving behind the larger rock and gravel pieces within the chain bag. The dredge is then winched up to the surface and any samples are dumped onto the deck of the ship to be sorted and preserved.</t>
  </si>
  <si>
    <t>SESAR collection method | http://www.deepreef.org/technology/79-rock-dredge.html | Geoscience Australia</t>
  </si>
  <si>
    <t>http://volcanoes.usgs.gov/activity/methods/gas/sample.php | https://pubs.usgs.gov/of/1974/0361/report.pdf | https://asgmt.com/wp-content/uploads/2018/10/105.pdf</t>
  </si>
  <si>
    <t>http://www.azdeq.gov/environ/water/assessment/download/sampling.pdf | Geoscience Australia</t>
  </si>
  <si>
    <t>http://www.whoi.edu/instruments/viewInstrument.do?id=10286 | SESAR collection method |Geoscience Australia</t>
  </si>
  <si>
    <t>SESAR collection method | http://www.deepreef.org/technology/9-grab.html; http://www.eu-hermione.net/box-core; http://www.azdeq.gov/environ/water/assessment/download/sampling.pdf (Eckman dredge) | Geoscience Australia</t>
  </si>
  <si>
    <t>SESAR collection method | http://www.whoi.edu/instruments/viewInstrument.do?id=8087| http://www.whoi.edu/instruments/viewInstrument.do?id=1079 | Geoscience Australia</t>
  </si>
  <si>
    <t xml:space="preserve">SESAR collection method | http://polardiscovery.whoi.edu/expedition5/tools_multicore.html </t>
  </si>
  <si>
    <t>http://www.pvltech.com | SESAR collection method | http://www.vibracoring.com/vcconcepts.html</t>
  </si>
  <si>
    <t>SESAR collection method | Geoscience Australia</t>
  </si>
  <si>
    <t>Specimens gathered from the bed of a water body by a mechanical grab primarily for lithogical and petrographical analyses. Samples _grabbed_ from submarine surface</t>
  </si>
  <si>
    <t>Geoscience Australia | SESAR collection method</t>
  </si>
  <si>
    <t>https://www.sedgeochem.uni-bremen.de/rhizon.html | https://www.rhizosphere.com/rhizons/</t>
  </si>
  <si>
    <t>https://web.mit.edu/deeparch/www/publications/papers/YoergerEtAl1999.pdf | https://ui.adsabs.harvard.edu/abs/2023AGUFMV43B018.1L/abstract</t>
  </si>
  <si>
    <t>Samples that include sediment and water, typically from near water body bottom, collected under controlled conditions to preserve biological activity, intended to incubate in a lab to observe metabolic processes.</t>
  </si>
  <si>
    <t>collection_method_id</t>
  </si>
  <si>
    <t>method_uri</t>
  </si>
  <si>
    <t>description</t>
  </si>
  <si>
    <t>Kasten coring</t>
  </si>
  <si>
    <t>Hand held coring</t>
  </si>
  <si>
    <t>Vibrator coring</t>
  </si>
  <si>
    <t>Slide hammer coring</t>
  </si>
  <si>
    <t>Surface grab</t>
  </si>
  <si>
    <t>Include net systems that might be simple manual scoops through near surface, and systems that pump lots of water through a net (e.g. _big Bertha, https://serc.si.edu/node/38659) to achieve the same effect.</t>
  </si>
  <si>
    <t>photo shows large jaw pincers, bigger that other grab samplers, dated 1963, so it is likely old technology no longer in use.   _Campbell_ grab is a large version of a Petersen grab.  https://woodshole.er.usgs.gov/openfile/of2005-1001/htmldocs/samplers/grab/campbell.htm</t>
  </si>
  <si>
    <t>[Ed. note] Geoprobe is a company that makes a variety of drilling and coring equipment; just saying _Geoprobe_ isn_t obviously communicating what drilling technology is intended.</t>
  </si>
  <si>
    <t>Ghostbuster appears to be a device for in situ chemical measurements in a high temperature/pressure environment (e.g. sea floor black smoker), designed by Kang Ding/Bill Seyfried of UMN.  The information found on the web doesn_t indicate it returns material samples, just measurements. (https://www.marine-geo.org/services/vocab/vocab_device_type).  https://gfd.whoi.edu/wp-content/uploads/sites/66/2023/08/at11-7-cruise_report.pdf. https://www.unols.org/sites/default/files/CA_InstrumentationManipulators.pdf</t>
  </si>
  <si>
    <t>Coring that relies on the weight of the device for penetration into the seafloor. Geoscience Australia_s gravity corer consists of a one tonne weight atop a steel core barrel which houses an internal PVC core sleeve. The unit is lowered to a predetermined height above the seafloor using a wire rope before being allowed to freefall. The resulting core enters the internal sleeve and is held in place by a core catcher. The wire rope is then reeled in and the inner sleeve is removed from the core barrel and the core is processed. Gravity cores up to 12 metres in length can be collected with some systems but in practice recoveries are typically less than six metres. The gravity corer is designed for use in areas of soft, unconsolidated sediment.</t>
  </si>
  <si>
    <t>Piston corers have a piston mechanism that is triggered when the corer hits the bottom. As the barrel enters the sediment a special internal piston creates a vacuum and helps to draw the core into the barrel. The piston helps to avoid disturbing the sediment. As the piston corer penetrates the seafloor  the piston inside stops at the sediment surface. The action of the piston creates a pressure differential at the top of the sediment column. This allows the soft material to enter the core liner without disruption. A piston corer uses a _free fall_ of the coring rig to achieve a greater initial force on impact than gravity coring  and a sliding piston inside the core barrel to reduce inside wall friction with the sediment and to assist in the evacuation of displaced water from the top of the corer. The piston-coring rig is comprised of a trigger assembly  the coring weight assembly  core barrels  tip assembly  and piston.</t>
  </si>
  <si>
    <t>two spring hinged jaws with triggers on either side of the grab frame. The jaws are _locked_ in place within the frame until two pads hit the seafloor allowing the spring-loaded jaws to snap shut and collect the sediment. The strong hinges aid penetration of dense sediment while the large jaws return a substantial volume of sediment. Access to the sediment is through flaps on the upper side. The Smith McIntyre grab is used to get a quick sample of the seafloor and is not designed to get an undistributed sample</t>
  </si>
  <si>
    <t>Vernon E. Swanson and Claude Huffman  Jr.,  1976,  U. S. Geological Survey  CIRCULAR 735. accessed at http://energy.er.usgs.gov/products/databases/CoalQual/Docs/c735.pdf</t>
  </si>
  <si>
    <t>Inverted funnel evacuated bottle gas collection</t>
  </si>
  <si>
    <t>Inverted funnel flow thru bottle gas collection</t>
  </si>
  <si>
    <t>Composite water sampling-filter w reagent</t>
  </si>
  <si>
    <t>Composite water sampling- w reagent</t>
  </si>
  <si>
    <t>SESAR collection method |  http://www.tdi-bi.com/field_services/sge_info/piston_coring.htm | https://www.ga.gov.au/scientific-topics/marine/survey-techniques/sedimentary-coring-drilling</t>
  </si>
  <si>
    <t>Based on web search for syringe sampling and inspection of SESAR records reporting methods with _syringe_ in the text.  Examples from soil environmental sampling, sediment sampling, water sampling</t>
  </si>
  <si>
    <t>Box coring</t>
  </si>
  <si>
    <t>Gravity coring</t>
  </si>
  <si>
    <t>Piston coring</t>
  </si>
  <si>
    <t>Trigger coring</t>
  </si>
  <si>
    <t>Core conventional</t>
  </si>
  <si>
    <t>Micropillar sampling</t>
  </si>
  <si>
    <t>Settlement plate</t>
  </si>
  <si>
    <t>Suction sampler</t>
  </si>
  <si>
    <t>CTD sampler</t>
  </si>
  <si>
    <t>secm:ctd_sampler</t>
  </si>
  <si>
    <t>Samples collected using water-sampling bottles connected to CTD equipment, used to sample water at different depths.  CTD refers to a package of electronic instruments that measure Conductivity, Temperature, and Depth in a water column. Often, CTDs are attached to a much larger metal frame called a rosette, holding water-sampling bottles that are used to collect water at different depths, as well as other sensors that can measure additional physical or chemical properties.</t>
  </si>
  <si>
    <t>https://oceanexplorer.noaa.gov/facts/ctd.html</t>
  </si>
  <si>
    <t>missing</t>
  </si>
  <si>
    <t>Value not provided or not applicable</t>
  </si>
  <si>
    <t>Solid phase microextraction</t>
  </si>
  <si>
    <t>secm:spme</t>
  </si>
  <si>
    <t xml:space="preserve">sampling technique a solid support (e.g. a fiber) coated with an extracting phase extracts analytes of interest from a sampled media that can be a liquid or gas phase.  The extracting phase can be a liquid (polymer) or a solid (sorbent).  The quantity of analyte extracted is proportional to its concentration in the sample. </t>
  </si>
  <si>
    <t>https://en.wikipedia.org/wiki/Solid-phase_microextraction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</si>
</sst>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vertical="top" wrapText="1"/>
    </xf>
    <xf numFmtId="0" fontId="18" fillId="0" borderId="0" xfId="42" applyAlignment="1">
      <alignment vertical="top" wrapText="1"/>
    </xf>
    <xf numFmtId="0" fontId="0" fillId="0" borderId="0" xfId="0"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dkinstruments.in/index.php/categories/oceanography/niskin-water-sampler%20|%20Geoscience%20Australia" TargetMode="External"/><Relationship Id="rId2" Type="http://schemas.openxmlformats.org/officeDocument/2006/relationships/hyperlink" Target="https://www.frtr.gov/site/3_1_6.html%20|%20Geoscience%20Australia" TargetMode="External"/><Relationship Id="rId1" Type="http://schemas.openxmlformats.org/officeDocument/2006/relationships/hyperlink" Target="https://geoprobe.com/tooling/rock-coring-wet-rotary-systems%20|%20Geoscience%20Australia" TargetMode="External"/><Relationship Id="rId5" Type="http://schemas.openxmlformats.org/officeDocument/2006/relationships/hyperlink" Target="http://www.whoi.edu/instruments/viewInstrument.do?id=10286%20|%20SESAR%20collection%20method%20|Geoscience%20Australia" TargetMode="External"/><Relationship Id="rId4" Type="http://schemas.openxmlformats.org/officeDocument/2006/relationships/hyperlink" Target="http://www.azdeq.gov/environ/water/assessment/download/sampling.pdf%20|%20Geoscience%20Austral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9889-F613-4A2D-B3E4-73CEC9E8AFBD}">
  <dimension ref="A1:G180"/>
  <sheetViews>
    <sheetView tabSelected="1" topLeftCell="A156" workbookViewId="0">
      <selection activeCell="B158" sqref="B158"/>
    </sheetView>
  </sheetViews>
  <sheetFormatPr defaultColWidth="28.42578125" defaultRowHeight="15" x14ac:dyDescent="0.25"/>
  <cols>
    <col min="1" max="1" width="20.140625" style="1" bestFit="1" customWidth="1"/>
    <col min="2" max="2" width="29.5703125" style="1" customWidth="1"/>
    <col min="3" max="3" width="28.42578125" style="1"/>
    <col min="4" max="4" width="58.85546875" style="1" customWidth="1"/>
    <col min="5" max="5" width="51.5703125" style="1" customWidth="1"/>
    <col min="6" max="16384" width="28.42578125" style="1"/>
  </cols>
  <sheetData>
    <row r="1" spans="1:7" x14ac:dyDescent="0.25">
      <c r="A1" s="1" t="s">
        <v>546</v>
      </c>
      <c r="B1" s="1" t="s">
        <v>547</v>
      </c>
      <c r="C1" s="1" t="s">
        <v>1</v>
      </c>
      <c r="D1" s="1" t="s">
        <v>548</v>
      </c>
      <c r="E1" s="1" t="s">
        <v>2</v>
      </c>
      <c r="F1" s="1" t="s">
        <v>3</v>
      </c>
      <c r="G1" s="1" t="s">
        <v>6</v>
      </c>
    </row>
    <row r="2" spans="1:7" ht="60" x14ac:dyDescent="0.25">
      <c r="A2" s="1">
        <v>64</v>
      </c>
      <c r="B2" s="1" t="s">
        <v>244</v>
      </c>
      <c r="C2" s="1" t="s">
        <v>245</v>
      </c>
      <c r="D2" s="1" t="str">
        <f t="shared" ref="D2:D33" si="0">E2&amp;IF(ISBLANK(F2),"",". "&amp;F2)</f>
        <v>Nets towed over the sea floor to sample species living on or near the bottom, with single rectangular mouth piece, a conical filtering net, and equipped with closing mouth mechanism.</v>
      </c>
      <c r="E2" s="1" t="s">
        <v>246</v>
      </c>
      <c r="G2" s="1" t="s">
        <v>247</v>
      </c>
    </row>
    <row r="3" spans="1:7" ht="30" x14ac:dyDescent="0.25">
      <c r="A3" s="1">
        <v>21</v>
      </c>
      <c r="B3" s="1" t="s">
        <v>87</v>
      </c>
      <c r="C3" s="1" t="s">
        <v>88</v>
      </c>
      <c r="D3" s="1" t="str">
        <f t="shared" si="0"/>
        <v>Rock or sediment core derived from a dry, air-cooled diamond drilling method.</v>
      </c>
      <c r="E3" s="1" t="s">
        <v>89</v>
      </c>
      <c r="G3" s="1" t="s">
        <v>12</v>
      </c>
    </row>
    <row r="4" spans="1:7" ht="30" x14ac:dyDescent="0.25">
      <c r="A4" s="1">
        <v>1</v>
      </c>
      <c r="B4" s="1" t="s">
        <v>7</v>
      </c>
      <c r="C4" s="1" t="s">
        <v>8</v>
      </c>
      <c r="D4" s="1" t="str">
        <f t="shared" si="0"/>
        <v>Sample of fine-grained solid material that is passively collected by airfall from the atmosphere.</v>
      </c>
      <c r="E4" s="1" t="s">
        <v>9</v>
      </c>
      <c r="G4" s="1" t="s">
        <v>12</v>
      </c>
    </row>
    <row r="5" spans="1:7" x14ac:dyDescent="0.25">
      <c r="A5" s="1">
        <v>2</v>
      </c>
      <c r="B5" s="1" t="s">
        <v>13</v>
      </c>
      <c r="C5" s="1" t="s">
        <v>14</v>
      </c>
      <c r="D5" s="1" t="str">
        <f t="shared" si="0"/>
        <v>Compressed air is used to extract groundwater</v>
      </c>
      <c r="E5" s="1" t="s">
        <v>15</v>
      </c>
      <c r="G5" s="1" t="s">
        <v>12</v>
      </c>
    </row>
    <row r="6" spans="1:7" ht="30" x14ac:dyDescent="0.25">
      <c r="A6" s="1">
        <v>3</v>
      </c>
      <c r="B6" s="1" t="s">
        <v>20</v>
      </c>
      <c r="C6" s="1" t="s">
        <v>21</v>
      </c>
      <c r="D6" s="1" t="str">
        <f t="shared" si="0"/>
        <v>Groundwater sample obtained from flowing artesian bore</v>
      </c>
      <c r="E6" s="1" t="s">
        <v>22</v>
      </c>
      <c r="G6" s="1" t="s">
        <v>12</v>
      </c>
    </row>
    <row r="7" spans="1:7" ht="45" x14ac:dyDescent="0.25">
      <c r="A7" s="1">
        <v>4</v>
      </c>
      <c r="B7" s="1" t="s">
        <v>23</v>
      </c>
      <c r="C7" s="1" t="s">
        <v>24</v>
      </c>
      <c r="D7" s="1" t="str">
        <f t="shared" si="0"/>
        <v>Specimens collected by hand or mechanical auger which enable samples to be taken at intervals down profile. For example regolith, soil or sediment.</v>
      </c>
      <c r="E7" s="1" t="s">
        <v>25</v>
      </c>
      <c r="G7" s="1" t="s">
        <v>12</v>
      </c>
    </row>
    <row r="8" spans="1:7" x14ac:dyDescent="0.25">
      <c r="A8" s="1">
        <v>66</v>
      </c>
      <c r="B8" s="1" t="s">
        <v>251</v>
      </c>
      <c r="C8" s="1" t="s">
        <v>252</v>
      </c>
      <c r="D8" s="1" t="str">
        <f t="shared" si="0"/>
        <v/>
      </c>
    </row>
    <row r="9" spans="1:7" ht="45" x14ac:dyDescent="0.25">
      <c r="A9" s="1">
        <v>67</v>
      </c>
      <c r="B9" s="1" t="s">
        <v>255</v>
      </c>
      <c r="C9" s="1" t="s">
        <v>256</v>
      </c>
      <c r="D9" s="1" t="str">
        <f t="shared" si="0"/>
        <v>Nets towed over the sea floor having the horizontal net opening provided by a wooden or metal beam that disrupts the surface of the bed.</v>
      </c>
      <c r="E9" s="1" t="s">
        <v>257</v>
      </c>
      <c r="G9" s="1" t="s">
        <v>258</v>
      </c>
    </row>
    <row r="10" spans="1:7" ht="180" x14ac:dyDescent="0.25">
      <c r="A10" s="1">
        <v>39</v>
      </c>
      <c r="B10" s="1" t="s">
        <v>152</v>
      </c>
      <c r="C10" s="1" t="s">
        <v>153</v>
      </c>
      <c r="D10" s="1" t="str">
        <f t="shared" si="0"/>
        <v>A method designed to collect benthic and benthopelagic faunas from the deep sea. The sled is made from a steel frame consisting of two skids and stabilizing planes to keep it from sinking too deep into the mud.. Sampling benthic flora and fauna using a device towed along the seafloor. The devices has have a secondary net to study plankton and can be fitted with video or stills cameras to monitor sampling in real time. https://www.ga.gov.au/scientific-topics/marine/survey-techniques/sedimentary-coring-drilling</v>
      </c>
      <c r="E10" s="1" t="s">
        <v>154</v>
      </c>
      <c r="F10" s="1" t="s">
        <v>155</v>
      </c>
      <c r="G10" s="1" t="s">
        <v>12</v>
      </c>
    </row>
    <row r="11" spans="1:7" ht="45" x14ac:dyDescent="0.25">
      <c r="A11" s="1">
        <v>6</v>
      </c>
      <c r="B11" s="1" t="s">
        <v>31</v>
      </c>
      <c r="C11" s="1" t="s">
        <v>32</v>
      </c>
      <c r="D11" s="1" t="str">
        <f t="shared" si="0"/>
        <v>Seabed sampling taken over a small area seaward of the continental shelf. Sample of the upper few cm of rocky sea floor particularly for biota.</v>
      </c>
      <c r="E11" s="1" t="s">
        <v>33</v>
      </c>
      <c r="G11" s="1" t="s">
        <v>12</v>
      </c>
    </row>
    <row r="12" spans="1:7" x14ac:dyDescent="0.25">
      <c r="A12" s="1">
        <v>68</v>
      </c>
      <c r="B12" s="1" t="s">
        <v>259</v>
      </c>
      <c r="C12" s="1" t="s">
        <v>260</v>
      </c>
      <c r="D12" s="1" t="str">
        <f t="shared" si="0"/>
        <v/>
      </c>
    </row>
    <row r="13" spans="1:7" ht="60" x14ac:dyDescent="0.25">
      <c r="A13" s="1">
        <v>131</v>
      </c>
      <c r="B13" s="1" t="s">
        <v>471</v>
      </c>
      <c r="C13" s="1" t="s">
        <v>472</v>
      </c>
      <c r="D13" s="1" t="str">
        <f t="shared" si="0"/>
        <v>sample collected from rock material freed from outcrop by explosives; similar to surface grab in that precise location of specimen in the rock body is not precisely known</v>
      </c>
      <c r="E13" s="1" t="s">
        <v>473</v>
      </c>
      <c r="G13" s="1" t="s">
        <v>107</v>
      </c>
    </row>
    <row r="14" spans="1:7" ht="60" x14ac:dyDescent="0.25">
      <c r="A14" s="1">
        <v>5</v>
      </c>
      <c r="B14" s="1" t="s">
        <v>28</v>
      </c>
      <c r="C14" s="1" t="s">
        <v>29</v>
      </c>
      <c r="D14" s="1" t="str">
        <f t="shared" si="0"/>
        <v>Bailer is a hollow tube used to retrieve groundwater samples from monitoring wells. A bailer is tied to a piece of rope or wire and lowered into the water column to collect a sample.</v>
      </c>
      <c r="E14" s="1" t="s">
        <v>30</v>
      </c>
      <c r="G14" s="1" t="s">
        <v>12</v>
      </c>
    </row>
    <row r="15" spans="1:7" ht="75" x14ac:dyDescent="0.25">
      <c r="A15" s="1">
        <v>7</v>
      </c>
      <c r="B15" s="1" t="s">
        <v>36</v>
      </c>
      <c r="C15" s="1" t="s">
        <v>37</v>
      </c>
      <c r="D15" s="1" t="str">
        <f t="shared" si="0"/>
        <v>A sample is collected during drilling by a test using a hydrostatic head to measure the formation pressures and to bring the formation fluids to the surface. The test can provide information for determination of potential petroleum producing formations and their exact depth.</v>
      </c>
      <c r="E15" s="1" t="s">
        <v>38</v>
      </c>
      <c r="G15" s="1" t="s">
        <v>12</v>
      </c>
    </row>
    <row r="16" spans="1:7" ht="30" x14ac:dyDescent="0.25">
      <c r="A16" s="1">
        <v>8</v>
      </c>
      <c r="B16" s="1" t="s">
        <v>18</v>
      </c>
      <c r="C16" s="1" t="s">
        <v>19</v>
      </c>
      <c r="D16" s="1" t="str">
        <f t="shared" si="0"/>
        <v>Sampling of fluids (oil, gas, or water) from a borehole by an unspecified method.</v>
      </c>
      <c r="E16" s="1" t="s">
        <v>39</v>
      </c>
      <c r="G16" s="1" t="s">
        <v>12</v>
      </c>
    </row>
    <row r="17" spans="1:7" ht="45" x14ac:dyDescent="0.25">
      <c r="A17" s="1">
        <v>9</v>
      </c>
      <c r="B17" s="1" t="s">
        <v>42</v>
      </c>
      <c r="C17" s="1" t="s">
        <v>43</v>
      </c>
      <c r="D17" s="1" t="str">
        <f t="shared" si="0"/>
        <v>A borehole sampling test similar to DST test, but on a larger scale and under the production conditions after the well completion is conducted.</v>
      </c>
      <c r="E17" s="1" t="s">
        <v>44</v>
      </c>
      <c r="G17" s="1" t="s">
        <v>12</v>
      </c>
    </row>
    <row r="18" spans="1:7" ht="90" x14ac:dyDescent="0.25">
      <c r="A18" s="1">
        <v>11</v>
      </c>
      <c r="B18" s="1" t="s">
        <v>48</v>
      </c>
      <c r="C18" s="1" t="s">
        <v>49</v>
      </c>
      <c r="D18" s="1" t="str">
        <f t="shared" si="0"/>
        <v>A pump designed to lift water or other fluid to the surface from a borehole.  Various designs exist, including electric submersible, helical coil, jet.  Include pump jacks and windmills that are specific to pumping fluid from boreholes, as well as pumps design to be placed inside the borehole</v>
      </c>
      <c r="E18" s="1" t="s">
        <v>50</v>
      </c>
      <c r="G18" s="1" t="s">
        <v>12</v>
      </c>
    </row>
    <row r="19" spans="1:7" ht="105" x14ac:dyDescent="0.25">
      <c r="A19" s="1">
        <v>10</v>
      </c>
      <c r="B19" s="1" t="s">
        <v>45</v>
      </c>
      <c r="C19" s="1" t="s">
        <v>46</v>
      </c>
      <c r="D19" s="1" t="str">
        <f t="shared" si="0"/>
        <v>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v>
      </c>
      <c r="E19" s="1" t="s">
        <v>47</v>
      </c>
      <c r="G19" s="1" t="s">
        <v>12</v>
      </c>
    </row>
    <row r="20" spans="1:7" ht="60" x14ac:dyDescent="0.25">
      <c r="A20" s="1">
        <v>12</v>
      </c>
      <c r="B20" s="1" t="s">
        <v>53</v>
      </c>
      <c r="C20" s="1" t="s">
        <v>54</v>
      </c>
      <c r="D20" s="1" t="str">
        <f t="shared" si="0"/>
        <v>A method to derive the oxygen consumption rate/respiration rates of organic matter conducted in a bottle or vial  under controlled light and temperature conditions.</v>
      </c>
      <c r="E20" s="1" t="s">
        <v>55</v>
      </c>
      <c r="G20" s="1" t="s">
        <v>12</v>
      </c>
    </row>
    <row r="21" spans="1:7" ht="60" x14ac:dyDescent="0.25">
      <c r="A21" s="1">
        <v>13</v>
      </c>
      <c r="B21" s="1" t="s">
        <v>58</v>
      </c>
      <c r="C21" s="1" t="s">
        <v>59</v>
      </c>
      <c r="D21" s="1" t="str">
        <f t="shared" si="0"/>
        <v>A method to derive the oxygen consumption rate/respiration rates of organic matter conducted in a bottle or vial  under controlled light and temperature conditions.</v>
      </c>
      <c r="E21" s="1" t="s">
        <v>55</v>
      </c>
      <c r="G21" s="1" t="s">
        <v>12</v>
      </c>
    </row>
    <row r="22" spans="1:7" ht="60" x14ac:dyDescent="0.25">
      <c r="A22" s="1">
        <v>14</v>
      </c>
      <c r="B22" s="1" t="s">
        <v>60</v>
      </c>
      <c r="C22" s="1" t="s">
        <v>61</v>
      </c>
      <c r="D22" s="1" t="str">
        <f t="shared" si="0"/>
        <v>A method to derive the oxygen consumption rate/respiration rates of organic matter conducted in a bottle or vial  under controlled light and temperature conditions.</v>
      </c>
      <c r="E22" s="1" t="s">
        <v>55</v>
      </c>
      <c r="G22" s="1" t="s">
        <v>12</v>
      </c>
    </row>
    <row r="23" spans="1:7" ht="150" x14ac:dyDescent="0.25">
      <c r="A23" s="1">
        <v>124</v>
      </c>
      <c r="B23" s="1" t="s">
        <v>443</v>
      </c>
      <c r="C23" s="1" t="s">
        <v>568</v>
      </c>
      <c r="D23" s="1" t="str">
        <f t="shared" si="0"/>
        <v>A method that obtains a large volume or large surface area core with shallow penetration and minimum disturbance. Commonly uses a double spade system.  A box core uses trigger plates that contact the seafloor to close the top and bottom of a metal box plunged into the seabed. This device neatly extracts a plug of sediment that is mostly undisturbed and allows scientists to examine the layers of sediment carefully and any marine life found within.  Use this category for Eckman Dredge samples as well</v>
      </c>
      <c r="E23" s="1" t="s">
        <v>445</v>
      </c>
      <c r="G23" s="1" t="s">
        <v>536</v>
      </c>
    </row>
    <row r="24" spans="1:7" ht="45" x14ac:dyDescent="0.25">
      <c r="A24" s="1">
        <v>16</v>
      </c>
      <c r="B24" s="1" t="s">
        <v>67</v>
      </c>
      <c r="C24" s="1" t="s">
        <v>68</v>
      </c>
      <c r="D24" s="1" t="str">
        <f t="shared" si="0"/>
        <v>A percussion drilling method that uses a heavy drilling tool that is raised and lowered with enough force to pulverise the rock, with the debris removed by a bailer.</v>
      </c>
      <c r="E24" s="1" t="s">
        <v>69</v>
      </c>
      <c r="G24" s="1" t="s">
        <v>72</v>
      </c>
    </row>
    <row r="25" spans="1:7" ht="225" x14ac:dyDescent="0.25">
      <c r="A25" s="1">
        <v>69</v>
      </c>
      <c r="B25" s="1" t="s">
        <v>261</v>
      </c>
      <c r="C25" s="1" t="s">
        <v>262</v>
      </c>
      <c r="D25" s="1" t="str">
        <f t="shared" si="0"/>
        <v>utilizes a pulley arrangement to gain extra purchase to activate a pair of jaws.  Shepard (1973) reports that  large Petersen grabs have been known to bring back undisturbed samples that still retain stratification characteristics.  However, Schlieper (1972) points out  that the tensile closing action from the attached hydrowire creates a secondary lifting force at the central axis that the two jaws pivot around, resulting in a shallower bite (5 centimeters (cm) or less), especially in firmer sediments. photo shows large jaw pincers, bigger that other grab samplers, dated 1963, so it is likely old technology no longer in use.. photo shows large jaw pincers, bigger that other grab samplers, dated 1963, so it is likely old technology no longer in use.   _Campbell_ grab is a large version of a Petersen grab.  https://woodshole.er.usgs.gov/openfile/of2005-1001/htmldocs/samplers/grab/campbell.htm</v>
      </c>
      <c r="E25" s="1" t="s">
        <v>263</v>
      </c>
      <c r="F25" s="1" t="s">
        <v>555</v>
      </c>
      <c r="G25" s="1" t="s">
        <v>265</v>
      </c>
    </row>
    <row r="26" spans="1:7" x14ac:dyDescent="0.25">
      <c r="A26" s="1">
        <v>70</v>
      </c>
      <c r="B26" s="1" t="s">
        <v>266</v>
      </c>
      <c r="C26" s="1" t="s">
        <v>267</v>
      </c>
      <c r="D26" s="1" t="str">
        <f t="shared" si="0"/>
        <v>liquid that has been passed through a cartridge filter</v>
      </c>
      <c r="E26" s="1" t="s">
        <v>268</v>
      </c>
    </row>
    <row r="27" spans="1:7" ht="30" x14ac:dyDescent="0.25">
      <c r="A27" s="1">
        <v>71</v>
      </c>
      <c r="B27" s="1" t="s">
        <v>271</v>
      </c>
      <c r="C27" s="1" t="s">
        <v>272</v>
      </c>
      <c r="D27" s="1" t="str">
        <f t="shared" si="0"/>
        <v>material left behind when liquid passed throught cartridge filter</v>
      </c>
      <c r="E27" s="1" t="s">
        <v>273</v>
      </c>
      <c r="G27" s="1" t="s">
        <v>66</v>
      </c>
    </row>
    <row r="28" spans="1:7" ht="165" x14ac:dyDescent="0.25">
      <c r="A28" s="1">
        <v>104</v>
      </c>
      <c r="B28" s="1" t="s">
        <v>381</v>
      </c>
      <c r="C28" s="1" t="s">
        <v>382</v>
      </c>
      <c r="D28" s="1" t="str">
        <f t="shared" si="0"/>
        <v>Sampling of large rocks from the sea floor using a chain bag. A rock dredge is a large bag made of metal chain links attached to a simple heavy frame that keeps the bag expanded. The dredge is lowered off the back of a ship to the seafloor and dragged along to collect large pieces of rock. Because of the coarse chain links  most of the finer material is washed out of the bag  leaving behind the larger rock and gravel pieces within the chain bag. The dredge is then winched up to the surface and any samples are dumped onto the deck of the ship to be sorted and preserved.</v>
      </c>
      <c r="E28" s="1" t="s">
        <v>531</v>
      </c>
      <c r="G28" s="1" t="s">
        <v>532</v>
      </c>
    </row>
    <row r="29" spans="1:7" ht="30" x14ac:dyDescent="0.25">
      <c r="A29" s="1">
        <v>72</v>
      </c>
      <c r="B29" s="1" t="s">
        <v>274</v>
      </c>
      <c r="C29" s="1" t="s">
        <v>275</v>
      </c>
      <c r="D29" s="1" t="str">
        <f t="shared" si="0"/>
        <v>Sample extracted from feature of interest by cutting with a chain saw.</v>
      </c>
      <c r="E29" s="1" t="s">
        <v>276</v>
      </c>
      <c r="G29" s="1" t="s">
        <v>277</v>
      </c>
    </row>
    <row r="30" spans="1:7" ht="45" x14ac:dyDescent="0.25">
      <c r="A30" s="1">
        <v>17</v>
      </c>
      <c r="B30" s="1" t="s">
        <v>73</v>
      </c>
      <c r="C30" s="1" t="s">
        <v>74</v>
      </c>
      <c r="D30" s="1" t="str">
        <f t="shared" si="0"/>
        <v>A method that isolates sediment and overlying water in a benthic chamber. Water samples are collected from the benthic chamber during the incubation.</v>
      </c>
      <c r="E30" s="1" t="s">
        <v>75</v>
      </c>
      <c r="G30" s="1" t="s">
        <v>12</v>
      </c>
    </row>
    <row r="31" spans="1:7" ht="105" x14ac:dyDescent="0.25">
      <c r="A31" s="1">
        <v>18</v>
      </c>
      <c r="B31" s="1" t="s">
        <v>76</v>
      </c>
      <c r="C31" s="1" t="s">
        <v>77</v>
      </c>
      <c r="D31" s="1" t="str">
        <f t="shared" si="0"/>
        <v>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v>
      </c>
      <c r="E31" s="1" t="s">
        <v>78</v>
      </c>
      <c r="G31" s="1" t="s">
        <v>12</v>
      </c>
    </row>
    <row r="32" spans="1:7" ht="90" x14ac:dyDescent="0.25">
      <c r="A32" s="1">
        <v>19</v>
      </c>
      <c r="B32" s="1" t="s">
        <v>79</v>
      </c>
      <c r="C32" s="1" t="s">
        <v>80</v>
      </c>
      <c r="D32" s="1" t="str">
        <f t="shared" si="0"/>
        <v>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v>
      </c>
      <c r="E32" s="1" t="s">
        <v>81</v>
      </c>
      <c r="G32" s="1" t="s">
        <v>12</v>
      </c>
    </row>
    <row r="33" spans="1:7" ht="210" x14ac:dyDescent="0.25">
      <c r="A33" s="1">
        <v>114</v>
      </c>
      <c r="B33" s="1" t="s">
        <v>410</v>
      </c>
      <c r="C33" s="1" t="s">
        <v>411</v>
      </c>
      <c r="D33" s="1" t="str">
        <f t="shared" si="0"/>
        <v>sampling material along a channel through a feature of interest.. chip an approximately 3-inch by 3-inch (7.5 cm by 7.5 cm) channel accross the sampled feature (e.g. a coal bed) with a chisel or pick-point hammer  producing  fragments 2 inches (5 cm) or less across. Positioning a horizontal plastic sheet below the level of channel cutting is sometimes helpful.  May also be applied to sampling at regular intervals along a channel or trench cut across a surface.</v>
      </c>
      <c r="E33" s="1" t="s">
        <v>412</v>
      </c>
      <c r="F33" s="1" t="s">
        <v>413</v>
      </c>
      <c r="G33" s="1" t="s">
        <v>561</v>
      </c>
    </row>
    <row r="34" spans="1:7" ht="30" x14ac:dyDescent="0.25">
      <c r="A34" s="1">
        <v>20</v>
      </c>
      <c r="B34" s="1" t="s">
        <v>82</v>
      </c>
      <c r="C34" s="1" t="s">
        <v>83</v>
      </c>
      <c r="D34" s="1" t="str">
        <f t="shared" ref="D34:D65" si="1">E34&amp;IF(ISBLANK(F34),"",". "&amp;F34)</f>
        <v>sample collection by chemical processing of a sampled material</v>
      </c>
      <c r="E34" s="1" t="s">
        <v>84</v>
      </c>
      <c r="G34" s="1" t="s">
        <v>66</v>
      </c>
    </row>
    <row r="35" spans="1:7" ht="30" x14ac:dyDescent="0.25">
      <c r="A35" s="1">
        <v>73</v>
      </c>
      <c r="B35" s="1" t="s">
        <v>278</v>
      </c>
      <c r="C35" s="1" t="s">
        <v>279</v>
      </c>
      <c r="D35" s="1" t="str">
        <f t="shared" si="1"/>
        <v>sampling over an area of a feature off interest by breaking off small pieces; produces an aggregate</v>
      </c>
      <c r="E35" s="1" t="s">
        <v>280</v>
      </c>
    </row>
    <row r="36" spans="1:7" ht="30" x14ac:dyDescent="0.25">
      <c r="A36" s="1">
        <v>115</v>
      </c>
      <c r="B36" s="1" t="s">
        <v>281</v>
      </c>
      <c r="C36" s="1" t="s">
        <v>282</v>
      </c>
      <c r="D36" s="1" t="str">
        <f t="shared" si="1"/>
        <v>specimen obtained by breaking piece(s) of rock from rock outcrop  on surface  or in a subsurface tunnel</v>
      </c>
      <c r="E36" s="1" t="s">
        <v>415</v>
      </c>
      <c r="G36" s="1" t="s">
        <v>66</v>
      </c>
    </row>
    <row r="37" spans="1:7" ht="105" x14ac:dyDescent="0.25">
      <c r="A37" s="1">
        <v>108</v>
      </c>
      <c r="B37" s="1" t="s">
        <v>371</v>
      </c>
      <c r="C37" s="1" t="s">
        <v>372</v>
      </c>
      <c r="D37" s="1" t="str">
        <f t="shared" si="1"/>
        <v>water sample collected through some documented process over an extended water volume  meant to characterize that volume  e.g. a profile in a lake  a stream cross section  or some volume in the ocean. Many different processes may be used to collect subsamples and aggregate them into a representative single sample.</v>
      </c>
      <c r="E37" s="1" t="s">
        <v>400</v>
      </c>
      <c r="G37" s="1" t="s">
        <v>373</v>
      </c>
    </row>
    <row r="38" spans="1:7" ht="60" x14ac:dyDescent="0.25">
      <c r="A38" s="1">
        <v>102</v>
      </c>
      <c r="B38" s="1" t="s">
        <v>377</v>
      </c>
      <c r="C38" s="1" t="s">
        <v>564</v>
      </c>
      <c r="D38" s="1" t="str">
        <f t="shared" si="1"/>
        <v>composite filtered water sample  preserved with reagent (e.g. nitric acid  sulfuric acid) as part of sampling process</v>
      </c>
      <c r="E38" s="1" t="s">
        <v>379</v>
      </c>
      <c r="G38" s="1" t="s">
        <v>373</v>
      </c>
    </row>
    <row r="39" spans="1:7" ht="60" x14ac:dyDescent="0.25">
      <c r="A39" s="1">
        <v>100</v>
      </c>
      <c r="B39" s="1" t="s">
        <v>368</v>
      </c>
      <c r="C39" s="1" t="s">
        <v>565</v>
      </c>
      <c r="D39" s="1" t="str">
        <f t="shared" si="1"/>
        <v>composite water sample  preserved with reagent (e.g. nitric acid  sulfuric acid) as part of sampling process</v>
      </c>
      <c r="E39" s="1" t="s">
        <v>370</v>
      </c>
      <c r="G39" s="1" t="s">
        <v>373</v>
      </c>
    </row>
    <row r="40" spans="1:7" ht="60" x14ac:dyDescent="0.25">
      <c r="A40" s="1">
        <v>101</v>
      </c>
      <c r="B40" s="1" t="s">
        <v>374</v>
      </c>
      <c r="C40" s="1" t="s">
        <v>375</v>
      </c>
      <c r="D40" s="1" t="str">
        <f t="shared" si="1"/>
        <v>composite water sample  filtered as part of the sampling process (in the field or within a very short time period after collection)</v>
      </c>
      <c r="E40" s="1" t="s">
        <v>376</v>
      </c>
      <c r="G40" s="1" t="s">
        <v>373</v>
      </c>
    </row>
    <row r="41" spans="1:7" ht="409.5" x14ac:dyDescent="0.25">
      <c r="A41" s="1">
        <v>15</v>
      </c>
      <c r="B41" s="1" t="s">
        <v>62</v>
      </c>
      <c r="C41" s="1" t="s">
        <v>63</v>
      </c>
      <c r="D41" s="1" t="str">
        <f t="shared" si="1"/>
        <v>Water is collected in a container that is opened to collect water at some specific depth in a water body. Includes Niskin bottles, bottles on Rosette samplers https://en.wikipedia.org/wiki/Rosette_sampler.  Also bottled samples collected by simple bailer or scoop from water surface. If water is filtered or preserved use the water sampling -filtere or -preserved categories.. include Hydrothermal Fluid and Particle Sampler (HFPS) collect fluids and particles,  Using a 25-port valve and two pumps, fluids are pumped through a titanium intake nozzle, through a Teflon hose and custom titanium and Teflon manifold with 24 ports. The sampler has a capacity of 18 water samples (700ml each) and 6 in-situ filters.        include _Titanium major water sampler_, another tool to sample high temperature water in submarine environment. Similar to a syringe, a trigger on the outside of the bottle can be pressed by the ROV pilot to release a spring that will draw fluid into the chamber. Approximately 750ml of fluid can be collected using the Major bottles. https://oceanexplorer.noaa.gov/explorations/05lostcity/logs/july28/july28.html</v>
      </c>
      <c r="E41" s="1" t="s">
        <v>64</v>
      </c>
      <c r="F41" s="1" t="s">
        <v>65</v>
      </c>
      <c r="G41" s="1" t="s">
        <v>66</v>
      </c>
    </row>
    <row r="42" spans="1:7" ht="90" x14ac:dyDescent="0.25">
      <c r="A42" s="1">
        <v>22</v>
      </c>
      <c r="B42" s="1" t="s">
        <v>92</v>
      </c>
      <c r="C42" s="1" t="s">
        <v>93</v>
      </c>
      <c r="D42" s="1" t="str">
        <f t="shared" si="1"/>
        <v>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v>
      </c>
      <c r="E42" s="1" t="s">
        <v>94</v>
      </c>
      <c r="G42" s="1" t="s">
        <v>12</v>
      </c>
    </row>
    <row r="43" spans="1:7" ht="45" x14ac:dyDescent="0.25">
      <c r="A43" s="1">
        <v>23</v>
      </c>
      <c r="B43" s="1" t="s">
        <v>95</v>
      </c>
      <c r="C43" s="1" t="s">
        <v>572</v>
      </c>
      <c r="D43" s="1" t="str">
        <f t="shared" si="1"/>
        <v>Core drilling using diamond or tungsten carbide bit using a core barrel with fibreglass inner sleeves. Used in the oil industry.</v>
      </c>
      <c r="E43" s="1" t="s">
        <v>97</v>
      </c>
      <c r="G43" s="1" t="s">
        <v>12</v>
      </c>
    </row>
    <row r="44" spans="1:7" ht="75" x14ac:dyDescent="0.25">
      <c r="A44" s="1">
        <v>24</v>
      </c>
      <c r="B44" s="1" t="s">
        <v>100</v>
      </c>
      <c r="C44" s="1" t="s">
        <v>101</v>
      </c>
      <c r="D44" s="1" t="str">
        <f t="shared" si="1"/>
        <v>A method by which a specimen of sediment is collected from the lowest part of a coring assembly at the core cutter. The core cutter has sharp edges which cut and shape the sediment entering the core liner as the corer goes into the sediment.</v>
      </c>
      <c r="E44" s="1" t="s">
        <v>102</v>
      </c>
      <c r="G44" s="1" t="s">
        <v>12</v>
      </c>
    </row>
    <row r="45" spans="1:7" ht="30" x14ac:dyDescent="0.25">
      <c r="A45" s="1">
        <v>26</v>
      </c>
      <c r="B45" s="1" t="s">
        <v>90</v>
      </c>
      <c r="C45" s="1" t="s">
        <v>91</v>
      </c>
      <c r="D45" s="1" t="str">
        <f t="shared" si="1"/>
        <v>Sampling of a core of earth material by an unspecified drilling method</v>
      </c>
      <c r="E45" s="1" t="s">
        <v>104</v>
      </c>
      <c r="G45" s="1" t="s">
        <v>526</v>
      </c>
    </row>
    <row r="46" spans="1:7" ht="60" x14ac:dyDescent="0.25">
      <c r="A46" s="1">
        <v>28</v>
      </c>
      <c r="B46" s="1" t="s">
        <v>115</v>
      </c>
      <c r="C46" s="1" t="s">
        <v>116</v>
      </c>
      <c r="D46" s="1" t="str">
        <f t="shared" si="1"/>
        <v>A method whereby a sediment core is collected along with overlying water. The sediment and water are incubated under no light and controlled temperature conditions.</v>
      </c>
      <c r="E46" s="1" t="s">
        <v>117</v>
      </c>
      <c r="G46" s="1" t="s">
        <v>12</v>
      </c>
    </row>
    <row r="47" spans="1:7" ht="60" x14ac:dyDescent="0.25">
      <c r="A47" s="1">
        <v>29</v>
      </c>
      <c r="B47" s="1" t="s">
        <v>118</v>
      </c>
      <c r="C47" s="1" t="s">
        <v>119</v>
      </c>
      <c r="D47" s="1" t="str">
        <f t="shared" si="1"/>
        <v>A method whereby a sediment core is collected along with overlying water. The sediment and water are incubated under controlled light and temperature conditions.</v>
      </c>
      <c r="E47" s="1" t="s">
        <v>120</v>
      </c>
      <c r="G47" s="1" t="s">
        <v>12</v>
      </c>
    </row>
    <row r="48" spans="1:7" ht="90" x14ac:dyDescent="0.25">
      <c r="A48" s="1">
        <v>30</v>
      </c>
      <c r="B48" s="1" t="s">
        <v>121</v>
      </c>
      <c r="C48" s="1" t="s">
        <v>122</v>
      </c>
      <c r="D48" s="1" t="str">
        <f t="shared" si="1"/>
        <v>The Mackereth is a complex coring system utilizing compressed gas to penetrate and recover single-drive moderate (up to 12 m) cores from lakes of diverse depths.  Mackereth cores can be deployed on virutally any small craft and and can be used in water depths up to 80 m.</v>
      </c>
      <c r="E48" s="1" t="s">
        <v>123</v>
      </c>
      <c r="G48" s="1" t="s">
        <v>12</v>
      </c>
    </row>
    <row r="49" spans="1:7" ht="165" x14ac:dyDescent="0.25">
      <c r="A49" s="1">
        <v>95</v>
      </c>
      <c r="B49" s="1" t="s">
        <v>350</v>
      </c>
      <c r="C49" s="1" t="s">
        <v>351</v>
      </c>
      <c r="D49" s="1" t="str">
        <f t="shared" si="1"/>
        <v>Core coated with wax or other sealant to preserve volatile content. A standard procedure for core preservation consists of wrapping the sample with plastic film and aluminum foil before dip coating it. For the purposes of this paper, the term ‘wax’ will be used to describe the meltable coating used to cover the wrapped core plug or whole core section.</v>
      </c>
      <c r="E49" s="1" t="s">
        <v>352</v>
      </c>
      <c r="F49" s="1" t="s">
        <v>353</v>
      </c>
      <c r="G49" s="1" t="s">
        <v>354</v>
      </c>
    </row>
    <row r="50" spans="1:7" ht="30" x14ac:dyDescent="0.25">
      <c r="A50" s="1">
        <v>31</v>
      </c>
      <c r="B50" s="1" t="s">
        <v>124</v>
      </c>
      <c r="C50" s="1" t="s">
        <v>125</v>
      </c>
      <c r="D50" s="1" t="str">
        <f t="shared" si="1"/>
        <v>Pore water is extracted from core material under pressure.</v>
      </c>
      <c r="E50" s="1" t="s">
        <v>126</v>
      </c>
      <c r="G50" s="1" t="s">
        <v>12</v>
      </c>
    </row>
    <row r="51" spans="1:7" ht="30" x14ac:dyDescent="0.25">
      <c r="A51" s="1">
        <v>35</v>
      </c>
      <c r="B51" s="1" t="s">
        <v>140</v>
      </c>
      <c r="C51" s="1" t="s">
        <v>141</v>
      </c>
      <c r="D51" s="1" t="str">
        <f t="shared" si="1"/>
        <v>A core of surficial material taken by driving a spike into the ground.</v>
      </c>
      <c r="E51" s="1" t="s">
        <v>142</v>
      </c>
      <c r="G51" s="1" t="s">
        <v>12</v>
      </c>
    </row>
    <row r="52" spans="1:7" ht="90" x14ac:dyDescent="0.25">
      <c r="A52" s="1">
        <v>140</v>
      </c>
      <c r="B52" s="1" t="s">
        <v>105</v>
      </c>
      <c r="C52" s="1" t="s">
        <v>106</v>
      </c>
      <c r="D52" s="1" t="str">
        <f t="shared" si="1"/>
        <v>Sample is removed from sampling feature by extracting an undisturbed provile  typically as a long cylinder  meant to preserve the internal structure of the sampled sediment or rock.  sample extracted as a cylinder of material drilled out of the feature of interest; diameter can range from mm to m, lengths mm to 100_s of m.</v>
      </c>
      <c r="E52" s="1" t="s">
        <v>493</v>
      </c>
      <c r="G52" s="1" t="s">
        <v>66</v>
      </c>
    </row>
    <row r="53" spans="1:7" ht="30" x14ac:dyDescent="0.25">
      <c r="A53" s="1">
        <v>33</v>
      </c>
      <c r="B53" s="1" t="s">
        <v>131</v>
      </c>
      <c r="C53" s="1" t="s">
        <v>132</v>
      </c>
      <c r="D53" s="1" t="str">
        <f t="shared" si="1"/>
        <v>A core produced by a drill mounted on a submersible vehicle, ROV, HOV.</v>
      </c>
      <c r="E53" s="1" t="s">
        <v>133</v>
      </c>
      <c r="G53" s="1" t="s">
        <v>12</v>
      </c>
    </row>
    <row r="54" spans="1:7" ht="30" x14ac:dyDescent="0.25">
      <c r="A54" s="1">
        <v>36</v>
      </c>
      <c r="B54" s="1" t="s">
        <v>143</v>
      </c>
      <c r="C54" s="1" t="s">
        <v>144</v>
      </c>
      <c r="D54" s="1" t="str">
        <f t="shared" si="1"/>
        <v>isolation of a component of an agregate based on particle density, e.g. heavy liquid</v>
      </c>
      <c r="E54" s="1" t="s">
        <v>145</v>
      </c>
      <c r="G54" s="1" t="s">
        <v>66</v>
      </c>
    </row>
    <row r="55" spans="1:7" ht="30" x14ac:dyDescent="0.25">
      <c r="A55" s="1">
        <v>25</v>
      </c>
      <c r="B55" s="1" t="s">
        <v>98</v>
      </c>
      <c r="C55" s="1" t="s">
        <v>99</v>
      </c>
      <c r="D55" s="1" t="str">
        <f t="shared" si="1"/>
        <v>Rock or sediment core drilling using a liquid-cooled, diamond or tungsten carbide bit.</v>
      </c>
      <c r="E55" s="1" t="s">
        <v>103</v>
      </c>
      <c r="G55" s="1" t="s">
        <v>12</v>
      </c>
    </row>
    <row r="56" spans="1:7" ht="75" x14ac:dyDescent="0.25">
      <c r="A56" s="1">
        <v>37</v>
      </c>
      <c r="B56" s="1" t="s">
        <v>146</v>
      </c>
      <c r="C56" s="1" t="s">
        <v>147</v>
      </c>
      <c r="D56" s="1" t="str">
        <f t="shared" si="1"/>
        <v>Used as a spot dredge to quickly ascertain sea bed geology. Samples give the seabed character unless it is deep when any mud is washed out during retrieval. In shallow water this dredge will return rock, mud, benthic samples and any thing else that is on the bottom.</v>
      </c>
      <c r="E56" s="1" t="s">
        <v>148</v>
      </c>
      <c r="G56" s="1" t="s">
        <v>12</v>
      </c>
    </row>
    <row r="57" spans="1:7" ht="45" x14ac:dyDescent="0.25">
      <c r="A57" s="1">
        <v>56</v>
      </c>
      <c r="B57" s="1" t="s">
        <v>218</v>
      </c>
      <c r="C57" s="1" t="s">
        <v>219</v>
      </c>
      <c r="D57" s="1" t="str">
        <f t="shared" si="1"/>
        <v>Sampling of small fragments and mud from the sea floor, using a metal pipe linked to the tow cable. Total weight of the dredge is around 25kg.</v>
      </c>
      <c r="E57" s="1" t="s">
        <v>220</v>
      </c>
      <c r="G57" s="1" t="s">
        <v>12</v>
      </c>
    </row>
    <row r="58" spans="1:7" ht="75" x14ac:dyDescent="0.25">
      <c r="A58" s="1">
        <v>132</v>
      </c>
      <c r="B58" s="1" t="s">
        <v>149</v>
      </c>
      <c r="C58" s="1" t="s">
        <v>150</v>
      </c>
      <c r="D58" s="1" t="str">
        <f t="shared" si="1"/>
        <v>samples _grabbed_ from submarine surface by dragging a basket with an enclosed bottom (solid or open-chain) along the bottom of the water body.. Used for sampling sediment material or rock from the bottom of a water body.  Use Trawl if focus is on pelagic or benthic biome.</v>
      </c>
      <c r="E58" s="1" t="s">
        <v>474</v>
      </c>
      <c r="F58" s="1" t="s">
        <v>475</v>
      </c>
      <c r="G58" s="1" t="s">
        <v>540</v>
      </c>
    </row>
    <row r="59" spans="1:7" x14ac:dyDescent="0.25">
      <c r="A59" s="1">
        <v>38</v>
      </c>
      <c r="B59" s="1" t="s">
        <v>26</v>
      </c>
      <c r="C59" s="1" t="s">
        <v>27</v>
      </c>
      <c r="D59" s="1" t="str">
        <f t="shared" si="1"/>
        <v>Sampling by a hole drilled into the Earth by any method</v>
      </c>
      <c r="E59" s="1" t="s">
        <v>151</v>
      </c>
      <c r="G59" s="1" t="s">
        <v>12</v>
      </c>
    </row>
    <row r="60" spans="1:7" ht="285" x14ac:dyDescent="0.25">
      <c r="A60" s="1">
        <v>109</v>
      </c>
      <c r="B60" s="1" t="s">
        <v>393</v>
      </c>
      <c r="C60" s="1" t="s">
        <v>394</v>
      </c>
      <c r="D60" s="1" t="str">
        <f t="shared" si="1"/>
        <v>A chemically inert and durable tube e.g. titanium quartz alumina or mullite) is inserted into the gas source, and allowed to thermally equilibrate with the gas; a specially prepared collection bottle with a high vacuum stopcock and sample port is attached to the collection tube.   The bottle is prepared with a concentrated aqueous sodium hydroxide solution, carefully weighed and evacuated with a vacuum pump. As gas bubbles through the alkaline solution, acid gases such as CO2 H2S SO2 HCl and HF dissolve into the liquid. The remaining gases such as N2 O2 H2 CO and He collect in the headspace of the bottle. Geothermal system gases are typically omposed mostly of water and condensable acid gases that are absorbed into the alkaline solution, so many liters of gas can be collected in a single bottle. This method concentrates gases in the solution and headspace and thereby promotes better analytical precision. Typically used for hot (volcanic geothermal) gas collection.</v>
      </c>
      <c r="E60" s="1" t="s">
        <v>401</v>
      </c>
      <c r="G60" s="1" t="s">
        <v>533</v>
      </c>
    </row>
    <row r="61" spans="1:7" ht="30" x14ac:dyDescent="0.25">
      <c r="A61" s="1">
        <v>40</v>
      </c>
      <c r="B61" s="1" t="s">
        <v>158</v>
      </c>
      <c r="C61" s="1" t="s">
        <v>159</v>
      </c>
      <c r="D61" s="1" t="str">
        <f t="shared" si="1"/>
        <v>A mapping survey undertaken in a land environment. May include observations and/or sampling.</v>
      </c>
      <c r="E61" s="1" t="s">
        <v>160</v>
      </c>
      <c r="G61" s="1" t="s">
        <v>12</v>
      </c>
    </row>
    <row r="62" spans="1:7" ht="45" x14ac:dyDescent="0.25">
      <c r="A62" s="1">
        <v>41</v>
      </c>
      <c r="B62" s="1" t="s">
        <v>161</v>
      </c>
      <c r="C62" s="1" t="s">
        <v>162</v>
      </c>
      <c r="D62" s="1" t="str">
        <f t="shared" si="1"/>
        <v>Sample of fine-grained solid material that is actively collected from the atmosphere by pumping and filtration.</v>
      </c>
      <c r="E62" s="1" t="s">
        <v>163</v>
      </c>
      <c r="G62" s="1" t="s">
        <v>12</v>
      </c>
    </row>
    <row r="63" spans="1:7" ht="90" x14ac:dyDescent="0.25">
      <c r="A63" s="1">
        <v>42</v>
      </c>
      <c r="B63" s="1" t="s">
        <v>164</v>
      </c>
      <c r="C63" s="1" t="s">
        <v>165</v>
      </c>
      <c r="D63" s="1" t="str">
        <f t="shared" si="1"/>
        <v>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v>
      </c>
      <c r="E63" s="1" t="s">
        <v>166</v>
      </c>
      <c r="G63" s="1" t="s">
        <v>12</v>
      </c>
    </row>
    <row r="64" spans="1:7" ht="225" x14ac:dyDescent="0.25">
      <c r="A64" s="1">
        <v>110</v>
      </c>
      <c r="B64" s="1" t="s">
        <v>398</v>
      </c>
      <c r="C64" s="1" t="s">
        <v>399</v>
      </c>
      <c r="D64" s="1" t="str">
        <f t="shared" si="1"/>
        <v>Insert a suitable chemically inert and durable tube (e.g. titanium  quartz  alumina  or mullite) into gas source. After allowing the tube to heat until condensation in the tube has reached equilibrium with the escaping gases  usually about 5 minutes  a specially-designed flow-through sample bottle with a stopcock at each end and a hand-operated pump is attached to the collection tubing.  The hand pump flushes out air and draws the gas into the bottle. This collection method is faster that the evacuated bottle method. It is used when a complete gas analysis is not necessary  or where field conditions are too hazardous to safely make an evacuated-bottle collection. Sulfur gases are stable for only a short time so this type of sample must be analyzed within a few hours of collection.</v>
      </c>
      <c r="E64" s="1" t="s">
        <v>405</v>
      </c>
      <c r="G64" s="1" t="s">
        <v>402</v>
      </c>
    </row>
    <row r="65" spans="1:7" ht="60" x14ac:dyDescent="0.25">
      <c r="A65" s="1">
        <v>141</v>
      </c>
      <c r="B65" s="1" t="s">
        <v>40</v>
      </c>
      <c r="C65" s="1" t="s">
        <v>41</v>
      </c>
      <c r="D65" s="1" t="str">
        <f t="shared" si="1"/>
        <v>General category for gas and water sampling procedures that obtain a specimen in a sealed container, or feed directly to analytical equipment (e.g. autosamplers).</v>
      </c>
      <c r="E65" s="1" t="s">
        <v>494</v>
      </c>
      <c r="G65" s="1" t="s">
        <v>66</v>
      </c>
    </row>
    <row r="66" spans="1:7" ht="90" x14ac:dyDescent="0.25">
      <c r="A66" s="1">
        <v>43</v>
      </c>
      <c r="B66" s="1" t="s">
        <v>167</v>
      </c>
      <c r="C66" s="1" t="s">
        <v>168</v>
      </c>
      <c r="D66" s="1" t="str">
        <f t="shared" ref="D66:D97" si="2">E66&amp;IF(ISBLANK(F66),"",". "&amp;F66)</f>
        <v>collection of core with a tube that has an assembly with weights and fins, allowed to drop through the water column and penetrate water bottom sediment.. see https://www.kc-denmark.dk/products/sediment-samplers/free-fall-corer.aspx.  This device used in sandy sediment, core tube lengths to 2 m long</v>
      </c>
      <c r="E66" s="1" t="s">
        <v>169</v>
      </c>
      <c r="F66" s="1" t="s">
        <v>170</v>
      </c>
      <c r="G66" s="1" t="s">
        <v>171</v>
      </c>
    </row>
    <row r="67" spans="1:7" ht="60" x14ac:dyDescent="0.25">
      <c r="A67" s="1">
        <v>111</v>
      </c>
      <c r="B67" s="1" t="s">
        <v>296</v>
      </c>
      <c r="C67" s="1" t="s">
        <v>297</v>
      </c>
      <c r="D67" s="1" t="str">
        <f t="shared" si="2"/>
        <v>general class for gas sampling methods. include Headspace equilibration method; https://doi.org/10.1016/j.jenvman.2012.06.033</v>
      </c>
      <c r="E67" s="1" t="s">
        <v>406</v>
      </c>
      <c r="F67" s="1" t="s">
        <v>407</v>
      </c>
      <c r="G67" s="1" t="s">
        <v>66</v>
      </c>
    </row>
    <row r="68" spans="1:7" ht="60" x14ac:dyDescent="0.25">
      <c r="A68" s="1">
        <v>76</v>
      </c>
      <c r="B68" s="1" t="s">
        <v>293</v>
      </c>
      <c r="C68" s="1" t="s">
        <v>294</v>
      </c>
      <c r="D68" s="1" t="str">
        <f t="shared" si="2"/>
        <v>Gas collection in a collection bottle that is sealed well enough to maintain the pressure of the original sample fluid; used to sample gasses from deep sea sources.  Described technique uses flow-through gas sampling.</v>
      </c>
      <c r="E68" s="1" t="s">
        <v>295</v>
      </c>
      <c r="G68" s="1" t="s">
        <v>298</v>
      </c>
    </row>
    <row r="69" spans="1:7" ht="105" x14ac:dyDescent="0.25">
      <c r="A69" s="1">
        <v>27</v>
      </c>
      <c r="B69" s="1" t="s">
        <v>108</v>
      </c>
      <c r="C69" s="1" t="s">
        <v>109</v>
      </c>
      <c r="D69" s="1" t="str">
        <f t="shared" si="2"/>
        <v>High quality core extracted by hydraulic power. Used in rough terrain, soft sand, mud, shallow water, or tight, congested areas. Long high quality cores.. [Ed. note] Geoprobe is a company that makes a variety of drilling and coring equipment; just saying _Geoprobe_ isn_t obviously communicating what drilling technology is intended.</v>
      </c>
      <c r="E69" s="1" t="s">
        <v>110</v>
      </c>
      <c r="F69" s="1" t="s">
        <v>556</v>
      </c>
      <c r="G69" s="2" t="s">
        <v>527</v>
      </c>
    </row>
    <row r="70" spans="1:7" ht="180" x14ac:dyDescent="0.25">
      <c r="A70" s="1">
        <v>77</v>
      </c>
      <c r="B70" s="1" t="s">
        <v>299</v>
      </c>
      <c r="C70" s="1" t="s">
        <v>300</v>
      </c>
      <c r="D70" s="1" t="str">
        <f t="shared" si="2"/>
        <v>Ghostbuster appears to be a device for in situ chemical measurements in a high temperature/pressure environment (e.g. sea floor black smoker), designed by Kang Ding/Bill Seyfried of UMN.  The information found on the web doesn_t indicate it returns material samples, just measurements. (https://www.marine-geo.org/services/vocab/vocab_device_type).  https://gfd.whoi.edu/wp-content/uploads/sites/66/2023/08/at11-7-cruise_report.pdf. https://www.unols.org/sites/default/files/CA_InstrumentationManipulators.pdf</v>
      </c>
      <c r="E70" s="1" t="s">
        <v>557</v>
      </c>
    </row>
    <row r="71" spans="1:7" ht="45" x14ac:dyDescent="0.25">
      <c r="A71" s="1">
        <v>44</v>
      </c>
      <c r="B71" s="1" t="s">
        <v>172</v>
      </c>
      <c r="C71" s="1" t="s">
        <v>173</v>
      </c>
      <c r="D71" s="1" t="str">
        <f t="shared" si="2"/>
        <v>The Eckman Bottom Grab sampler is designed for sampling in soft bottomed lakes and rivers composed of muck, mud or fine peat</v>
      </c>
      <c r="E71" s="1" t="s">
        <v>174</v>
      </c>
      <c r="G71" s="1" t="s">
        <v>12</v>
      </c>
    </row>
    <row r="72" spans="1:7" ht="60" x14ac:dyDescent="0.25">
      <c r="A72" s="1">
        <v>133</v>
      </c>
      <c r="B72" s="1" t="s">
        <v>476</v>
      </c>
      <c r="C72" s="1" t="s">
        <v>477</v>
      </c>
      <c r="D72" s="1" t="str">
        <f t="shared" si="2"/>
        <v>loose sediment collected into bag from the wall of a trench, stream bank  or pit--any vertical cut that provides access to a near surface soil and sediment profile; common for sampling soil horizons.</v>
      </c>
      <c r="E72" s="1" t="s">
        <v>478</v>
      </c>
      <c r="G72" s="1" t="s">
        <v>66</v>
      </c>
    </row>
    <row r="73" spans="1:7" ht="270" x14ac:dyDescent="0.25">
      <c r="A73" s="1">
        <v>45</v>
      </c>
      <c r="B73" s="1" t="s">
        <v>177</v>
      </c>
      <c r="C73" s="1" t="s">
        <v>178</v>
      </c>
      <c r="D73" s="1" t="str">
        <f t="shared" si="2"/>
        <v>When the grab touches the bottom, inertia from a self-contained weight releases a catch and helical springs rotate the inner half cylinder by 180°. After turning, the scoop remains closed by the residual torque of the scoop spring. Because the rotation of the bucket is extremely rapid, it cuts the sediment cleanly, particularly in soft clays, muds, silts &amp; sands.  After closing, the sample has optimum protection from washout during retrieval by the cylindrical design. https://www.wildco.com/how-does-the-shipek-grab-operate/, https://www.feritech.com/products/geotechnical/sea-floor-grabs/shipek-grab/. centre-pivot sampler is designed to sample unconsolidated sediments from soft ooze to hard-packed silts from deep lakes and near offshore. It brings up virtually undisturbed, unwashed samples to the surface from any depth. Its speciality is sampling benthic organisms living at or immediately below the water/bottom interface and sediment containing a significant population of non-sessile forms. https://envcoglobal.com/catalog/water/shipek-grab/</v>
      </c>
      <c r="E73" s="1" t="s">
        <v>179</v>
      </c>
      <c r="F73" s="1" t="s">
        <v>180</v>
      </c>
      <c r="G73" s="1" t="s">
        <v>12</v>
      </c>
    </row>
    <row r="74" spans="1:7" ht="45" x14ac:dyDescent="0.25">
      <c r="A74" s="1">
        <v>48</v>
      </c>
      <c r="B74" s="1" t="s">
        <v>192</v>
      </c>
      <c r="C74" s="1" t="s">
        <v>193</v>
      </c>
      <c r="D74" s="1" t="str">
        <f t="shared" si="2"/>
        <v>Separation of various size fractions of mineral or rock particles from the original specimen. For example, by using a seive or particle settling.</v>
      </c>
      <c r="E74" s="1" t="s">
        <v>194</v>
      </c>
      <c r="G74" s="1" t="s">
        <v>12</v>
      </c>
    </row>
    <row r="75" spans="1:7" ht="210" x14ac:dyDescent="0.25">
      <c r="A75" s="1">
        <v>125</v>
      </c>
      <c r="B75" s="1" t="s">
        <v>447</v>
      </c>
      <c r="C75" s="1" t="s">
        <v>569</v>
      </c>
      <c r="D75" s="1" t="str">
        <f t="shared" si="2"/>
        <v>Coring that relies on the weight of the device for penetration into the seafloor. Geoscience Australia_s gravity corer consists of a one tonne weight atop a steel core barrel which houses an internal PVC core sleeve. The unit is lowered to a predetermined height above the seafloor using a wire rope before being allowed to freefall. The resulting core enters the internal sleeve and is held in place by a core catcher. The wire rope is then reeled in and the inner sleeve is removed from the core barrel and the core is processed. Gravity cores up to 12 metres in length can be collected with some systems but in practice recoveries are typically less than six metres. The gravity corer is designed for use in areas of soft, unconsolidated sediment.</v>
      </c>
      <c r="E75" s="1" t="s">
        <v>558</v>
      </c>
      <c r="G75" s="1" t="s">
        <v>537</v>
      </c>
    </row>
    <row r="76" spans="1:7" x14ac:dyDescent="0.25">
      <c r="A76" s="1">
        <v>78</v>
      </c>
      <c r="B76" s="1" t="s">
        <v>302</v>
      </c>
      <c r="C76" s="1" t="s">
        <v>303</v>
      </c>
      <c r="D76" s="1" t="str">
        <f t="shared" si="2"/>
        <v/>
      </c>
    </row>
    <row r="77" spans="1:7" x14ac:dyDescent="0.25">
      <c r="A77" s="1">
        <v>79</v>
      </c>
      <c r="B77" s="1" t="s">
        <v>304</v>
      </c>
      <c r="C77" s="1" t="s">
        <v>305</v>
      </c>
      <c r="D77" s="1" t="str">
        <f t="shared" si="2"/>
        <v/>
      </c>
    </row>
    <row r="78" spans="1:7" ht="75" x14ac:dyDescent="0.25">
      <c r="A78" s="1">
        <v>105</v>
      </c>
      <c r="B78" s="1" t="s">
        <v>386</v>
      </c>
      <c r="C78" s="1" t="s">
        <v>387</v>
      </c>
      <c r="D78" s="1" t="str">
        <f t="shared" si="2"/>
        <v>core extracted from sediment or soil by a hand rotated tool with a special bit that extracts short segments of cored sediment; many variations in design.</v>
      </c>
      <c r="E78" s="1" t="s">
        <v>388</v>
      </c>
      <c r="G78" s="1" t="s">
        <v>389</v>
      </c>
    </row>
    <row r="79" spans="1:7" ht="60" x14ac:dyDescent="0.25">
      <c r="A79" s="1">
        <v>126</v>
      </c>
      <c r="B79" s="1" t="s">
        <v>451</v>
      </c>
      <c r="C79" s="1" t="s">
        <v>550</v>
      </c>
      <c r="D79" s="1" t="str">
        <f t="shared" si="2"/>
        <v>Collects core by operator pushing the core tube into the sediment to be sampled; may be assisted by vibration induced in the core tube.  Like push core, but manually operated.</v>
      </c>
      <c r="E79" s="1" t="s">
        <v>453</v>
      </c>
      <c r="G79" s="1" t="s">
        <v>107</v>
      </c>
    </row>
    <row r="80" spans="1:7" ht="30" x14ac:dyDescent="0.25">
      <c r="A80" s="1">
        <v>80</v>
      </c>
      <c r="B80" s="1" t="s">
        <v>306</v>
      </c>
      <c r="C80" s="1" t="s">
        <v>307</v>
      </c>
      <c r="D80" s="1" t="str">
        <f t="shared" si="2"/>
        <v>Sample collected by picking up some loose material from subaerial solid earth boundary surface</v>
      </c>
      <c r="E80" s="1" t="s">
        <v>308</v>
      </c>
    </row>
    <row r="81" spans="1:7" ht="60" x14ac:dyDescent="0.25">
      <c r="A81" s="1">
        <v>106</v>
      </c>
      <c r="B81" s="1" t="s">
        <v>390</v>
      </c>
      <c r="C81" s="1" t="s">
        <v>562</v>
      </c>
      <c r="D81" s="1" t="str">
        <f t="shared" si="2"/>
        <v>Gas is collected from a bubbling subaqueous gas source by inverting a suitable size and composition funnel over the gas source connected by a tube to an evacuated bottle gas collector.</v>
      </c>
      <c r="E81" s="1" t="s">
        <v>392</v>
      </c>
    </row>
    <row r="82" spans="1:7" ht="60" x14ac:dyDescent="0.25">
      <c r="A82" s="1">
        <v>107</v>
      </c>
      <c r="B82" s="1" t="s">
        <v>395</v>
      </c>
      <c r="C82" s="1" t="s">
        <v>563</v>
      </c>
      <c r="D82" s="1" t="str">
        <f t="shared" si="2"/>
        <v>Gas is collected from a bubbling subaqueous gas source by inverting a suitable size and composition funnel over the gas source  connected by a tube to a  flow through bottle gas collector.</v>
      </c>
      <c r="E82" s="1" t="s">
        <v>397</v>
      </c>
    </row>
    <row r="83" spans="1:7" ht="300" x14ac:dyDescent="0.25">
      <c r="A83" s="1">
        <v>82</v>
      </c>
      <c r="B83" s="1" t="s">
        <v>313</v>
      </c>
      <c r="C83" s="1" t="s">
        <v>549</v>
      </c>
      <c r="D83" s="1" t="str">
        <f t="shared" si="2"/>
        <v>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 A slight variation on the gravity corer is the Kasten corer. This uses a similar set up, but uses a sample tube manufactured from sheet metal of square cross section with sides approximately 150mm. No liner is used. A cutter section fitted to the end of the sample tube has two spring-loaded flaps that close when the corer is withdrawn from the sediment. The sample tube is designed to be split to gain access to the sample. https://noc.ac.uk/facilities/national-marine-equipment-pool/scientific-engineering/seafloor-sampling</v>
      </c>
      <c r="E83" s="1" t="s">
        <v>315</v>
      </c>
      <c r="F83" s="1" t="s">
        <v>316</v>
      </c>
      <c r="G83" s="1" t="s">
        <v>12</v>
      </c>
    </row>
    <row r="84" spans="1:7" ht="60" x14ac:dyDescent="0.25">
      <c r="A84" s="1">
        <v>139</v>
      </c>
      <c r="B84" s="1" t="s">
        <v>490</v>
      </c>
      <c r="C84" s="1" t="s">
        <v>491</v>
      </c>
      <c r="D84" s="1" t="str">
        <f t="shared" si="2"/>
        <v>Sample collected by sweeping up surface lag material over some area and bagging it.  Generally only used in arid or semi-arid environments where surface lag is representative in some way of underlying bedrock.</v>
      </c>
      <c r="E84" s="1" t="s">
        <v>492</v>
      </c>
      <c r="G84" s="1" t="s">
        <v>66</v>
      </c>
    </row>
    <row r="85" spans="1:7" ht="30" x14ac:dyDescent="0.25">
      <c r="A85" s="1">
        <v>50</v>
      </c>
      <c r="B85" s="1" t="s">
        <v>198</v>
      </c>
      <c r="C85" s="1" t="s">
        <v>199</v>
      </c>
      <c r="D85" s="1" t="str">
        <f t="shared" si="2"/>
        <v>Separation of natural gas from a liquid phase at a surface separator to generate samples of both phases.</v>
      </c>
      <c r="E85" s="1" t="s">
        <v>200</v>
      </c>
      <c r="G85" s="1" t="s">
        <v>12</v>
      </c>
    </row>
    <row r="86" spans="1:7" ht="75" x14ac:dyDescent="0.25">
      <c r="A86" s="1">
        <v>51</v>
      </c>
      <c r="B86" s="1" t="s">
        <v>201</v>
      </c>
      <c r="C86" s="1" t="s">
        <v>202</v>
      </c>
      <c r="D86" s="1" t="str">
        <f t="shared" si="2"/>
        <v xml:space="preserve">A lysimeter is a container used to measure water movement in soil and the quality of water. They are used in hydrology and water quality research to study the natural environment and understand how water moves through soil.   </v>
      </c>
      <c r="E86" s="1" t="s">
        <v>203</v>
      </c>
      <c r="G86" s="1" t="s">
        <v>204</v>
      </c>
    </row>
    <row r="87" spans="1:7" ht="30" x14ac:dyDescent="0.25">
      <c r="A87" s="1">
        <v>134</v>
      </c>
      <c r="B87" s="1" t="s">
        <v>309</v>
      </c>
      <c r="C87" s="1" t="s">
        <v>310</v>
      </c>
      <c r="D87" s="1" t="str">
        <f t="shared" si="2"/>
        <v>Material sample is obtained by picking up an object by hand</v>
      </c>
      <c r="E87" s="1" t="s">
        <v>479</v>
      </c>
      <c r="G87" s="1" t="s">
        <v>107</v>
      </c>
    </row>
    <row r="88" spans="1:7" ht="30" x14ac:dyDescent="0.25">
      <c r="A88" s="1">
        <v>116</v>
      </c>
      <c r="B88" s="1" t="s">
        <v>416</v>
      </c>
      <c r="C88" s="1" t="s">
        <v>417</v>
      </c>
      <c r="D88" s="1" t="str">
        <f t="shared" si="2"/>
        <v>Specimen obtained from loose material on surface  e.g. from talus, colluvium, mine heap.</v>
      </c>
      <c r="E88" s="1" t="s">
        <v>418</v>
      </c>
      <c r="G88" s="1" t="s">
        <v>66</v>
      </c>
    </row>
    <row r="89" spans="1:7" x14ac:dyDescent="0.25">
      <c r="A89" s="1">
        <v>83</v>
      </c>
      <c r="B89" s="1" t="s">
        <v>317</v>
      </c>
      <c r="C89" s="1" t="s">
        <v>318</v>
      </c>
      <c r="D89" s="1" t="str">
        <f t="shared" si="2"/>
        <v>under water or atmosphere</v>
      </c>
      <c r="E89" s="1" t="s">
        <v>319</v>
      </c>
    </row>
    <row r="90" spans="1:7" x14ac:dyDescent="0.25">
      <c r="A90" s="1">
        <v>84</v>
      </c>
      <c r="B90" s="1" t="s">
        <v>320</v>
      </c>
      <c r="C90" s="1" t="s">
        <v>321</v>
      </c>
      <c r="D90" s="1" t="str">
        <f t="shared" si="2"/>
        <v/>
      </c>
    </row>
    <row r="91" spans="1:7" ht="45" x14ac:dyDescent="0.25">
      <c r="A91" s="1">
        <v>52</v>
      </c>
      <c r="B91" s="1" t="s">
        <v>205</v>
      </c>
      <c r="C91" s="1" t="s">
        <v>206</v>
      </c>
      <c r="D91" s="1" t="str">
        <f t="shared" si="2"/>
        <v>Sampling microscopic regions of a prepared sample by particle bombardment (electron, ion...) or with electromagneting beams (laser, x-ray...)</v>
      </c>
      <c r="E91" s="1" t="s">
        <v>207</v>
      </c>
      <c r="G91" s="1" t="s">
        <v>66</v>
      </c>
    </row>
    <row r="92" spans="1:7" ht="90" x14ac:dyDescent="0.25">
      <c r="A92" s="1">
        <v>85</v>
      </c>
      <c r="B92" s="1" t="s">
        <v>322</v>
      </c>
      <c r="C92" s="1" t="s">
        <v>573</v>
      </c>
      <c r="D92" s="1" t="str">
        <f t="shared" si="2"/>
        <v>focused ion beam (FIB) machining is used to fabricate nano to micron sized pillars of material for testing of mechanical properties. reported for samples of carrera marble by pskemer@wustl.edu, 45 samples.  Interpret to mean the sample is the ion-milled micropillar.</v>
      </c>
      <c r="E92" s="1" t="s">
        <v>324</v>
      </c>
      <c r="F92" s="1" t="s">
        <v>325</v>
      </c>
      <c r="G92" s="1" t="s">
        <v>326</v>
      </c>
    </row>
    <row r="93" spans="1:7" ht="135" x14ac:dyDescent="0.25">
      <c r="A93" s="1">
        <v>127</v>
      </c>
      <c r="B93" s="1" t="s">
        <v>454</v>
      </c>
      <c r="C93" s="1" t="s">
        <v>455</v>
      </c>
      <c r="D93" s="1" t="str">
        <f t="shared" si="2"/>
        <v>sampling by pushing a device into seafloor sediments that extracts many tubular samples of sediment at once. The multicore has a cone-shaped aluminum frame. In the middle are eight plastic tubes. When the frame settles on the floor  the center of the multicore slowly and evenly pushes the tubes into the sediment. The tubes are capped at the top and bottom and the multicore comes back to the surface with eight samples of sediment.</v>
      </c>
      <c r="E93" s="1" t="s">
        <v>456</v>
      </c>
      <c r="G93" s="1" t="s">
        <v>538</v>
      </c>
    </row>
    <row r="94" spans="1:7" ht="120" x14ac:dyDescent="0.25">
      <c r="A94" s="1">
        <v>86</v>
      </c>
      <c r="B94" s="1" t="s">
        <v>327</v>
      </c>
      <c r="C94" s="1" t="s">
        <v>328</v>
      </c>
      <c r="D94" s="1" t="str">
        <f t="shared" si="2"/>
        <v xml:space="preserve">device used to collect water samples at different depths in the ocean. It consists of a PVC or metal cylinder with two or more hinged caps at either end that are remotely operated using a wire or cable. When the sampler is lowered into the ocean, the caps are opened at predetermined depths, allowing seawater to be trapped inside without contamination from the surrounding water. Surface water or seawater collection. </v>
      </c>
      <c r="E94" s="1" t="s">
        <v>529</v>
      </c>
      <c r="G94" s="2" t="s">
        <v>530</v>
      </c>
    </row>
    <row r="95" spans="1:7" ht="30" x14ac:dyDescent="0.25">
      <c r="A95" s="1">
        <v>142</v>
      </c>
      <c r="B95" s="1" t="s">
        <v>495</v>
      </c>
      <c r="C95" s="1" t="s">
        <v>496</v>
      </c>
      <c r="D95" s="1" t="str">
        <f t="shared" si="2"/>
        <v>Specimen obtained using some mechnical process not identified in this vocabulary</v>
      </c>
      <c r="E95" s="1" t="s">
        <v>497</v>
      </c>
      <c r="G95" s="1" t="s">
        <v>66</v>
      </c>
    </row>
    <row r="96" spans="1:7" ht="45" x14ac:dyDescent="0.25">
      <c r="A96" s="1">
        <v>53</v>
      </c>
      <c r="B96" s="1" t="s">
        <v>208</v>
      </c>
      <c r="C96" s="1" t="s">
        <v>209</v>
      </c>
      <c r="D96" s="1" t="str">
        <f t="shared" si="2"/>
        <v>Collection of material from a rock outcrop or subcrop at the ground surface, typically using a hammer, or feathers and wedges.</v>
      </c>
      <c r="E96" s="1" t="s">
        <v>210</v>
      </c>
      <c r="G96" s="1" t="s">
        <v>12</v>
      </c>
    </row>
    <row r="97" spans="1:7" ht="45" x14ac:dyDescent="0.25">
      <c r="A97" s="1">
        <v>118</v>
      </c>
      <c r="B97" s="1" t="s">
        <v>425</v>
      </c>
      <c r="C97" s="1" t="s">
        <v>426</v>
      </c>
      <c r="D97" s="1" t="str">
        <f t="shared" si="2"/>
        <v>Use of a gold-miners pan to concentrate heavy minerals from a loose sediment (typcially stream sediment) sample</v>
      </c>
      <c r="E97" s="1" t="s">
        <v>427</v>
      </c>
      <c r="G97" s="1" t="s">
        <v>66</v>
      </c>
    </row>
    <row r="98" spans="1:7" ht="45" x14ac:dyDescent="0.25">
      <c r="A98" s="1">
        <v>54</v>
      </c>
      <c r="B98" s="1" t="s">
        <v>70</v>
      </c>
      <c r="C98" s="1" t="s">
        <v>71</v>
      </c>
      <c r="D98" s="1" t="str">
        <f t="shared" ref="D98:D129" si="3">E98&amp;IF(ISBLANK(F98),"",". "&amp;F98)</f>
        <v>Rock or sediment chips or fragments derived from a percussion (hammer) method. Include pneumatic drilling</v>
      </c>
      <c r="E98" s="1" t="s">
        <v>213</v>
      </c>
      <c r="G98" s="1" t="s">
        <v>12</v>
      </c>
    </row>
    <row r="99" spans="1:7" ht="90" x14ac:dyDescent="0.25">
      <c r="A99" s="1">
        <v>97</v>
      </c>
      <c r="B99" s="1" t="s">
        <v>358</v>
      </c>
      <c r="C99" s="1" t="s">
        <v>359</v>
      </c>
      <c r="D99" s="1" t="str">
        <f t="shared" si="3"/>
        <v>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v>
      </c>
      <c r="E99" s="1" t="s">
        <v>360</v>
      </c>
      <c r="G99" s="1" t="s">
        <v>12</v>
      </c>
    </row>
    <row r="100" spans="1:7" ht="60" x14ac:dyDescent="0.25">
      <c r="A100" s="1">
        <v>55</v>
      </c>
      <c r="B100" s="1" t="s">
        <v>214</v>
      </c>
      <c r="C100" s="1" t="s">
        <v>215</v>
      </c>
      <c r="D100" s="1" t="str">
        <f t="shared" si="3"/>
        <v>Small coring device for use in shallow water, for cores &lt;1 m in length, in  sediment types ranging from soft to sandy, semi-compacted material, as well as peat and plant roots in shallow lakes or marshes</v>
      </c>
      <c r="E100" s="1" t="s">
        <v>216</v>
      </c>
      <c r="G100" s="1" t="s">
        <v>217</v>
      </c>
    </row>
    <row r="101" spans="1:7" ht="409.5" x14ac:dyDescent="0.25">
      <c r="A101" s="1">
        <v>128</v>
      </c>
      <c r="B101" s="1" t="s">
        <v>458</v>
      </c>
      <c r="C101" s="1" t="s">
        <v>570</v>
      </c>
      <c r="D101" s="1" t="str">
        <f t="shared" si="3"/>
        <v>Piston corers have a piston mechanism that is triggered when the corer hits the bottom. As the barrel enters the sediment a special internal piston creates a vacuum and helps to draw the core into the barrel. The piston helps to avoid disturbing the sediment. As the piston corer penetrates the seafloor  the piston inside stops at the sediment surface. The action of the piston creates a pressure differential at the top of the sediment column. This allows the soft material to enter the core liner without disruption. A piston corer uses a _free fall_ of the coring rig to achieve a greater initial force on impact than gravity coring  and a sliding piston inside the core barrel to reduce inside wall friction with the sediment and to assist in the evacuation of displaced water from the top of the corer. The piston-coring rig is comprised of a trigger assembly  the coring weight assembly  core barrels  tip assembly  and piston.. consists of a weight fitted connected to a steel sample tube, with a PVC liner tube inside the full-length of the core barrel. A piston is fitted inside the PVC liner and is attached to a wire that runs inside the corer barrel, through a hole in the centre of the weight and is attached to the main deployment wire. The corer is lowered on a wire to the seabed until a trigger weight, suspended from the corer weight via an arm, contacts the seabed, and releases the corer for free-fall a distance pre-set by the length of trigger wire to sink into the sediment. As the corer penetrates the sediment it reaches a point where the piston inside the barrel  is level with the surface of the sediment. As the corer sinks further into the sediment, the piston should remain static at its optimum point at the sediment surface. The core tube then moves past the piston into the sediment creating a vacuum at the top of the tube which helps to overcome the friction generated between the sediment and the inside of the core liner. https://noc.ac.uk/facilities/national-marine-equipment-pool/scientific-engineering/seafloor-sampling</v>
      </c>
      <c r="E101" s="1" t="s">
        <v>559</v>
      </c>
      <c r="F101" s="1" t="s">
        <v>461</v>
      </c>
      <c r="G101" s="1" t="s">
        <v>566</v>
      </c>
    </row>
    <row r="102" spans="1:7" ht="60" x14ac:dyDescent="0.25">
      <c r="A102" s="1">
        <v>57</v>
      </c>
      <c r="B102" s="1" t="s">
        <v>221</v>
      </c>
      <c r="C102" s="1" t="s">
        <v>222</v>
      </c>
      <c r="D102" s="1" t="str">
        <f t="shared" si="3"/>
        <v>Collection of materials, typically regolith, near the ground surface from a pit, trench, or costean dug by spade, backhoe, or other mechanical means (not drilling).</v>
      </c>
      <c r="E102" s="1" t="s">
        <v>223</v>
      </c>
      <c r="G102" s="1" t="s">
        <v>12</v>
      </c>
    </row>
    <row r="103" spans="1:7" ht="45" x14ac:dyDescent="0.25">
      <c r="A103" s="1">
        <v>49</v>
      </c>
      <c r="B103" s="1" t="s">
        <v>195</v>
      </c>
      <c r="C103" s="1" t="s">
        <v>196</v>
      </c>
      <c r="D103" s="1" t="str">
        <f t="shared" si="3"/>
        <v>A point souce bailer that has a check valve at each end of the bailer allowing sample collection from a discrete depth</v>
      </c>
      <c r="E103" s="1" t="s">
        <v>197</v>
      </c>
      <c r="G103" s="1" t="s">
        <v>12</v>
      </c>
    </row>
    <row r="104" spans="1:7" ht="75" x14ac:dyDescent="0.25">
      <c r="A104" s="1">
        <v>129</v>
      </c>
      <c r="B104" s="1" t="s">
        <v>463</v>
      </c>
      <c r="C104" s="1" t="s">
        <v>464</v>
      </c>
      <c r="D104" s="1" t="str">
        <f t="shared" si="3"/>
        <v>Soil or sediment collected by pneumatically pushing or pounding a sleeve  through soft sediments via a rig mounted on the back of a pick-up truck or on an ATV.  Note: Sediment in cores commonly is compressed to 30-50% of the in situ volume. Wildco corer.</v>
      </c>
      <c r="E104" s="1" t="s">
        <v>465</v>
      </c>
      <c r="G104" s="1" t="s">
        <v>466</v>
      </c>
    </row>
    <row r="105" spans="1:7" ht="75" x14ac:dyDescent="0.25">
      <c r="A105" s="1">
        <v>143</v>
      </c>
      <c r="B105" s="1" t="s">
        <v>85</v>
      </c>
      <c r="C105" s="1" t="s">
        <v>86</v>
      </c>
      <c r="D105" s="1" t="str">
        <f t="shared" si="3"/>
        <v>separation of part of a sample by some lab technique; have to look at processing method for details. E.g. density separation  magnetic separation  insoluble residue  hand picking.  Too many possibilities to categorize each subsampling method.</v>
      </c>
      <c r="E105" s="1" t="s">
        <v>498</v>
      </c>
      <c r="G105" s="1" t="s">
        <v>66</v>
      </c>
    </row>
    <row r="106" spans="1:7" x14ac:dyDescent="0.25">
      <c r="A106" s="1">
        <v>87</v>
      </c>
      <c r="B106" s="1" t="s">
        <v>332</v>
      </c>
      <c r="C106" s="1" t="s">
        <v>333</v>
      </c>
      <c r="D106" s="1" t="str">
        <f t="shared" si="3"/>
        <v>reduce to powder</v>
      </c>
      <c r="E106" s="1" t="s">
        <v>334</v>
      </c>
    </row>
    <row r="107" spans="1:7" ht="30" x14ac:dyDescent="0.25">
      <c r="A107" s="1">
        <v>58</v>
      </c>
      <c r="B107" s="1" t="s">
        <v>224</v>
      </c>
      <c r="C107" s="1" t="s">
        <v>225</v>
      </c>
      <c r="D107" s="1" t="str">
        <f t="shared" si="3"/>
        <v>Sampling a fluid using a pump to move fluid to the sample container</v>
      </c>
      <c r="E107" s="1" t="s">
        <v>226</v>
      </c>
      <c r="G107" s="1" t="s">
        <v>227</v>
      </c>
    </row>
    <row r="108" spans="1:7" ht="315" x14ac:dyDescent="0.25">
      <c r="A108" s="1">
        <v>32</v>
      </c>
      <c r="B108" s="1" t="s">
        <v>127</v>
      </c>
      <c r="C108" s="1" t="s">
        <v>128</v>
      </c>
      <c r="D108" s="1" t="str">
        <f t="shared" si="3"/>
        <v>A pipe that is pushed into the sediment to gain a core that is no longer than 2m long. Core pipe has a valve on top that is used to create a vacuum at the top of the core when pulling the core out of the sediment. Can be operated by a human working on land, shallow water, or from a boat in shallow water with a pipe extension to reach the bottom. Can be operated mechanically from a submersible (HOV or ROV).. a smaller hand-held device made up of a length of clear plastic tubing attached to a corer head and extension poles. In the marine environment, the push corer is lowered overboard and manually pushed into the sediment before a valve at the top of the core, is closed creating a vacuum. The core and barrel is then lifted out of the surrounding sediment and back to the surface. The operation is the same on land or in shallow waters where a boat is not required. https://www.ga.gov.au/scientific-topics/marine/survey-techniques/sedimentary-coring-drilling</v>
      </c>
      <c r="E108" s="1" t="s">
        <v>129</v>
      </c>
      <c r="F108" s="1" t="s">
        <v>130</v>
      </c>
      <c r="G108" s="1" t="s">
        <v>12</v>
      </c>
    </row>
    <row r="109" spans="1:7" ht="90" x14ac:dyDescent="0.25">
      <c r="A109" s="1">
        <v>59</v>
      </c>
      <c r="B109" s="1" t="s">
        <v>228</v>
      </c>
      <c r="C109" s="1" t="s">
        <v>229</v>
      </c>
      <c r="D109" s="1" t="str">
        <f t="shared" si="3"/>
        <v>RAB, rotary air blast, or Down-the-hole drilling. Rock or sediment chips or fragments are derived from a percussion drilling method where the cuttings are blown up the outside of the rods and collected at surface, using air or a combination of air and foam lift the cuttings.</v>
      </c>
      <c r="E109" s="1" t="s">
        <v>230</v>
      </c>
      <c r="G109" s="1" t="s">
        <v>231</v>
      </c>
    </row>
    <row r="110" spans="1:7" ht="30" x14ac:dyDescent="0.25">
      <c r="A110" s="1">
        <v>60</v>
      </c>
      <c r="B110" s="1" t="s">
        <v>232</v>
      </c>
      <c r="C110" s="1" t="s">
        <v>233</v>
      </c>
      <c r="D110" s="1" t="str">
        <f t="shared" si="3"/>
        <v>Rainwater is collected using an approved rain gauge/collector method.</v>
      </c>
      <c r="E110" s="1" t="s">
        <v>234</v>
      </c>
      <c r="G110" s="1" t="s">
        <v>12</v>
      </c>
    </row>
    <row r="111" spans="1:7" ht="60" x14ac:dyDescent="0.25">
      <c r="A111" s="1">
        <v>61</v>
      </c>
      <c r="B111" s="1" t="s">
        <v>235</v>
      </c>
      <c r="C111" s="1" t="s">
        <v>236</v>
      </c>
      <c r="D111" s="1" t="str">
        <f t="shared" si="3"/>
        <v>A drilling technique similar to rotary drilling except that drilling fluid flow down the annular space between the drilling stem and the wall of the hole forcing cuttings up through the inside of the drill stem .</v>
      </c>
      <c r="E111" s="1" t="s">
        <v>237</v>
      </c>
      <c r="G111" s="1" t="s">
        <v>72</v>
      </c>
    </row>
    <row r="112" spans="1:7" ht="60" x14ac:dyDescent="0.25">
      <c r="A112" s="1">
        <v>62</v>
      </c>
      <c r="B112" s="1" t="s">
        <v>238</v>
      </c>
      <c r="C112" s="1" t="s">
        <v>239</v>
      </c>
      <c r="D112" s="1" t="str">
        <f t="shared" si="3"/>
        <v>A drilling method using a drill stem equipped with a bit that is rotated to cut and grind the rock with a fluid pumped down the stem to force cuttings up through the annular space between the stem and the wall of the hole</v>
      </c>
      <c r="E112" s="1" t="s">
        <v>240</v>
      </c>
      <c r="G112" s="1" t="s">
        <v>72</v>
      </c>
    </row>
    <row r="113" spans="1:7" ht="60" x14ac:dyDescent="0.25">
      <c r="A113" s="1">
        <v>63</v>
      </c>
      <c r="B113" s="1" t="s">
        <v>241</v>
      </c>
      <c r="C113" s="1" t="s">
        <v>242</v>
      </c>
      <c r="D113" s="1" t="str">
        <f t="shared" si="3"/>
        <v>A percussion drilling method using a cutting tool powered by compressed air that creates a rapid percussion effect coupled with rotary action to drill hard rocks.</v>
      </c>
      <c r="E113" s="1" t="s">
        <v>243</v>
      </c>
      <c r="G113" s="1" t="s">
        <v>72</v>
      </c>
    </row>
    <row r="114" spans="1:7" ht="105" x14ac:dyDescent="0.25">
      <c r="A114" s="1">
        <v>98</v>
      </c>
      <c r="B114" s="1" t="s">
        <v>361</v>
      </c>
      <c r="C114" s="1" t="s">
        <v>362</v>
      </c>
      <c r="D114" s="1" t="str">
        <f t="shared" si="3"/>
        <v>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v>
      </c>
      <c r="E114" s="1" t="s">
        <v>363</v>
      </c>
      <c r="G114" s="1" t="s">
        <v>12</v>
      </c>
    </row>
    <row r="115" spans="1:7" ht="30" x14ac:dyDescent="0.25">
      <c r="A115" s="1">
        <v>146</v>
      </c>
      <c r="B115" s="1" t="s">
        <v>10</v>
      </c>
      <c r="C115" s="1" t="s">
        <v>11</v>
      </c>
      <c r="D115" s="1" t="str">
        <f t="shared" si="3"/>
        <v>Top concept, for all methods used to collect material samples</v>
      </c>
      <c r="E115" s="1" t="s">
        <v>503</v>
      </c>
      <c r="G115" s="1" t="s">
        <v>66</v>
      </c>
    </row>
    <row r="116" spans="1:7" ht="120" x14ac:dyDescent="0.25">
      <c r="A116" s="1">
        <v>88</v>
      </c>
      <c r="B116" s="1" t="s">
        <v>335</v>
      </c>
      <c r="C116" s="1" t="s">
        <v>336</v>
      </c>
      <c r="D116" s="1" t="str">
        <f t="shared" si="3"/>
        <v>Interpret to mean collecting some amount of a liquid or fine-grained aggregate using a spoon-like instrument (scoop); size can range from milligram to kilogram mass.  Metallurgy: _A shallow, spherical 1.25-inch diameter disc is sawed out of the feature of interest._ https://www.stress.com/services/materials-engineering/field-inspection-and-testing/non-destructive-scoop-sampling/.</v>
      </c>
      <c r="E116" s="1" t="s">
        <v>337</v>
      </c>
    </row>
    <row r="117" spans="1:7" ht="195" x14ac:dyDescent="0.25">
      <c r="A117" s="1">
        <v>135</v>
      </c>
      <c r="B117" s="1" t="s">
        <v>175</v>
      </c>
      <c r="C117" s="1" t="s">
        <v>176</v>
      </c>
      <c r="D117" s="1" t="str">
        <f t="shared" si="3"/>
        <v>Sediment grabs come in all shapes and sizes  but they all do much the same thing  to collect a sample of sediment from the seabed. Sediment grabs are often named after their inventors. For example  the Smith-MacIntyre grab is lowered from ships  and on contact with the seabed a split cylindrical bucket is triggered which scoops up about 10 litres of sediment. Another is the Van-Veen grab like a giant pair of tongs which closes two halves of the bucket together as the winch draws the cable in. Sediment is then evenly scooped into the large buckets. A sediment grab does not attempt to preserve the internal structure of the sediment  which disginguishes it from soft sediment coring.</v>
      </c>
      <c r="E117" s="1" t="s">
        <v>480</v>
      </c>
      <c r="G117" s="1" t="s">
        <v>481</v>
      </c>
    </row>
    <row r="118" spans="1:7" ht="150" x14ac:dyDescent="0.25">
      <c r="A118" s="1">
        <v>117</v>
      </c>
      <c r="B118" s="1" t="s">
        <v>419</v>
      </c>
      <c r="C118" s="1" t="s">
        <v>420</v>
      </c>
      <c r="D118" s="1" t="str">
        <f t="shared" si="3"/>
        <v>Sediment traps are containers placed in the water column to collect particles falling toward the sea floor. The traps collect tiny sediment or larger accumulations called marine snow - made up of organic matter, dead sea creatures, tiny shells, dust and minerals.. The basic sediment trap consists of a broad funnel with a collecting jar at the bottom. The funnel opening covers a standard area (such as 0.25 square meter [2.7 square feet]) and has baffles at the top to keep out very large objects that might clog the funnel.</v>
      </c>
      <c r="E118" s="1" t="s">
        <v>421</v>
      </c>
      <c r="F118" s="1" t="s">
        <v>422</v>
      </c>
      <c r="G118" s="2" t="s">
        <v>535</v>
      </c>
    </row>
    <row r="119" spans="1:7" ht="60" x14ac:dyDescent="0.25">
      <c r="A119" s="1">
        <v>147</v>
      </c>
      <c r="B119" s="1" t="s">
        <v>56</v>
      </c>
      <c r="C119" s="1" t="s">
        <v>57</v>
      </c>
      <c r="D119" s="1" t="str">
        <f t="shared" si="3"/>
        <v>Samples that include sediment and water, typically from near water body bottom, collected under controlled conditions to preserve biological activity, intended to incubate in a lab to observe metabolic processes.</v>
      </c>
      <c r="E119" s="1" t="s">
        <v>545</v>
      </c>
    </row>
    <row r="120" spans="1:7" ht="60" x14ac:dyDescent="0.25">
      <c r="A120" s="1">
        <v>89</v>
      </c>
      <c r="B120" s="1" t="s">
        <v>338</v>
      </c>
      <c r="C120" s="1" t="s">
        <v>574</v>
      </c>
      <c r="D120" s="1" t="str">
        <f t="shared" si="3"/>
        <v>Plates designed to remain in an environment (typically subaqueous) to monitor biome development. DOI: 10.13140/RG.2.2.33138.71361.  Also colonization substrate sampler collected in submarine exploration.</v>
      </c>
      <c r="E120" s="1" t="s">
        <v>340</v>
      </c>
    </row>
    <row r="121" spans="1:7" x14ac:dyDescent="0.25">
      <c r="A121" s="1">
        <v>90</v>
      </c>
      <c r="B121" s="1" t="s">
        <v>341</v>
      </c>
      <c r="C121" s="1" t="s">
        <v>342</v>
      </c>
      <c r="D121" s="1" t="str">
        <f t="shared" si="3"/>
        <v/>
      </c>
    </row>
    <row r="122" spans="1:7" x14ac:dyDescent="0.25">
      <c r="A122" s="1">
        <v>91</v>
      </c>
      <c r="B122" s="1" t="s">
        <v>343</v>
      </c>
      <c r="C122" s="1" t="s">
        <v>344</v>
      </c>
      <c r="D122" s="1" t="str">
        <f t="shared" si="3"/>
        <v/>
      </c>
    </row>
    <row r="123" spans="1:7" ht="30" x14ac:dyDescent="0.25">
      <c r="A123" s="1">
        <v>96</v>
      </c>
      <c r="B123" s="1" t="s">
        <v>355</v>
      </c>
      <c r="C123" s="1" t="s">
        <v>356</v>
      </c>
      <c r="D123" s="1" t="str">
        <f t="shared" si="3"/>
        <v>A method to extract core or plug from the sidewall of a borehole.</v>
      </c>
      <c r="E123" s="1" t="s">
        <v>357</v>
      </c>
      <c r="G123" s="1" t="s">
        <v>12</v>
      </c>
    </row>
    <row r="124" spans="1:7" x14ac:dyDescent="0.25">
      <c r="A124" s="1">
        <v>92</v>
      </c>
      <c r="B124" s="1" t="s">
        <v>345</v>
      </c>
      <c r="C124" s="1" t="s">
        <v>346</v>
      </c>
      <c r="D124" s="1" t="str">
        <f t="shared" si="3"/>
        <v>Sample of particular grain size particles using sieves.</v>
      </c>
      <c r="E124" s="1" t="s">
        <v>347</v>
      </c>
    </row>
    <row r="125" spans="1:7" x14ac:dyDescent="0.25">
      <c r="A125" s="1">
        <v>93</v>
      </c>
      <c r="B125" s="1" t="s">
        <v>348</v>
      </c>
      <c r="C125" s="1" t="s">
        <v>552</v>
      </c>
      <c r="D125" s="1" t="str">
        <f t="shared" si="3"/>
        <v/>
      </c>
    </row>
    <row r="126" spans="1:7" ht="105" x14ac:dyDescent="0.25">
      <c r="A126" s="1">
        <v>99</v>
      </c>
      <c r="B126" s="1" t="s">
        <v>364</v>
      </c>
      <c r="C126" s="1" t="s">
        <v>365</v>
      </c>
      <c r="D126" s="1" t="str">
        <f t="shared" si="3"/>
        <v>For some small, delicate, or flexible specimens, the “slurp” hose is used to ensure that the sample is collected and handled with the proper care. ROV pilots use the manipulator arm to pick up the handle of this vacuum-like hose, which then sucks up water, sediment, and small or delicate fauna into one of the slurp containers.</v>
      </c>
      <c r="E126" s="1" t="s">
        <v>366</v>
      </c>
      <c r="G126" s="1" t="s">
        <v>367</v>
      </c>
    </row>
    <row r="127" spans="1:7" ht="270" x14ac:dyDescent="0.25">
      <c r="A127" s="1">
        <v>46</v>
      </c>
      <c r="B127" s="1" t="s">
        <v>181</v>
      </c>
      <c r="C127" s="1" t="s">
        <v>182</v>
      </c>
      <c r="D127" s="1" t="str">
        <f t="shared" si="3"/>
        <v>Near surface sediment grab sample. Sample has a surface area of 0.1m2. It is useful for quantitative macrobenthos sampling in either shallow or deep water.. two spring hinged jaws with triggers on either side of the grab frame. The jaws are _locked_ in place within the frame until two pads hit the seafloor allowing the spring-loaded jaws to snap shut and collect the sediment. The strong hinges aid penetration of dense sediment while the large jaws return a substantial volume of sediment. Access to the sediment is through flaps on the upper side. The Smith McIntyre grab is used to get a quick sample of the seafloor and is not designed to get an undistributed sample</v>
      </c>
      <c r="E127" s="1" t="s">
        <v>183</v>
      </c>
      <c r="F127" s="1" t="s">
        <v>560</v>
      </c>
      <c r="G127" s="1" t="s">
        <v>187</v>
      </c>
    </row>
    <row r="128" spans="1:7" ht="60" x14ac:dyDescent="0.25">
      <c r="A128" s="1">
        <v>103</v>
      </c>
      <c r="B128" s="1" t="s">
        <v>112</v>
      </c>
      <c r="C128" s="1" t="s">
        <v>113</v>
      </c>
      <c r="D128" s="1" t="str">
        <f t="shared" si="3"/>
        <v>General category for methods to extract columnar samples perpendicular to the depositional surface from soil or sediment that is poorly enough consolidated that it can be sampled without rotary drilling.</v>
      </c>
      <c r="E128" s="1" t="s">
        <v>380</v>
      </c>
      <c r="G128" s="1" t="s">
        <v>107</v>
      </c>
    </row>
    <row r="129" spans="1:7" ht="60" x14ac:dyDescent="0.25">
      <c r="A129" s="1">
        <v>34</v>
      </c>
      <c r="B129" s="1" t="s">
        <v>134</v>
      </c>
      <c r="C129" s="1" t="s">
        <v>135</v>
      </c>
      <c r="D129" s="1" t="str">
        <f t="shared" si="3"/>
        <v>Similar to the vibro-core technique, the drill stem and barrel are vibrated vertically at frequencies between 50Hz and 180Hz such that the sampler barrel advances by slicing through the regolith.</v>
      </c>
      <c r="E129" s="1" t="s">
        <v>136</v>
      </c>
      <c r="G129" s="2" t="s">
        <v>528</v>
      </c>
    </row>
    <row r="130" spans="1:7" ht="45" x14ac:dyDescent="0.25">
      <c r="A130" s="1">
        <v>119</v>
      </c>
      <c r="B130" s="1" t="s">
        <v>428</v>
      </c>
      <c r="C130" s="1" t="s">
        <v>429</v>
      </c>
      <c r="D130" s="1" t="str">
        <f t="shared" ref="D130:D157" si="4">E130&amp;IF(ISBLANK(F130),"",". "&amp;F130)</f>
        <v>mechanical separation of part a processed sample; e.g. taking grains from a mineral separate, splitting a powdered sample  splitting a crushed sample</v>
      </c>
      <c r="E130" s="1" t="s">
        <v>430</v>
      </c>
      <c r="G130" s="1" t="s">
        <v>66</v>
      </c>
    </row>
    <row r="131" spans="1:7" ht="60" x14ac:dyDescent="0.25">
      <c r="A131" s="1">
        <v>144</v>
      </c>
      <c r="B131" s="1" t="s">
        <v>499</v>
      </c>
      <c r="C131" s="1" t="s">
        <v>500</v>
      </c>
      <c r="D131" s="1" t="str">
        <f t="shared" si="4"/>
        <v>mechanical separation of part of a bulk sample. E.g. breaking a hand sample up with a hammer and taking pieces, cutting peices from a solid sample, splitting material in a bagged sample</v>
      </c>
      <c r="E131" s="1" t="s">
        <v>501</v>
      </c>
      <c r="G131" s="1" t="s">
        <v>66</v>
      </c>
    </row>
    <row r="132" spans="1:7" ht="60" x14ac:dyDescent="0.25">
      <c r="A132" s="1">
        <v>136</v>
      </c>
      <c r="B132" s="1" t="s">
        <v>482</v>
      </c>
      <c r="C132" s="1" t="s">
        <v>483</v>
      </c>
      <c r="D132" s="1" t="str">
        <f t="shared" si="4"/>
        <v>composite of several single grab sediment samples collected from a stream channel agregatted in the field. Sample might be collected from subaqueous stream bed, or in a dry stream channel.</v>
      </c>
      <c r="E132" s="1" t="s">
        <v>484</v>
      </c>
      <c r="G132" s="1" t="s">
        <v>66</v>
      </c>
    </row>
    <row r="133" spans="1:7" ht="45" x14ac:dyDescent="0.25">
      <c r="A133" s="1">
        <v>137</v>
      </c>
      <c r="B133" s="1" t="s">
        <v>485</v>
      </c>
      <c r="C133" s="1" t="s">
        <v>486</v>
      </c>
      <c r="D133" s="1" t="str">
        <f t="shared" si="4"/>
        <v>stream sediment collected from bed of a stream at a single location; Sample might be collected from subaqueous stream bed, or in a dry stream channel.</v>
      </c>
      <c r="E133" s="1" t="s">
        <v>487</v>
      </c>
      <c r="G133" s="1" t="s">
        <v>66</v>
      </c>
    </row>
    <row r="134" spans="1:7" ht="30" x14ac:dyDescent="0.25">
      <c r="A134" s="1">
        <v>148</v>
      </c>
      <c r="B134" s="1" t="s">
        <v>211</v>
      </c>
      <c r="C134" s="1" t="s">
        <v>212</v>
      </c>
      <c r="D134" s="1" t="str">
        <f t="shared" si="4"/>
        <v>Collection of earth materials at the ground surface on land.</v>
      </c>
      <c r="E134" s="1" t="s">
        <v>505</v>
      </c>
      <c r="G134" s="1" t="s">
        <v>12</v>
      </c>
    </row>
    <row r="135" spans="1:7" ht="45" x14ac:dyDescent="0.25">
      <c r="A135" s="1">
        <v>75</v>
      </c>
      <c r="B135" s="1" t="s">
        <v>289</v>
      </c>
      <c r="C135" s="1" t="s">
        <v>290</v>
      </c>
      <c r="D135" s="1" t="str">
        <f t="shared" si="4"/>
        <v>Collection of sample using trap to collect organisms in water, e.g. crabs, bacteria.. generalize from crap trap, mussel pot, bacteria trap, _trap_ found in SESAR data.</v>
      </c>
      <c r="E135" s="1" t="s">
        <v>291</v>
      </c>
      <c r="F135" s="1" t="s">
        <v>292</v>
      </c>
      <c r="G135" s="1" t="s">
        <v>66</v>
      </c>
    </row>
    <row r="136" spans="1:7" ht="30" x14ac:dyDescent="0.25">
      <c r="A136" s="1">
        <v>65</v>
      </c>
      <c r="B136" s="1" t="s">
        <v>248</v>
      </c>
      <c r="C136" s="1" t="s">
        <v>249</v>
      </c>
      <c r="D136" s="1" t="str">
        <f t="shared" si="4"/>
        <v>Collect sample from an underwater vehicle, using mechanical arms on vehicle.</v>
      </c>
      <c r="E136" s="1" t="s">
        <v>250</v>
      </c>
    </row>
    <row r="137" spans="1:7" x14ac:dyDescent="0.25">
      <c r="A137" s="1">
        <v>94</v>
      </c>
      <c r="B137" s="1" t="s">
        <v>286</v>
      </c>
      <c r="C137" s="1" t="s">
        <v>575</v>
      </c>
      <c r="D137" s="1" t="str">
        <f t="shared" si="4"/>
        <v/>
      </c>
    </row>
    <row r="138" spans="1:7" ht="60" x14ac:dyDescent="0.25">
      <c r="A138" s="1">
        <v>145</v>
      </c>
      <c r="B138" s="1" t="s">
        <v>253</v>
      </c>
      <c r="C138" s="1" t="s">
        <v>553</v>
      </c>
      <c r="D138" s="1" t="str">
        <f t="shared" si="4"/>
        <v>Specimen obtained by picking up material from a surface, subaerial or subaqueous; may involve breaking material away from outcrop  or picking up loose material on surface</v>
      </c>
      <c r="E138" s="1" t="s">
        <v>502</v>
      </c>
      <c r="G138" s="1" t="s">
        <v>66</v>
      </c>
    </row>
    <row r="139" spans="1:7" ht="30" x14ac:dyDescent="0.25">
      <c r="A139" s="1">
        <v>120</v>
      </c>
      <c r="B139" s="1" t="s">
        <v>431</v>
      </c>
      <c r="C139" s="1" t="s">
        <v>432</v>
      </c>
      <c r="D139" s="1" t="str">
        <f t="shared" si="4"/>
        <v>Suspended sediment separated from containing water by filtration or centrifuge.</v>
      </c>
      <c r="E139" s="1" t="s">
        <v>433</v>
      </c>
      <c r="G139" s="1" t="s">
        <v>434</v>
      </c>
    </row>
    <row r="140" spans="1:7" ht="120" x14ac:dyDescent="0.25">
      <c r="A140" s="1">
        <v>74</v>
      </c>
      <c r="B140" s="1" t="s">
        <v>283</v>
      </c>
      <c r="C140" s="1" t="s">
        <v>284</v>
      </c>
      <c r="D140" s="1" t="str">
        <f t="shared" si="4"/>
        <v>Sampling by using a tube with a plunger to pull material into a cylinder; used in soils, soft sediment, and fluids, commonly for analysis of volatiles.</v>
      </c>
      <c r="E140" s="1" t="s">
        <v>285</v>
      </c>
      <c r="G140" s="1" t="s">
        <v>567</v>
      </c>
    </row>
    <row r="141" spans="1:7" ht="120" x14ac:dyDescent="0.25">
      <c r="A141" s="1">
        <v>149</v>
      </c>
      <c r="B141" s="1" t="s">
        <v>34</v>
      </c>
      <c r="C141" s="1" t="s">
        <v>35</v>
      </c>
      <c r="D141" s="1" t="str">
        <f t="shared" si="4"/>
        <v>Collection of sample by dragging a net through the water column or along the bottom of the water column. Connotation is focus on biome in the water or at the water-sediment interface, but might include suspended sediment in water or sediment from water body bottom.. Include net systems that might be simple manual scoops through near surface, and systems that pump lots of water through a net (e.g. _big Bertha, https://serc.si.edu/node/38659) to achieve the same effect.</v>
      </c>
      <c r="E141" s="1" t="s">
        <v>506</v>
      </c>
      <c r="F141" s="1" t="s">
        <v>554</v>
      </c>
      <c r="G141" s="1" t="s">
        <v>66</v>
      </c>
    </row>
    <row r="142" spans="1:7" x14ac:dyDescent="0.25">
      <c r="A142" s="1">
        <v>81</v>
      </c>
      <c r="B142" s="1" t="s">
        <v>311</v>
      </c>
      <c r="C142" s="1" t="s">
        <v>571</v>
      </c>
      <c r="D142" s="1" t="str">
        <f t="shared" si="4"/>
        <v/>
      </c>
    </row>
    <row r="143" spans="1:7" ht="45" x14ac:dyDescent="0.25">
      <c r="A143" s="1">
        <v>150</v>
      </c>
      <c r="B143" s="1" t="s">
        <v>508</v>
      </c>
      <c r="C143" s="1" t="s">
        <v>509</v>
      </c>
      <c r="D143" s="1" t="str">
        <f t="shared" si="4"/>
        <v>Collection of material from a rock outcrop exposed beneath the ground surface (eg, a mine), typically using a hammer.</v>
      </c>
      <c r="E143" s="1" t="s">
        <v>510</v>
      </c>
      <c r="G143" s="1" t="s">
        <v>12</v>
      </c>
    </row>
    <row r="144" spans="1:7" x14ac:dyDescent="0.25">
      <c r="A144" s="1">
        <v>151</v>
      </c>
      <c r="B144" s="1" t="s">
        <v>511</v>
      </c>
      <c r="C144" s="1" t="s">
        <v>512</v>
      </c>
      <c r="D144" s="1" t="str">
        <f t="shared" si="4"/>
        <v>The sampling method is unknown.</v>
      </c>
      <c r="E144" s="1" t="s">
        <v>513</v>
      </c>
    </row>
    <row r="145" spans="1:7" ht="60" x14ac:dyDescent="0.25">
      <c r="A145" s="1">
        <v>152</v>
      </c>
      <c r="B145" s="1" t="s">
        <v>514</v>
      </c>
      <c r="C145" s="1" t="s">
        <v>515</v>
      </c>
      <c r="D145" s="1" t="str">
        <f t="shared" si="4"/>
        <v>Extraction of pore water from soil or sediment by creating a vacuum.</v>
      </c>
      <c r="E145" s="1" t="s">
        <v>516</v>
      </c>
      <c r="G145" s="1" t="s">
        <v>543</v>
      </c>
    </row>
    <row r="146" spans="1:7" ht="409.5" x14ac:dyDescent="0.25">
      <c r="A146" s="1">
        <v>47</v>
      </c>
      <c r="B146" s="1" t="s">
        <v>188</v>
      </c>
      <c r="C146" s="1" t="s">
        <v>189</v>
      </c>
      <c r="D146" s="1" t="str">
        <f t="shared" si="4"/>
        <v>Quantitative sample of the sediment. Van Veen grab has long arms for levering the clam shell scoop.. Two thin, hinged overlapping lids open while the equipment is descending which close on retrieval and are held shut by water pressure. The grab is triggered by a messenger weight dropped down the rope. Used for taking quantitative and qualitative samples of macroscopic benthic fauna. It can be used to determine the productivity of soft sediments, particularly those composed of finely divided muds, ooze, submerged marl and fine peaty materials. It is not recommended for rocky or sandy environments or where there is moderate benthic vegetation because small pebbles or vegetation stems can prevent proper jaw closure. https://www.ga.gov.au/scientific-topics/marine/survey-techniques/sedimentary-coring-drilling</v>
      </c>
      <c r="E146" s="1" t="s">
        <v>190</v>
      </c>
      <c r="F146" s="1" t="s">
        <v>191</v>
      </c>
      <c r="G146" s="1" t="s">
        <v>12</v>
      </c>
    </row>
    <row r="147" spans="1:7" ht="285" x14ac:dyDescent="0.25">
      <c r="A147" s="1">
        <v>130</v>
      </c>
      <c r="B147" s="1" t="s">
        <v>137</v>
      </c>
      <c r="C147" s="1" t="s">
        <v>551</v>
      </c>
      <c r="D147" s="1" t="str">
        <f t="shared" si="4"/>
        <v>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Vibracoring (or vibrocoring) is a technology and a technique for collecting core samples of underwater sediments and wetland soils.  The vibrating mechanism of a vibracorer  sometimes called the _vibrahead_  operates on hydraulic  pneumatic  mechanical or electrical power from an external source.  The attached core tube is driven into sediment by the force of gravity  enhanced by vibration energy.  When the insertion is completed  the vibracorer is turned off  and the tube is withdrawn with the aid of hoist equipment.</v>
      </c>
      <c r="E147" s="1" t="s">
        <v>467</v>
      </c>
      <c r="F147" s="1" t="s">
        <v>468</v>
      </c>
      <c r="G147" s="1" t="s">
        <v>539</v>
      </c>
    </row>
    <row r="148" spans="1:7" ht="60" x14ac:dyDescent="0.25">
      <c r="A148" s="1">
        <v>138</v>
      </c>
      <c r="B148" s="1" t="s">
        <v>185</v>
      </c>
      <c r="C148" s="1" t="s">
        <v>186</v>
      </c>
      <c r="D148" s="1" t="str">
        <f t="shared" si="4"/>
        <v>Specimens gathered from the bed of a water body by a mechanical grab primarily for lithogical and petrographical analyses. Samples _grabbed_ from submarine surface</v>
      </c>
      <c r="E148" s="1" t="s">
        <v>541</v>
      </c>
      <c r="G148" s="1" t="s">
        <v>542</v>
      </c>
    </row>
    <row r="149" spans="1:7" ht="30" x14ac:dyDescent="0.25">
      <c r="A149" s="1">
        <v>153</v>
      </c>
      <c r="B149" s="1" t="s">
        <v>156</v>
      </c>
      <c r="C149" s="1" t="s">
        <v>157</v>
      </c>
      <c r="D149" s="1" t="str">
        <f t="shared" si="4"/>
        <v>Collection of materials during a marine, lacustrine, or coastal survey by any method.</v>
      </c>
      <c r="E149" s="1" t="s">
        <v>519</v>
      </c>
      <c r="G149" s="1" t="s">
        <v>12</v>
      </c>
    </row>
    <row r="150" spans="1:7" ht="30" x14ac:dyDescent="0.25">
      <c r="A150" s="1">
        <v>154</v>
      </c>
      <c r="B150" s="1" t="s">
        <v>51</v>
      </c>
      <c r="C150" s="1" t="s">
        <v>52</v>
      </c>
      <c r="D150" s="1" t="str">
        <f t="shared" si="4"/>
        <v>Collection of water samples from a water body; includes surface water, lakes, marine water.</v>
      </c>
      <c r="E150" s="1" t="s">
        <v>520</v>
      </c>
      <c r="G150" s="1" t="s">
        <v>66</v>
      </c>
    </row>
    <row r="151" spans="1:7" ht="105" x14ac:dyDescent="0.25">
      <c r="A151" s="1">
        <v>112</v>
      </c>
      <c r="B151" s="1" t="s">
        <v>16</v>
      </c>
      <c r="C151" s="1" t="s">
        <v>17</v>
      </c>
      <c r="D151" s="1" t="str">
        <f t="shared" si="4"/>
        <v>Generic category for any method off acquiring a water sample. Water collected into a suitable container from a single sampling point. Includes grab sample from stream  samples collected by machines that open and close sampling bottles as the device is lowered through water column. e.g. Van Dorn bottles,  Kemmerer Water Sampler</v>
      </c>
      <c r="E151" s="1" t="s">
        <v>408</v>
      </c>
      <c r="G151" s="1" t="s">
        <v>12</v>
      </c>
    </row>
    <row r="152" spans="1:7" ht="105" x14ac:dyDescent="0.25">
      <c r="A152" s="1">
        <v>113</v>
      </c>
      <c r="B152" s="1" t="s">
        <v>16</v>
      </c>
      <c r="C152" s="1" t="s">
        <v>17</v>
      </c>
      <c r="D152" s="1" t="str">
        <f t="shared" si="4"/>
        <v>Generic category for any method off acquiring a water sample. Water collected into a suitable container from a single sampling point. Includes grab sample from stream  samples collected by machines that open and close sampling bottles as the device is lowered through water column. e.g. Van Dorn bottles,  Kemmerer Water Sampler</v>
      </c>
      <c r="E152" s="1" t="s">
        <v>408</v>
      </c>
      <c r="G152" s="2" t="s">
        <v>534</v>
      </c>
    </row>
    <row r="153" spans="1:7" ht="60" x14ac:dyDescent="0.25">
      <c r="A153" s="1">
        <v>121</v>
      </c>
      <c r="B153" s="1" t="s">
        <v>435</v>
      </c>
      <c r="C153" s="1" t="s">
        <v>436</v>
      </c>
      <c r="D153" s="1" t="str">
        <f t="shared" si="4"/>
        <v>water sample  preserved with reagent (e.g. nitric acid  sulfuric acid) as part of sampling process</v>
      </c>
      <c r="E153" s="1" t="s">
        <v>437</v>
      </c>
      <c r="G153" s="1" t="s">
        <v>373</v>
      </c>
    </row>
    <row r="154" spans="1:7" ht="105" x14ac:dyDescent="0.25">
      <c r="A154" s="1">
        <v>122</v>
      </c>
      <c r="B154" s="1" t="s">
        <v>269</v>
      </c>
      <c r="C154" s="1" t="s">
        <v>270</v>
      </c>
      <c r="D154" s="1" t="str">
        <f t="shared" si="4"/>
        <v>water is filtered as part of the sampling process (in the field or within a very short time period after collection) Sample is filtrate.. Include Hot Fluid Sampler (HFS), collects hot fluid samples using various types of filters https://www.pmel.noaa.gov/eoi/nemo2003/logbook/aug27.html</v>
      </c>
      <c r="E154" s="1" t="s">
        <v>438</v>
      </c>
      <c r="F154" s="1" t="s">
        <v>439</v>
      </c>
      <c r="G154" s="1" t="s">
        <v>373</v>
      </c>
    </row>
    <row r="155" spans="1:7" ht="60" x14ac:dyDescent="0.25">
      <c r="A155" s="1">
        <v>123</v>
      </c>
      <c r="B155" s="1" t="s">
        <v>440</v>
      </c>
      <c r="C155" s="1" t="s">
        <v>441</v>
      </c>
      <c r="D155" s="1" t="str">
        <f t="shared" si="4"/>
        <v>water sample is filtered and preserved with reagent (e.g. nitric acid  sulfuric acid) as part of sampling process</v>
      </c>
      <c r="E155" s="1" t="s">
        <v>442</v>
      </c>
      <c r="G155" s="1" t="s">
        <v>373</v>
      </c>
    </row>
    <row r="156" spans="1:7" ht="90" x14ac:dyDescent="0.25">
      <c r="A156" s="1">
        <v>155</v>
      </c>
      <c r="B156" s="1" t="s">
        <v>521</v>
      </c>
      <c r="C156" s="1" t="s">
        <v>522</v>
      </c>
      <c r="D156" s="1" t="str">
        <f t="shared" si="4"/>
        <v>Samples sediment and volcanic glass at the sea floor by crashing a weighted core tube that has a ring of sticky wax at the bottom into the sea floor.  Invented to sample volcanic glass shards in surface deposits along mid ocean ridges.</v>
      </c>
      <c r="E156" s="1" t="s">
        <v>523</v>
      </c>
      <c r="G156" s="1" t="s">
        <v>544</v>
      </c>
    </row>
    <row r="157" spans="1:7" ht="135" x14ac:dyDescent="0.25">
      <c r="A157" s="1">
        <v>156</v>
      </c>
      <c r="B157" s="3" t="s">
        <v>577</v>
      </c>
      <c r="C157" s="3" t="s">
        <v>576</v>
      </c>
      <c r="D157" s="1" t="str">
        <f>E157&amp;IF(ISBLANK(G157),"",". "&amp;G157)</f>
        <v>Samples collected using water-sampling bottles connected to CTD equipment, used to sample water at different depths.  CTD refers to a package of electronic instruments that measure Conductivity, Temperature, and Depth in a water column. Often, CTDs are attached to a much larger metal frame called a rosette, holding water-sampling bottles that are used to collect water at different depths, as well as other sensors that can measure additional physical or chemical properties.. https://oceanexplorer.noaa.gov/facts/ctd.html</v>
      </c>
      <c r="E157" s="1" t="s">
        <v>578</v>
      </c>
      <c r="G157" s="3" t="s">
        <v>579</v>
      </c>
    </row>
    <row r="158" spans="1:7" ht="135" x14ac:dyDescent="0.25">
      <c r="A158" s="1">
        <v>157</v>
      </c>
      <c r="B158" s="3"/>
      <c r="C158" s="3" t="s">
        <v>580</v>
      </c>
      <c r="D158" s="1" t="str">
        <f>E158&amp;IF(ISBLANK(G158),"",". "&amp;G158)</f>
        <v>Value not provided or not applicable. this vocabulary</v>
      </c>
      <c r="E158" s="1" t="s">
        <v>581</v>
      </c>
      <c r="F158" s="3"/>
      <c r="G158" s="3" t="s">
        <v>66</v>
      </c>
    </row>
    <row r="159" spans="1:7" x14ac:dyDescent="0.25">
      <c r="A159" s="1">
        <v>158</v>
      </c>
      <c r="B159" s="3" t="s">
        <v>583</v>
      </c>
      <c r="C159" s="3" t="s">
        <v>582</v>
      </c>
      <c r="D159" s="1" t="str">
        <f>E159&amp;IF(ISBLANK(G159),"",". "&amp;G159)</f>
        <v>sampling technique a solid support (e.g. a fiber) coated with an extracting phase extracts analytes of interest from a sampled media that can be a liquid or gas phase.  The extracting phase can be a liquid (polymer) or a solid (sorbent).  The quantity of analyte extracted is proportional to its concentration in the sample. . https://en.wikipedia.org/wiki/Solid-phase_microextraction</v>
      </c>
      <c r="E159" s="1" t="s">
        <v>584</v>
      </c>
      <c r="F159" s="3"/>
      <c r="G159" s="3" t="s">
        <v>585</v>
      </c>
    </row>
    <row r="160" spans="1:7" x14ac:dyDescent="0.25">
      <c r="B160" s="3"/>
      <c r="C160" s="3"/>
      <c r="F160" s="3"/>
      <c r="G160" s="3"/>
    </row>
    <row r="161" spans="2:7" x14ac:dyDescent="0.25">
      <c r="B161" s="3"/>
      <c r="C161" s="3"/>
      <c r="F161" s="3"/>
      <c r="G161" s="3"/>
    </row>
    <row r="162" spans="2:7" x14ac:dyDescent="0.25">
      <c r="B162" s="3"/>
      <c r="C162" s="3"/>
      <c r="F162" s="3"/>
      <c r="G162" s="3"/>
    </row>
    <row r="163" spans="2:7" x14ac:dyDescent="0.25">
      <c r="B163" s="3"/>
      <c r="C163" s="3"/>
      <c r="F163" s="3"/>
      <c r="G163" s="3"/>
    </row>
    <row r="164" spans="2:7" x14ac:dyDescent="0.25">
      <c r="B164" s="3"/>
      <c r="C164" s="3"/>
      <c r="F164" s="3"/>
      <c r="G164" s="3"/>
    </row>
    <row r="165" spans="2:7" x14ac:dyDescent="0.25">
      <c r="B165" s="3"/>
      <c r="C165" s="3"/>
      <c r="F165" s="3"/>
      <c r="G165" s="3"/>
    </row>
    <row r="166" spans="2:7" x14ac:dyDescent="0.25">
      <c r="B166" s="3"/>
      <c r="C166" s="3"/>
      <c r="F166" s="3"/>
      <c r="G166" s="3"/>
    </row>
    <row r="167" spans="2:7" x14ac:dyDescent="0.25">
      <c r="B167" s="3"/>
      <c r="C167" s="3"/>
      <c r="F167" s="3"/>
      <c r="G167" s="3"/>
    </row>
    <row r="168" spans="2:7" x14ac:dyDescent="0.25">
      <c r="B168" s="3"/>
      <c r="C168" s="3"/>
      <c r="F168" s="3"/>
      <c r="G168" s="3"/>
    </row>
    <row r="169" spans="2:7" x14ac:dyDescent="0.25">
      <c r="B169" s="3"/>
      <c r="C169" s="3"/>
      <c r="F169" s="3"/>
      <c r="G169" s="3"/>
    </row>
    <row r="170" spans="2:7" x14ac:dyDescent="0.25">
      <c r="B170" s="3"/>
      <c r="C170" s="3"/>
      <c r="F170" s="3"/>
      <c r="G170" s="3"/>
    </row>
    <row r="171" spans="2:7" x14ac:dyDescent="0.25">
      <c r="B171" s="3"/>
      <c r="C171" s="3"/>
      <c r="F171" s="3"/>
      <c r="G171" s="3"/>
    </row>
    <row r="172" spans="2:7" x14ac:dyDescent="0.25">
      <c r="B172" s="3"/>
      <c r="C172" s="3"/>
      <c r="F172" s="3"/>
      <c r="G172" s="3"/>
    </row>
    <row r="173" spans="2:7" x14ac:dyDescent="0.25">
      <c r="B173" s="3"/>
      <c r="C173" s="3"/>
      <c r="F173" s="3"/>
      <c r="G173" s="3"/>
    </row>
    <row r="174" spans="2:7" x14ac:dyDescent="0.25">
      <c r="B174" s="3"/>
      <c r="C174" s="3"/>
      <c r="F174" s="3"/>
      <c r="G174" s="3"/>
    </row>
    <row r="175" spans="2:7" x14ac:dyDescent="0.25">
      <c r="B175" s="3"/>
      <c r="C175" s="3"/>
      <c r="F175" s="3"/>
      <c r="G175" s="3"/>
    </row>
    <row r="176" spans="2:7" x14ac:dyDescent="0.25">
      <c r="B176" s="3"/>
      <c r="C176" s="3"/>
      <c r="F176" s="3"/>
      <c r="G176" s="3"/>
    </row>
    <row r="177" spans="2:7" x14ac:dyDescent="0.25">
      <c r="B177" s="3"/>
      <c r="C177" s="3"/>
      <c r="F177" s="3"/>
      <c r="G177" s="3"/>
    </row>
    <row r="178" spans="2:7" x14ac:dyDescent="0.25">
      <c r="B178" s="3"/>
      <c r="C178" s="3"/>
      <c r="F178" s="3"/>
      <c r="G178" s="3"/>
    </row>
    <row r="179" spans="2:7" x14ac:dyDescent="0.25">
      <c r="B179" s="3"/>
      <c r="C179" s="3"/>
      <c r="F179" s="3"/>
      <c r="G179" s="3"/>
    </row>
    <row r="180" spans="2:7" x14ac:dyDescent="0.25">
      <c r="B180" s="3"/>
      <c r="C180" s="3"/>
      <c r="F180" s="3"/>
      <c r="G180" s="3"/>
    </row>
  </sheetData>
  <autoFilter ref="C1:C180" xr:uid="{3B3A9889-F613-4A2D-B3E4-73CEC9E8AFBD}"/>
  <sortState xmlns:xlrd2="http://schemas.microsoft.com/office/spreadsheetml/2017/richdata2" ref="A2:G156">
    <sortCondition ref="C2:C156"/>
  </sortState>
  <hyperlinks>
    <hyperlink ref="G69" r:id="rId1" xr:uid="{81614846-BE23-4CD9-AE34-5B058EA4EE18}"/>
    <hyperlink ref="G129" r:id="rId2" xr:uid="{C32A6069-D4EF-4014-A76A-F34A435CB35F}"/>
    <hyperlink ref="G94" r:id="rId3" xr:uid="{7C16FD0F-3450-41BC-ABCC-A8856D909E01}"/>
    <hyperlink ref="G152" r:id="rId4" xr:uid="{2D9FF34D-AB18-47EF-9FFE-65B6810D6DC0}"/>
    <hyperlink ref="G118" r:id="rId5" xr:uid="{C5883FF4-8913-4585-9596-1E3891C2E1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3C11-062E-486E-B69B-F0251BB5ED48}">
  <dimension ref="C1:G156"/>
  <sheetViews>
    <sheetView workbookViewId="0">
      <selection activeCell="L26" sqref="L26"/>
    </sheetView>
  </sheetViews>
  <sheetFormatPr defaultRowHeight="15" x14ac:dyDescent="0.25"/>
  <sheetData>
    <row r="1" spans="3:7" x14ac:dyDescent="0.25">
      <c r="C1">
        <f>LEN(SamplingMethod!C1)</f>
        <v>5</v>
      </c>
      <c r="D1">
        <f>LEN(SamplingMethod!D1)</f>
        <v>11</v>
      </c>
      <c r="E1">
        <f>LEN(SamplingMethod!E1)</f>
        <v>3</v>
      </c>
      <c r="F1">
        <f>LEN(SamplingMethod!F1)</f>
        <v>4</v>
      </c>
      <c r="G1">
        <f>LEN(SamplingMethod!G1)</f>
        <v>6</v>
      </c>
    </row>
    <row r="2" spans="3:7" x14ac:dyDescent="0.25">
      <c r="C2">
        <f>LEN(SamplingMethod!C2)</f>
        <v>13</v>
      </c>
      <c r="D2">
        <f>LEN(SamplingMethod!D2)</f>
        <v>182</v>
      </c>
      <c r="G2">
        <f>LEN(SamplingMethod!G2)</f>
        <v>59</v>
      </c>
    </row>
    <row r="3" spans="3:7" x14ac:dyDescent="0.25">
      <c r="C3">
        <f>LEN(SamplingMethod!C3)</f>
        <v>24</v>
      </c>
      <c r="D3">
        <f>LEN(SamplingMethod!D3)</f>
        <v>77</v>
      </c>
      <c r="G3">
        <f>LEN(SamplingMethod!G3)</f>
        <v>20</v>
      </c>
    </row>
    <row r="4" spans="3:7" x14ac:dyDescent="0.25">
      <c r="C4">
        <f>LEN(SamplingMethod!C4)</f>
        <v>23</v>
      </c>
      <c r="D4">
        <f>LEN(SamplingMethod!D4)</f>
        <v>97</v>
      </c>
      <c r="G4">
        <f>LEN(SamplingMethod!G4)</f>
        <v>20</v>
      </c>
    </row>
    <row r="5" spans="3:7" x14ac:dyDescent="0.25">
      <c r="C5">
        <f>LEN(SamplingMethod!C5)</f>
        <v>22</v>
      </c>
      <c r="D5">
        <f>LEN(SamplingMethod!D5)</f>
        <v>45</v>
      </c>
      <c r="G5">
        <f>LEN(SamplingMethod!G5)</f>
        <v>20</v>
      </c>
    </row>
    <row r="6" spans="3:7" x14ac:dyDescent="0.25">
      <c r="C6">
        <f>LEN(SamplingMethod!C6)</f>
        <v>22</v>
      </c>
      <c r="D6">
        <f>LEN(SamplingMethod!D6)</f>
        <v>54</v>
      </c>
      <c r="G6">
        <f>LEN(SamplingMethod!G6)</f>
        <v>20</v>
      </c>
    </row>
    <row r="7" spans="3:7" x14ac:dyDescent="0.25">
      <c r="C7">
        <f>LEN(SamplingMethod!C7)</f>
        <v>5</v>
      </c>
      <c r="D7">
        <f>LEN(SamplingMethod!D7)</f>
        <v>147</v>
      </c>
      <c r="G7">
        <f>LEN(SamplingMethod!G7)</f>
        <v>20</v>
      </c>
    </row>
    <row r="8" spans="3:7" x14ac:dyDescent="0.25">
      <c r="C8">
        <f>LEN(SamplingMethod!C8)</f>
        <v>7</v>
      </c>
      <c r="D8">
        <f>LEN(SamplingMethod!D8)</f>
        <v>0</v>
      </c>
      <c r="G8">
        <f>LEN(SamplingMethod!G8)</f>
        <v>0</v>
      </c>
    </row>
    <row r="9" spans="3:7" x14ac:dyDescent="0.25">
      <c r="C9">
        <f>LEN(SamplingMethod!C9)</f>
        <v>10</v>
      </c>
      <c r="D9">
        <f>LEN(SamplingMethod!D9)</f>
        <v>136</v>
      </c>
      <c r="G9">
        <f>LEN(SamplingMethod!G9)</f>
        <v>51</v>
      </c>
    </row>
    <row r="10" spans="3:7" x14ac:dyDescent="0.25">
      <c r="C10">
        <f>LEN(SamplingMethod!C10)</f>
        <v>21</v>
      </c>
      <c r="D10">
        <f>LEN(SamplingMethod!D10)</f>
        <v>514</v>
      </c>
      <c r="G10">
        <f>LEN(SamplingMethod!G10)</f>
        <v>20</v>
      </c>
    </row>
    <row r="11" spans="3:7" x14ac:dyDescent="0.25">
      <c r="C11">
        <f>LEN(SamplingMethod!C11)</f>
        <v>13</v>
      </c>
      <c r="D11">
        <f>LEN(SamplingMethod!D11)</f>
        <v>143</v>
      </c>
      <c r="G11">
        <f>LEN(SamplingMethod!G11)</f>
        <v>20</v>
      </c>
    </row>
    <row r="12" spans="3:7" x14ac:dyDescent="0.25">
      <c r="C12">
        <f>LEN(SamplingMethod!C12)</f>
        <v>11</v>
      </c>
      <c r="D12">
        <f>LEN(SamplingMethod!D12)</f>
        <v>0</v>
      </c>
      <c r="G12">
        <f>LEN(SamplingMethod!G12)</f>
        <v>0</v>
      </c>
    </row>
    <row r="13" spans="3:7" x14ac:dyDescent="0.25">
      <c r="C13">
        <f>LEN(SamplingMethod!C13)</f>
        <v>8</v>
      </c>
      <c r="D13">
        <f>LEN(SamplingMethod!D13)</f>
        <v>170</v>
      </c>
      <c r="G13">
        <f>LEN(SamplingMethod!G13)</f>
        <v>23</v>
      </c>
    </row>
    <row r="14" spans="3:7" x14ac:dyDescent="0.25">
      <c r="C14">
        <f>LEN(SamplingMethod!C14)</f>
        <v>24</v>
      </c>
      <c r="D14">
        <f>LEN(SamplingMethod!D14)</f>
        <v>182</v>
      </c>
      <c r="G14">
        <f>LEN(SamplingMethod!G14)</f>
        <v>20</v>
      </c>
    </row>
    <row r="15" spans="3:7" x14ac:dyDescent="0.25">
      <c r="C15">
        <f>LEN(SamplingMethod!C15)</f>
        <v>24</v>
      </c>
      <c r="D15">
        <f>LEN(SamplingMethod!D15)</f>
        <v>275</v>
      </c>
      <c r="G15">
        <f>LEN(SamplingMethod!G15)</f>
        <v>20</v>
      </c>
    </row>
    <row r="16" spans="3:7" x14ac:dyDescent="0.25">
      <c r="C16">
        <f>LEN(SamplingMethod!C16)</f>
        <v>23</v>
      </c>
      <c r="D16">
        <f>LEN(SamplingMethod!D16)</f>
        <v>81</v>
      </c>
      <c r="G16">
        <f>LEN(SamplingMethod!G16)</f>
        <v>20</v>
      </c>
    </row>
    <row r="17" spans="3:7" x14ac:dyDescent="0.25">
      <c r="C17">
        <f>LEN(SamplingMethod!C17)</f>
        <v>24</v>
      </c>
      <c r="D17">
        <f>LEN(SamplingMethod!D17)</f>
        <v>143</v>
      </c>
      <c r="G17">
        <f>LEN(SamplingMethod!G17)</f>
        <v>20</v>
      </c>
    </row>
    <row r="18" spans="3:7" x14ac:dyDescent="0.25">
      <c r="C18">
        <f>LEN(SamplingMethod!C18)</f>
        <v>22</v>
      </c>
      <c r="D18">
        <f>LEN(SamplingMethod!D18)</f>
        <v>293</v>
      </c>
      <c r="G18">
        <f>LEN(SamplingMethod!G18)</f>
        <v>20</v>
      </c>
    </row>
    <row r="19" spans="3:7" x14ac:dyDescent="0.25">
      <c r="C19">
        <f>LEN(SamplingMethod!C19)</f>
        <v>32</v>
      </c>
      <c r="D19">
        <f>LEN(SamplingMethod!D19)</f>
        <v>344</v>
      </c>
      <c r="G19">
        <f>LEN(SamplingMethod!G19)</f>
        <v>20</v>
      </c>
    </row>
    <row r="20" spans="3:7" x14ac:dyDescent="0.25">
      <c r="C20">
        <f>LEN(SamplingMethod!C20)</f>
        <v>17</v>
      </c>
      <c r="D20">
        <f>LEN(SamplingMethod!D20)</f>
        <v>164</v>
      </c>
      <c r="G20">
        <f>LEN(SamplingMethod!G20)</f>
        <v>20</v>
      </c>
    </row>
    <row r="21" spans="3:7" x14ac:dyDescent="0.25">
      <c r="C21">
        <f>LEN(SamplingMethod!C21)</f>
        <v>22</v>
      </c>
      <c r="D21">
        <f>LEN(SamplingMethod!D21)</f>
        <v>164</v>
      </c>
      <c r="G21">
        <f>LEN(SamplingMethod!G21)</f>
        <v>20</v>
      </c>
    </row>
    <row r="22" spans="3:7" x14ac:dyDescent="0.25">
      <c r="C22">
        <f>LEN(SamplingMethod!C22)</f>
        <v>23</v>
      </c>
      <c r="D22">
        <f>LEN(SamplingMethod!D22)</f>
        <v>164</v>
      </c>
      <c r="G22">
        <f>LEN(SamplingMethod!G22)</f>
        <v>20</v>
      </c>
    </row>
    <row r="23" spans="3:7" x14ac:dyDescent="0.25">
      <c r="C23">
        <f>LEN(SamplingMethod!C23)</f>
        <v>10</v>
      </c>
      <c r="D23">
        <f>LEN(SamplingMethod!D23)</f>
        <v>503</v>
      </c>
      <c r="G23">
        <f>LEN(SamplingMethod!G23)</f>
        <v>217</v>
      </c>
    </row>
    <row r="24" spans="3:7" x14ac:dyDescent="0.25">
      <c r="C24">
        <f>LEN(SamplingMethod!C24)</f>
        <v>19</v>
      </c>
      <c r="D24">
        <f>LEN(SamplingMethod!D24)</f>
        <v>165</v>
      </c>
      <c r="G24">
        <f>LEN(SamplingMethod!G24)</f>
        <v>46</v>
      </c>
    </row>
    <row r="25" spans="3:7" x14ac:dyDescent="0.25">
      <c r="C25">
        <f>LEN(SamplingMethod!C25)</f>
        <v>22</v>
      </c>
      <c r="D25">
        <f>LEN(SamplingMethod!D25)</f>
        <v>904</v>
      </c>
      <c r="G25">
        <f>LEN(SamplingMethod!G25)</f>
        <v>106</v>
      </c>
    </row>
    <row r="26" spans="3:7" x14ac:dyDescent="0.25">
      <c r="C26">
        <f>LEN(SamplingMethod!C26)</f>
        <v>25</v>
      </c>
      <c r="D26">
        <f>LEN(SamplingMethod!D26)</f>
        <v>54</v>
      </c>
      <c r="G26">
        <f>LEN(SamplingMethod!G26)</f>
        <v>0</v>
      </c>
    </row>
    <row r="27" spans="3:7" x14ac:dyDescent="0.25">
      <c r="C27">
        <f>LEN(SamplingMethod!C27)</f>
        <v>24</v>
      </c>
      <c r="D27">
        <f>LEN(SamplingMethod!D27)</f>
        <v>65</v>
      </c>
      <c r="G27">
        <f>LEN(SamplingMethod!G27)</f>
        <v>15</v>
      </c>
    </row>
    <row r="28" spans="3:7" x14ac:dyDescent="0.25">
      <c r="C28">
        <f>LEN(SamplingMethod!C28)</f>
        <v>16</v>
      </c>
      <c r="D28">
        <f>LEN(SamplingMethod!D28)</f>
        <v>575</v>
      </c>
      <c r="G28">
        <f>LEN(SamplingMethod!G28)</f>
        <v>103</v>
      </c>
    </row>
    <row r="29" spans="3:7" x14ac:dyDescent="0.25">
      <c r="C29">
        <f>LEN(SamplingMethod!C29)</f>
        <v>9</v>
      </c>
      <c r="D29">
        <f>LEN(SamplingMethod!D29)</f>
        <v>70</v>
      </c>
      <c r="G29">
        <f>LEN(SamplingMethod!G29)</f>
        <v>10</v>
      </c>
    </row>
    <row r="30" spans="3:7" x14ac:dyDescent="0.25">
      <c r="C30">
        <f>LEN(SamplingMethod!C30)</f>
        <v>18</v>
      </c>
      <c r="D30">
        <f>LEN(SamplingMethod!D30)</f>
        <v>149</v>
      </c>
      <c r="G30">
        <f>LEN(SamplingMethod!G30)</f>
        <v>20</v>
      </c>
    </row>
    <row r="31" spans="3:7" x14ac:dyDescent="0.25">
      <c r="C31">
        <f>LEN(SamplingMethod!C31)</f>
        <v>23</v>
      </c>
      <c r="D31">
        <f>LEN(SamplingMethod!D31)</f>
        <v>318</v>
      </c>
      <c r="G31">
        <f>LEN(SamplingMethod!G31)</f>
        <v>20</v>
      </c>
    </row>
    <row r="32" spans="3:7" x14ac:dyDescent="0.25">
      <c r="C32">
        <f>LEN(SamplingMethod!C32)</f>
        <v>24</v>
      </c>
      <c r="D32">
        <f>LEN(SamplingMethod!D32)</f>
        <v>303</v>
      </c>
      <c r="G32">
        <f>LEN(SamplingMethod!G32)</f>
        <v>20</v>
      </c>
    </row>
    <row r="33" spans="3:7" x14ac:dyDescent="0.25">
      <c r="C33">
        <f>LEN(SamplingMethod!C33)</f>
        <v>16</v>
      </c>
      <c r="D33">
        <f>LEN(SamplingMethod!D33)</f>
        <v>464</v>
      </c>
      <c r="G33">
        <f>LEN(SamplingMethod!G33)</f>
        <v>169</v>
      </c>
    </row>
    <row r="34" spans="3:7" x14ac:dyDescent="0.25">
      <c r="C34">
        <f>LEN(SamplingMethod!C34)</f>
        <v>19</v>
      </c>
      <c r="D34">
        <f>LEN(SamplingMethod!D34)</f>
        <v>62</v>
      </c>
      <c r="G34">
        <f>LEN(SamplingMethod!G34)</f>
        <v>15</v>
      </c>
    </row>
    <row r="35" spans="3:7" x14ac:dyDescent="0.25">
      <c r="C35">
        <f>LEN(SamplingMethod!C35)</f>
        <v>13</v>
      </c>
      <c r="D35">
        <f>LEN(SamplingMethod!D35)</f>
        <v>99</v>
      </c>
      <c r="G35">
        <f>LEN(SamplingMethod!G35)</f>
        <v>0</v>
      </c>
    </row>
    <row r="36" spans="3:7" x14ac:dyDescent="0.25">
      <c r="C36">
        <f>LEN(SamplingMethod!C36)</f>
        <v>22</v>
      </c>
      <c r="D36">
        <f>LEN(SamplingMethod!D36)</f>
        <v>103</v>
      </c>
      <c r="G36">
        <f>LEN(SamplingMethod!G36)</f>
        <v>15</v>
      </c>
    </row>
    <row r="37" spans="3:7" x14ac:dyDescent="0.25">
      <c r="C37">
        <f>LEN(SamplingMethod!C37)</f>
        <v>24</v>
      </c>
      <c r="D37">
        <f>LEN(SamplingMethod!D37)</f>
        <v>314</v>
      </c>
      <c r="G37">
        <f>LEN(SamplingMethod!G37)</f>
        <v>76</v>
      </c>
    </row>
    <row r="38" spans="3:7" x14ac:dyDescent="0.25">
      <c r="C38">
        <f>LEN(SamplingMethod!C38)</f>
        <v>41</v>
      </c>
      <c r="D38">
        <f>LEN(SamplingMethod!D38)</f>
        <v>117</v>
      </c>
      <c r="G38">
        <f>LEN(SamplingMethod!G38)</f>
        <v>76</v>
      </c>
    </row>
    <row r="39" spans="3:7" x14ac:dyDescent="0.25">
      <c r="C39">
        <f>LEN(SamplingMethod!C39)</f>
        <v>35</v>
      </c>
      <c r="D39">
        <f>LEN(SamplingMethod!D39)</f>
        <v>108</v>
      </c>
      <c r="G39">
        <f>LEN(SamplingMethod!G39)</f>
        <v>76</v>
      </c>
    </row>
    <row r="40" spans="3:7" x14ac:dyDescent="0.25">
      <c r="C40">
        <f>LEN(SamplingMethod!C40)</f>
        <v>31</v>
      </c>
      <c r="D40">
        <f>LEN(SamplingMethod!D40)</f>
        <v>131</v>
      </c>
      <c r="G40">
        <f>LEN(SamplingMethod!G40)</f>
        <v>76</v>
      </c>
    </row>
    <row r="41" spans="3:7" x14ac:dyDescent="0.25">
      <c r="C41">
        <f>LEN(SamplingMethod!C41)</f>
        <v>18</v>
      </c>
      <c r="D41">
        <f>LEN(SamplingMethod!D41)</f>
        <v>1132</v>
      </c>
      <c r="G41">
        <f>LEN(SamplingMethod!G41)</f>
        <v>15</v>
      </c>
    </row>
    <row r="42" spans="3:7" x14ac:dyDescent="0.25">
      <c r="C42">
        <f>LEN(SamplingMethod!C42)</f>
        <v>12</v>
      </c>
      <c r="D42">
        <f>LEN(SamplingMethod!D42)</f>
        <v>314</v>
      </c>
      <c r="G42">
        <f>LEN(SamplingMethod!G42)</f>
        <v>20</v>
      </c>
    </row>
    <row r="43" spans="3:7" x14ac:dyDescent="0.25">
      <c r="C43">
        <f>LEN(SamplingMethod!C43)</f>
        <v>17</v>
      </c>
      <c r="D43">
        <f>LEN(SamplingMethod!D43)</f>
        <v>128</v>
      </c>
      <c r="G43">
        <f>LEN(SamplingMethod!G43)</f>
        <v>20</v>
      </c>
    </row>
    <row r="44" spans="3:7" x14ac:dyDescent="0.25">
      <c r="C44">
        <f>LEN(SamplingMethod!C44)</f>
        <v>11</v>
      </c>
      <c r="D44">
        <f>LEN(SamplingMethod!D44)</f>
        <v>241</v>
      </c>
      <c r="G44">
        <f>LEN(SamplingMethod!G44)</f>
        <v>20</v>
      </c>
    </row>
    <row r="45" spans="3:7" x14ac:dyDescent="0.25">
      <c r="C45">
        <f>LEN(SamplingMethod!C45)</f>
        <v>13</v>
      </c>
      <c r="D45">
        <f>LEN(SamplingMethod!D45)</f>
        <v>70</v>
      </c>
      <c r="G45">
        <f>LEN(SamplingMethod!G45)</f>
        <v>45</v>
      </c>
    </row>
    <row r="46" spans="3:7" x14ac:dyDescent="0.25">
      <c r="C46">
        <f>LEN(SamplingMethod!C46)</f>
        <v>20</v>
      </c>
      <c r="D46">
        <f>LEN(SamplingMethod!D46)</f>
        <v>164</v>
      </c>
      <c r="G46">
        <f>LEN(SamplingMethod!G46)</f>
        <v>20</v>
      </c>
    </row>
    <row r="47" spans="3:7" x14ac:dyDescent="0.25">
      <c r="C47">
        <f>LEN(SamplingMethod!C47)</f>
        <v>21</v>
      </c>
      <c r="D47">
        <f>LEN(SamplingMethod!D47)</f>
        <v>161</v>
      </c>
      <c r="G47">
        <f>LEN(SamplingMethod!G47)</f>
        <v>20</v>
      </c>
    </row>
    <row r="48" spans="3:7" x14ac:dyDescent="0.25">
      <c r="C48">
        <f>LEN(SamplingMethod!C48)</f>
        <v>14</v>
      </c>
      <c r="D48">
        <f>LEN(SamplingMethod!D48)</f>
        <v>271</v>
      </c>
      <c r="G48">
        <f>LEN(SamplingMethod!G48)</f>
        <v>20</v>
      </c>
    </row>
    <row r="49" spans="3:7" x14ac:dyDescent="0.25">
      <c r="C49">
        <f>LEN(SamplingMethod!C49)</f>
        <v>23</v>
      </c>
      <c r="D49">
        <f>LEN(SamplingMethod!D49)</f>
        <v>353</v>
      </c>
      <c r="G49">
        <f>LEN(SamplingMethod!G49)</f>
        <v>43</v>
      </c>
    </row>
    <row r="50" spans="3:7" x14ac:dyDescent="0.25">
      <c r="C50">
        <f>LEN(SamplingMethod!C50)</f>
        <v>10</v>
      </c>
      <c r="D50">
        <f>LEN(SamplingMethod!D50)</f>
        <v>58</v>
      </c>
      <c r="G50">
        <f>LEN(SamplingMethod!G50)</f>
        <v>20</v>
      </c>
    </row>
    <row r="51" spans="3:7" x14ac:dyDescent="0.25">
      <c r="C51">
        <f>LEN(SamplingMethod!C51)</f>
        <v>10</v>
      </c>
      <c r="D51">
        <f>LEN(SamplingMethod!D51)</f>
        <v>70</v>
      </c>
      <c r="G51">
        <f>LEN(SamplingMethod!G51)</f>
        <v>20</v>
      </c>
    </row>
    <row r="52" spans="3:7" x14ac:dyDescent="0.25">
      <c r="C52">
        <f>LEN(SamplingMethod!C52)</f>
        <v>6</v>
      </c>
      <c r="D52">
        <f>LEN(SamplingMethod!D52)</f>
        <v>324</v>
      </c>
      <c r="G52">
        <f>LEN(SamplingMethod!G52)</f>
        <v>15</v>
      </c>
    </row>
    <row r="53" spans="3:7" x14ac:dyDescent="0.25">
      <c r="C53">
        <f>LEN(SamplingMethod!C53)</f>
        <v>23</v>
      </c>
      <c r="D53">
        <f>LEN(SamplingMethod!D53)</f>
        <v>70</v>
      </c>
      <c r="G53">
        <f>LEN(SamplingMethod!G53)</f>
        <v>20</v>
      </c>
    </row>
    <row r="54" spans="3:7" x14ac:dyDescent="0.25">
      <c r="C54">
        <f>LEN(SamplingMethod!C54)</f>
        <v>18</v>
      </c>
      <c r="D54">
        <f>LEN(SamplingMethod!D54)</f>
        <v>84</v>
      </c>
      <c r="G54">
        <f>LEN(SamplingMethod!G54)</f>
        <v>15</v>
      </c>
    </row>
    <row r="55" spans="3:7" x14ac:dyDescent="0.25">
      <c r="C55">
        <f>LEN(SamplingMethod!C55)</f>
        <v>24</v>
      </c>
      <c r="D55">
        <f>LEN(SamplingMethod!D55)</f>
        <v>86</v>
      </c>
      <c r="G55">
        <f>LEN(SamplingMethod!G55)</f>
        <v>20</v>
      </c>
    </row>
    <row r="56" spans="3:7" x14ac:dyDescent="0.25">
      <c r="C56">
        <f>LEN(SamplingMethod!C56)</f>
        <v>17</v>
      </c>
      <c r="D56">
        <f>LEN(SamplingMethod!D56)</f>
        <v>266</v>
      </c>
      <c r="G56">
        <f>LEN(SamplingMethod!G56)</f>
        <v>20</v>
      </c>
    </row>
    <row r="57" spans="3:7" x14ac:dyDescent="0.25">
      <c r="C57">
        <f>LEN(SamplingMethod!C57)</f>
        <v>11</v>
      </c>
      <c r="D57">
        <f>LEN(SamplingMethod!D57)</f>
        <v>142</v>
      </c>
      <c r="G57">
        <f>LEN(SamplingMethod!G57)</f>
        <v>20</v>
      </c>
    </row>
    <row r="58" spans="3:7" x14ac:dyDescent="0.25">
      <c r="C58">
        <f>LEN(SamplingMethod!C58)</f>
        <v>15</v>
      </c>
      <c r="D58">
        <f>LEN(SamplingMethod!D58)</f>
        <v>273</v>
      </c>
      <c r="G58">
        <f>LEN(SamplingMethod!G58)</f>
        <v>46</v>
      </c>
    </row>
    <row r="59" spans="3:7" x14ac:dyDescent="0.25">
      <c r="C59">
        <f>LEN(SamplingMethod!C59)</f>
        <v>8</v>
      </c>
      <c r="D59">
        <f>LEN(SamplingMethod!D59)</f>
        <v>55</v>
      </c>
      <c r="G59">
        <f>LEN(SamplingMethod!G59)</f>
        <v>20</v>
      </c>
    </row>
    <row r="60" spans="3:7" x14ac:dyDescent="0.25">
      <c r="C60">
        <f>LEN(SamplingMethod!C60)</f>
        <v>29</v>
      </c>
      <c r="D60">
        <f>LEN(SamplingMethod!D60)</f>
        <v>978</v>
      </c>
      <c r="G60">
        <f>LEN(SamplingMethod!G60)</f>
        <v>160</v>
      </c>
    </row>
    <row r="61" spans="3:7" x14ac:dyDescent="0.25">
      <c r="C61">
        <f>LEN(SamplingMethod!C61)</f>
        <v>20</v>
      </c>
      <c r="D61">
        <f>LEN(SamplingMethod!D61)</f>
        <v>92</v>
      </c>
      <c r="G61">
        <f>LEN(SamplingMethod!G61)</f>
        <v>20</v>
      </c>
    </row>
    <row r="62" spans="3:7" x14ac:dyDescent="0.25">
      <c r="C62">
        <f>LEN(SamplingMethod!C62)</f>
        <v>23</v>
      </c>
      <c r="D62">
        <f>LEN(SamplingMethod!D62)</f>
        <v>111</v>
      </c>
      <c r="G62">
        <f>LEN(SamplingMethod!G62)</f>
        <v>20</v>
      </c>
    </row>
    <row r="63" spans="3:7" x14ac:dyDescent="0.25">
      <c r="C63">
        <f>LEN(SamplingMethod!C63)</f>
        <v>27</v>
      </c>
      <c r="D63">
        <f>LEN(SamplingMethod!D63)</f>
        <v>315</v>
      </c>
      <c r="G63">
        <f>LEN(SamplingMethod!G63)</f>
        <v>20</v>
      </c>
    </row>
    <row r="64" spans="3:7" x14ac:dyDescent="0.25">
      <c r="C64">
        <f>LEN(SamplingMethod!C64)</f>
        <v>32</v>
      </c>
      <c r="D64">
        <f>LEN(SamplingMethod!D64)</f>
        <v>791</v>
      </c>
      <c r="G64">
        <f>LEN(SamplingMethod!G64)</f>
        <v>57</v>
      </c>
    </row>
    <row r="65" spans="3:7" x14ac:dyDescent="0.25">
      <c r="C65">
        <f>LEN(SamplingMethod!C65)</f>
        <v>14</v>
      </c>
      <c r="D65">
        <f>LEN(SamplingMethod!D65)</f>
        <v>162</v>
      </c>
      <c r="G65">
        <f>LEN(SamplingMethod!G65)</f>
        <v>15</v>
      </c>
    </row>
    <row r="66" spans="3:7" x14ac:dyDescent="0.25">
      <c r="C66">
        <f>LEN(SamplingMethod!C66)</f>
        <v>16</v>
      </c>
      <c r="D66">
        <f>LEN(SamplingMethod!D66)</f>
        <v>299</v>
      </c>
      <c r="G66">
        <f>LEN(SamplingMethod!G66)</f>
        <v>23</v>
      </c>
    </row>
    <row r="67" spans="3:7" x14ac:dyDescent="0.25">
      <c r="C67">
        <f>LEN(SamplingMethod!C67)</f>
        <v>12</v>
      </c>
      <c r="D67">
        <f>LEN(SamplingMethod!D67)</f>
        <v>125</v>
      </c>
      <c r="G67">
        <f>LEN(SamplingMethod!G67)</f>
        <v>15</v>
      </c>
    </row>
    <row r="68" spans="3:7" x14ac:dyDescent="0.25">
      <c r="C68">
        <f>LEN(SamplingMethod!C68)</f>
        <v>25</v>
      </c>
      <c r="D68">
        <f>LEN(SamplingMethod!D68)</f>
        <v>217</v>
      </c>
      <c r="G68">
        <f>LEN(SamplingMethod!G68)</f>
        <v>41</v>
      </c>
    </row>
    <row r="69" spans="3:7" x14ac:dyDescent="0.25">
      <c r="C69">
        <f>LEN(SamplingMethod!C69)</f>
        <v>15</v>
      </c>
      <c r="D69">
        <f>LEN(SamplingMethod!D69)</f>
        <v>333</v>
      </c>
      <c r="G69">
        <f>LEN(SamplingMethod!G69)</f>
        <v>82</v>
      </c>
    </row>
    <row r="70" spans="3:7" x14ac:dyDescent="0.25">
      <c r="C70">
        <f>LEN(SamplingMethod!C70)</f>
        <v>25</v>
      </c>
      <c r="D70">
        <f>LEN(SamplingMethod!D70)</f>
        <v>509</v>
      </c>
      <c r="G70">
        <f>LEN(SamplingMethod!G70)</f>
        <v>0</v>
      </c>
    </row>
    <row r="71" spans="3:7" x14ac:dyDescent="0.25">
      <c r="C71">
        <f>LEN(SamplingMethod!C71)</f>
        <v>11</v>
      </c>
      <c r="D71">
        <f>LEN(SamplingMethod!D71)</f>
        <v>124</v>
      </c>
      <c r="G71">
        <f>LEN(SamplingMethod!G71)</f>
        <v>20</v>
      </c>
    </row>
    <row r="72" spans="3:7" x14ac:dyDescent="0.25">
      <c r="C72">
        <f>LEN(SamplingMethod!C72)</f>
        <v>23</v>
      </c>
      <c r="D72">
        <f>LEN(SamplingMethod!D72)</f>
        <v>199</v>
      </c>
      <c r="G72">
        <f>LEN(SamplingMethod!G72)</f>
        <v>15</v>
      </c>
    </row>
    <row r="73" spans="3:7" x14ac:dyDescent="0.25">
      <c r="C73">
        <f>LEN(SamplingMethod!C73)</f>
        <v>11</v>
      </c>
      <c r="D73">
        <f>LEN(SamplingMethod!D73)</f>
        <v>1055</v>
      </c>
      <c r="G73">
        <f>LEN(SamplingMethod!G73)</f>
        <v>20</v>
      </c>
    </row>
    <row r="74" spans="3:7" x14ac:dyDescent="0.25">
      <c r="C74">
        <f>LEN(SamplingMethod!C74)</f>
        <v>21</v>
      </c>
      <c r="D74">
        <f>LEN(SamplingMethod!D74)</f>
        <v>145</v>
      </c>
      <c r="G74">
        <f>LEN(SamplingMethod!G74)</f>
        <v>20</v>
      </c>
    </row>
    <row r="75" spans="3:7" x14ac:dyDescent="0.25">
      <c r="C75">
        <f>LEN(SamplingMethod!C75)</f>
        <v>14</v>
      </c>
      <c r="D75">
        <f>LEN(SamplingMethod!D75)</f>
        <v>750</v>
      </c>
      <c r="G75">
        <f>LEN(SamplingMethod!G75)</f>
        <v>165</v>
      </c>
    </row>
    <row r="76" spans="3:7" x14ac:dyDescent="0.25">
      <c r="C76">
        <f>LEN(SamplingMethod!C76)</f>
        <v>19</v>
      </c>
      <c r="D76">
        <f>LEN(SamplingMethod!D76)</f>
        <v>0</v>
      </c>
      <c r="G76">
        <f>LEN(SamplingMethod!G76)</f>
        <v>0</v>
      </c>
    </row>
    <row r="77" spans="3:7" x14ac:dyDescent="0.25">
      <c r="C77">
        <f>LEN(SamplingMethod!C77)</f>
        <v>10</v>
      </c>
      <c r="D77">
        <f>LEN(SamplingMethod!D77)</f>
        <v>0</v>
      </c>
      <c r="G77">
        <f>LEN(SamplingMethod!G77)</f>
        <v>0</v>
      </c>
    </row>
    <row r="78" spans="3:7" x14ac:dyDescent="0.25">
      <c r="C78">
        <f>LEN(SamplingMethod!C78)</f>
        <v>17</v>
      </c>
      <c r="D78">
        <f>LEN(SamplingMethod!D78)</f>
        <v>153</v>
      </c>
      <c r="G78">
        <f>LEN(SamplingMethod!G78)</f>
        <v>103</v>
      </c>
    </row>
    <row r="79" spans="3:7" x14ac:dyDescent="0.25">
      <c r="C79">
        <f>LEN(SamplingMethod!C79)</f>
        <v>16</v>
      </c>
      <c r="D79">
        <f>LEN(SamplingMethod!D79)</f>
        <v>175</v>
      </c>
      <c r="G79">
        <f>LEN(SamplingMethod!G79)</f>
        <v>23</v>
      </c>
    </row>
    <row r="80" spans="3:7" x14ac:dyDescent="0.25">
      <c r="C80">
        <f>LEN(SamplingMethod!C80)</f>
        <v>23</v>
      </c>
      <c r="D80">
        <f>LEN(SamplingMethod!D80)</f>
        <v>94</v>
      </c>
      <c r="G80">
        <f>LEN(SamplingMethod!G80)</f>
        <v>0</v>
      </c>
    </row>
    <row r="81" spans="3:7" x14ac:dyDescent="0.25">
      <c r="C81">
        <f>LEN(SamplingMethod!C81)</f>
        <v>47</v>
      </c>
      <c r="D81">
        <f>LEN(SamplingMethod!D81)</f>
        <v>184</v>
      </c>
      <c r="G81">
        <f>LEN(SamplingMethod!G81)</f>
        <v>0</v>
      </c>
    </row>
    <row r="82" spans="3:7" x14ac:dyDescent="0.25">
      <c r="C82">
        <f>LEN(SamplingMethod!C82)</f>
        <v>47</v>
      </c>
      <c r="D82">
        <f>LEN(SamplingMethod!D82)</f>
        <v>188</v>
      </c>
      <c r="G82">
        <f>LEN(SamplingMethod!G82)</f>
        <v>0</v>
      </c>
    </row>
    <row r="83" spans="3:7" x14ac:dyDescent="0.25">
      <c r="C83">
        <f>LEN(SamplingMethod!C83)</f>
        <v>13</v>
      </c>
      <c r="D83">
        <f>LEN(SamplingMethod!D83)</f>
        <v>1048</v>
      </c>
      <c r="G83">
        <f>LEN(SamplingMethod!G83)</f>
        <v>20</v>
      </c>
    </row>
    <row r="84" spans="3:7" x14ac:dyDescent="0.25">
      <c r="C84">
        <f>LEN(SamplingMethod!C84)</f>
        <v>10</v>
      </c>
      <c r="D84">
        <f>LEN(SamplingMethod!D84)</f>
        <v>209</v>
      </c>
      <c r="G84">
        <f>LEN(SamplingMethod!G84)</f>
        <v>15</v>
      </c>
    </row>
    <row r="85" spans="3:7" x14ac:dyDescent="0.25">
      <c r="C85">
        <f>LEN(SamplingMethod!C85)</f>
        <v>21</v>
      </c>
      <c r="D85">
        <f>LEN(SamplingMethod!D85)</f>
        <v>104</v>
      </c>
      <c r="G85">
        <f>LEN(SamplingMethod!G85)</f>
        <v>20</v>
      </c>
    </row>
    <row r="86" spans="3:7" x14ac:dyDescent="0.25">
      <c r="C86">
        <f>LEN(SamplingMethod!C86)</f>
        <v>26</v>
      </c>
      <c r="D86">
        <f>LEN(SamplingMethod!D86)</f>
        <v>226</v>
      </c>
      <c r="G86">
        <f>LEN(SamplingMethod!G86)</f>
        <v>84</v>
      </c>
    </row>
    <row r="87" spans="3:7" x14ac:dyDescent="0.25">
      <c r="C87">
        <f>LEN(SamplingMethod!C87)</f>
        <v>11</v>
      </c>
      <c r="D87">
        <f>LEN(SamplingMethod!D87)</f>
        <v>59</v>
      </c>
      <c r="G87">
        <f>LEN(SamplingMethod!G87)</f>
        <v>23</v>
      </c>
    </row>
    <row r="88" spans="3:7" x14ac:dyDescent="0.25">
      <c r="C88">
        <f>LEN(SamplingMethod!C88)</f>
        <v>19</v>
      </c>
      <c r="D88">
        <f>LEN(SamplingMethod!D88)</f>
        <v>88</v>
      </c>
      <c r="G88">
        <f>LEN(SamplingMethod!G88)</f>
        <v>15</v>
      </c>
    </row>
    <row r="89" spans="3:7" x14ac:dyDescent="0.25">
      <c r="C89">
        <f>LEN(SamplingMethod!C89)</f>
        <v>28</v>
      </c>
      <c r="D89">
        <f>LEN(SamplingMethod!D89)</f>
        <v>25</v>
      </c>
      <c r="G89">
        <f>LEN(SamplingMethod!G89)</f>
        <v>0</v>
      </c>
    </row>
    <row r="90" spans="3:7" x14ac:dyDescent="0.25">
      <c r="C90">
        <f>LEN(SamplingMethod!C90)</f>
        <v>12</v>
      </c>
      <c r="D90">
        <f>LEN(SamplingMethod!D90)</f>
        <v>0</v>
      </c>
      <c r="G90">
        <f>LEN(SamplingMethod!G90)</f>
        <v>0</v>
      </c>
    </row>
    <row r="91" spans="3:7" x14ac:dyDescent="0.25">
      <c r="C91">
        <f>LEN(SamplingMethod!C91)</f>
        <v>22</v>
      </c>
      <c r="D91">
        <f>LEN(SamplingMethod!D91)</f>
        <v>141</v>
      </c>
      <c r="G91">
        <f>LEN(SamplingMethod!G91)</f>
        <v>15</v>
      </c>
    </row>
    <row r="92" spans="3:7" x14ac:dyDescent="0.25">
      <c r="C92">
        <f>LEN(SamplingMethod!C92)</f>
        <v>20</v>
      </c>
      <c r="D92">
        <f>LEN(SamplingMethod!D92)</f>
        <v>266</v>
      </c>
      <c r="G92">
        <f>LEN(SamplingMethod!G92)</f>
        <v>72</v>
      </c>
    </row>
    <row r="93" spans="3:7" x14ac:dyDescent="0.25">
      <c r="C93">
        <f>LEN(SamplingMethod!C93)</f>
        <v>12</v>
      </c>
      <c r="D93">
        <f>LEN(SamplingMethod!D93)</f>
        <v>433</v>
      </c>
      <c r="G93">
        <f>LEN(SamplingMethod!G93)</f>
        <v>90</v>
      </c>
    </row>
    <row r="94" spans="3:7" x14ac:dyDescent="0.25">
      <c r="C94">
        <f>LEN(SamplingMethod!C94)</f>
        <v>13</v>
      </c>
      <c r="D94">
        <f>LEN(SamplingMethod!D94)</f>
        <v>419</v>
      </c>
      <c r="G94">
        <f>LEN(SamplingMethod!G94)</f>
        <v>103</v>
      </c>
    </row>
    <row r="95" spans="3:7" x14ac:dyDescent="0.25">
      <c r="C95">
        <f>LEN(SamplingMethod!C95)</f>
        <v>24</v>
      </c>
      <c r="D95">
        <f>LEN(SamplingMethod!D95)</f>
        <v>80</v>
      </c>
      <c r="G95">
        <f>LEN(SamplingMethod!G95)</f>
        <v>15</v>
      </c>
    </row>
    <row r="96" spans="3:7" x14ac:dyDescent="0.25">
      <c r="C96">
        <f>LEN(SamplingMethod!C96)</f>
        <v>16</v>
      </c>
      <c r="D96">
        <f>LEN(SamplingMethod!D96)</f>
        <v>126</v>
      </c>
      <c r="G96">
        <f>LEN(SamplingMethod!G96)</f>
        <v>20</v>
      </c>
    </row>
    <row r="97" spans="3:7" x14ac:dyDescent="0.25">
      <c r="C97">
        <f>LEN(SamplingMethod!C97)</f>
        <v>27</v>
      </c>
      <c r="D97">
        <f>LEN(SamplingMethod!D97)</f>
        <v>111</v>
      </c>
      <c r="G97">
        <f>LEN(SamplingMethod!G97)</f>
        <v>15</v>
      </c>
    </row>
    <row r="98" spans="3:7" x14ac:dyDescent="0.25">
      <c r="C98">
        <f>LEN(SamplingMethod!C98)</f>
        <v>19</v>
      </c>
      <c r="D98">
        <f>LEN(SamplingMethod!D98)</f>
        <v>105</v>
      </c>
      <c r="G98">
        <f>LEN(SamplingMethod!G98)</f>
        <v>20</v>
      </c>
    </row>
    <row r="99" spans="3:7" x14ac:dyDescent="0.25">
      <c r="C99">
        <f>LEN(SamplingMethod!C99)</f>
        <v>26</v>
      </c>
      <c r="D99">
        <f>LEN(SamplingMethod!D99)</f>
        <v>331</v>
      </c>
      <c r="G99">
        <f>LEN(SamplingMethod!G99)</f>
        <v>20</v>
      </c>
    </row>
    <row r="100" spans="3:7" x14ac:dyDescent="0.25">
      <c r="C100">
        <f>LEN(SamplingMethod!C100)</f>
        <v>14</v>
      </c>
      <c r="D100">
        <f>LEN(SamplingMethod!D100)</f>
        <v>203</v>
      </c>
      <c r="G100">
        <f>LEN(SamplingMethod!G100)</f>
        <v>62</v>
      </c>
    </row>
    <row r="101" spans="3:7" x14ac:dyDescent="0.25">
      <c r="C101">
        <f>LEN(SamplingMethod!C101)</f>
        <v>13</v>
      </c>
      <c r="D101">
        <f>LEN(SamplingMethod!D101)</f>
        <v>2060</v>
      </c>
      <c r="G101">
        <f>LEN(SamplingMethod!G101)</f>
        <v>185</v>
      </c>
    </row>
    <row r="102" spans="3:7" x14ac:dyDescent="0.25">
      <c r="C102">
        <f>LEN(SamplingMethod!C102)</f>
        <v>22</v>
      </c>
      <c r="D102">
        <f>LEN(SamplingMethod!D102)</f>
        <v>164</v>
      </c>
      <c r="G102">
        <f>LEN(SamplingMethod!G102)</f>
        <v>20</v>
      </c>
    </row>
    <row r="103" spans="3:7" x14ac:dyDescent="0.25">
      <c r="C103">
        <f>LEN(SamplingMethod!C103)</f>
        <v>27</v>
      </c>
      <c r="D103">
        <f>LEN(SamplingMethod!D103)</f>
        <v>118</v>
      </c>
      <c r="G103">
        <f>LEN(SamplingMethod!G103)</f>
        <v>20</v>
      </c>
    </row>
    <row r="104" spans="3:7" x14ac:dyDescent="0.25">
      <c r="C104">
        <f>LEN(SamplingMethod!C104)</f>
        <v>10</v>
      </c>
      <c r="D104">
        <f>LEN(SamplingMethod!D104)</f>
        <v>254</v>
      </c>
      <c r="G104">
        <f>LEN(SamplingMethod!G104)</f>
        <v>93</v>
      </c>
    </row>
    <row r="105" spans="3:7" x14ac:dyDescent="0.25">
      <c r="C105">
        <f>LEN(SamplingMethod!C105)</f>
        <v>20</v>
      </c>
      <c r="D105">
        <f>LEN(SamplingMethod!D105)</f>
        <v>242</v>
      </c>
      <c r="G105">
        <f>LEN(SamplingMethod!G105)</f>
        <v>15</v>
      </c>
    </row>
    <row r="106" spans="3:7" x14ac:dyDescent="0.25">
      <c r="C106">
        <f>LEN(SamplingMethod!C106)</f>
        <v>9</v>
      </c>
      <c r="D106">
        <f>LEN(SamplingMethod!D106)</f>
        <v>16</v>
      </c>
      <c r="G106">
        <f>LEN(SamplingMethod!G106)</f>
        <v>0</v>
      </c>
    </row>
    <row r="107" spans="3:7" x14ac:dyDescent="0.25">
      <c r="C107">
        <f>LEN(SamplingMethod!C107)</f>
        <v>13</v>
      </c>
      <c r="D107">
        <f>LEN(SamplingMethod!D107)</f>
        <v>67</v>
      </c>
      <c r="G107">
        <f>LEN(SamplingMethod!G107)</f>
        <v>25</v>
      </c>
    </row>
    <row r="108" spans="3:7" x14ac:dyDescent="0.25">
      <c r="C108">
        <f>LEN(SamplingMethod!C108)</f>
        <v>11</v>
      </c>
      <c r="D108">
        <f>LEN(SamplingMethod!D108)</f>
        <v>966</v>
      </c>
      <c r="G108">
        <f>LEN(SamplingMethod!G108)</f>
        <v>20</v>
      </c>
    </row>
    <row r="109" spans="3:7" x14ac:dyDescent="0.25">
      <c r="C109">
        <f>LEN(SamplingMethod!C109)</f>
        <v>12</v>
      </c>
      <c r="D109">
        <f>LEN(SamplingMethod!D109)</f>
        <v>275</v>
      </c>
      <c r="G109">
        <f>LEN(SamplingMethod!G109)</f>
        <v>55</v>
      </c>
    </row>
    <row r="110" spans="3:7" x14ac:dyDescent="0.25">
      <c r="C110">
        <f>LEN(SamplingMethod!C110)</f>
        <v>10</v>
      </c>
      <c r="D110">
        <f>LEN(SamplingMethod!D110)</f>
        <v>69</v>
      </c>
      <c r="G110">
        <f>LEN(SamplingMethod!G110)</f>
        <v>20</v>
      </c>
    </row>
    <row r="111" spans="3:7" x14ac:dyDescent="0.25">
      <c r="C111">
        <f>LEN(SamplingMethod!C111)</f>
        <v>28</v>
      </c>
      <c r="D111">
        <f>LEN(SamplingMethod!D111)</f>
        <v>212</v>
      </c>
      <c r="G111">
        <f>LEN(SamplingMethod!G111)</f>
        <v>46</v>
      </c>
    </row>
    <row r="112" spans="3:7" x14ac:dyDescent="0.25">
      <c r="C112">
        <f>LEN(SamplingMethod!C112)</f>
        <v>15</v>
      </c>
      <c r="D112">
        <f>LEN(SamplingMethod!D112)</f>
        <v>221</v>
      </c>
      <c r="G112">
        <f>LEN(SamplingMethod!G112)</f>
        <v>46</v>
      </c>
    </row>
    <row r="113" spans="3:7" x14ac:dyDescent="0.25">
      <c r="C113">
        <f>LEN(SamplingMethod!C113)</f>
        <v>22</v>
      </c>
      <c r="D113">
        <f>LEN(SamplingMethod!D113)</f>
        <v>162</v>
      </c>
      <c r="G113">
        <f>LEN(SamplingMethod!G113)</f>
        <v>46</v>
      </c>
    </row>
    <row r="114" spans="3:7" x14ac:dyDescent="0.25">
      <c r="C114">
        <f>LEN(SamplingMethod!C114)</f>
        <v>22</v>
      </c>
      <c r="D114">
        <f>LEN(SamplingMethod!D114)</f>
        <v>379</v>
      </c>
      <c r="G114">
        <f>LEN(SamplingMethod!G114)</f>
        <v>20</v>
      </c>
    </row>
    <row r="115" spans="3:7" x14ac:dyDescent="0.25">
      <c r="C115">
        <f>LEN(SamplingMethod!C115)</f>
        <v>15</v>
      </c>
      <c r="D115">
        <f>LEN(SamplingMethod!D115)</f>
        <v>61</v>
      </c>
      <c r="G115">
        <f>LEN(SamplingMethod!G115)</f>
        <v>15</v>
      </c>
    </row>
    <row r="116" spans="3:7" x14ac:dyDescent="0.25">
      <c r="C116">
        <f>LEN(SamplingMethod!C116)</f>
        <v>5</v>
      </c>
      <c r="D116">
        <f>LEN(SamplingMethod!D116)</f>
        <v>382</v>
      </c>
      <c r="G116">
        <f>LEN(SamplingMethod!G116)</f>
        <v>0</v>
      </c>
    </row>
    <row r="117" spans="3:7" x14ac:dyDescent="0.25">
      <c r="C117">
        <f>LEN(SamplingMethod!C117)</f>
        <v>13</v>
      </c>
      <c r="D117">
        <f>LEN(SamplingMethod!D117)</f>
        <v>688</v>
      </c>
      <c r="G117">
        <f>LEN(SamplingMethod!G117)</f>
        <v>46</v>
      </c>
    </row>
    <row r="118" spans="3:7" x14ac:dyDescent="0.25">
      <c r="C118">
        <f>LEN(SamplingMethod!C118)</f>
        <v>13</v>
      </c>
      <c r="D118">
        <f>LEN(SamplingMethod!D118)</f>
        <v>526</v>
      </c>
      <c r="G118">
        <f>LEN(SamplingMethod!G118)</f>
        <v>106</v>
      </c>
    </row>
    <row r="119" spans="3:7" x14ac:dyDescent="0.25">
      <c r="C119">
        <f>LEN(SamplingMethod!C119)</f>
        <v>34</v>
      </c>
      <c r="D119">
        <f>LEN(SamplingMethod!D119)</f>
        <v>212</v>
      </c>
      <c r="G119">
        <f>LEN(SamplingMethod!G119)</f>
        <v>0</v>
      </c>
    </row>
    <row r="120" spans="3:7" x14ac:dyDescent="0.25">
      <c r="C120">
        <f>LEN(SamplingMethod!C120)</f>
        <v>16</v>
      </c>
      <c r="D120">
        <f>LEN(SamplingMethod!D120)</f>
        <v>203</v>
      </c>
      <c r="G120">
        <f>LEN(SamplingMethod!G120)</f>
        <v>0</v>
      </c>
    </row>
    <row r="121" spans="3:7" x14ac:dyDescent="0.25">
      <c r="C121">
        <f>LEN(SamplingMethod!C121)</f>
        <v>12</v>
      </c>
      <c r="D121">
        <f>LEN(SamplingMethod!D121)</f>
        <v>0</v>
      </c>
      <c r="G121">
        <f>LEN(SamplingMethod!G121)</f>
        <v>0</v>
      </c>
    </row>
    <row r="122" spans="3:7" x14ac:dyDescent="0.25">
      <c r="C122">
        <f>LEN(SamplingMethod!C122)</f>
        <v>6</v>
      </c>
      <c r="D122">
        <f>LEN(SamplingMethod!D122)</f>
        <v>0</v>
      </c>
      <c r="G122">
        <f>LEN(SamplingMethod!G122)</f>
        <v>0</v>
      </c>
    </row>
    <row r="123" spans="3:7" x14ac:dyDescent="0.25">
      <c r="C123">
        <f>LEN(SamplingMethod!C123)</f>
        <v>15</v>
      </c>
      <c r="D123">
        <f>LEN(SamplingMethod!D123)</f>
        <v>65</v>
      </c>
      <c r="G123">
        <f>LEN(SamplingMethod!G123)</f>
        <v>20</v>
      </c>
    </row>
    <row r="124" spans="3:7" x14ac:dyDescent="0.25">
      <c r="C124">
        <f>LEN(SamplingMethod!C124)</f>
        <v>16</v>
      </c>
      <c r="D124">
        <f>LEN(SamplingMethod!D124)</f>
        <v>55</v>
      </c>
      <c r="G124">
        <f>LEN(SamplingMethod!G124)</f>
        <v>0</v>
      </c>
    </row>
    <row r="125" spans="3:7" x14ac:dyDescent="0.25">
      <c r="C125">
        <f>LEN(SamplingMethod!C125)</f>
        <v>19</v>
      </c>
      <c r="D125">
        <f>LEN(SamplingMethod!D125)</f>
        <v>0</v>
      </c>
      <c r="G125">
        <f>LEN(SamplingMethod!G125)</f>
        <v>0</v>
      </c>
    </row>
    <row r="126" spans="3:7" x14ac:dyDescent="0.25">
      <c r="C126">
        <f>LEN(SamplingMethod!C126)</f>
        <v>14</v>
      </c>
      <c r="D126">
        <f>LEN(SamplingMethod!D126)</f>
        <v>328</v>
      </c>
      <c r="G126">
        <f>LEN(SamplingMethod!G126)</f>
        <v>52</v>
      </c>
    </row>
    <row r="127" spans="3:7" x14ac:dyDescent="0.25">
      <c r="C127">
        <f>LEN(SamplingMethod!C127)</f>
        <v>28</v>
      </c>
      <c r="D127">
        <f>LEN(SamplingMethod!D127)</f>
        <v>672</v>
      </c>
      <c r="G127">
        <f>LEN(SamplingMethod!G127)</f>
        <v>92</v>
      </c>
    </row>
    <row r="128" spans="3:7" x14ac:dyDescent="0.25">
      <c r="C128">
        <f>LEN(SamplingMethod!C128)</f>
        <v>20</v>
      </c>
      <c r="D128">
        <f>LEN(SamplingMethod!D128)</f>
        <v>203</v>
      </c>
      <c r="G128">
        <f>LEN(SamplingMethod!G128)</f>
        <v>23</v>
      </c>
    </row>
    <row r="129" spans="3:7" x14ac:dyDescent="0.25">
      <c r="C129">
        <f>LEN(SamplingMethod!C129)</f>
        <v>12</v>
      </c>
      <c r="D129">
        <f>LEN(SamplingMethod!D129)</f>
        <v>195</v>
      </c>
      <c r="G129">
        <f>LEN(SamplingMethod!G129)</f>
        <v>59</v>
      </c>
    </row>
    <row r="130" spans="3:7" x14ac:dyDescent="0.25">
      <c r="C130">
        <f>LEN(SamplingMethod!C130)</f>
        <v>22</v>
      </c>
      <c r="D130">
        <f>LEN(SamplingMethod!D130)</f>
        <v>149</v>
      </c>
      <c r="G130">
        <f>LEN(SamplingMethod!G130)</f>
        <v>15</v>
      </c>
    </row>
    <row r="131" spans="3:7" x14ac:dyDescent="0.25">
      <c r="C131">
        <f>LEN(SamplingMethod!C131)</f>
        <v>26</v>
      </c>
      <c r="D131">
        <f>LEN(SamplingMethod!D131)</f>
        <v>185</v>
      </c>
      <c r="G131">
        <f>LEN(SamplingMethod!G131)</f>
        <v>15</v>
      </c>
    </row>
    <row r="132" spans="3:7" x14ac:dyDescent="0.25">
      <c r="C132">
        <f>LEN(SamplingMethod!C132)</f>
        <v>25</v>
      </c>
      <c r="D132">
        <f>LEN(SamplingMethod!D132)</f>
        <v>188</v>
      </c>
      <c r="G132">
        <f>LEN(SamplingMethod!G132)</f>
        <v>15</v>
      </c>
    </row>
    <row r="133" spans="3:7" x14ac:dyDescent="0.25">
      <c r="C133">
        <f>LEN(SamplingMethod!C133)</f>
        <v>27</v>
      </c>
      <c r="D133">
        <f>LEN(SamplingMethod!D133)</f>
        <v>150</v>
      </c>
      <c r="G133">
        <f>LEN(SamplingMethod!G133)</f>
        <v>15</v>
      </c>
    </row>
    <row r="134" spans="3:7" x14ac:dyDescent="0.25">
      <c r="C134">
        <f>LEN(SamplingMethod!C134)</f>
        <v>26</v>
      </c>
      <c r="D134">
        <f>LEN(SamplingMethod!D134)</f>
        <v>60</v>
      </c>
      <c r="G134">
        <f>LEN(SamplingMethod!G134)</f>
        <v>20</v>
      </c>
    </row>
    <row r="135" spans="3:7" x14ac:dyDescent="0.25">
      <c r="C135">
        <f>LEN(SamplingMethod!C135)</f>
        <v>24</v>
      </c>
      <c r="D135">
        <f>LEN(SamplingMethod!D135)</f>
        <v>167</v>
      </c>
      <c r="G135">
        <f>LEN(SamplingMethod!G135)</f>
        <v>15</v>
      </c>
    </row>
    <row r="136" spans="3:7" x14ac:dyDescent="0.25">
      <c r="C136">
        <f>LEN(SamplingMethod!C136)</f>
        <v>16</v>
      </c>
      <c r="D136">
        <f>LEN(SamplingMethod!D136)</f>
        <v>76</v>
      </c>
      <c r="G136">
        <f>LEN(SamplingMethod!G136)</f>
        <v>0</v>
      </c>
    </row>
    <row r="137" spans="3:7" x14ac:dyDescent="0.25">
      <c r="C137">
        <f>LEN(SamplingMethod!C137)</f>
        <v>15</v>
      </c>
      <c r="D137">
        <f>LEN(SamplingMethod!D137)</f>
        <v>0</v>
      </c>
      <c r="G137">
        <f>LEN(SamplingMethod!G137)</f>
        <v>0</v>
      </c>
    </row>
    <row r="138" spans="3:7" x14ac:dyDescent="0.25">
      <c r="C138">
        <f>LEN(SamplingMethod!C138)</f>
        <v>12</v>
      </c>
      <c r="D138">
        <f>LEN(SamplingMethod!D138)</f>
        <v>170</v>
      </c>
      <c r="G138">
        <f>LEN(SamplingMethod!G138)</f>
        <v>15</v>
      </c>
    </row>
    <row r="139" spans="3:7" x14ac:dyDescent="0.25">
      <c r="C139">
        <f>LEN(SamplingMethod!C139)</f>
        <v>27</v>
      </c>
      <c r="D139">
        <f>LEN(SamplingMethod!D139)</f>
        <v>79</v>
      </c>
      <c r="G139">
        <f>LEN(SamplingMethod!G139)</f>
        <v>40</v>
      </c>
    </row>
    <row r="140" spans="3:7" x14ac:dyDescent="0.25">
      <c r="C140">
        <f>LEN(SamplingMethod!C140)</f>
        <v>16</v>
      </c>
      <c r="D140">
        <f>LEN(SamplingMethod!D140)</f>
        <v>151</v>
      </c>
      <c r="G140">
        <f>LEN(SamplingMethod!G140)</f>
        <v>196</v>
      </c>
    </row>
    <row r="141" spans="3:7" x14ac:dyDescent="0.25">
      <c r="C141">
        <f>LEN(SamplingMethod!C141)</f>
        <v>14</v>
      </c>
      <c r="D141">
        <f>LEN(SamplingMethod!D141)</f>
        <v>472</v>
      </c>
      <c r="G141">
        <f>LEN(SamplingMethod!G141)</f>
        <v>15</v>
      </c>
    </row>
    <row r="142" spans="3:7" x14ac:dyDescent="0.25">
      <c r="C142">
        <f>LEN(SamplingMethod!C142)</f>
        <v>14</v>
      </c>
      <c r="D142">
        <f>LEN(SamplingMethod!D142)</f>
        <v>0</v>
      </c>
      <c r="G142">
        <f>LEN(SamplingMethod!G142)</f>
        <v>0</v>
      </c>
    </row>
    <row r="143" spans="3:7" x14ac:dyDescent="0.25">
      <c r="C143">
        <f>LEN(SamplingMethod!C143)</f>
        <v>24</v>
      </c>
      <c r="D143">
        <f>LEN(SamplingMethod!D143)</f>
        <v>117</v>
      </c>
      <c r="G143">
        <f>LEN(SamplingMethod!G143)</f>
        <v>20</v>
      </c>
    </row>
    <row r="144" spans="3:7" x14ac:dyDescent="0.25">
      <c r="C144">
        <f>LEN(SamplingMethod!C144)</f>
        <v>7</v>
      </c>
      <c r="D144">
        <f>LEN(SamplingMethod!D144)</f>
        <v>31</v>
      </c>
      <c r="G144">
        <f>LEN(SamplingMethod!G144)</f>
        <v>0</v>
      </c>
    </row>
    <row r="145" spans="3:7" x14ac:dyDescent="0.25">
      <c r="C145">
        <f>LEN(SamplingMethod!C145)</f>
        <v>26</v>
      </c>
      <c r="D145">
        <f>LEN(SamplingMethod!D145)</f>
        <v>68</v>
      </c>
      <c r="G145">
        <f>LEN(SamplingMethod!G145)</f>
        <v>87</v>
      </c>
    </row>
    <row r="146" spans="3:7" x14ac:dyDescent="0.25">
      <c r="C146">
        <f>LEN(SamplingMethod!C146)</f>
        <v>22</v>
      </c>
      <c r="D146">
        <f>LEN(SamplingMethod!D146)</f>
        <v>815</v>
      </c>
      <c r="G146">
        <f>LEN(SamplingMethod!G146)</f>
        <v>20</v>
      </c>
    </row>
    <row r="147" spans="3:7" x14ac:dyDescent="0.25">
      <c r="C147">
        <f>LEN(SamplingMethod!C147)</f>
        <v>15</v>
      </c>
      <c r="D147">
        <f>LEN(SamplingMethod!D147)</f>
        <v>967</v>
      </c>
      <c r="G147">
        <f>LEN(SamplingMethod!G147)</f>
        <v>93</v>
      </c>
    </row>
    <row r="148" spans="3:7" x14ac:dyDescent="0.25">
      <c r="C148">
        <f>LEN(SamplingMethod!C148)</f>
        <v>22</v>
      </c>
      <c r="D148">
        <f>LEN(SamplingMethod!D148)</f>
        <v>163</v>
      </c>
      <c r="G148">
        <f>LEN(SamplingMethod!G148)</f>
        <v>46</v>
      </c>
    </row>
    <row r="149" spans="3:7" x14ac:dyDescent="0.25">
      <c r="C149">
        <f>LEN(SamplingMethod!C149)</f>
        <v>26</v>
      </c>
      <c r="D149">
        <f>LEN(SamplingMethod!D149)</f>
        <v>85</v>
      </c>
      <c r="G149">
        <f>LEN(SamplingMethod!G149)</f>
        <v>20</v>
      </c>
    </row>
    <row r="150" spans="3:7" x14ac:dyDescent="0.25">
      <c r="C150">
        <f>LEN(SamplingMethod!C150)</f>
        <v>25</v>
      </c>
      <c r="D150">
        <f>LEN(SamplingMethod!D150)</f>
        <v>91</v>
      </c>
      <c r="G150">
        <f>LEN(SamplingMethod!G150)</f>
        <v>15</v>
      </c>
    </row>
    <row r="151" spans="3:7" x14ac:dyDescent="0.25">
      <c r="C151">
        <f>LEN(SamplingMethod!C151)</f>
        <v>14</v>
      </c>
      <c r="D151">
        <f>LEN(SamplingMethod!D151)</f>
        <v>328</v>
      </c>
      <c r="G151">
        <f>LEN(SamplingMethod!G151)</f>
        <v>20</v>
      </c>
    </row>
    <row r="152" spans="3:7" x14ac:dyDescent="0.25">
      <c r="C152">
        <f>LEN(SamplingMethod!C152)</f>
        <v>14</v>
      </c>
      <c r="D152">
        <f>LEN(SamplingMethod!D152)</f>
        <v>328</v>
      </c>
      <c r="G152">
        <f>LEN(SamplingMethod!G152)</f>
        <v>90</v>
      </c>
    </row>
    <row r="153" spans="3:7" x14ac:dyDescent="0.25">
      <c r="C153">
        <f>LEN(SamplingMethod!C153)</f>
        <v>37</v>
      </c>
      <c r="D153">
        <f>LEN(SamplingMethod!D153)</f>
        <v>98</v>
      </c>
      <c r="G153">
        <f>LEN(SamplingMethod!G153)</f>
        <v>76</v>
      </c>
    </row>
    <row r="154" spans="3:7" x14ac:dyDescent="0.25">
      <c r="C154">
        <f>LEN(SamplingMethod!C154)</f>
        <v>21</v>
      </c>
      <c r="D154">
        <f>LEN(SamplingMethod!D154)</f>
        <v>286</v>
      </c>
      <c r="G154">
        <f>LEN(SamplingMethod!G154)</f>
        <v>76</v>
      </c>
    </row>
    <row r="155" spans="3:7" x14ac:dyDescent="0.25">
      <c r="C155">
        <f>LEN(SamplingMethod!C155)</f>
        <v>47</v>
      </c>
      <c r="D155">
        <f>LEN(SamplingMethod!D155)</f>
        <v>113</v>
      </c>
      <c r="G155">
        <f>LEN(SamplingMethod!G155)</f>
        <v>76</v>
      </c>
    </row>
    <row r="156" spans="3:7" x14ac:dyDescent="0.25">
      <c r="C156">
        <f>LEN(SamplingMethod!C156)</f>
        <v>10</v>
      </c>
      <c r="D156">
        <f>LEN(SamplingMethod!D156)</f>
        <v>235</v>
      </c>
      <c r="G156">
        <f>LEN(SamplingMethod!G156)</f>
        <v>137</v>
      </c>
    </row>
  </sheetData>
  <autoFilter ref="G1:G156" xr:uid="{26F93C11-062E-486E-B69B-F0251BB5ED4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39351-BF99-4EAA-BD77-AC6E336FDFD8}">
  <dimension ref="A1:G207"/>
  <sheetViews>
    <sheetView workbookViewId="0">
      <selection sqref="A1:XFD1048576"/>
    </sheetView>
  </sheetViews>
  <sheetFormatPr defaultColWidth="28.42578125" defaultRowHeight="15" x14ac:dyDescent="0.25"/>
  <cols>
    <col min="1" max="16384" width="28.42578125" style="1"/>
  </cols>
  <sheetData>
    <row r="1" spans="1:7" x14ac:dyDescent="0.25">
      <c r="A1" s="1" t="s">
        <v>0</v>
      </c>
      <c r="B1" s="1" t="s">
        <v>1</v>
      </c>
      <c r="C1" s="1" t="s">
        <v>2</v>
      </c>
      <c r="D1" s="1" t="s">
        <v>3</v>
      </c>
      <c r="E1" s="1" t="s">
        <v>4</v>
      </c>
      <c r="F1" s="1" t="s">
        <v>5</v>
      </c>
      <c r="G1" s="1" t="s">
        <v>6</v>
      </c>
    </row>
    <row r="2" spans="1:7" ht="45" x14ac:dyDescent="0.25">
      <c r="A2" s="1" t="s">
        <v>7</v>
      </c>
      <c r="B2" s="1" t="s">
        <v>8</v>
      </c>
      <c r="C2" s="1" t="s">
        <v>9</v>
      </c>
      <c r="E2" s="1" t="s">
        <v>10</v>
      </c>
      <c r="F2" s="1" t="s">
        <v>11</v>
      </c>
      <c r="G2" s="1" t="s">
        <v>12</v>
      </c>
    </row>
    <row r="3" spans="1:7" x14ac:dyDescent="0.25">
      <c r="A3" s="1" t="s">
        <v>13</v>
      </c>
      <c r="B3" s="1" t="s">
        <v>14</v>
      </c>
      <c r="C3" s="1" t="s">
        <v>15</v>
      </c>
      <c r="E3" s="1" t="s">
        <v>16</v>
      </c>
      <c r="F3" s="1" t="s">
        <v>17</v>
      </c>
      <c r="G3" s="1" t="s">
        <v>12</v>
      </c>
    </row>
    <row r="4" spans="1:7" ht="30" x14ac:dyDescent="0.25">
      <c r="A4" s="1" t="s">
        <v>13</v>
      </c>
      <c r="B4" s="1" t="s">
        <v>14</v>
      </c>
      <c r="C4" s="1" t="s">
        <v>15</v>
      </c>
      <c r="E4" s="1" t="s">
        <v>18</v>
      </c>
      <c r="F4" s="1" t="s">
        <v>19</v>
      </c>
      <c r="G4" s="1" t="s">
        <v>12</v>
      </c>
    </row>
    <row r="5" spans="1:7" ht="30" x14ac:dyDescent="0.25">
      <c r="A5" s="1" t="s">
        <v>20</v>
      </c>
      <c r="B5" s="1" t="s">
        <v>21</v>
      </c>
      <c r="C5" s="1" t="s">
        <v>22</v>
      </c>
      <c r="E5" s="1" t="s">
        <v>16</v>
      </c>
      <c r="F5" s="1" t="s">
        <v>17</v>
      </c>
      <c r="G5" s="1" t="s">
        <v>12</v>
      </c>
    </row>
    <row r="6" spans="1:7" ht="30" x14ac:dyDescent="0.25">
      <c r="A6" s="1" t="s">
        <v>20</v>
      </c>
      <c r="B6" s="1" t="s">
        <v>21</v>
      </c>
      <c r="C6" s="1" t="s">
        <v>22</v>
      </c>
      <c r="E6" s="1" t="s">
        <v>18</v>
      </c>
      <c r="F6" s="1" t="s">
        <v>19</v>
      </c>
      <c r="G6" s="1" t="s">
        <v>12</v>
      </c>
    </row>
    <row r="7" spans="1:7" ht="60" x14ac:dyDescent="0.25">
      <c r="A7" s="1" t="s">
        <v>23</v>
      </c>
      <c r="B7" s="1" t="s">
        <v>24</v>
      </c>
      <c r="C7" s="1" t="s">
        <v>25</v>
      </c>
      <c r="E7" s="1" t="s">
        <v>26</v>
      </c>
      <c r="F7" s="1" t="s">
        <v>27</v>
      </c>
      <c r="G7" s="1" t="s">
        <v>12</v>
      </c>
    </row>
    <row r="8" spans="1:7" ht="75" x14ac:dyDescent="0.25">
      <c r="A8" s="1" t="s">
        <v>28</v>
      </c>
      <c r="B8" s="1" t="s">
        <v>29</v>
      </c>
      <c r="C8" s="1" t="s">
        <v>30</v>
      </c>
      <c r="E8" s="1" t="s">
        <v>18</v>
      </c>
      <c r="F8" s="1" t="s">
        <v>19</v>
      </c>
      <c r="G8" s="1" t="s">
        <v>12</v>
      </c>
    </row>
    <row r="9" spans="1:7" ht="75" x14ac:dyDescent="0.25">
      <c r="A9" s="1" t="s">
        <v>28</v>
      </c>
      <c r="B9" s="1" t="s">
        <v>29</v>
      </c>
      <c r="C9" s="1" t="s">
        <v>30</v>
      </c>
      <c r="E9" s="1" t="s">
        <v>16</v>
      </c>
      <c r="F9" s="1" t="s">
        <v>17</v>
      </c>
      <c r="G9" s="1" t="s">
        <v>12</v>
      </c>
    </row>
    <row r="10" spans="1:7" ht="60" x14ac:dyDescent="0.25">
      <c r="A10" s="1" t="s">
        <v>31</v>
      </c>
      <c r="B10" s="1" t="s">
        <v>32</v>
      </c>
      <c r="C10" s="1" t="s">
        <v>33</v>
      </c>
      <c r="E10" s="1" t="s">
        <v>34</v>
      </c>
      <c r="F10" s="1" t="s">
        <v>35</v>
      </c>
      <c r="G10" s="1" t="s">
        <v>12</v>
      </c>
    </row>
    <row r="11" spans="1:7" ht="165" x14ac:dyDescent="0.25">
      <c r="A11" s="1" t="s">
        <v>36</v>
      </c>
      <c r="B11" s="1" t="s">
        <v>37</v>
      </c>
      <c r="C11" s="1" t="s">
        <v>38</v>
      </c>
      <c r="E11" s="1" t="s">
        <v>18</v>
      </c>
      <c r="F11" s="1" t="s">
        <v>19</v>
      </c>
      <c r="G11" s="1" t="s">
        <v>12</v>
      </c>
    </row>
    <row r="12" spans="1:7" ht="45" x14ac:dyDescent="0.25">
      <c r="A12" s="1" t="s">
        <v>18</v>
      </c>
      <c r="B12" s="1" t="s">
        <v>19</v>
      </c>
      <c r="C12" s="1" t="s">
        <v>39</v>
      </c>
      <c r="E12" s="1" t="s">
        <v>40</v>
      </c>
      <c r="F12" s="1" t="s">
        <v>41</v>
      </c>
      <c r="G12" s="1" t="s">
        <v>12</v>
      </c>
    </row>
    <row r="13" spans="1:7" ht="90" x14ac:dyDescent="0.25">
      <c r="A13" s="1" t="s">
        <v>42</v>
      </c>
      <c r="B13" s="1" t="s">
        <v>43</v>
      </c>
      <c r="C13" s="1" t="s">
        <v>44</v>
      </c>
      <c r="E13" s="1" t="s">
        <v>18</v>
      </c>
      <c r="F13" s="1" t="s">
        <v>19</v>
      </c>
      <c r="G13" s="1" t="s">
        <v>12</v>
      </c>
    </row>
    <row r="14" spans="1:7" ht="195" x14ac:dyDescent="0.25">
      <c r="A14" s="1" t="s">
        <v>45</v>
      </c>
      <c r="B14" s="1" t="s">
        <v>46</v>
      </c>
      <c r="C14" s="1" t="s">
        <v>47</v>
      </c>
      <c r="E14" s="1" t="s">
        <v>18</v>
      </c>
      <c r="F14" s="1" t="s">
        <v>19</v>
      </c>
      <c r="G14" s="1" t="s">
        <v>12</v>
      </c>
    </row>
    <row r="15" spans="1:7" ht="165" x14ac:dyDescent="0.25">
      <c r="A15" s="1" t="s">
        <v>48</v>
      </c>
      <c r="B15" s="1" t="s">
        <v>49</v>
      </c>
      <c r="C15" s="1" t="s">
        <v>50</v>
      </c>
      <c r="E15" s="1" t="s">
        <v>16</v>
      </c>
      <c r="F15" s="1" t="s">
        <v>17</v>
      </c>
      <c r="G15" s="1" t="s">
        <v>12</v>
      </c>
    </row>
    <row r="16" spans="1:7" ht="165" x14ac:dyDescent="0.25">
      <c r="A16" s="1" t="s">
        <v>48</v>
      </c>
      <c r="B16" s="1" t="s">
        <v>49</v>
      </c>
      <c r="C16" s="1" t="s">
        <v>50</v>
      </c>
      <c r="E16" s="1" t="s">
        <v>51</v>
      </c>
      <c r="F16" s="1" t="s">
        <v>52</v>
      </c>
      <c r="G16" s="1" t="s">
        <v>12</v>
      </c>
    </row>
    <row r="17" spans="1:7" ht="165" x14ac:dyDescent="0.25">
      <c r="A17" s="1" t="s">
        <v>48</v>
      </c>
      <c r="B17" s="1" t="s">
        <v>49</v>
      </c>
      <c r="C17" s="1" t="s">
        <v>50</v>
      </c>
      <c r="E17" s="1" t="s">
        <v>18</v>
      </c>
      <c r="F17" s="1" t="s">
        <v>19</v>
      </c>
      <c r="G17" s="1" t="s">
        <v>12</v>
      </c>
    </row>
    <row r="18" spans="1:7" ht="90" x14ac:dyDescent="0.25">
      <c r="A18" s="1" t="s">
        <v>53</v>
      </c>
      <c r="B18" s="1" t="s">
        <v>54</v>
      </c>
      <c r="C18" s="1" t="s">
        <v>55</v>
      </c>
      <c r="E18" s="1" t="s">
        <v>56</v>
      </c>
      <c r="F18" s="1" t="s">
        <v>57</v>
      </c>
      <c r="G18" s="1" t="s">
        <v>12</v>
      </c>
    </row>
    <row r="19" spans="1:7" ht="90" x14ac:dyDescent="0.25">
      <c r="A19" s="1" t="s">
        <v>58</v>
      </c>
      <c r="B19" s="1" t="s">
        <v>59</v>
      </c>
      <c r="C19" s="1" t="s">
        <v>55</v>
      </c>
      <c r="E19" s="1" t="s">
        <v>53</v>
      </c>
      <c r="F19" s="1" t="s">
        <v>54</v>
      </c>
      <c r="G19" s="1" t="s">
        <v>12</v>
      </c>
    </row>
    <row r="20" spans="1:7" ht="90" x14ac:dyDescent="0.25">
      <c r="A20" s="1" t="s">
        <v>60</v>
      </c>
      <c r="B20" s="1" t="s">
        <v>61</v>
      </c>
      <c r="C20" s="1" t="s">
        <v>55</v>
      </c>
      <c r="E20" s="1" t="s">
        <v>53</v>
      </c>
      <c r="F20" s="1" t="s">
        <v>54</v>
      </c>
      <c r="G20" s="1" t="s">
        <v>12</v>
      </c>
    </row>
    <row r="21" spans="1:7" ht="409.5" x14ac:dyDescent="0.25">
      <c r="A21" s="1" t="s">
        <v>62</v>
      </c>
      <c r="B21" s="1" t="s">
        <v>63</v>
      </c>
      <c r="C21" s="1" t="s">
        <v>64</v>
      </c>
      <c r="D21" s="1" t="s">
        <v>65</v>
      </c>
      <c r="E21" s="1" t="s">
        <v>51</v>
      </c>
      <c r="F21" s="1" t="s">
        <v>52</v>
      </c>
      <c r="G21" s="1" t="s">
        <v>66</v>
      </c>
    </row>
    <row r="22" spans="1:7" ht="409.5" x14ac:dyDescent="0.25">
      <c r="A22" s="1" t="s">
        <v>62</v>
      </c>
      <c r="B22" s="1" t="s">
        <v>63</v>
      </c>
      <c r="C22" s="1" t="s">
        <v>64</v>
      </c>
      <c r="D22" s="1" t="s">
        <v>65</v>
      </c>
      <c r="E22" s="1" t="s">
        <v>16</v>
      </c>
      <c r="F22" s="1" t="s">
        <v>17</v>
      </c>
      <c r="G22" s="1" t="s">
        <v>66</v>
      </c>
    </row>
    <row r="23" spans="1:7" ht="90" x14ac:dyDescent="0.25">
      <c r="A23" s="1" t="s">
        <v>67</v>
      </c>
      <c r="B23" s="1" t="s">
        <v>68</v>
      </c>
      <c r="C23" s="1" t="s">
        <v>69</v>
      </c>
      <c r="E23" s="1" t="s">
        <v>70</v>
      </c>
      <c r="F23" s="1" t="s">
        <v>71</v>
      </c>
      <c r="G23" s="1" t="s">
        <v>72</v>
      </c>
    </row>
    <row r="24" spans="1:7" ht="90" x14ac:dyDescent="0.25">
      <c r="A24" s="1" t="s">
        <v>73</v>
      </c>
      <c r="B24" s="1" t="s">
        <v>74</v>
      </c>
      <c r="C24" s="1" t="s">
        <v>75</v>
      </c>
      <c r="E24" s="1" t="s">
        <v>56</v>
      </c>
      <c r="F24" s="1" t="s">
        <v>57</v>
      </c>
      <c r="G24" s="1" t="s">
        <v>12</v>
      </c>
    </row>
    <row r="25" spans="1:7" ht="180" x14ac:dyDescent="0.25">
      <c r="A25" s="1" t="s">
        <v>76</v>
      </c>
      <c r="B25" s="1" t="s">
        <v>77</v>
      </c>
      <c r="C25" s="1" t="s">
        <v>78</v>
      </c>
      <c r="E25" s="1" t="s">
        <v>73</v>
      </c>
      <c r="F25" s="1" t="s">
        <v>74</v>
      </c>
      <c r="G25" s="1" t="s">
        <v>12</v>
      </c>
    </row>
    <row r="26" spans="1:7" ht="180" x14ac:dyDescent="0.25">
      <c r="A26" s="1" t="s">
        <v>79</v>
      </c>
      <c r="B26" s="1" t="s">
        <v>80</v>
      </c>
      <c r="C26" s="1" t="s">
        <v>81</v>
      </c>
      <c r="E26" s="1" t="s">
        <v>73</v>
      </c>
      <c r="F26" s="1" t="s">
        <v>74</v>
      </c>
      <c r="G26" s="1" t="s">
        <v>12</v>
      </c>
    </row>
    <row r="27" spans="1:7" ht="45" x14ac:dyDescent="0.25">
      <c r="A27" s="1" t="s">
        <v>82</v>
      </c>
      <c r="B27" s="1" t="s">
        <v>83</v>
      </c>
      <c r="C27" s="1" t="s">
        <v>84</v>
      </c>
      <c r="E27" s="1" t="s">
        <v>85</v>
      </c>
      <c r="F27" s="1" t="s">
        <v>86</v>
      </c>
      <c r="G27" s="1" t="s">
        <v>66</v>
      </c>
    </row>
    <row r="28" spans="1:7" ht="45" x14ac:dyDescent="0.25">
      <c r="A28" s="1" t="s">
        <v>87</v>
      </c>
      <c r="B28" s="1" t="s">
        <v>88</v>
      </c>
      <c r="C28" s="1" t="s">
        <v>89</v>
      </c>
      <c r="E28" s="1" t="s">
        <v>90</v>
      </c>
      <c r="F28" s="1" t="s">
        <v>91</v>
      </c>
      <c r="G28" s="1" t="s">
        <v>12</v>
      </c>
    </row>
    <row r="29" spans="1:7" ht="180" x14ac:dyDescent="0.25">
      <c r="A29" s="1" t="s">
        <v>92</v>
      </c>
      <c r="B29" s="1" t="s">
        <v>93</v>
      </c>
      <c r="C29" s="1" t="s">
        <v>94</v>
      </c>
      <c r="E29" s="1" t="s">
        <v>90</v>
      </c>
      <c r="F29" s="1" t="s">
        <v>91</v>
      </c>
      <c r="G29" s="1" t="s">
        <v>12</v>
      </c>
    </row>
    <row r="30" spans="1:7" ht="75" x14ac:dyDescent="0.25">
      <c r="A30" s="1" t="s">
        <v>95</v>
      </c>
      <c r="B30" s="1" t="s">
        <v>96</v>
      </c>
      <c r="C30" s="1" t="s">
        <v>97</v>
      </c>
      <c r="E30" s="1" t="s">
        <v>98</v>
      </c>
      <c r="F30" s="1" t="s">
        <v>99</v>
      </c>
      <c r="G30" s="1" t="s">
        <v>12</v>
      </c>
    </row>
    <row r="31" spans="1:7" ht="135" x14ac:dyDescent="0.25">
      <c r="A31" s="1" t="s">
        <v>100</v>
      </c>
      <c r="B31" s="1" t="s">
        <v>101</v>
      </c>
      <c r="C31" s="1" t="s">
        <v>102</v>
      </c>
      <c r="E31" s="1" t="s">
        <v>90</v>
      </c>
      <c r="F31" s="1" t="s">
        <v>91</v>
      </c>
      <c r="G31" s="1" t="s">
        <v>12</v>
      </c>
    </row>
    <row r="32" spans="1:7" ht="60" x14ac:dyDescent="0.25">
      <c r="A32" s="1" t="s">
        <v>98</v>
      </c>
      <c r="B32" s="1" t="s">
        <v>99</v>
      </c>
      <c r="C32" s="1" t="s">
        <v>103</v>
      </c>
      <c r="E32" s="1" t="s">
        <v>90</v>
      </c>
      <c r="F32" s="1" t="s">
        <v>91</v>
      </c>
      <c r="G32" s="1" t="s">
        <v>12</v>
      </c>
    </row>
    <row r="33" spans="1:7" ht="45" x14ac:dyDescent="0.25">
      <c r="A33" s="1" t="s">
        <v>90</v>
      </c>
      <c r="B33" s="1" t="s">
        <v>91</v>
      </c>
      <c r="C33" s="1" t="s">
        <v>104</v>
      </c>
      <c r="E33" s="1" t="s">
        <v>105</v>
      </c>
      <c r="F33" s="1" t="s">
        <v>106</v>
      </c>
      <c r="G33" s="1" t="s">
        <v>12</v>
      </c>
    </row>
    <row r="34" spans="1:7" ht="45" x14ac:dyDescent="0.25">
      <c r="A34" s="1" t="s">
        <v>90</v>
      </c>
      <c r="B34" s="1" t="s">
        <v>91</v>
      </c>
      <c r="C34" s="1" t="s">
        <v>104</v>
      </c>
      <c r="E34" s="1" t="s">
        <v>105</v>
      </c>
      <c r="F34" s="1" t="s">
        <v>106</v>
      </c>
      <c r="G34" s="1" t="s">
        <v>107</v>
      </c>
    </row>
    <row r="35" spans="1:7" ht="45" x14ac:dyDescent="0.25">
      <c r="A35" s="1" t="s">
        <v>90</v>
      </c>
      <c r="B35" s="1" t="s">
        <v>91</v>
      </c>
      <c r="C35" s="1" t="s">
        <v>104</v>
      </c>
      <c r="E35" s="1" t="s">
        <v>26</v>
      </c>
      <c r="F35" s="1" t="s">
        <v>27</v>
      </c>
      <c r="G35" s="1" t="s">
        <v>12</v>
      </c>
    </row>
    <row r="36" spans="1:7" ht="45" x14ac:dyDescent="0.25">
      <c r="A36" s="1" t="s">
        <v>90</v>
      </c>
      <c r="B36" s="1" t="s">
        <v>91</v>
      </c>
      <c r="C36" s="1" t="s">
        <v>104</v>
      </c>
      <c r="E36" s="1" t="s">
        <v>26</v>
      </c>
      <c r="F36" s="1" t="s">
        <v>27</v>
      </c>
      <c r="G36" s="1" t="s">
        <v>107</v>
      </c>
    </row>
    <row r="37" spans="1:7" ht="105" x14ac:dyDescent="0.25">
      <c r="A37" s="1" t="s">
        <v>108</v>
      </c>
      <c r="B37" s="1" t="s">
        <v>109</v>
      </c>
      <c r="C37" s="1" t="s">
        <v>110</v>
      </c>
      <c r="D37" s="1" t="s">
        <v>111</v>
      </c>
      <c r="E37" s="1" t="s">
        <v>112</v>
      </c>
      <c r="F37" s="1" t="s">
        <v>113</v>
      </c>
      <c r="G37" s="1" t="s">
        <v>114</v>
      </c>
    </row>
    <row r="38" spans="1:7" ht="105" x14ac:dyDescent="0.25">
      <c r="A38" s="1" t="s">
        <v>108</v>
      </c>
      <c r="B38" s="1" t="s">
        <v>109</v>
      </c>
      <c r="C38" s="1" t="s">
        <v>110</v>
      </c>
      <c r="D38" s="1" t="s">
        <v>111</v>
      </c>
      <c r="E38" s="1" t="s">
        <v>112</v>
      </c>
      <c r="F38" s="1" t="s">
        <v>113</v>
      </c>
      <c r="G38" s="1" t="s">
        <v>12</v>
      </c>
    </row>
    <row r="39" spans="1:7" ht="90" x14ac:dyDescent="0.25">
      <c r="A39" s="1" t="s">
        <v>115</v>
      </c>
      <c r="B39" s="1" t="s">
        <v>116</v>
      </c>
      <c r="C39" s="1" t="s">
        <v>117</v>
      </c>
      <c r="E39" s="1" t="s">
        <v>56</v>
      </c>
      <c r="F39" s="1" t="s">
        <v>57</v>
      </c>
      <c r="G39" s="1" t="s">
        <v>12</v>
      </c>
    </row>
    <row r="40" spans="1:7" ht="90" x14ac:dyDescent="0.25">
      <c r="A40" s="1" t="s">
        <v>118</v>
      </c>
      <c r="B40" s="1" t="s">
        <v>119</v>
      </c>
      <c r="C40" s="1" t="s">
        <v>120</v>
      </c>
      <c r="E40" s="1" t="s">
        <v>56</v>
      </c>
      <c r="F40" s="1" t="s">
        <v>57</v>
      </c>
      <c r="G40" s="1" t="s">
        <v>12</v>
      </c>
    </row>
    <row r="41" spans="1:7" ht="165" x14ac:dyDescent="0.25">
      <c r="A41" s="1" t="s">
        <v>121</v>
      </c>
      <c r="B41" s="1" t="s">
        <v>122</v>
      </c>
      <c r="C41" s="1" t="s">
        <v>123</v>
      </c>
      <c r="E41" s="1" t="s">
        <v>112</v>
      </c>
      <c r="F41" s="1" t="s">
        <v>113</v>
      </c>
      <c r="G41" s="1" t="s">
        <v>12</v>
      </c>
    </row>
    <row r="42" spans="1:7" ht="30" x14ac:dyDescent="0.25">
      <c r="A42" s="1" t="s">
        <v>124</v>
      </c>
      <c r="B42" s="1" t="s">
        <v>125</v>
      </c>
      <c r="C42" s="1" t="s">
        <v>126</v>
      </c>
      <c r="E42" s="1" t="s">
        <v>16</v>
      </c>
      <c r="F42" s="1" t="s">
        <v>17</v>
      </c>
      <c r="G42" s="1" t="s">
        <v>12</v>
      </c>
    </row>
    <row r="43" spans="1:7" ht="315" x14ac:dyDescent="0.25">
      <c r="A43" s="1" t="s">
        <v>127</v>
      </c>
      <c r="B43" s="1" t="s">
        <v>128</v>
      </c>
      <c r="C43" s="1" t="s">
        <v>129</v>
      </c>
      <c r="D43" s="1" t="s">
        <v>130</v>
      </c>
      <c r="E43" s="1" t="s">
        <v>112</v>
      </c>
      <c r="F43" s="1" t="s">
        <v>113</v>
      </c>
      <c r="G43" s="1" t="s">
        <v>12</v>
      </c>
    </row>
    <row r="44" spans="1:7" ht="45" x14ac:dyDescent="0.25">
      <c r="A44" s="1" t="s">
        <v>131</v>
      </c>
      <c r="B44" s="1" t="s">
        <v>132</v>
      </c>
      <c r="C44" s="1" t="s">
        <v>133</v>
      </c>
      <c r="E44" s="1" t="s">
        <v>90</v>
      </c>
      <c r="F44" s="1" t="s">
        <v>91</v>
      </c>
      <c r="G44" s="1" t="s">
        <v>12</v>
      </c>
    </row>
    <row r="45" spans="1:7" ht="105" x14ac:dyDescent="0.25">
      <c r="A45" s="1" t="s">
        <v>134</v>
      </c>
      <c r="B45" s="1" t="s">
        <v>135</v>
      </c>
      <c r="C45" s="1" t="s">
        <v>136</v>
      </c>
      <c r="E45" s="1" t="s">
        <v>137</v>
      </c>
      <c r="F45" s="1" t="s">
        <v>138</v>
      </c>
      <c r="G45" s="1" t="s">
        <v>139</v>
      </c>
    </row>
    <row r="46" spans="1:7" ht="105" x14ac:dyDescent="0.25">
      <c r="A46" s="1" t="s">
        <v>134</v>
      </c>
      <c r="B46" s="1" t="s">
        <v>135</v>
      </c>
      <c r="C46" s="1" t="s">
        <v>136</v>
      </c>
      <c r="E46" s="1" t="s">
        <v>137</v>
      </c>
      <c r="F46" s="1" t="s">
        <v>138</v>
      </c>
      <c r="G46" s="1" t="s">
        <v>12</v>
      </c>
    </row>
    <row r="47" spans="1:7" ht="45" x14ac:dyDescent="0.25">
      <c r="A47" s="1" t="s">
        <v>140</v>
      </c>
      <c r="B47" s="1" t="s">
        <v>141</v>
      </c>
      <c r="C47" s="1" t="s">
        <v>142</v>
      </c>
      <c r="E47" s="1" t="s">
        <v>112</v>
      </c>
      <c r="F47" s="1" t="s">
        <v>113</v>
      </c>
      <c r="G47" s="1" t="s">
        <v>12</v>
      </c>
    </row>
    <row r="48" spans="1:7" ht="45" x14ac:dyDescent="0.25">
      <c r="A48" s="1" t="s">
        <v>143</v>
      </c>
      <c r="B48" s="1" t="s">
        <v>144</v>
      </c>
      <c r="C48" s="1" t="s">
        <v>145</v>
      </c>
      <c r="E48" s="1" t="s">
        <v>85</v>
      </c>
      <c r="F48" s="1" t="s">
        <v>86</v>
      </c>
      <c r="G48" s="1" t="s">
        <v>66</v>
      </c>
    </row>
    <row r="49" spans="1:7" ht="150" x14ac:dyDescent="0.25">
      <c r="A49" s="1" t="s">
        <v>146</v>
      </c>
      <c r="B49" s="1" t="s">
        <v>147</v>
      </c>
      <c r="C49" s="1" t="s">
        <v>148</v>
      </c>
      <c r="E49" s="1" t="s">
        <v>149</v>
      </c>
      <c r="F49" s="1" t="s">
        <v>150</v>
      </c>
      <c r="G49" s="1" t="s">
        <v>12</v>
      </c>
    </row>
    <row r="50" spans="1:7" ht="30" x14ac:dyDescent="0.25">
      <c r="A50" s="1" t="s">
        <v>26</v>
      </c>
      <c r="B50" s="1" t="s">
        <v>27</v>
      </c>
      <c r="C50" s="1" t="s">
        <v>151</v>
      </c>
      <c r="E50" s="1" t="s">
        <v>10</v>
      </c>
      <c r="F50" s="1" t="s">
        <v>11</v>
      </c>
      <c r="G50" s="1" t="s">
        <v>12</v>
      </c>
    </row>
    <row r="51" spans="1:7" ht="180" x14ac:dyDescent="0.25">
      <c r="A51" s="1" t="s">
        <v>152</v>
      </c>
      <c r="B51" s="1" t="s">
        <v>153</v>
      </c>
      <c r="C51" s="1" t="s">
        <v>154</v>
      </c>
      <c r="D51" s="1" t="s">
        <v>155</v>
      </c>
      <c r="E51" s="1" t="s">
        <v>156</v>
      </c>
      <c r="F51" s="1" t="s">
        <v>157</v>
      </c>
      <c r="G51" s="1" t="s">
        <v>12</v>
      </c>
    </row>
    <row r="52" spans="1:7" ht="60" x14ac:dyDescent="0.25">
      <c r="A52" s="1" t="s">
        <v>158</v>
      </c>
      <c r="B52" s="1" t="s">
        <v>159</v>
      </c>
      <c r="C52" s="1" t="s">
        <v>160</v>
      </c>
      <c r="E52" s="1" t="s">
        <v>10</v>
      </c>
      <c r="F52" s="1" t="s">
        <v>11</v>
      </c>
      <c r="G52" s="1" t="s">
        <v>12</v>
      </c>
    </row>
    <row r="53" spans="1:7" ht="60" x14ac:dyDescent="0.25">
      <c r="A53" s="1" t="s">
        <v>161</v>
      </c>
      <c r="B53" s="1" t="s">
        <v>162</v>
      </c>
      <c r="C53" s="1" t="s">
        <v>163</v>
      </c>
      <c r="E53" s="1" t="s">
        <v>164</v>
      </c>
      <c r="F53" s="1" t="s">
        <v>165</v>
      </c>
      <c r="G53" s="1" t="s">
        <v>12</v>
      </c>
    </row>
    <row r="54" spans="1:7" ht="180" x14ac:dyDescent="0.25">
      <c r="A54" s="1" t="s">
        <v>164</v>
      </c>
      <c r="B54" s="1" t="s">
        <v>165</v>
      </c>
      <c r="C54" s="1" t="s">
        <v>166</v>
      </c>
      <c r="E54" s="1" t="s">
        <v>10</v>
      </c>
      <c r="F54" s="1" t="s">
        <v>11</v>
      </c>
      <c r="G54" s="1" t="s">
        <v>12</v>
      </c>
    </row>
    <row r="55" spans="1:7" ht="90" x14ac:dyDescent="0.25">
      <c r="A55" s="1" t="s">
        <v>167</v>
      </c>
      <c r="B55" s="1" t="s">
        <v>168</v>
      </c>
      <c r="C55" s="1" t="s">
        <v>169</v>
      </c>
      <c r="D55" s="1" t="s">
        <v>170</v>
      </c>
      <c r="E55" s="1" t="s">
        <v>112</v>
      </c>
      <c r="F55" s="1" t="s">
        <v>113</v>
      </c>
      <c r="G55" s="1" t="s">
        <v>171</v>
      </c>
    </row>
    <row r="56" spans="1:7" ht="75" x14ac:dyDescent="0.25">
      <c r="A56" s="1" t="s">
        <v>172</v>
      </c>
      <c r="B56" s="1" t="s">
        <v>173</v>
      </c>
      <c r="C56" s="1" t="s">
        <v>174</v>
      </c>
      <c r="E56" s="1" t="s">
        <v>175</v>
      </c>
      <c r="F56" s="1" t="s">
        <v>176</v>
      </c>
      <c r="G56" s="1" t="s">
        <v>12</v>
      </c>
    </row>
    <row r="57" spans="1:7" ht="345" x14ac:dyDescent="0.25">
      <c r="A57" s="1" t="s">
        <v>177</v>
      </c>
      <c r="B57" s="1" t="s">
        <v>178</v>
      </c>
      <c r="C57" s="1" t="s">
        <v>179</v>
      </c>
      <c r="D57" s="1" t="s">
        <v>180</v>
      </c>
      <c r="E57" s="1" t="s">
        <v>175</v>
      </c>
      <c r="F57" s="1" t="s">
        <v>176</v>
      </c>
      <c r="G57" s="1" t="s">
        <v>12</v>
      </c>
    </row>
    <row r="58" spans="1:7" ht="270" x14ac:dyDescent="0.25">
      <c r="A58" s="1" t="s">
        <v>181</v>
      </c>
      <c r="B58" s="1" t="s">
        <v>182</v>
      </c>
      <c r="C58" s="1" t="s">
        <v>183</v>
      </c>
      <c r="D58" s="1" t="s">
        <v>184</v>
      </c>
      <c r="E58" s="1" t="s">
        <v>185</v>
      </c>
      <c r="F58" s="1" t="s">
        <v>186</v>
      </c>
      <c r="G58" s="1" t="s">
        <v>187</v>
      </c>
    </row>
    <row r="59" spans="1:7" ht="409.5" x14ac:dyDescent="0.25">
      <c r="A59" s="1" t="s">
        <v>188</v>
      </c>
      <c r="B59" s="1" t="s">
        <v>189</v>
      </c>
      <c r="C59" s="1" t="s">
        <v>190</v>
      </c>
      <c r="D59" s="1" t="s">
        <v>191</v>
      </c>
      <c r="E59" s="1" t="s">
        <v>175</v>
      </c>
      <c r="F59" s="1" t="s">
        <v>176</v>
      </c>
      <c r="G59" s="1" t="s">
        <v>12</v>
      </c>
    </row>
    <row r="60" spans="1:7" ht="90" x14ac:dyDescent="0.25">
      <c r="A60" s="1" t="s">
        <v>192</v>
      </c>
      <c r="B60" s="1" t="s">
        <v>193</v>
      </c>
      <c r="C60" s="1" t="s">
        <v>194</v>
      </c>
      <c r="E60" s="1" t="s">
        <v>85</v>
      </c>
      <c r="F60" s="1" t="s">
        <v>86</v>
      </c>
      <c r="G60" s="1" t="s">
        <v>12</v>
      </c>
    </row>
    <row r="61" spans="1:7" ht="75" x14ac:dyDescent="0.25">
      <c r="A61" s="1" t="s">
        <v>195</v>
      </c>
      <c r="B61" s="1" t="s">
        <v>196</v>
      </c>
      <c r="C61" s="1" t="s">
        <v>197</v>
      </c>
      <c r="E61" s="1" t="s">
        <v>28</v>
      </c>
      <c r="F61" s="1" t="s">
        <v>29</v>
      </c>
      <c r="G61" s="1" t="s">
        <v>12</v>
      </c>
    </row>
    <row r="62" spans="1:7" ht="60" x14ac:dyDescent="0.25">
      <c r="A62" s="1" t="s">
        <v>198</v>
      </c>
      <c r="B62" s="1" t="s">
        <v>199</v>
      </c>
      <c r="C62" s="1" t="s">
        <v>200</v>
      </c>
      <c r="E62" s="1" t="s">
        <v>18</v>
      </c>
      <c r="F62" s="1" t="s">
        <v>19</v>
      </c>
      <c r="G62" s="1" t="s">
        <v>12</v>
      </c>
    </row>
    <row r="63" spans="1:7" ht="120" x14ac:dyDescent="0.25">
      <c r="A63" s="1" t="s">
        <v>201</v>
      </c>
      <c r="B63" s="1" t="s">
        <v>202</v>
      </c>
      <c r="C63" s="1" t="s">
        <v>203</v>
      </c>
      <c r="E63" s="1" t="s">
        <v>16</v>
      </c>
      <c r="F63" s="1" t="s">
        <v>17</v>
      </c>
      <c r="G63" s="1" t="s">
        <v>204</v>
      </c>
    </row>
    <row r="64" spans="1:7" ht="90" x14ac:dyDescent="0.25">
      <c r="A64" s="1" t="s">
        <v>205</v>
      </c>
      <c r="B64" s="1" t="s">
        <v>206</v>
      </c>
      <c r="C64" s="1" t="s">
        <v>207</v>
      </c>
      <c r="E64" s="1" t="s">
        <v>85</v>
      </c>
      <c r="F64" s="1" t="s">
        <v>86</v>
      </c>
      <c r="G64" s="1" t="s">
        <v>66</v>
      </c>
    </row>
    <row r="65" spans="1:7" ht="75" x14ac:dyDescent="0.25">
      <c r="A65" s="1" t="s">
        <v>208</v>
      </c>
      <c r="B65" s="1" t="s">
        <v>209</v>
      </c>
      <c r="C65" s="1" t="s">
        <v>210</v>
      </c>
      <c r="E65" s="1" t="s">
        <v>211</v>
      </c>
      <c r="F65" s="1" t="s">
        <v>212</v>
      </c>
      <c r="G65" s="1" t="s">
        <v>12</v>
      </c>
    </row>
    <row r="66" spans="1:7" ht="60" x14ac:dyDescent="0.25">
      <c r="A66" s="1" t="s">
        <v>70</v>
      </c>
      <c r="B66" s="1" t="s">
        <v>71</v>
      </c>
      <c r="C66" s="1" t="s">
        <v>213</v>
      </c>
      <c r="E66" s="1" t="s">
        <v>26</v>
      </c>
      <c r="F66" s="1" t="s">
        <v>27</v>
      </c>
      <c r="G66" s="1" t="s">
        <v>12</v>
      </c>
    </row>
    <row r="67" spans="1:7" ht="105" x14ac:dyDescent="0.25">
      <c r="A67" s="1" t="s">
        <v>214</v>
      </c>
      <c r="B67" s="1" t="s">
        <v>215</v>
      </c>
      <c r="C67" s="1" t="s">
        <v>216</v>
      </c>
      <c r="E67" s="1" t="s">
        <v>112</v>
      </c>
      <c r="F67" s="1" t="s">
        <v>113</v>
      </c>
      <c r="G67" s="1" t="s">
        <v>217</v>
      </c>
    </row>
    <row r="68" spans="1:7" ht="75" x14ac:dyDescent="0.25">
      <c r="A68" s="1" t="s">
        <v>218</v>
      </c>
      <c r="B68" s="1" t="s">
        <v>219</v>
      </c>
      <c r="C68" s="1" t="s">
        <v>220</v>
      </c>
      <c r="E68" s="1" t="s">
        <v>149</v>
      </c>
      <c r="F68" s="1" t="s">
        <v>150</v>
      </c>
      <c r="G68" s="1" t="s">
        <v>12</v>
      </c>
    </row>
    <row r="69" spans="1:7" ht="105" x14ac:dyDescent="0.25">
      <c r="A69" s="1" t="s">
        <v>221</v>
      </c>
      <c r="B69" s="1" t="s">
        <v>222</v>
      </c>
      <c r="C69" s="1" t="s">
        <v>223</v>
      </c>
      <c r="E69" s="1" t="s">
        <v>211</v>
      </c>
      <c r="F69" s="1" t="s">
        <v>212</v>
      </c>
      <c r="G69" s="1" t="s">
        <v>12</v>
      </c>
    </row>
    <row r="70" spans="1:7" ht="45" x14ac:dyDescent="0.25">
      <c r="A70" s="1" t="s">
        <v>224</v>
      </c>
      <c r="B70" s="1" t="s">
        <v>225</v>
      </c>
      <c r="C70" s="1" t="s">
        <v>226</v>
      </c>
      <c r="E70" s="1" t="s">
        <v>40</v>
      </c>
      <c r="F70" s="1" t="s">
        <v>41</v>
      </c>
      <c r="G70" s="1" t="s">
        <v>227</v>
      </c>
    </row>
    <row r="71" spans="1:7" ht="150" x14ac:dyDescent="0.25">
      <c r="A71" s="1" t="s">
        <v>228</v>
      </c>
      <c r="B71" s="1" t="s">
        <v>229</v>
      </c>
      <c r="C71" s="1" t="s">
        <v>230</v>
      </c>
      <c r="E71" s="1" t="s">
        <v>70</v>
      </c>
      <c r="F71" s="1" t="s">
        <v>71</v>
      </c>
      <c r="G71" s="1" t="s">
        <v>231</v>
      </c>
    </row>
    <row r="72" spans="1:7" ht="45" x14ac:dyDescent="0.25">
      <c r="A72" s="1" t="s">
        <v>232</v>
      </c>
      <c r="B72" s="1" t="s">
        <v>233</v>
      </c>
      <c r="C72" s="1" t="s">
        <v>234</v>
      </c>
      <c r="E72" s="1" t="s">
        <v>16</v>
      </c>
      <c r="F72" s="1" t="s">
        <v>17</v>
      </c>
      <c r="G72" s="1" t="s">
        <v>12</v>
      </c>
    </row>
    <row r="73" spans="1:7" ht="120" x14ac:dyDescent="0.25">
      <c r="A73" s="1" t="s">
        <v>235</v>
      </c>
      <c r="B73" s="1" t="s">
        <v>236</v>
      </c>
      <c r="C73" s="1" t="s">
        <v>237</v>
      </c>
      <c r="E73" s="1" t="s">
        <v>238</v>
      </c>
      <c r="F73" s="1" t="s">
        <v>239</v>
      </c>
      <c r="G73" s="1" t="s">
        <v>72</v>
      </c>
    </row>
    <row r="74" spans="1:7" ht="120" x14ac:dyDescent="0.25">
      <c r="A74" s="1" t="s">
        <v>238</v>
      </c>
      <c r="B74" s="1" t="s">
        <v>239</v>
      </c>
      <c r="C74" s="1" t="s">
        <v>240</v>
      </c>
      <c r="E74" s="1" t="s">
        <v>26</v>
      </c>
      <c r="F74" s="1" t="s">
        <v>27</v>
      </c>
      <c r="G74" s="1" t="s">
        <v>72</v>
      </c>
    </row>
    <row r="75" spans="1:7" ht="90" x14ac:dyDescent="0.25">
      <c r="A75" s="1" t="s">
        <v>241</v>
      </c>
      <c r="B75" s="1" t="s">
        <v>242</v>
      </c>
      <c r="C75" s="1" t="s">
        <v>243</v>
      </c>
      <c r="E75" s="1" t="s">
        <v>70</v>
      </c>
      <c r="F75" s="1" t="s">
        <v>71</v>
      </c>
      <c r="G75" s="1" t="s">
        <v>72</v>
      </c>
    </row>
    <row r="76" spans="1:7" ht="105" x14ac:dyDescent="0.25">
      <c r="A76" s="1" t="s">
        <v>244</v>
      </c>
      <c r="B76" s="1" t="s">
        <v>245</v>
      </c>
      <c r="C76" s="1" t="s">
        <v>246</v>
      </c>
      <c r="E76" s="1" t="s">
        <v>34</v>
      </c>
      <c r="F76" s="1" t="s">
        <v>35</v>
      </c>
      <c r="G76" s="1" t="s">
        <v>247</v>
      </c>
    </row>
    <row r="77" spans="1:7" ht="45" x14ac:dyDescent="0.25">
      <c r="A77" s="1" t="s">
        <v>248</v>
      </c>
      <c r="B77" s="1" t="s">
        <v>249</v>
      </c>
      <c r="C77" s="1" t="s">
        <v>250</v>
      </c>
      <c r="E77" s="1" t="s">
        <v>185</v>
      </c>
      <c r="F77" s="1" t="s">
        <v>186</v>
      </c>
    </row>
    <row r="78" spans="1:7" x14ac:dyDescent="0.25">
      <c r="A78" s="1" t="s">
        <v>251</v>
      </c>
      <c r="B78" s="1" t="s">
        <v>252</v>
      </c>
      <c r="E78" s="1" t="s">
        <v>253</v>
      </c>
      <c r="F78" s="1" t="s">
        <v>254</v>
      </c>
    </row>
    <row r="79" spans="1:7" ht="75" x14ac:dyDescent="0.25">
      <c r="A79" s="1" t="s">
        <v>255</v>
      </c>
      <c r="B79" s="1" t="s">
        <v>256</v>
      </c>
      <c r="C79" s="1" t="s">
        <v>257</v>
      </c>
      <c r="E79" s="1" t="s">
        <v>34</v>
      </c>
      <c r="F79" s="1" t="s">
        <v>35</v>
      </c>
      <c r="G79" s="1" t="s">
        <v>258</v>
      </c>
    </row>
    <row r="80" spans="1:7" x14ac:dyDescent="0.25">
      <c r="A80" s="1" t="s">
        <v>259</v>
      </c>
      <c r="B80" s="1" t="s">
        <v>260</v>
      </c>
      <c r="E80" s="1" t="s">
        <v>34</v>
      </c>
      <c r="F80" s="1" t="s">
        <v>35</v>
      </c>
    </row>
    <row r="81" spans="1:7" ht="345" x14ac:dyDescent="0.25">
      <c r="A81" s="1" t="s">
        <v>261</v>
      </c>
      <c r="B81" s="1" t="s">
        <v>262</v>
      </c>
      <c r="C81" s="1" t="s">
        <v>263</v>
      </c>
      <c r="D81" s="1" t="s">
        <v>264</v>
      </c>
      <c r="E81" s="1" t="s">
        <v>185</v>
      </c>
      <c r="F81" s="1" t="s">
        <v>186</v>
      </c>
      <c r="G81" s="1" t="s">
        <v>265</v>
      </c>
    </row>
    <row r="82" spans="1:7" ht="30" x14ac:dyDescent="0.25">
      <c r="A82" s="1" t="s">
        <v>266</v>
      </c>
      <c r="B82" s="1" t="s">
        <v>267</v>
      </c>
      <c r="C82" s="1" t="s">
        <v>268</v>
      </c>
      <c r="E82" s="1" t="s">
        <v>269</v>
      </c>
      <c r="F82" s="1" t="s">
        <v>270</v>
      </c>
    </row>
    <row r="83" spans="1:7" ht="45" x14ac:dyDescent="0.25">
      <c r="A83" s="1" t="s">
        <v>271</v>
      </c>
      <c r="B83" s="1" t="s">
        <v>272</v>
      </c>
      <c r="C83" s="1" t="s">
        <v>273</v>
      </c>
      <c r="E83" s="1" t="s">
        <v>164</v>
      </c>
      <c r="F83" s="1" t="s">
        <v>165</v>
      </c>
      <c r="G83" s="1" t="s">
        <v>66</v>
      </c>
    </row>
    <row r="84" spans="1:7" ht="45" x14ac:dyDescent="0.25">
      <c r="A84" s="1" t="s">
        <v>274</v>
      </c>
      <c r="B84" s="1" t="s">
        <v>275</v>
      </c>
      <c r="C84" s="1" t="s">
        <v>276</v>
      </c>
      <c r="E84" s="1" t="s">
        <v>10</v>
      </c>
      <c r="F84" s="1" t="s">
        <v>11</v>
      </c>
      <c r="G84" s="1" t="s">
        <v>277</v>
      </c>
    </row>
    <row r="85" spans="1:7" ht="60" x14ac:dyDescent="0.25">
      <c r="A85" s="1" t="s">
        <v>278</v>
      </c>
      <c r="B85" s="1" t="s">
        <v>279</v>
      </c>
      <c r="C85" s="1" t="s">
        <v>280</v>
      </c>
      <c r="E85" s="1" t="s">
        <v>281</v>
      </c>
      <c r="F85" s="1" t="s">
        <v>282</v>
      </c>
    </row>
    <row r="86" spans="1:7" ht="120" x14ac:dyDescent="0.25">
      <c r="A86" s="1" t="s">
        <v>283</v>
      </c>
      <c r="B86" s="1" t="s">
        <v>284</v>
      </c>
      <c r="C86" s="1" t="s">
        <v>285</v>
      </c>
      <c r="E86" s="1" t="s">
        <v>286</v>
      </c>
      <c r="F86" s="1" t="s">
        <v>287</v>
      </c>
      <c r="G86" s="1" t="s">
        <v>288</v>
      </c>
    </row>
    <row r="87" spans="1:7" ht="45" x14ac:dyDescent="0.25">
      <c r="A87" s="1" t="s">
        <v>289</v>
      </c>
      <c r="B87" s="1" t="s">
        <v>290</v>
      </c>
      <c r="C87" s="1" t="s">
        <v>291</v>
      </c>
      <c r="D87" s="1" t="s">
        <v>292</v>
      </c>
      <c r="E87" s="1" t="s">
        <v>10</v>
      </c>
      <c r="F87" s="1" t="s">
        <v>11</v>
      </c>
      <c r="G87" s="1" t="s">
        <v>66</v>
      </c>
    </row>
    <row r="88" spans="1:7" ht="135" x14ac:dyDescent="0.25">
      <c r="A88" s="1" t="s">
        <v>293</v>
      </c>
      <c r="B88" s="1" t="s">
        <v>294</v>
      </c>
      <c r="C88" s="1" t="s">
        <v>295</v>
      </c>
      <c r="E88" s="1" t="s">
        <v>296</v>
      </c>
      <c r="F88" s="1" t="s">
        <v>297</v>
      </c>
      <c r="G88" s="1" t="s">
        <v>298</v>
      </c>
    </row>
    <row r="89" spans="1:7" ht="300" x14ac:dyDescent="0.25">
      <c r="A89" s="1" t="s">
        <v>299</v>
      </c>
      <c r="B89" s="1" t="s">
        <v>300</v>
      </c>
      <c r="C89" s="1" t="s">
        <v>301</v>
      </c>
      <c r="E89" s="1" t="s">
        <v>40</v>
      </c>
      <c r="F89" s="1" t="s">
        <v>41</v>
      </c>
    </row>
    <row r="90" spans="1:7" x14ac:dyDescent="0.25">
      <c r="A90" s="1" t="s">
        <v>302</v>
      </c>
      <c r="B90" s="1" t="s">
        <v>303</v>
      </c>
      <c r="E90" s="1" t="s">
        <v>281</v>
      </c>
      <c r="F90" s="1" t="s">
        <v>282</v>
      </c>
    </row>
    <row r="91" spans="1:7" x14ac:dyDescent="0.25">
      <c r="A91" s="1" t="s">
        <v>304</v>
      </c>
      <c r="B91" s="1" t="s">
        <v>305</v>
      </c>
      <c r="E91" s="1" t="s">
        <v>23</v>
      </c>
      <c r="F91" s="1" t="s">
        <v>24</v>
      </c>
    </row>
    <row r="92" spans="1:7" ht="60" x14ac:dyDescent="0.25">
      <c r="A92" s="1" t="s">
        <v>306</v>
      </c>
      <c r="B92" s="1" t="s">
        <v>307</v>
      </c>
      <c r="C92" s="1" t="s">
        <v>308</v>
      </c>
      <c r="E92" s="1" t="s">
        <v>309</v>
      </c>
      <c r="F92" s="1" t="s">
        <v>310</v>
      </c>
    </row>
    <row r="93" spans="1:7" x14ac:dyDescent="0.25">
      <c r="A93" s="1" t="s">
        <v>311</v>
      </c>
      <c r="B93" s="1" t="s">
        <v>312</v>
      </c>
      <c r="E93" s="1" t="s">
        <v>112</v>
      </c>
      <c r="F93" s="1" t="s">
        <v>113</v>
      </c>
    </row>
    <row r="94" spans="1:7" ht="300" x14ac:dyDescent="0.25">
      <c r="A94" s="1" t="s">
        <v>313</v>
      </c>
      <c r="B94" s="1" t="s">
        <v>314</v>
      </c>
      <c r="C94" s="1" t="s">
        <v>315</v>
      </c>
      <c r="D94" s="1" t="s">
        <v>316</v>
      </c>
      <c r="E94" s="1" t="s">
        <v>112</v>
      </c>
      <c r="F94" s="1" t="s">
        <v>113</v>
      </c>
      <c r="G94" s="1" t="s">
        <v>12</v>
      </c>
    </row>
    <row r="95" spans="1:7" x14ac:dyDescent="0.25">
      <c r="A95" s="1" t="s">
        <v>317</v>
      </c>
      <c r="B95" s="1" t="s">
        <v>318</v>
      </c>
      <c r="C95" s="1" t="s">
        <v>319</v>
      </c>
      <c r="E95" s="1" t="s">
        <v>253</v>
      </c>
      <c r="F95" s="1" t="s">
        <v>254</v>
      </c>
    </row>
    <row r="96" spans="1:7" x14ac:dyDescent="0.25">
      <c r="A96" s="1" t="s">
        <v>320</v>
      </c>
      <c r="B96" s="1" t="s">
        <v>321</v>
      </c>
      <c r="E96" s="1" t="s">
        <v>34</v>
      </c>
      <c r="F96" s="1" t="s">
        <v>35</v>
      </c>
    </row>
    <row r="97" spans="1:7" ht="90" x14ac:dyDescent="0.25">
      <c r="A97" s="1" t="s">
        <v>322</v>
      </c>
      <c r="B97" s="1" t="s">
        <v>323</v>
      </c>
      <c r="C97" s="1" t="s">
        <v>324</v>
      </c>
      <c r="D97" s="1" t="s">
        <v>325</v>
      </c>
      <c r="E97" s="1" t="s">
        <v>10</v>
      </c>
      <c r="F97" s="1" t="s">
        <v>11</v>
      </c>
      <c r="G97" s="1" t="s">
        <v>326</v>
      </c>
    </row>
    <row r="98" spans="1:7" ht="210" x14ac:dyDescent="0.25">
      <c r="A98" s="1" t="s">
        <v>327</v>
      </c>
      <c r="B98" s="1" t="s">
        <v>328</v>
      </c>
      <c r="C98" s="1" t="s">
        <v>329</v>
      </c>
      <c r="E98" s="1" t="s">
        <v>16</v>
      </c>
      <c r="F98" s="1" t="s">
        <v>17</v>
      </c>
      <c r="G98" s="1" t="s">
        <v>330</v>
      </c>
    </row>
    <row r="99" spans="1:7" ht="210" x14ac:dyDescent="0.25">
      <c r="A99" s="1" t="s">
        <v>327</v>
      </c>
      <c r="B99" s="1" t="s">
        <v>328</v>
      </c>
      <c r="C99" s="1" t="s">
        <v>329</v>
      </c>
      <c r="E99" s="1" t="s">
        <v>16</v>
      </c>
      <c r="F99" s="1" t="s">
        <v>17</v>
      </c>
      <c r="G99" s="1" t="s">
        <v>12</v>
      </c>
    </row>
    <row r="100" spans="1:7" ht="210" x14ac:dyDescent="0.25">
      <c r="A100" s="1" t="s">
        <v>327</v>
      </c>
      <c r="B100" s="1" t="s">
        <v>328</v>
      </c>
      <c r="C100" s="1" t="s">
        <v>329</v>
      </c>
      <c r="E100" s="1" t="s">
        <v>62</v>
      </c>
      <c r="F100" s="1" t="s">
        <v>63</v>
      </c>
      <c r="G100" s="1" t="s">
        <v>330</v>
      </c>
    </row>
    <row r="101" spans="1:7" ht="210" x14ac:dyDescent="0.25">
      <c r="A101" s="1" t="s">
        <v>327</v>
      </c>
      <c r="B101" s="1" t="s">
        <v>328</v>
      </c>
      <c r="C101" s="1" t="s">
        <v>329</v>
      </c>
      <c r="E101" s="1" t="s">
        <v>62</v>
      </c>
      <c r="F101" s="1" t="s">
        <v>63</v>
      </c>
      <c r="G101" s="1" t="s">
        <v>12</v>
      </c>
    </row>
    <row r="102" spans="1:7" ht="75" x14ac:dyDescent="0.25">
      <c r="A102" s="1" t="s">
        <v>327</v>
      </c>
      <c r="B102" s="1" t="s">
        <v>328</v>
      </c>
      <c r="C102" s="1" t="s">
        <v>331</v>
      </c>
      <c r="E102" s="1" t="s">
        <v>16</v>
      </c>
      <c r="F102" s="1" t="s">
        <v>17</v>
      </c>
      <c r="G102" s="1" t="s">
        <v>330</v>
      </c>
    </row>
    <row r="103" spans="1:7" ht="75" x14ac:dyDescent="0.25">
      <c r="A103" s="1" t="s">
        <v>327</v>
      </c>
      <c r="B103" s="1" t="s">
        <v>328</v>
      </c>
      <c r="C103" s="1" t="s">
        <v>331</v>
      </c>
      <c r="E103" s="1" t="s">
        <v>16</v>
      </c>
      <c r="F103" s="1" t="s">
        <v>17</v>
      </c>
      <c r="G103" s="1" t="s">
        <v>12</v>
      </c>
    </row>
    <row r="104" spans="1:7" ht="75" x14ac:dyDescent="0.25">
      <c r="A104" s="1" t="s">
        <v>327</v>
      </c>
      <c r="B104" s="1" t="s">
        <v>328</v>
      </c>
      <c r="C104" s="1" t="s">
        <v>331</v>
      </c>
      <c r="E104" s="1" t="s">
        <v>62</v>
      </c>
      <c r="F104" s="1" t="s">
        <v>63</v>
      </c>
      <c r="G104" s="1" t="s">
        <v>330</v>
      </c>
    </row>
    <row r="105" spans="1:7" ht="75" x14ac:dyDescent="0.25">
      <c r="A105" s="1" t="s">
        <v>327</v>
      </c>
      <c r="B105" s="1" t="s">
        <v>328</v>
      </c>
      <c r="C105" s="1" t="s">
        <v>331</v>
      </c>
      <c r="E105" s="1" t="s">
        <v>62</v>
      </c>
      <c r="F105" s="1" t="s">
        <v>63</v>
      </c>
      <c r="G105" s="1" t="s">
        <v>12</v>
      </c>
    </row>
    <row r="106" spans="1:7" x14ac:dyDescent="0.25">
      <c r="A106" s="1" t="s">
        <v>332</v>
      </c>
      <c r="B106" s="1" t="s">
        <v>333</v>
      </c>
      <c r="C106" s="1" t="s">
        <v>334</v>
      </c>
      <c r="E106" s="1" t="s">
        <v>10</v>
      </c>
      <c r="F106" s="1" t="s">
        <v>11</v>
      </c>
    </row>
    <row r="107" spans="1:7" ht="210" x14ac:dyDescent="0.25">
      <c r="A107" s="1" t="s">
        <v>335</v>
      </c>
      <c r="B107" s="1" t="s">
        <v>336</v>
      </c>
      <c r="C107" s="1" t="s">
        <v>337</v>
      </c>
      <c r="E107" s="1" t="s">
        <v>10</v>
      </c>
      <c r="F107" s="1" t="s">
        <v>11</v>
      </c>
    </row>
    <row r="108" spans="1:7" ht="120" x14ac:dyDescent="0.25">
      <c r="A108" s="1" t="s">
        <v>338</v>
      </c>
      <c r="B108" s="1" t="s">
        <v>339</v>
      </c>
      <c r="C108" s="1" t="s">
        <v>340</v>
      </c>
      <c r="E108" s="1" t="s">
        <v>10</v>
      </c>
      <c r="F108" s="1" t="s">
        <v>11</v>
      </c>
    </row>
    <row r="109" spans="1:7" x14ac:dyDescent="0.25">
      <c r="A109" s="1" t="s">
        <v>341</v>
      </c>
      <c r="B109" s="1" t="s">
        <v>342</v>
      </c>
      <c r="E109" s="1" t="s">
        <v>10</v>
      </c>
      <c r="F109" s="1" t="s">
        <v>11</v>
      </c>
    </row>
    <row r="110" spans="1:7" ht="30" x14ac:dyDescent="0.25">
      <c r="A110" s="1" t="s">
        <v>343</v>
      </c>
      <c r="B110" s="1" t="s">
        <v>344</v>
      </c>
      <c r="E110" s="1" t="s">
        <v>211</v>
      </c>
      <c r="F110" s="1" t="s">
        <v>212</v>
      </c>
    </row>
    <row r="111" spans="1:7" ht="30" x14ac:dyDescent="0.25">
      <c r="A111" s="1" t="s">
        <v>345</v>
      </c>
      <c r="B111" s="1" t="s">
        <v>346</v>
      </c>
      <c r="C111" s="1" t="s">
        <v>347</v>
      </c>
      <c r="E111" s="1" t="s">
        <v>192</v>
      </c>
      <c r="F111" s="1" t="s">
        <v>193</v>
      </c>
    </row>
    <row r="112" spans="1:7" x14ac:dyDescent="0.25">
      <c r="A112" s="1" t="s">
        <v>348</v>
      </c>
      <c r="B112" s="1" t="s">
        <v>349</v>
      </c>
      <c r="E112" s="1" t="s">
        <v>112</v>
      </c>
      <c r="F112" s="1" t="s">
        <v>113</v>
      </c>
    </row>
    <row r="113" spans="1:7" x14ac:dyDescent="0.25">
      <c r="A113" s="1" t="s">
        <v>286</v>
      </c>
      <c r="B113" s="1" t="s">
        <v>287</v>
      </c>
      <c r="E113" s="1" t="s">
        <v>10</v>
      </c>
      <c r="F113" s="1" t="s">
        <v>11</v>
      </c>
    </row>
    <row r="114" spans="1:7" ht="165" x14ac:dyDescent="0.25">
      <c r="A114" s="1" t="s">
        <v>350</v>
      </c>
      <c r="B114" s="1" t="s">
        <v>351</v>
      </c>
      <c r="C114" s="1" t="s">
        <v>352</v>
      </c>
      <c r="D114" s="1" t="s">
        <v>353</v>
      </c>
      <c r="E114" s="1" t="s">
        <v>10</v>
      </c>
      <c r="F114" s="1" t="s">
        <v>11</v>
      </c>
      <c r="G114" s="1" t="s">
        <v>354</v>
      </c>
    </row>
    <row r="115" spans="1:7" ht="45" x14ac:dyDescent="0.25">
      <c r="A115" s="1" t="s">
        <v>355</v>
      </c>
      <c r="B115" s="1" t="s">
        <v>356</v>
      </c>
      <c r="C115" s="1" t="s">
        <v>357</v>
      </c>
      <c r="E115" s="1" t="s">
        <v>105</v>
      </c>
      <c r="F115" s="1" t="s">
        <v>106</v>
      </c>
      <c r="G115" s="1" t="s">
        <v>12</v>
      </c>
    </row>
    <row r="116" spans="1:7" ht="45" x14ac:dyDescent="0.25">
      <c r="A116" s="1" t="s">
        <v>355</v>
      </c>
      <c r="B116" s="1" t="s">
        <v>356</v>
      </c>
      <c r="C116" s="1" t="s">
        <v>357</v>
      </c>
      <c r="E116" s="1" t="s">
        <v>26</v>
      </c>
      <c r="F116" s="1" t="s">
        <v>27</v>
      </c>
      <c r="G116" s="1" t="s">
        <v>12</v>
      </c>
    </row>
    <row r="117" spans="1:7" ht="180" x14ac:dyDescent="0.25">
      <c r="A117" s="1" t="s">
        <v>358</v>
      </c>
      <c r="B117" s="1" t="s">
        <v>359</v>
      </c>
      <c r="C117" s="1" t="s">
        <v>360</v>
      </c>
      <c r="E117" s="1" t="s">
        <v>355</v>
      </c>
      <c r="F117" s="1" t="s">
        <v>356</v>
      </c>
      <c r="G117" s="1" t="s">
        <v>12</v>
      </c>
    </row>
    <row r="118" spans="1:7" ht="195" x14ac:dyDescent="0.25">
      <c r="A118" s="1" t="s">
        <v>361</v>
      </c>
      <c r="B118" s="1" t="s">
        <v>362</v>
      </c>
      <c r="C118" s="1" t="s">
        <v>363</v>
      </c>
      <c r="E118" s="1" t="s">
        <v>90</v>
      </c>
      <c r="F118" s="1" t="s">
        <v>91</v>
      </c>
      <c r="G118" s="1" t="s">
        <v>12</v>
      </c>
    </row>
    <row r="119" spans="1:7" ht="195" x14ac:dyDescent="0.25">
      <c r="A119" s="1" t="s">
        <v>361</v>
      </c>
      <c r="B119" s="1" t="s">
        <v>362</v>
      </c>
      <c r="C119" s="1" t="s">
        <v>363</v>
      </c>
      <c r="E119" s="1" t="s">
        <v>355</v>
      </c>
      <c r="F119" s="1" t="s">
        <v>356</v>
      </c>
      <c r="G119" s="1" t="s">
        <v>12</v>
      </c>
    </row>
    <row r="120" spans="1:7" ht="180" x14ac:dyDescent="0.25">
      <c r="A120" s="1" t="s">
        <v>364</v>
      </c>
      <c r="B120" s="1" t="s">
        <v>365</v>
      </c>
      <c r="C120" s="1" t="s">
        <v>366</v>
      </c>
      <c r="E120" s="1" t="s">
        <v>286</v>
      </c>
      <c r="F120" s="1" t="s">
        <v>287</v>
      </c>
      <c r="G120" s="1" t="s">
        <v>367</v>
      </c>
    </row>
    <row r="121" spans="1:7" ht="60" x14ac:dyDescent="0.25">
      <c r="A121" s="1" t="s">
        <v>368</v>
      </c>
      <c r="B121" s="1" t="s">
        <v>369</v>
      </c>
      <c r="C121" s="1" t="s">
        <v>370</v>
      </c>
      <c r="E121" s="1" t="s">
        <v>371</v>
      </c>
      <c r="F121" s="1" t="s">
        <v>372</v>
      </c>
      <c r="G121" s="1" t="s">
        <v>373</v>
      </c>
    </row>
    <row r="122" spans="1:7" ht="75" x14ac:dyDescent="0.25">
      <c r="A122" s="1" t="s">
        <v>374</v>
      </c>
      <c r="B122" s="1" t="s">
        <v>375</v>
      </c>
      <c r="C122" s="1" t="s">
        <v>376</v>
      </c>
      <c r="E122" s="1" t="s">
        <v>371</v>
      </c>
      <c r="F122" s="1" t="s">
        <v>372</v>
      </c>
      <c r="G122" s="1" t="s">
        <v>373</v>
      </c>
    </row>
    <row r="123" spans="1:7" ht="75" x14ac:dyDescent="0.25">
      <c r="A123" s="1" t="s">
        <v>377</v>
      </c>
      <c r="B123" s="1" t="s">
        <v>378</v>
      </c>
      <c r="C123" s="1" t="s">
        <v>379</v>
      </c>
      <c r="E123" s="1" t="s">
        <v>374</v>
      </c>
      <c r="F123" s="1" t="s">
        <v>375</v>
      </c>
      <c r="G123" s="1" t="s">
        <v>373</v>
      </c>
    </row>
    <row r="124" spans="1:7" ht="75" x14ac:dyDescent="0.25">
      <c r="A124" s="1" t="s">
        <v>377</v>
      </c>
      <c r="B124" s="1" t="s">
        <v>378</v>
      </c>
      <c r="C124" s="1" t="s">
        <v>379</v>
      </c>
      <c r="E124" s="1" t="s">
        <v>368</v>
      </c>
      <c r="F124" s="1" t="s">
        <v>369</v>
      </c>
      <c r="G124" s="1" t="s">
        <v>373</v>
      </c>
    </row>
    <row r="125" spans="1:7" ht="120" x14ac:dyDescent="0.25">
      <c r="A125" s="1" t="s">
        <v>112</v>
      </c>
      <c r="B125" s="1" t="s">
        <v>113</v>
      </c>
      <c r="C125" s="1" t="s">
        <v>380</v>
      </c>
      <c r="E125" s="1" t="s">
        <v>105</v>
      </c>
      <c r="F125" s="1" t="s">
        <v>106</v>
      </c>
      <c r="G125" s="1" t="s">
        <v>107</v>
      </c>
    </row>
    <row r="126" spans="1:7" ht="30" x14ac:dyDescent="0.25">
      <c r="A126" s="1" t="s">
        <v>381</v>
      </c>
      <c r="B126" s="1" t="s">
        <v>382</v>
      </c>
      <c r="C126" s="1" t="s">
        <v>383</v>
      </c>
      <c r="E126" s="1" t="s">
        <v>149</v>
      </c>
      <c r="F126" s="1" t="s">
        <v>150</v>
      </c>
      <c r="G126" s="1" t="s">
        <v>12</v>
      </c>
    </row>
    <row r="127" spans="1:7" ht="45" x14ac:dyDescent="0.25">
      <c r="A127" s="1" t="s">
        <v>381</v>
      </c>
      <c r="B127" s="1" t="s">
        <v>382</v>
      </c>
      <c r="C127" s="1" t="s">
        <v>383</v>
      </c>
      <c r="E127" s="1" t="s">
        <v>149</v>
      </c>
      <c r="F127" s="1" t="s">
        <v>150</v>
      </c>
      <c r="G127" s="1" t="s">
        <v>384</v>
      </c>
    </row>
    <row r="128" spans="1:7" ht="270" x14ac:dyDescent="0.25">
      <c r="A128" s="1" t="s">
        <v>381</v>
      </c>
      <c r="B128" s="1" t="s">
        <v>382</v>
      </c>
      <c r="C128" s="1" t="s">
        <v>385</v>
      </c>
      <c r="E128" s="1" t="s">
        <v>149</v>
      </c>
      <c r="F128" s="1" t="s">
        <v>150</v>
      </c>
      <c r="G128" s="1" t="s">
        <v>12</v>
      </c>
    </row>
    <row r="129" spans="1:7" ht="270" x14ac:dyDescent="0.25">
      <c r="A129" s="1" t="s">
        <v>381</v>
      </c>
      <c r="B129" s="1" t="s">
        <v>382</v>
      </c>
      <c r="C129" s="1" t="s">
        <v>385</v>
      </c>
      <c r="E129" s="1" t="s">
        <v>149</v>
      </c>
      <c r="F129" s="1" t="s">
        <v>150</v>
      </c>
      <c r="G129" s="1" t="s">
        <v>384</v>
      </c>
    </row>
    <row r="130" spans="1:7" ht="90" x14ac:dyDescent="0.25">
      <c r="A130" s="1" t="s">
        <v>386</v>
      </c>
      <c r="B130" s="1" t="s">
        <v>387</v>
      </c>
      <c r="C130" s="1" t="s">
        <v>388</v>
      </c>
      <c r="E130" s="1" t="s">
        <v>90</v>
      </c>
      <c r="F130" s="1" t="s">
        <v>91</v>
      </c>
      <c r="G130" s="1" t="s">
        <v>389</v>
      </c>
    </row>
    <row r="131" spans="1:7" ht="105" x14ac:dyDescent="0.25">
      <c r="A131" s="1" t="s">
        <v>390</v>
      </c>
      <c r="B131" s="1" t="s">
        <v>391</v>
      </c>
      <c r="C131" s="1" t="s">
        <v>392</v>
      </c>
      <c r="E131" s="1" t="s">
        <v>393</v>
      </c>
      <c r="F131" s="1" t="s">
        <v>394</v>
      </c>
    </row>
    <row r="132" spans="1:7" ht="105" x14ac:dyDescent="0.25">
      <c r="A132" s="1" t="s">
        <v>395</v>
      </c>
      <c r="B132" s="1" t="s">
        <v>396</v>
      </c>
      <c r="C132" s="1" t="s">
        <v>397</v>
      </c>
      <c r="E132" s="1" t="s">
        <v>398</v>
      </c>
      <c r="F132" s="1" t="s">
        <v>399</v>
      </c>
    </row>
    <row r="133" spans="1:7" ht="180" x14ac:dyDescent="0.25">
      <c r="A133" s="1" t="s">
        <v>371</v>
      </c>
      <c r="B133" s="1" t="s">
        <v>372</v>
      </c>
      <c r="C133" s="1" t="s">
        <v>400</v>
      </c>
      <c r="E133" s="1" t="s">
        <v>51</v>
      </c>
      <c r="F133" s="1" t="s">
        <v>52</v>
      </c>
      <c r="G133" s="1" t="s">
        <v>373</v>
      </c>
    </row>
    <row r="134" spans="1:7" ht="180" x14ac:dyDescent="0.25">
      <c r="A134" s="1" t="s">
        <v>371</v>
      </c>
      <c r="B134" s="1" t="s">
        <v>372</v>
      </c>
      <c r="C134" s="1" t="s">
        <v>400</v>
      </c>
      <c r="E134" s="1" t="s">
        <v>16</v>
      </c>
      <c r="F134" s="1" t="s">
        <v>17</v>
      </c>
      <c r="G134" s="1" t="s">
        <v>373</v>
      </c>
    </row>
    <row r="135" spans="1:7" ht="409.5" x14ac:dyDescent="0.25">
      <c r="A135" s="1" t="s">
        <v>393</v>
      </c>
      <c r="B135" s="1" t="s">
        <v>394</v>
      </c>
      <c r="C135" s="1" t="s">
        <v>401</v>
      </c>
      <c r="E135" s="1" t="s">
        <v>296</v>
      </c>
      <c r="F135" s="1" t="s">
        <v>297</v>
      </c>
      <c r="G135" s="1" t="s">
        <v>402</v>
      </c>
    </row>
    <row r="136" spans="1:7" ht="409.5" x14ac:dyDescent="0.25">
      <c r="A136" s="1" t="s">
        <v>393</v>
      </c>
      <c r="B136" s="1" t="s">
        <v>394</v>
      </c>
      <c r="C136" s="1" t="s">
        <v>401</v>
      </c>
      <c r="E136" s="1" t="s">
        <v>296</v>
      </c>
      <c r="F136" s="1" t="s">
        <v>297</v>
      </c>
      <c r="G136" s="1" t="s">
        <v>403</v>
      </c>
    </row>
    <row r="137" spans="1:7" ht="409.5" x14ac:dyDescent="0.25">
      <c r="A137" s="1" t="s">
        <v>393</v>
      </c>
      <c r="B137" s="1" t="s">
        <v>394</v>
      </c>
      <c r="C137" s="1" t="s">
        <v>401</v>
      </c>
      <c r="E137" s="1" t="s">
        <v>296</v>
      </c>
      <c r="F137" s="1" t="s">
        <v>297</v>
      </c>
      <c r="G137" s="1" t="s">
        <v>404</v>
      </c>
    </row>
    <row r="138" spans="1:7" ht="409.5" x14ac:dyDescent="0.25">
      <c r="A138" s="1" t="s">
        <v>398</v>
      </c>
      <c r="B138" s="1" t="s">
        <v>399</v>
      </c>
      <c r="C138" s="1" t="s">
        <v>405</v>
      </c>
      <c r="E138" s="1" t="s">
        <v>296</v>
      </c>
      <c r="F138" s="1" t="s">
        <v>297</v>
      </c>
      <c r="G138" s="1" t="s">
        <v>402</v>
      </c>
    </row>
    <row r="139" spans="1:7" ht="60" x14ac:dyDescent="0.25">
      <c r="A139" s="1" t="s">
        <v>296</v>
      </c>
      <c r="B139" s="1" t="s">
        <v>297</v>
      </c>
      <c r="C139" s="1" t="s">
        <v>406</v>
      </c>
      <c r="D139" s="1" t="s">
        <v>407</v>
      </c>
      <c r="E139" s="1" t="s">
        <v>40</v>
      </c>
      <c r="F139" s="1" t="s">
        <v>41</v>
      </c>
      <c r="G139" s="1" t="s">
        <v>66</v>
      </c>
    </row>
    <row r="140" spans="1:7" ht="180" x14ac:dyDescent="0.25">
      <c r="A140" s="1" t="s">
        <v>16</v>
      </c>
      <c r="B140" s="1" t="s">
        <v>17</v>
      </c>
      <c r="C140" s="1" t="s">
        <v>408</v>
      </c>
      <c r="E140" s="1" t="s">
        <v>40</v>
      </c>
      <c r="F140" s="1" t="s">
        <v>41</v>
      </c>
      <c r="G140" s="1" t="s">
        <v>12</v>
      </c>
    </row>
    <row r="141" spans="1:7" ht="180" x14ac:dyDescent="0.25">
      <c r="A141" s="1" t="s">
        <v>16</v>
      </c>
      <c r="B141" s="1" t="s">
        <v>17</v>
      </c>
      <c r="C141" s="1" t="s">
        <v>408</v>
      </c>
      <c r="E141" s="1" t="s">
        <v>40</v>
      </c>
      <c r="F141" s="1" t="s">
        <v>41</v>
      </c>
      <c r="G141" s="1" t="s">
        <v>373</v>
      </c>
    </row>
    <row r="142" spans="1:7" ht="30" x14ac:dyDescent="0.25">
      <c r="A142" s="1" t="s">
        <v>16</v>
      </c>
      <c r="B142" s="1" t="s">
        <v>17</v>
      </c>
      <c r="C142" s="1" t="s">
        <v>409</v>
      </c>
      <c r="E142" s="1" t="s">
        <v>40</v>
      </c>
      <c r="F142" s="1" t="s">
        <v>41</v>
      </c>
      <c r="G142" s="1" t="s">
        <v>12</v>
      </c>
    </row>
    <row r="143" spans="1:7" ht="60" x14ac:dyDescent="0.25">
      <c r="A143" s="1" t="s">
        <v>16</v>
      </c>
      <c r="B143" s="1" t="s">
        <v>17</v>
      </c>
      <c r="C143" s="1" t="s">
        <v>409</v>
      </c>
      <c r="E143" s="1" t="s">
        <v>40</v>
      </c>
      <c r="F143" s="1" t="s">
        <v>41</v>
      </c>
      <c r="G143" s="1" t="s">
        <v>373</v>
      </c>
    </row>
    <row r="144" spans="1:7" ht="210" x14ac:dyDescent="0.25">
      <c r="A144" s="1" t="s">
        <v>410</v>
      </c>
      <c r="B144" s="1" t="s">
        <v>411</v>
      </c>
      <c r="C144" s="1" t="s">
        <v>412</v>
      </c>
      <c r="D144" s="1" t="s">
        <v>413</v>
      </c>
      <c r="E144" s="1" t="s">
        <v>281</v>
      </c>
      <c r="F144" s="1" t="s">
        <v>282</v>
      </c>
      <c r="G144" s="1" t="s">
        <v>414</v>
      </c>
    </row>
    <row r="145" spans="1:7" ht="210" x14ac:dyDescent="0.25">
      <c r="A145" s="1" t="s">
        <v>410</v>
      </c>
      <c r="B145" s="1" t="s">
        <v>411</v>
      </c>
      <c r="C145" s="1" t="s">
        <v>412</v>
      </c>
      <c r="D145" s="1" t="s">
        <v>413</v>
      </c>
      <c r="E145" s="1" t="s">
        <v>281</v>
      </c>
      <c r="F145" s="1" t="s">
        <v>282</v>
      </c>
    </row>
    <row r="146" spans="1:7" ht="60" x14ac:dyDescent="0.25">
      <c r="A146" s="1" t="s">
        <v>281</v>
      </c>
      <c r="B146" s="1" t="s">
        <v>282</v>
      </c>
      <c r="C146" s="1" t="s">
        <v>415</v>
      </c>
      <c r="E146" s="1" t="s">
        <v>309</v>
      </c>
      <c r="F146" s="1" t="s">
        <v>310</v>
      </c>
      <c r="G146" s="1" t="s">
        <v>66</v>
      </c>
    </row>
    <row r="147" spans="1:7" ht="45" x14ac:dyDescent="0.25">
      <c r="A147" s="1" t="s">
        <v>416</v>
      </c>
      <c r="B147" s="1" t="s">
        <v>417</v>
      </c>
      <c r="C147" s="1" t="s">
        <v>418</v>
      </c>
      <c r="E147" s="1" t="s">
        <v>306</v>
      </c>
      <c r="F147" s="1" t="s">
        <v>307</v>
      </c>
      <c r="G147" s="1" t="s">
        <v>66</v>
      </c>
    </row>
    <row r="148" spans="1:7" ht="150" x14ac:dyDescent="0.25">
      <c r="A148" s="1" t="s">
        <v>419</v>
      </c>
      <c r="B148" s="1" t="s">
        <v>420</v>
      </c>
      <c r="C148" s="1" t="s">
        <v>421</v>
      </c>
      <c r="D148" s="1" t="s">
        <v>422</v>
      </c>
      <c r="E148" s="1" t="s">
        <v>10</v>
      </c>
      <c r="F148" s="1" t="s">
        <v>11</v>
      </c>
      <c r="G148" s="1" t="s">
        <v>423</v>
      </c>
    </row>
    <row r="149" spans="1:7" ht="150" x14ac:dyDescent="0.25">
      <c r="A149" s="1" t="s">
        <v>419</v>
      </c>
      <c r="B149" s="1" t="s">
        <v>420</v>
      </c>
      <c r="C149" s="1" t="s">
        <v>421</v>
      </c>
      <c r="D149" s="1" t="s">
        <v>422</v>
      </c>
      <c r="E149" s="1" t="s">
        <v>10</v>
      </c>
      <c r="F149" s="1" t="s">
        <v>11</v>
      </c>
      <c r="G149" s="1" t="s">
        <v>424</v>
      </c>
    </row>
    <row r="150" spans="1:7" ht="150" x14ac:dyDescent="0.25">
      <c r="A150" s="1" t="s">
        <v>419</v>
      </c>
      <c r="B150" s="1" t="s">
        <v>420</v>
      </c>
      <c r="C150" s="1" t="s">
        <v>421</v>
      </c>
      <c r="D150" s="1" t="s">
        <v>422</v>
      </c>
      <c r="E150" s="1" t="s">
        <v>10</v>
      </c>
      <c r="F150" s="1" t="s">
        <v>11</v>
      </c>
      <c r="G150" s="1" t="s">
        <v>12</v>
      </c>
    </row>
    <row r="151" spans="1:7" ht="75" x14ac:dyDescent="0.25">
      <c r="A151" s="1" t="s">
        <v>425</v>
      </c>
      <c r="B151" s="1" t="s">
        <v>426</v>
      </c>
      <c r="C151" s="1" t="s">
        <v>427</v>
      </c>
      <c r="E151" s="1" t="s">
        <v>143</v>
      </c>
      <c r="F151" s="1" t="s">
        <v>144</v>
      </c>
      <c r="G151" s="1" t="s">
        <v>66</v>
      </c>
    </row>
    <row r="152" spans="1:7" ht="90" x14ac:dyDescent="0.25">
      <c r="A152" s="1" t="s">
        <v>428</v>
      </c>
      <c r="B152" s="1" t="s">
        <v>429</v>
      </c>
      <c r="C152" s="1" t="s">
        <v>430</v>
      </c>
      <c r="E152" s="1" t="s">
        <v>85</v>
      </c>
      <c r="F152" s="1" t="s">
        <v>86</v>
      </c>
      <c r="G152" s="1" t="s">
        <v>66</v>
      </c>
    </row>
    <row r="153" spans="1:7" ht="60" x14ac:dyDescent="0.25">
      <c r="A153" s="1" t="s">
        <v>431</v>
      </c>
      <c r="B153" s="1" t="s">
        <v>432</v>
      </c>
      <c r="C153" s="1" t="s">
        <v>433</v>
      </c>
      <c r="E153" s="1" t="s">
        <v>85</v>
      </c>
      <c r="F153" s="1" t="s">
        <v>86</v>
      </c>
      <c r="G153" s="1" t="s">
        <v>434</v>
      </c>
    </row>
    <row r="154" spans="1:7" ht="60" x14ac:dyDescent="0.25">
      <c r="A154" s="1" t="s">
        <v>431</v>
      </c>
      <c r="B154" s="1" t="s">
        <v>432</v>
      </c>
      <c r="C154" s="1" t="s">
        <v>433</v>
      </c>
      <c r="E154" s="1" t="s">
        <v>164</v>
      </c>
      <c r="F154" s="1" t="s">
        <v>165</v>
      </c>
      <c r="G154" s="1" t="s">
        <v>434</v>
      </c>
    </row>
    <row r="155" spans="1:7" ht="60" x14ac:dyDescent="0.25">
      <c r="A155" s="1" t="s">
        <v>435</v>
      </c>
      <c r="B155" s="1" t="s">
        <v>436</v>
      </c>
      <c r="C155" s="1" t="s">
        <v>437</v>
      </c>
      <c r="E155" s="1" t="s">
        <v>51</v>
      </c>
      <c r="F155" s="1" t="s">
        <v>52</v>
      </c>
      <c r="G155" s="1" t="s">
        <v>373</v>
      </c>
    </row>
    <row r="156" spans="1:7" ht="60" x14ac:dyDescent="0.25">
      <c r="A156" s="1" t="s">
        <v>435</v>
      </c>
      <c r="B156" s="1" t="s">
        <v>436</v>
      </c>
      <c r="C156" s="1" t="s">
        <v>437</v>
      </c>
      <c r="E156" s="1" t="s">
        <v>16</v>
      </c>
      <c r="F156" s="1" t="s">
        <v>17</v>
      </c>
      <c r="G156" s="1" t="s">
        <v>373</v>
      </c>
    </row>
    <row r="157" spans="1:7" ht="105" x14ac:dyDescent="0.25">
      <c r="A157" s="1" t="s">
        <v>269</v>
      </c>
      <c r="B157" s="1" t="s">
        <v>270</v>
      </c>
      <c r="C157" s="1" t="s">
        <v>438</v>
      </c>
      <c r="D157" s="1" t="s">
        <v>439</v>
      </c>
      <c r="E157" s="1" t="s">
        <v>16</v>
      </c>
      <c r="F157" s="1" t="s">
        <v>17</v>
      </c>
      <c r="G157" s="1" t="s">
        <v>373</v>
      </c>
    </row>
    <row r="158" spans="1:7" ht="105" x14ac:dyDescent="0.25">
      <c r="A158" s="1" t="s">
        <v>269</v>
      </c>
      <c r="B158" s="1" t="s">
        <v>270</v>
      </c>
      <c r="C158" s="1" t="s">
        <v>438</v>
      </c>
      <c r="D158" s="1" t="s">
        <v>439</v>
      </c>
      <c r="E158" s="1" t="s">
        <v>51</v>
      </c>
      <c r="F158" s="1" t="s">
        <v>52</v>
      </c>
      <c r="G158" s="1" t="s">
        <v>373</v>
      </c>
    </row>
    <row r="159" spans="1:7" ht="60" x14ac:dyDescent="0.25">
      <c r="A159" s="1" t="s">
        <v>440</v>
      </c>
      <c r="B159" s="1" t="s">
        <v>441</v>
      </c>
      <c r="C159" s="1" t="s">
        <v>442</v>
      </c>
      <c r="E159" s="1" t="s">
        <v>269</v>
      </c>
      <c r="F159" s="1" t="s">
        <v>270</v>
      </c>
      <c r="G159" s="1" t="s">
        <v>373</v>
      </c>
    </row>
    <row r="160" spans="1:7" ht="60" x14ac:dyDescent="0.25">
      <c r="A160" s="1" t="s">
        <v>440</v>
      </c>
      <c r="B160" s="1" t="s">
        <v>441</v>
      </c>
      <c r="C160" s="1" t="s">
        <v>442</v>
      </c>
      <c r="E160" s="1" t="s">
        <v>435</v>
      </c>
      <c r="F160" s="1" t="s">
        <v>436</v>
      </c>
      <c r="G160" s="1" t="s">
        <v>373</v>
      </c>
    </row>
    <row r="161" spans="1:7" ht="285" x14ac:dyDescent="0.25">
      <c r="A161" s="1" t="s">
        <v>443</v>
      </c>
      <c r="B161" s="1" t="s">
        <v>444</v>
      </c>
      <c r="C161" s="1" t="s">
        <v>445</v>
      </c>
      <c r="E161" s="1" t="s">
        <v>112</v>
      </c>
      <c r="F161" s="1" t="s">
        <v>113</v>
      </c>
      <c r="G161" s="1" t="s">
        <v>446</v>
      </c>
    </row>
    <row r="162" spans="1:7" ht="285" x14ac:dyDescent="0.25">
      <c r="A162" s="1" t="s">
        <v>443</v>
      </c>
      <c r="B162" s="1" t="s">
        <v>444</v>
      </c>
      <c r="C162" s="1" t="s">
        <v>445</v>
      </c>
      <c r="E162" s="1" t="s">
        <v>112</v>
      </c>
      <c r="F162" s="1" t="s">
        <v>113</v>
      </c>
      <c r="G162" s="1" t="s">
        <v>12</v>
      </c>
    </row>
    <row r="163" spans="1:7" ht="390" x14ac:dyDescent="0.25">
      <c r="A163" s="1" t="s">
        <v>447</v>
      </c>
      <c r="B163" s="1" t="s">
        <v>448</v>
      </c>
      <c r="C163" s="1" t="s">
        <v>449</v>
      </c>
      <c r="E163" s="1" t="s">
        <v>112</v>
      </c>
      <c r="F163" s="1" t="s">
        <v>113</v>
      </c>
      <c r="G163" s="1" t="s">
        <v>450</v>
      </c>
    </row>
    <row r="164" spans="1:7" ht="390" x14ac:dyDescent="0.25">
      <c r="A164" s="1" t="s">
        <v>447</v>
      </c>
      <c r="B164" s="1" t="s">
        <v>448</v>
      </c>
      <c r="C164" s="1" t="s">
        <v>449</v>
      </c>
      <c r="E164" s="1" t="s">
        <v>112</v>
      </c>
      <c r="F164" s="1" t="s">
        <v>113</v>
      </c>
      <c r="G164" s="1" t="s">
        <v>12</v>
      </c>
    </row>
    <row r="165" spans="1:7" ht="105" x14ac:dyDescent="0.25">
      <c r="A165" s="1" t="s">
        <v>451</v>
      </c>
      <c r="B165" s="1" t="s">
        <v>452</v>
      </c>
      <c r="C165" s="1" t="s">
        <v>453</v>
      </c>
      <c r="E165" s="1" t="s">
        <v>127</v>
      </c>
      <c r="F165" s="1" t="s">
        <v>128</v>
      </c>
      <c r="G165" s="1" t="s">
        <v>107</v>
      </c>
    </row>
    <row r="166" spans="1:7" ht="240" x14ac:dyDescent="0.25">
      <c r="A166" s="1" t="s">
        <v>454</v>
      </c>
      <c r="B166" s="1" t="s">
        <v>455</v>
      </c>
      <c r="C166" s="1" t="s">
        <v>456</v>
      </c>
      <c r="E166" s="1" t="s">
        <v>112</v>
      </c>
      <c r="F166" s="1" t="s">
        <v>113</v>
      </c>
      <c r="G166" s="1" t="s">
        <v>107</v>
      </c>
    </row>
    <row r="167" spans="1:7" ht="240" x14ac:dyDescent="0.25">
      <c r="A167" s="1" t="s">
        <v>454</v>
      </c>
      <c r="B167" s="1" t="s">
        <v>455</v>
      </c>
      <c r="C167" s="1" t="s">
        <v>456</v>
      </c>
      <c r="E167" s="1" t="s">
        <v>112</v>
      </c>
      <c r="F167" s="1" t="s">
        <v>113</v>
      </c>
      <c r="G167" s="1" t="s">
        <v>457</v>
      </c>
    </row>
    <row r="168" spans="1:7" ht="409.5" x14ac:dyDescent="0.25">
      <c r="A168" s="1" t="s">
        <v>458</v>
      </c>
      <c r="B168" s="1" t="s">
        <v>459</v>
      </c>
      <c r="C168" s="1" t="s">
        <v>460</v>
      </c>
      <c r="D168" s="1" t="s">
        <v>461</v>
      </c>
      <c r="E168" s="1" t="s">
        <v>112</v>
      </c>
      <c r="F168" s="1" t="s">
        <v>113</v>
      </c>
      <c r="G168" s="1" t="s">
        <v>187</v>
      </c>
    </row>
    <row r="169" spans="1:7" ht="409.5" x14ac:dyDescent="0.25">
      <c r="A169" s="1" t="s">
        <v>458</v>
      </c>
      <c r="B169" s="1" t="s">
        <v>459</v>
      </c>
      <c r="C169" s="1" t="s">
        <v>460</v>
      </c>
      <c r="D169" s="1" t="s">
        <v>461</v>
      </c>
      <c r="E169" s="1" t="s">
        <v>112</v>
      </c>
      <c r="F169" s="1" t="s">
        <v>113</v>
      </c>
      <c r="G169" s="1" t="s">
        <v>462</v>
      </c>
    </row>
    <row r="170" spans="1:7" ht="150" x14ac:dyDescent="0.25">
      <c r="A170" s="1" t="s">
        <v>463</v>
      </c>
      <c r="B170" s="1" t="s">
        <v>464</v>
      </c>
      <c r="C170" s="1" t="s">
        <v>465</v>
      </c>
      <c r="E170" s="1" t="s">
        <v>112</v>
      </c>
      <c r="F170" s="1" t="s">
        <v>113</v>
      </c>
      <c r="G170" s="1" t="s">
        <v>466</v>
      </c>
    </row>
    <row r="171" spans="1:7" ht="285" x14ac:dyDescent="0.25">
      <c r="A171" s="1" t="s">
        <v>137</v>
      </c>
      <c r="B171" s="1" t="s">
        <v>138</v>
      </c>
      <c r="C171" s="1" t="s">
        <v>467</v>
      </c>
      <c r="D171" s="1" t="s">
        <v>468</v>
      </c>
      <c r="E171" s="1" t="s">
        <v>112</v>
      </c>
      <c r="F171" s="1" t="s">
        <v>113</v>
      </c>
      <c r="G171" s="1" t="s">
        <v>469</v>
      </c>
    </row>
    <row r="172" spans="1:7" ht="285" x14ac:dyDescent="0.25">
      <c r="A172" s="1" t="s">
        <v>137</v>
      </c>
      <c r="B172" s="1" t="s">
        <v>138</v>
      </c>
      <c r="C172" s="1" t="s">
        <v>467</v>
      </c>
      <c r="D172" s="1" t="s">
        <v>468</v>
      </c>
      <c r="E172" s="1" t="s">
        <v>112</v>
      </c>
      <c r="F172" s="1" t="s">
        <v>113</v>
      </c>
      <c r="G172" s="1" t="s">
        <v>470</v>
      </c>
    </row>
    <row r="173" spans="1:7" ht="90" x14ac:dyDescent="0.25">
      <c r="A173" s="1" t="s">
        <v>471</v>
      </c>
      <c r="B173" s="1" t="s">
        <v>472</v>
      </c>
      <c r="C173" s="1" t="s">
        <v>473</v>
      </c>
      <c r="E173" s="1" t="s">
        <v>253</v>
      </c>
      <c r="F173" s="1" t="s">
        <v>254</v>
      </c>
      <c r="G173" s="1" t="s">
        <v>107</v>
      </c>
    </row>
    <row r="174" spans="1:7" ht="90" x14ac:dyDescent="0.25">
      <c r="A174" s="1" t="s">
        <v>149</v>
      </c>
      <c r="B174" s="1" t="s">
        <v>150</v>
      </c>
      <c r="C174" s="1" t="s">
        <v>474</v>
      </c>
      <c r="D174" s="1" t="s">
        <v>475</v>
      </c>
      <c r="E174" s="1" t="s">
        <v>156</v>
      </c>
      <c r="F174" s="1" t="s">
        <v>157</v>
      </c>
      <c r="G174" s="1" t="s">
        <v>107</v>
      </c>
    </row>
    <row r="175" spans="1:7" ht="90" x14ac:dyDescent="0.25">
      <c r="A175" s="1" t="s">
        <v>149</v>
      </c>
      <c r="B175" s="1" t="s">
        <v>150</v>
      </c>
      <c r="C175" s="1" t="s">
        <v>474</v>
      </c>
      <c r="D175" s="1" t="s">
        <v>475</v>
      </c>
      <c r="E175" s="1" t="s">
        <v>156</v>
      </c>
      <c r="F175" s="1" t="s">
        <v>157</v>
      </c>
      <c r="G175" s="1" t="s">
        <v>12</v>
      </c>
    </row>
    <row r="176" spans="1:7" ht="120" x14ac:dyDescent="0.25">
      <c r="A176" s="1" t="s">
        <v>476</v>
      </c>
      <c r="B176" s="1" t="s">
        <v>477</v>
      </c>
      <c r="C176" s="1" t="s">
        <v>478</v>
      </c>
      <c r="E176" s="1" t="s">
        <v>309</v>
      </c>
      <c r="F176" s="1" t="s">
        <v>310</v>
      </c>
      <c r="G176" s="1" t="s">
        <v>66</v>
      </c>
    </row>
    <row r="177" spans="1:7" ht="45" x14ac:dyDescent="0.25">
      <c r="A177" s="1" t="s">
        <v>309</v>
      </c>
      <c r="B177" s="1" t="s">
        <v>310</v>
      </c>
      <c r="C177" s="1" t="s">
        <v>479</v>
      </c>
      <c r="E177" s="1" t="s">
        <v>253</v>
      </c>
      <c r="F177" s="1" t="s">
        <v>254</v>
      </c>
      <c r="G177" s="1" t="s">
        <v>107</v>
      </c>
    </row>
    <row r="178" spans="1:7" ht="375" x14ac:dyDescent="0.25">
      <c r="A178" s="1" t="s">
        <v>175</v>
      </c>
      <c r="B178" s="1" t="s">
        <v>176</v>
      </c>
      <c r="C178" s="1" t="s">
        <v>480</v>
      </c>
      <c r="E178" s="1" t="s">
        <v>185</v>
      </c>
      <c r="F178" s="1" t="s">
        <v>186</v>
      </c>
      <c r="G178" s="1" t="s">
        <v>481</v>
      </c>
    </row>
    <row r="179" spans="1:7" ht="120" x14ac:dyDescent="0.25">
      <c r="A179" s="1" t="s">
        <v>482</v>
      </c>
      <c r="B179" s="1" t="s">
        <v>483</v>
      </c>
      <c r="C179" s="1" t="s">
        <v>484</v>
      </c>
      <c r="E179" s="1" t="s">
        <v>253</v>
      </c>
      <c r="F179" s="1" t="s">
        <v>254</v>
      </c>
      <c r="G179" s="1" t="s">
        <v>66</v>
      </c>
    </row>
    <row r="180" spans="1:7" ht="90" x14ac:dyDescent="0.25">
      <c r="A180" s="1" t="s">
        <v>485</v>
      </c>
      <c r="B180" s="1" t="s">
        <v>486</v>
      </c>
      <c r="C180" s="1" t="s">
        <v>487</v>
      </c>
      <c r="E180" s="1" t="s">
        <v>253</v>
      </c>
      <c r="F180" s="1" t="s">
        <v>254</v>
      </c>
      <c r="G180" s="1" t="s">
        <v>66</v>
      </c>
    </row>
    <row r="181" spans="1:7" ht="75" x14ac:dyDescent="0.25">
      <c r="A181" s="1" t="s">
        <v>185</v>
      </c>
      <c r="B181" s="1" t="s">
        <v>186</v>
      </c>
      <c r="C181" s="1" t="s">
        <v>488</v>
      </c>
      <c r="E181" s="1" t="s">
        <v>156</v>
      </c>
      <c r="F181" s="1" t="s">
        <v>157</v>
      </c>
      <c r="G181" s="1" t="s">
        <v>107</v>
      </c>
    </row>
    <row r="182" spans="1:7" ht="75" x14ac:dyDescent="0.25">
      <c r="A182" s="1" t="s">
        <v>185</v>
      </c>
      <c r="B182" s="1" t="s">
        <v>186</v>
      </c>
      <c r="C182" s="1" t="s">
        <v>488</v>
      </c>
      <c r="E182" s="1" t="s">
        <v>156</v>
      </c>
      <c r="F182" s="1" t="s">
        <v>157</v>
      </c>
      <c r="G182" s="1" t="s">
        <v>12</v>
      </c>
    </row>
    <row r="183" spans="1:7" ht="75" x14ac:dyDescent="0.25">
      <c r="A183" s="1" t="s">
        <v>185</v>
      </c>
      <c r="B183" s="1" t="s">
        <v>186</v>
      </c>
      <c r="C183" s="1" t="s">
        <v>488</v>
      </c>
      <c r="E183" s="1" t="s">
        <v>253</v>
      </c>
      <c r="F183" s="1" t="s">
        <v>254</v>
      </c>
      <c r="G183" s="1" t="s">
        <v>107</v>
      </c>
    </row>
    <row r="184" spans="1:7" ht="75" x14ac:dyDescent="0.25">
      <c r="A184" s="1" t="s">
        <v>185</v>
      </c>
      <c r="B184" s="1" t="s">
        <v>186</v>
      </c>
      <c r="C184" s="1" t="s">
        <v>488</v>
      </c>
      <c r="E184" s="1" t="s">
        <v>253</v>
      </c>
      <c r="F184" s="1" t="s">
        <v>254</v>
      </c>
      <c r="G184" s="1" t="s">
        <v>12</v>
      </c>
    </row>
    <row r="185" spans="1:7" ht="30" x14ac:dyDescent="0.25">
      <c r="A185" s="1" t="s">
        <v>185</v>
      </c>
      <c r="B185" s="1" t="s">
        <v>186</v>
      </c>
      <c r="C185" s="1" t="s">
        <v>489</v>
      </c>
      <c r="E185" s="1" t="s">
        <v>156</v>
      </c>
      <c r="F185" s="1" t="s">
        <v>157</v>
      </c>
      <c r="G185" s="1" t="s">
        <v>107</v>
      </c>
    </row>
    <row r="186" spans="1:7" ht="30" x14ac:dyDescent="0.25">
      <c r="A186" s="1" t="s">
        <v>185</v>
      </c>
      <c r="B186" s="1" t="s">
        <v>186</v>
      </c>
      <c r="C186" s="1" t="s">
        <v>489</v>
      </c>
      <c r="E186" s="1" t="s">
        <v>156</v>
      </c>
      <c r="F186" s="1" t="s">
        <v>157</v>
      </c>
      <c r="G186" s="1" t="s">
        <v>12</v>
      </c>
    </row>
    <row r="187" spans="1:7" ht="30" x14ac:dyDescent="0.25">
      <c r="A187" s="1" t="s">
        <v>185</v>
      </c>
      <c r="B187" s="1" t="s">
        <v>186</v>
      </c>
      <c r="C187" s="1" t="s">
        <v>489</v>
      </c>
      <c r="E187" s="1" t="s">
        <v>253</v>
      </c>
      <c r="F187" s="1" t="s">
        <v>254</v>
      </c>
      <c r="G187" s="1" t="s">
        <v>107</v>
      </c>
    </row>
    <row r="188" spans="1:7" ht="30" x14ac:dyDescent="0.25">
      <c r="A188" s="1" t="s">
        <v>185</v>
      </c>
      <c r="B188" s="1" t="s">
        <v>186</v>
      </c>
      <c r="C188" s="1" t="s">
        <v>489</v>
      </c>
      <c r="E188" s="1" t="s">
        <v>253</v>
      </c>
      <c r="F188" s="1" t="s">
        <v>254</v>
      </c>
      <c r="G188" s="1" t="s">
        <v>12</v>
      </c>
    </row>
    <row r="189" spans="1:7" ht="120" x14ac:dyDescent="0.25">
      <c r="A189" s="1" t="s">
        <v>490</v>
      </c>
      <c r="B189" s="1" t="s">
        <v>491</v>
      </c>
      <c r="C189" s="1" t="s">
        <v>492</v>
      </c>
      <c r="E189" s="1" t="s">
        <v>306</v>
      </c>
      <c r="F189" s="1" t="s">
        <v>307</v>
      </c>
      <c r="G189" s="1" t="s">
        <v>66</v>
      </c>
    </row>
    <row r="190" spans="1:7" ht="180" x14ac:dyDescent="0.25">
      <c r="A190" s="1" t="s">
        <v>105</v>
      </c>
      <c r="B190" s="1" t="s">
        <v>106</v>
      </c>
      <c r="C190" s="1" t="s">
        <v>493</v>
      </c>
      <c r="E190" s="1" t="s">
        <v>10</v>
      </c>
      <c r="F190" s="1" t="s">
        <v>11</v>
      </c>
      <c r="G190" s="1" t="s">
        <v>66</v>
      </c>
    </row>
    <row r="191" spans="1:7" ht="105" x14ac:dyDescent="0.25">
      <c r="A191" s="1" t="s">
        <v>40</v>
      </c>
      <c r="B191" s="1" t="s">
        <v>41</v>
      </c>
      <c r="C191" s="1" t="s">
        <v>494</v>
      </c>
      <c r="E191" s="1" t="s">
        <v>10</v>
      </c>
      <c r="F191" s="1" t="s">
        <v>11</v>
      </c>
      <c r="G191" s="1" t="s">
        <v>66</v>
      </c>
    </row>
    <row r="192" spans="1:7" ht="45" x14ac:dyDescent="0.25">
      <c r="A192" s="1" t="s">
        <v>495</v>
      </c>
      <c r="B192" s="1" t="s">
        <v>496</v>
      </c>
      <c r="C192" s="1" t="s">
        <v>497</v>
      </c>
      <c r="E192" s="1" t="s">
        <v>10</v>
      </c>
      <c r="F192" s="1" t="s">
        <v>11</v>
      </c>
      <c r="G192" s="1" t="s">
        <v>66</v>
      </c>
    </row>
    <row r="193" spans="1:7" ht="135" x14ac:dyDescent="0.25">
      <c r="A193" s="1" t="s">
        <v>85</v>
      </c>
      <c r="B193" s="1" t="s">
        <v>86</v>
      </c>
      <c r="C193" s="1" t="s">
        <v>498</v>
      </c>
      <c r="E193" s="1" t="s">
        <v>10</v>
      </c>
      <c r="F193" s="1" t="s">
        <v>11</v>
      </c>
      <c r="G193" s="1" t="s">
        <v>66</v>
      </c>
    </row>
    <row r="194" spans="1:7" ht="105" x14ac:dyDescent="0.25">
      <c r="A194" s="1" t="s">
        <v>499</v>
      </c>
      <c r="B194" s="1" t="s">
        <v>500</v>
      </c>
      <c r="C194" s="1" t="s">
        <v>501</v>
      </c>
      <c r="E194" s="1" t="s">
        <v>85</v>
      </c>
      <c r="F194" s="1" t="s">
        <v>86</v>
      </c>
      <c r="G194" s="1" t="s">
        <v>66</v>
      </c>
    </row>
    <row r="195" spans="1:7" ht="90" x14ac:dyDescent="0.25">
      <c r="A195" s="1" t="s">
        <v>253</v>
      </c>
      <c r="B195" s="1" t="s">
        <v>254</v>
      </c>
      <c r="C195" s="1" t="s">
        <v>502</v>
      </c>
      <c r="E195" s="1" t="s">
        <v>10</v>
      </c>
      <c r="F195" s="1" t="s">
        <v>11</v>
      </c>
      <c r="G195" s="1" t="s">
        <v>66</v>
      </c>
    </row>
    <row r="196" spans="1:7" ht="45" x14ac:dyDescent="0.25">
      <c r="A196" s="1" t="s">
        <v>10</v>
      </c>
      <c r="B196" s="1" t="s">
        <v>11</v>
      </c>
      <c r="C196" s="1" t="s">
        <v>503</v>
      </c>
      <c r="G196" s="1" t="s">
        <v>66</v>
      </c>
    </row>
    <row r="197" spans="1:7" ht="60" x14ac:dyDescent="0.25">
      <c r="A197" s="1" t="s">
        <v>56</v>
      </c>
      <c r="B197" s="1" t="s">
        <v>57</v>
      </c>
      <c r="C197" s="1" t="s">
        <v>504</v>
      </c>
      <c r="E197" s="1" t="s">
        <v>10</v>
      </c>
      <c r="F197" s="1" t="s">
        <v>11</v>
      </c>
    </row>
    <row r="198" spans="1:7" ht="30" x14ac:dyDescent="0.25">
      <c r="A198" s="1" t="s">
        <v>211</v>
      </c>
      <c r="B198" s="1" t="s">
        <v>212</v>
      </c>
      <c r="C198" s="1" t="s">
        <v>505</v>
      </c>
      <c r="E198" s="1" t="s">
        <v>253</v>
      </c>
      <c r="F198" s="1" t="s">
        <v>254</v>
      </c>
      <c r="G198" s="1" t="s">
        <v>12</v>
      </c>
    </row>
    <row r="199" spans="1:7" ht="150" x14ac:dyDescent="0.25">
      <c r="A199" s="1" t="s">
        <v>34</v>
      </c>
      <c r="B199" s="1" t="s">
        <v>35</v>
      </c>
      <c r="C199" s="1" t="s">
        <v>506</v>
      </c>
      <c r="D199" s="1" t="s">
        <v>507</v>
      </c>
      <c r="E199" s="1" t="s">
        <v>156</v>
      </c>
      <c r="F199" s="1" t="s">
        <v>157</v>
      </c>
      <c r="G199" s="1" t="s">
        <v>66</v>
      </c>
    </row>
    <row r="200" spans="1:7" ht="75" x14ac:dyDescent="0.25">
      <c r="A200" s="1" t="s">
        <v>508</v>
      </c>
      <c r="B200" s="1" t="s">
        <v>509</v>
      </c>
      <c r="C200" s="1" t="s">
        <v>510</v>
      </c>
      <c r="E200" s="1" t="s">
        <v>211</v>
      </c>
      <c r="F200" s="1" t="s">
        <v>212</v>
      </c>
      <c r="G200" s="1" t="s">
        <v>12</v>
      </c>
    </row>
    <row r="201" spans="1:7" ht="30" x14ac:dyDescent="0.25">
      <c r="A201" s="1" t="s">
        <v>511</v>
      </c>
      <c r="B201" s="1" t="s">
        <v>512</v>
      </c>
      <c r="C201" s="1" t="s">
        <v>513</v>
      </c>
      <c r="E201" s="1" t="s">
        <v>10</v>
      </c>
      <c r="F201" s="1" t="s">
        <v>11</v>
      </c>
    </row>
    <row r="202" spans="1:7" ht="45" x14ac:dyDescent="0.25">
      <c r="A202" s="1" t="s">
        <v>514</v>
      </c>
      <c r="B202" s="1" t="s">
        <v>515</v>
      </c>
      <c r="C202" s="1" t="s">
        <v>516</v>
      </c>
      <c r="E202" s="1" t="s">
        <v>16</v>
      </c>
      <c r="F202" s="1" t="s">
        <v>17</v>
      </c>
      <c r="G202" s="1" t="s">
        <v>517</v>
      </c>
    </row>
    <row r="203" spans="1:7" ht="45" x14ac:dyDescent="0.25">
      <c r="A203" s="1" t="s">
        <v>514</v>
      </c>
      <c r="B203" s="1" t="s">
        <v>515</v>
      </c>
      <c r="C203" s="1" t="s">
        <v>516</v>
      </c>
      <c r="E203" s="1" t="s">
        <v>16</v>
      </c>
      <c r="F203" s="1" t="s">
        <v>17</v>
      </c>
      <c r="G203" s="1" t="s">
        <v>518</v>
      </c>
    </row>
    <row r="204" spans="1:7" ht="45" x14ac:dyDescent="0.25">
      <c r="A204" s="1" t="s">
        <v>156</v>
      </c>
      <c r="B204" s="1" t="s">
        <v>157</v>
      </c>
      <c r="C204" s="1" t="s">
        <v>519</v>
      </c>
      <c r="E204" s="1" t="s">
        <v>10</v>
      </c>
      <c r="F204" s="1" t="s">
        <v>11</v>
      </c>
      <c r="G204" s="1" t="s">
        <v>12</v>
      </c>
    </row>
    <row r="205" spans="1:7" ht="60" x14ac:dyDescent="0.25">
      <c r="A205" s="1" t="s">
        <v>51</v>
      </c>
      <c r="B205" s="1" t="s">
        <v>52</v>
      </c>
      <c r="C205" s="1" t="s">
        <v>520</v>
      </c>
      <c r="E205" s="1" t="s">
        <v>156</v>
      </c>
      <c r="F205" s="1" t="s">
        <v>157</v>
      </c>
      <c r="G205" s="1" t="s">
        <v>66</v>
      </c>
    </row>
    <row r="206" spans="1:7" ht="135" x14ac:dyDescent="0.25">
      <c r="A206" s="1" t="s">
        <v>521</v>
      </c>
      <c r="B206" s="1" t="s">
        <v>522</v>
      </c>
      <c r="C206" s="1" t="s">
        <v>523</v>
      </c>
      <c r="E206" s="1" t="s">
        <v>112</v>
      </c>
      <c r="F206" s="1" t="s">
        <v>113</v>
      </c>
      <c r="G206" s="1" t="s">
        <v>524</v>
      </c>
    </row>
    <row r="207" spans="1:7" ht="135" x14ac:dyDescent="0.25">
      <c r="A207" s="1" t="s">
        <v>521</v>
      </c>
      <c r="B207" s="1" t="s">
        <v>522</v>
      </c>
      <c r="C207" s="1" t="s">
        <v>523</v>
      </c>
      <c r="E207" s="1" t="s">
        <v>112</v>
      </c>
      <c r="F207" s="1" t="s">
        <v>113</v>
      </c>
      <c r="G207" s="1" t="s">
        <v>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SamplingMethod</vt:lpstr>
      <vt:lpstr>Sheet1</vt:lpstr>
      <vt:lpstr>SamplingMethod-wParent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2024-09-13T00:30:49Z</dcterms:created>
  <dcterms:modified xsi:type="dcterms:W3CDTF">2024-12-05T13:21:19Z</dcterms:modified>
</cp:coreProperties>
</file>