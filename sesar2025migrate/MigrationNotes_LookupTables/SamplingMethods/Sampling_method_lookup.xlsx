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ables/table1.xml" ContentType="application/vnd.openxmlformats-officedocument.spreadsheetml.table+xml"/>
  <Override PartName="/xl/queryTables/queryTable1.xml" ContentType="application/vnd.openxmlformats-officedocument.spreadsheetml.queryTable+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https://d.docs.live.net/944a82e2ddcde9eb/Documents/GithubC/IEDA/sesar2/MigrationNotes_LookupTables/SamplingMethods/"/>
    </mc:Choice>
  </mc:AlternateContent>
  <xr:revisionPtr revIDLastSave="1119" documentId="8_{DD0724CC-DF6E-4D92-87E1-9FDC9D82E908}" xr6:coauthVersionLast="47" xr6:coauthVersionMax="47" xr10:uidLastSave="{ECDD2C38-0CE7-44CF-9D57-C9D9E4809DA3}"/>
  <bookViews>
    <workbookView xWindow="1365" yWindow="1605" windowWidth="26940" windowHeight="13125" xr2:uid="{1BDF3DD4-3E09-47CA-9D21-47DBDFAA9EE6}"/>
  </bookViews>
  <sheets>
    <sheet name="samplemethodlookup" sheetId="1" r:id="rId1"/>
    <sheet name="collectionMethodDistinct" sheetId="3" r:id="rId2"/>
    <sheet name="vocab" sheetId="2" state="hidden" r:id="rId3"/>
  </sheets>
  <externalReferences>
    <externalReference r:id="rId4"/>
  </externalReferences>
  <definedNames>
    <definedName name="_xlnm._FilterDatabase" localSheetId="0" hidden="1">samplemethodlookup!$A$1:$F$646</definedName>
    <definedName name="ExternalData_1" localSheetId="1" hidden="1">'collectionMethodDistinct'!$A$1:$A$646</definedName>
    <definedName name="ID">vocab!$B$2:$B$94</definedName>
    <definedName name="parent_term">vocab!$C$2:$C$94</definedName>
    <definedName name="parentID">vocab!$D$2:$D$94</definedName>
    <definedName name="redux">vocab!$A$2:$A$94</definedName>
    <definedName name="scope_note">vocab!$F$2:$F$94</definedName>
    <definedName name="source">vocab!$E$2:$E$94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65" i="1" l="1"/>
  <c r="E565" i="1"/>
  <c r="F565" i="1"/>
  <c r="D554" i="1"/>
  <c r="E554" i="1"/>
  <c r="F554" i="1"/>
  <c r="D555" i="1"/>
  <c r="E555" i="1"/>
  <c r="F555" i="1"/>
  <c r="D556" i="1"/>
  <c r="E556" i="1"/>
  <c r="F556" i="1"/>
  <c r="D557" i="1"/>
  <c r="E557" i="1"/>
  <c r="F557" i="1"/>
  <c r="D558" i="1"/>
  <c r="E558" i="1"/>
  <c r="F558" i="1"/>
  <c r="D559" i="1"/>
  <c r="E559" i="1"/>
  <c r="F559" i="1"/>
  <c r="D560" i="1"/>
  <c r="E560" i="1"/>
  <c r="F560" i="1"/>
  <c r="D561" i="1"/>
  <c r="E561" i="1"/>
  <c r="F561" i="1"/>
  <c r="D562" i="1"/>
  <c r="E562" i="1"/>
  <c r="F562" i="1"/>
  <c r="D563" i="1"/>
  <c r="E563" i="1"/>
  <c r="F563" i="1"/>
  <c r="D539" i="1"/>
  <c r="E539" i="1"/>
  <c r="F539" i="1"/>
  <c r="D417" i="1"/>
  <c r="E417" i="1"/>
  <c r="F417" i="1"/>
  <c r="D395" i="1"/>
  <c r="E395" i="1"/>
  <c r="F395" i="1"/>
  <c r="D396" i="1"/>
  <c r="F396" i="1"/>
  <c r="D397" i="1"/>
  <c r="E397" i="1"/>
  <c r="F397" i="1"/>
  <c r="D398" i="1"/>
  <c r="E398" i="1"/>
  <c r="F398" i="1"/>
  <c r="D399" i="1"/>
  <c r="E399" i="1"/>
  <c r="F399" i="1"/>
  <c r="D400" i="1"/>
  <c r="E400" i="1"/>
  <c r="F400" i="1"/>
  <c r="D401" i="1"/>
  <c r="E401" i="1"/>
  <c r="F401" i="1"/>
  <c r="D379" i="1"/>
  <c r="E379" i="1"/>
  <c r="F379" i="1"/>
  <c r="D380" i="1"/>
  <c r="E380" i="1"/>
  <c r="F380" i="1"/>
  <c r="D372" i="1"/>
  <c r="E372" i="1"/>
  <c r="F372" i="1"/>
  <c r="D363" i="1"/>
  <c r="E363" i="1"/>
  <c r="F363" i="1"/>
  <c r="D315" i="1"/>
  <c r="E315" i="1"/>
  <c r="F315" i="1"/>
  <c r="D307" i="1"/>
  <c r="E307" i="1"/>
  <c r="F307" i="1"/>
  <c r="D298" i="1"/>
  <c r="E298" i="1"/>
  <c r="F298" i="1"/>
  <c r="D69" i="1"/>
  <c r="E69" i="1"/>
  <c r="F69" i="1"/>
  <c r="D63" i="1"/>
  <c r="E63" i="1"/>
  <c r="F63" i="1"/>
  <c r="D64" i="1"/>
  <c r="E64" i="1"/>
  <c r="F64" i="1"/>
  <c r="D60" i="1"/>
  <c r="E60" i="1"/>
  <c r="F60" i="1"/>
  <c r="D32" i="1"/>
  <c r="E32" i="1"/>
  <c r="F32" i="1"/>
  <c r="D634" i="1"/>
  <c r="E634" i="1"/>
  <c r="F634" i="1"/>
  <c r="D635" i="1"/>
  <c r="E635" i="1"/>
  <c r="F635" i="1"/>
  <c r="D636" i="1"/>
  <c r="E636" i="1"/>
  <c r="F636" i="1"/>
  <c r="D628" i="1"/>
  <c r="E628" i="1"/>
  <c r="F628" i="1"/>
  <c r="D632" i="1"/>
  <c r="E632" i="1"/>
  <c r="F632" i="1"/>
  <c r="D626" i="1"/>
  <c r="E626" i="1"/>
  <c r="F626" i="1"/>
  <c r="D598" i="1"/>
  <c r="E598" i="1"/>
  <c r="F598" i="1"/>
  <c r="D594" i="1"/>
  <c r="E594" i="1"/>
  <c r="F594" i="1"/>
  <c r="D595" i="1"/>
  <c r="E595" i="1"/>
  <c r="F595" i="1"/>
  <c r="D455" i="1"/>
  <c r="E455" i="1"/>
  <c r="F455" i="1"/>
  <c r="D448" i="1"/>
  <c r="E448" i="1"/>
  <c r="F448" i="1"/>
  <c r="D411" i="1"/>
  <c r="E411" i="1"/>
  <c r="F411" i="1"/>
  <c r="D328" i="1"/>
  <c r="E328" i="1"/>
  <c r="F328" i="1"/>
  <c r="F259" i="1"/>
  <c r="E259" i="1"/>
  <c r="D259" i="1"/>
  <c r="D248" i="1"/>
  <c r="E248" i="1"/>
  <c r="F248" i="1"/>
  <c r="F249" i="1"/>
  <c r="E249" i="1"/>
  <c r="D249" i="1"/>
  <c r="D237" i="1"/>
  <c r="E237" i="1"/>
  <c r="F237" i="1"/>
  <c r="D220" i="1"/>
  <c r="E220" i="1"/>
  <c r="F220" i="1"/>
  <c r="D209" i="1"/>
  <c r="E209" i="1"/>
  <c r="F209" i="1"/>
  <c r="F204" i="1"/>
  <c r="F62" i="1"/>
  <c r="E204" i="1"/>
  <c r="D204" i="1"/>
  <c r="E62" i="1"/>
  <c r="D62" i="1"/>
  <c r="F4" i="1"/>
  <c r="F5" i="1"/>
  <c r="F6" i="1"/>
  <c r="F7" i="1"/>
  <c r="F8" i="1"/>
  <c r="F9" i="1"/>
  <c r="F2" i="1"/>
  <c r="D4" i="1"/>
  <c r="E4" i="1"/>
  <c r="D5" i="1"/>
  <c r="E5" i="1"/>
  <c r="D2" i="1"/>
  <c r="E2" i="1"/>
  <c r="F639" i="1"/>
  <c r="E639" i="1"/>
  <c r="D639" i="1"/>
  <c r="B2" i="3"/>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B210" i="3"/>
  <c r="B211" i="3"/>
  <c r="B212" i="3"/>
  <c r="B213" i="3"/>
  <c r="B214" i="3"/>
  <c r="B215" i="3"/>
  <c r="B216" i="3"/>
  <c r="B217" i="3"/>
  <c r="B218" i="3"/>
  <c r="B219" i="3"/>
  <c r="B220" i="3"/>
  <c r="B221" i="3"/>
  <c r="B222" i="3"/>
  <c r="B223" i="3"/>
  <c r="B224" i="3"/>
  <c r="B225" i="3"/>
  <c r="B226" i="3"/>
  <c r="B227" i="3"/>
  <c r="B228" i="3"/>
  <c r="B229" i="3"/>
  <c r="B230" i="3"/>
  <c r="B231" i="3"/>
  <c r="B232" i="3"/>
  <c r="B233" i="3"/>
  <c r="B234" i="3"/>
  <c r="B235" i="3"/>
  <c r="B236" i="3"/>
  <c r="B237" i="3"/>
  <c r="B238" i="3"/>
  <c r="B239" i="3"/>
  <c r="B240" i="3"/>
  <c r="B241" i="3"/>
  <c r="B242" i="3"/>
  <c r="B243" i="3"/>
  <c r="B244" i="3"/>
  <c r="B245" i="3"/>
  <c r="B246" i="3"/>
  <c r="B247" i="3"/>
  <c r="B248" i="3"/>
  <c r="B249" i="3"/>
  <c r="B250" i="3"/>
  <c r="B251" i="3"/>
  <c r="B252" i="3"/>
  <c r="B253" i="3"/>
  <c r="B254" i="3"/>
  <c r="B255" i="3"/>
  <c r="B256" i="3"/>
  <c r="B257" i="3"/>
  <c r="B258" i="3"/>
  <c r="B259" i="3"/>
  <c r="B260" i="3"/>
  <c r="B261" i="3"/>
  <c r="B262" i="3"/>
  <c r="B263" i="3"/>
  <c r="B264" i="3"/>
  <c r="B265" i="3"/>
  <c r="B266" i="3"/>
  <c r="B267" i="3"/>
  <c r="B268" i="3"/>
  <c r="B269" i="3"/>
  <c r="B270" i="3"/>
  <c r="B271" i="3"/>
  <c r="B272" i="3"/>
  <c r="B273" i="3"/>
  <c r="B274" i="3"/>
  <c r="B275" i="3"/>
  <c r="B276" i="3"/>
  <c r="B277" i="3"/>
  <c r="B278" i="3"/>
  <c r="B279" i="3"/>
  <c r="B280" i="3"/>
  <c r="B281" i="3"/>
  <c r="B282" i="3"/>
  <c r="B283" i="3"/>
  <c r="B284" i="3"/>
  <c r="B285" i="3"/>
  <c r="B286" i="3"/>
  <c r="B287" i="3"/>
  <c r="B288" i="3"/>
  <c r="B289" i="3"/>
  <c r="B290" i="3"/>
  <c r="B291" i="3"/>
  <c r="B292" i="3"/>
  <c r="B293" i="3"/>
  <c r="B294" i="3"/>
  <c r="B295" i="3"/>
  <c r="B296" i="3"/>
  <c r="B297" i="3"/>
  <c r="B298" i="3"/>
  <c r="B299" i="3"/>
  <c r="B300" i="3"/>
  <c r="B301" i="3"/>
  <c r="B302" i="3"/>
  <c r="B303" i="3"/>
  <c r="B304" i="3"/>
  <c r="B305" i="3"/>
  <c r="B306" i="3"/>
  <c r="B307" i="3"/>
  <c r="B308" i="3"/>
  <c r="B309" i="3"/>
  <c r="B310" i="3"/>
  <c r="B311" i="3"/>
  <c r="B312" i="3"/>
  <c r="B313" i="3"/>
  <c r="B314" i="3"/>
  <c r="B315" i="3"/>
  <c r="B316" i="3"/>
  <c r="B317" i="3"/>
  <c r="B318" i="3"/>
  <c r="B319" i="3"/>
  <c r="B320" i="3"/>
  <c r="B321" i="3"/>
  <c r="B322" i="3"/>
  <c r="B323" i="3"/>
  <c r="B324" i="3"/>
  <c r="B325" i="3"/>
  <c r="B326" i="3"/>
  <c r="B327" i="3"/>
  <c r="B328" i="3"/>
  <c r="B329" i="3"/>
  <c r="B330" i="3"/>
  <c r="B331" i="3"/>
  <c r="B332" i="3"/>
  <c r="B333" i="3"/>
  <c r="B334" i="3"/>
  <c r="B335" i="3"/>
  <c r="B336" i="3"/>
  <c r="B337" i="3"/>
  <c r="B338" i="3"/>
  <c r="B339" i="3"/>
  <c r="B340" i="3"/>
  <c r="B341" i="3"/>
  <c r="B342" i="3"/>
  <c r="B343" i="3"/>
  <c r="B344" i="3"/>
  <c r="B345" i="3"/>
  <c r="B346" i="3"/>
  <c r="B347" i="3"/>
  <c r="B348" i="3"/>
  <c r="B349" i="3"/>
  <c r="B350" i="3"/>
  <c r="B351" i="3"/>
  <c r="B352" i="3"/>
  <c r="B353" i="3"/>
  <c r="B354" i="3"/>
  <c r="B355" i="3"/>
  <c r="B356" i="3"/>
  <c r="B357" i="3"/>
  <c r="B358" i="3"/>
  <c r="B359" i="3"/>
  <c r="B360" i="3"/>
  <c r="B361" i="3"/>
  <c r="B362" i="3"/>
  <c r="B363" i="3"/>
  <c r="B364" i="3"/>
  <c r="B365" i="3"/>
  <c r="B366" i="3"/>
  <c r="B367" i="3"/>
  <c r="B368" i="3"/>
  <c r="B369" i="3"/>
  <c r="B370" i="3"/>
  <c r="B371" i="3"/>
  <c r="B372" i="3"/>
  <c r="B373" i="3"/>
  <c r="B374" i="3"/>
  <c r="B375" i="3"/>
  <c r="B376" i="3"/>
  <c r="B377" i="3"/>
  <c r="B378" i="3"/>
  <c r="B379" i="3"/>
  <c r="B380" i="3"/>
  <c r="B381" i="3"/>
  <c r="B382" i="3"/>
  <c r="B383" i="3"/>
  <c r="B384" i="3"/>
  <c r="B385" i="3"/>
  <c r="B386" i="3"/>
  <c r="B387" i="3"/>
  <c r="B388" i="3"/>
  <c r="B389" i="3"/>
  <c r="B390" i="3"/>
  <c r="B391" i="3"/>
  <c r="B392" i="3"/>
  <c r="B393" i="3"/>
  <c r="B394" i="3"/>
  <c r="B395" i="3"/>
  <c r="B396" i="3"/>
  <c r="B397" i="3"/>
  <c r="B398" i="3"/>
  <c r="B399" i="3"/>
  <c r="B400" i="3"/>
  <c r="B401" i="3"/>
  <c r="B402" i="3"/>
  <c r="B403" i="3"/>
  <c r="B404" i="3"/>
  <c r="B405" i="3"/>
  <c r="B406" i="3"/>
  <c r="B407" i="3"/>
  <c r="B408" i="3"/>
  <c r="B409" i="3"/>
  <c r="B410" i="3"/>
  <c r="B411" i="3"/>
  <c r="B412" i="3"/>
  <c r="B413" i="3"/>
  <c r="B414" i="3"/>
  <c r="B415" i="3"/>
  <c r="B416" i="3"/>
  <c r="B417" i="3"/>
  <c r="B418" i="3"/>
  <c r="B419" i="3"/>
  <c r="B420" i="3"/>
  <c r="B421" i="3"/>
  <c r="B422" i="3"/>
  <c r="B423" i="3"/>
  <c r="B424" i="3"/>
  <c r="B425" i="3"/>
  <c r="B426" i="3"/>
  <c r="B427" i="3"/>
  <c r="B428" i="3"/>
  <c r="B429" i="3"/>
  <c r="B430" i="3"/>
  <c r="B431" i="3"/>
  <c r="B432" i="3"/>
  <c r="B433" i="3"/>
  <c r="B434" i="3"/>
  <c r="B435" i="3"/>
  <c r="B436" i="3"/>
  <c r="B437" i="3"/>
  <c r="B438" i="3"/>
  <c r="B439" i="3"/>
  <c r="B440" i="3"/>
  <c r="B441" i="3"/>
  <c r="B442" i="3"/>
  <c r="B443" i="3"/>
  <c r="B444" i="3"/>
  <c r="B445" i="3"/>
  <c r="B446" i="3"/>
  <c r="B447" i="3"/>
  <c r="B448" i="3"/>
  <c r="B449" i="3"/>
  <c r="B450" i="3"/>
  <c r="B451" i="3"/>
  <c r="B452" i="3"/>
  <c r="B453" i="3"/>
  <c r="B454" i="3"/>
  <c r="B455" i="3"/>
  <c r="B456" i="3"/>
  <c r="B457" i="3"/>
  <c r="B458" i="3"/>
  <c r="B459" i="3"/>
  <c r="B460" i="3"/>
  <c r="B461" i="3"/>
  <c r="B462" i="3"/>
  <c r="B463" i="3"/>
  <c r="B464" i="3"/>
  <c r="B465" i="3"/>
  <c r="B466" i="3"/>
  <c r="B467" i="3"/>
  <c r="B468" i="3"/>
  <c r="B469" i="3"/>
  <c r="B470" i="3"/>
  <c r="B471" i="3"/>
  <c r="B472" i="3"/>
  <c r="B473" i="3"/>
  <c r="B474" i="3"/>
  <c r="B475" i="3"/>
  <c r="B476" i="3"/>
  <c r="B477" i="3"/>
  <c r="B478" i="3"/>
  <c r="B479" i="3"/>
  <c r="B480" i="3"/>
  <c r="B481" i="3"/>
  <c r="B482" i="3"/>
  <c r="B483" i="3"/>
  <c r="B484" i="3"/>
  <c r="B485" i="3"/>
  <c r="B486" i="3"/>
  <c r="B487" i="3"/>
  <c r="B488" i="3"/>
  <c r="B489" i="3"/>
  <c r="B490" i="3"/>
  <c r="B491" i="3"/>
  <c r="B492" i="3"/>
  <c r="B493" i="3"/>
  <c r="B494" i="3"/>
  <c r="B495" i="3"/>
  <c r="B496" i="3"/>
  <c r="B497" i="3"/>
  <c r="B498" i="3"/>
  <c r="B499" i="3"/>
  <c r="B500" i="3"/>
  <c r="B501" i="3"/>
  <c r="B502" i="3"/>
  <c r="B503" i="3"/>
  <c r="B504" i="3"/>
  <c r="B505" i="3"/>
  <c r="B506" i="3"/>
  <c r="B507" i="3"/>
  <c r="B508" i="3"/>
  <c r="B509" i="3"/>
  <c r="B510" i="3"/>
  <c r="B511" i="3"/>
  <c r="B512" i="3"/>
  <c r="B513" i="3"/>
  <c r="B514" i="3"/>
  <c r="B515" i="3"/>
  <c r="B516" i="3"/>
  <c r="B517" i="3"/>
  <c r="B518" i="3"/>
  <c r="B519" i="3"/>
  <c r="B520" i="3"/>
  <c r="B521" i="3"/>
  <c r="B522" i="3"/>
  <c r="B523" i="3"/>
  <c r="B524" i="3"/>
  <c r="B525" i="3"/>
  <c r="B526" i="3"/>
  <c r="B527" i="3"/>
  <c r="B528" i="3"/>
  <c r="B529" i="3"/>
  <c r="B530" i="3"/>
  <c r="B531" i="3"/>
  <c r="B532" i="3"/>
  <c r="B533" i="3"/>
  <c r="B534" i="3"/>
  <c r="B535" i="3"/>
  <c r="B536" i="3"/>
  <c r="B537" i="3"/>
  <c r="B538" i="3"/>
  <c r="B539" i="3"/>
  <c r="B540" i="3"/>
  <c r="B541" i="3"/>
  <c r="B542" i="3"/>
  <c r="B543" i="3"/>
  <c r="B544" i="3"/>
  <c r="B545" i="3"/>
  <c r="B546" i="3"/>
  <c r="B547" i="3"/>
  <c r="B548" i="3"/>
  <c r="B549" i="3"/>
  <c r="B550" i="3"/>
  <c r="B551" i="3"/>
  <c r="B552" i="3"/>
  <c r="B553" i="3"/>
  <c r="B554" i="3"/>
  <c r="B555" i="3"/>
  <c r="B556" i="3"/>
  <c r="B557" i="3"/>
  <c r="B558" i="3"/>
  <c r="B559" i="3"/>
  <c r="B560" i="3"/>
  <c r="B561" i="3"/>
  <c r="B562" i="3"/>
  <c r="B563" i="3"/>
  <c r="B564" i="3"/>
  <c r="B565" i="3"/>
  <c r="B566" i="3"/>
  <c r="B567" i="3"/>
  <c r="B568" i="3"/>
  <c r="B569" i="3"/>
  <c r="B570" i="3"/>
  <c r="B571" i="3"/>
  <c r="B572" i="3"/>
  <c r="B573" i="3"/>
  <c r="B574" i="3"/>
  <c r="B575" i="3"/>
  <c r="B576" i="3"/>
  <c r="B577" i="3"/>
  <c r="B578" i="3"/>
  <c r="B579" i="3"/>
  <c r="B580" i="3"/>
  <c r="B581" i="3"/>
  <c r="B582" i="3"/>
  <c r="B583" i="3"/>
  <c r="B584" i="3"/>
  <c r="B585" i="3"/>
  <c r="B586" i="3"/>
  <c r="B587" i="3"/>
  <c r="B588" i="3"/>
  <c r="B589" i="3"/>
  <c r="B590" i="3"/>
  <c r="B591" i="3"/>
  <c r="B592" i="3"/>
  <c r="B593" i="3"/>
  <c r="B594" i="3"/>
  <c r="B595" i="3"/>
  <c r="B596" i="3"/>
  <c r="B597" i="3"/>
  <c r="B598" i="3"/>
  <c r="B599" i="3"/>
  <c r="B600" i="3"/>
  <c r="B601" i="3"/>
  <c r="B602" i="3"/>
  <c r="B603" i="3"/>
  <c r="B604" i="3"/>
  <c r="B605" i="3"/>
  <c r="B606" i="3"/>
  <c r="B607" i="3"/>
  <c r="B608" i="3"/>
  <c r="B609" i="3"/>
  <c r="B610" i="3"/>
  <c r="B611" i="3"/>
  <c r="B612" i="3"/>
  <c r="B613" i="3"/>
  <c r="B614" i="3"/>
  <c r="B615" i="3"/>
  <c r="B616" i="3"/>
  <c r="B617" i="3"/>
  <c r="B618" i="3"/>
  <c r="B619" i="3"/>
  <c r="B620" i="3"/>
  <c r="B621" i="3"/>
  <c r="B622" i="3"/>
  <c r="B623" i="3"/>
  <c r="B624" i="3"/>
  <c r="B625" i="3"/>
  <c r="B626" i="3"/>
  <c r="B627" i="3"/>
  <c r="B628" i="3"/>
  <c r="B629" i="3"/>
  <c r="B630" i="3"/>
  <c r="B631" i="3"/>
  <c r="B632" i="3"/>
  <c r="B633" i="3"/>
  <c r="B634" i="3"/>
  <c r="B635" i="3"/>
  <c r="B636" i="3"/>
  <c r="B637" i="3"/>
  <c r="B638" i="3"/>
  <c r="B639" i="3"/>
  <c r="B640" i="3"/>
  <c r="B641" i="3"/>
  <c r="B642" i="3"/>
  <c r="B643" i="3"/>
  <c r="B644" i="3"/>
  <c r="B645" i="3"/>
  <c r="B646" i="3"/>
  <c r="C609" i="1"/>
  <c r="C608" i="1"/>
  <c r="C607" i="1"/>
  <c r="F233" i="1"/>
  <c r="G6" i="1"/>
  <c r="G7" i="1"/>
  <c r="G8" i="1"/>
  <c r="G9" i="1"/>
  <c r="G3" i="1"/>
  <c r="F10" i="1"/>
  <c r="F11" i="1"/>
  <c r="F12" i="1"/>
  <c r="F13" i="1"/>
  <c r="F14" i="1"/>
  <c r="F15" i="1"/>
  <c r="F16" i="1"/>
  <c r="F17" i="1"/>
  <c r="F18" i="1"/>
  <c r="F19" i="1"/>
  <c r="F20" i="1"/>
  <c r="F21" i="1"/>
  <c r="F22" i="1"/>
  <c r="F23" i="1"/>
  <c r="F24" i="1"/>
  <c r="F25" i="1"/>
  <c r="F26" i="1"/>
  <c r="F27" i="1"/>
  <c r="F28" i="1"/>
  <c r="F29" i="1"/>
  <c r="F30" i="1"/>
  <c r="F31" i="1"/>
  <c r="F33" i="1"/>
  <c r="F34" i="1"/>
  <c r="F35" i="1"/>
  <c r="F36" i="1"/>
  <c r="F37" i="1"/>
  <c r="F38" i="1"/>
  <c r="F39" i="1"/>
  <c r="F40" i="1"/>
  <c r="F41" i="1"/>
  <c r="F42" i="1"/>
  <c r="F43" i="1"/>
  <c r="F44" i="1"/>
  <c r="F45" i="1"/>
  <c r="F46" i="1"/>
  <c r="F47" i="1"/>
  <c r="F48" i="1"/>
  <c r="F49" i="1"/>
  <c r="F50" i="1"/>
  <c r="F52" i="1"/>
  <c r="F51" i="1"/>
  <c r="F53" i="1"/>
  <c r="F54" i="1"/>
  <c r="F55" i="1"/>
  <c r="F56" i="1"/>
  <c r="F57" i="1"/>
  <c r="F58" i="1"/>
  <c r="F59" i="1"/>
  <c r="F61" i="1"/>
  <c r="F65" i="1"/>
  <c r="F66" i="1"/>
  <c r="F67" i="1"/>
  <c r="F68"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5" i="1"/>
  <c r="F206" i="1"/>
  <c r="F207" i="1"/>
  <c r="F208" i="1"/>
  <c r="F210" i="1"/>
  <c r="F211" i="1"/>
  <c r="F212" i="1"/>
  <c r="F213" i="1"/>
  <c r="F214" i="1"/>
  <c r="F215" i="1"/>
  <c r="F216" i="1"/>
  <c r="F217" i="1"/>
  <c r="F218" i="1"/>
  <c r="F219" i="1"/>
  <c r="F221" i="1"/>
  <c r="F222" i="1"/>
  <c r="F223" i="1"/>
  <c r="F224" i="1"/>
  <c r="F225" i="1"/>
  <c r="F226" i="1"/>
  <c r="F227" i="1"/>
  <c r="F228" i="1"/>
  <c r="F229" i="1"/>
  <c r="F230" i="1"/>
  <c r="F231" i="1"/>
  <c r="F232" i="1"/>
  <c r="F234" i="1"/>
  <c r="F235" i="1"/>
  <c r="F236" i="1"/>
  <c r="F238" i="1"/>
  <c r="F239" i="1"/>
  <c r="F240" i="1"/>
  <c r="F241" i="1"/>
  <c r="F242" i="1"/>
  <c r="F243" i="1"/>
  <c r="F244" i="1"/>
  <c r="F245" i="1"/>
  <c r="F246" i="1"/>
  <c r="F247" i="1"/>
  <c r="F250" i="1"/>
  <c r="F251" i="1"/>
  <c r="F252" i="1"/>
  <c r="F253" i="1"/>
  <c r="F254" i="1"/>
  <c r="F255" i="1"/>
  <c r="F256" i="1"/>
  <c r="F257" i="1"/>
  <c r="F258"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9" i="1"/>
  <c r="F300" i="1"/>
  <c r="F301" i="1"/>
  <c r="F302" i="1"/>
  <c r="F303" i="1"/>
  <c r="F304" i="1"/>
  <c r="F305" i="1"/>
  <c r="F306" i="1"/>
  <c r="F308" i="1"/>
  <c r="F309" i="1"/>
  <c r="F310" i="1"/>
  <c r="F311" i="1"/>
  <c r="F312" i="1"/>
  <c r="F313" i="1"/>
  <c r="F314" i="1"/>
  <c r="F316" i="1"/>
  <c r="F317" i="1"/>
  <c r="F318" i="1"/>
  <c r="F319" i="1"/>
  <c r="F320" i="1"/>
  <c r="F321" i="1"/>
  <c r="F322" i="1"/>
  <c r="F323" i="1"/>
  <c r="F324" i="1"/>
  <c r="F325" i="1"/>
  <c r="F326" i="1"/>
  <c r="F327"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4" i="1"/>
  <c r="F365" i="1"/>
  <c r="F366" i="1"/>
  <c r="F367" i="1"/>
  <c r="F368" i="1"/>
  <c r="F369" i="1"/>
  <c r="F370" i="1"/>
  <c r="F371" i="1"/>
  <c r="F373" i="1"/>
  <c r="F374" i="1"/>
  <c r="F375" i="1"/>
  <c r="F376" i="1"/>
  <c r="F377" i="1"/>
  <c r="F378" i="1"/>
  <c r="F381" i="1"/>
  <c r="F382" i="1"/>
  <c r="F383" i="1"/>
  <c r="F384" i="1"/>
  <c r="F385" i="1"/>
  <c r="F386" i="1"/>
  <c r="F387" i="1"/>
  <c r="F388" i="1"/>
  <c r="F389" i="1"/>
  <c r="F390" i="1"/>
  <c r="F391" i="1"/>
  <c r="F392" i="1"/>
  <c r="F393" i="1"/>
  <c r="F394" i="1"/>
  <c r="F402" i="1"/>
  <c r="F403" i="1"/>
  <c r="F404" i="1"/>
  <c r="F405" i="1"/>
  <c r="F406" i="1"/>
  <c r="F407" i="1"/>
  <c r="F408" i="1"/>
  <c r="F409" i="1"/>
  <c r="F410" i="1"/>
  <c r="F412" i="1"/>
  <c r="F413" i="1"/>
  <c r="F414" i="1"/>
  <c r="F415" i="1"/>
  <c r="F416"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9" i="1"/>
  <c r="F450" i="1"/>
  <c r="F451" i="1"/>
  <c r="F452" i="1"/>
  <c r="F453" i="1"/>
  <c r="F454"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40" i="1"/>
  <c r="F541" i="1"/>
  <c r="F542" i="1"/>
  <c r="F543" i="1"/>
  <c r="F544" i="1"/>
  <c r="F545" i="1"/>
  <c r="F546" i="1"/>
  <c r="F547" i="1"/>
  <c r="F548" i="1"/>
  <c r="F549" i="1"/>
  <c r="F550" i="1"/>
  <c r="F551" i="1"/>
  <c r="F552" i="1"/>
  <c r="F553" i="1"/>
  <c r="F3" i="1"/>
  <c r="F564"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6" i="1"/>
  <c r="F597"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7" i="1"/>
  <c r="F629" i="1"/>
  <c r="F630" i="1"/>
  <c r="F631" i="1"/>
  <c r="F633" i="1"/>
  <c r="F637" i="1"/>
  <c r="F638" i="1"/>
  <c r="F640" i="1"/>
  <c r="F641" i="1"/>
  <c r="F642" i="1"/>
  <c r="F643" i="1"/>
  <c r="F644" i="1"/>
  <c r="F645" i="1"/>
  <c r="F646" i="1"/>
  <c r="D50" i="1"/>
  <c r="E50" i="1"/>
  <c r="D52" i="1"/>
  <c r="E52" i="1"/>
  <c r="D377" i="1"/>
  <c r="E377" i="1"/>
  <c r="D578" i="1"/>
  <c r="E578" i="1"/>
  <c r="D7" i="1"/>
  <c r="E7" i="1"/>
  <c r="D8" i="1"/>
  <c r="E8" i="1"/>
  <c r="D9" i="1"/>
  <c r="E9" i="1"/>
  <c r="D10" i="1"/>
  <c r="E10" i="1"/>
  <c r="D11" i="1"/>
  <c r="E11" i="1"/>
  <c r="D12" i="1"/>
  <c r="E12" i="1"/>
  <c r="D13" i="1"/>
  <c r="E13" i="1"/>
  <c r="D14" i="1"/>
  <c r="E14" i="1"/>
  <c r="D15" i="1"/>
  <c r="E15" i="1"/>
  <c r="D16" i="1"/>
  <c r="E16" i="1"/>
  <c r="D17" i="1"/>
  <c r="E17" i="1"/>
  <c r="D18" i="1"/>
  <c r="E18" i="1"/>
  <c r="D19" i="1"/>
  <c r="E19" i="1"/>
  <c r="D20" i="1"/>
  <c r="E20" i="1"/>
  <c r="D21" i="1"/>
  <c r="E21" i="1"/>
  <c r="D22" i="1"/>
  <c r="E22" i="1"/>
  <c r="D23" i="1"/>
  <c r="E23" i="1"/>
  <c r="D24" i="1"/>
  <c r="E24" i="1"/>
  <c r="D25" i="1"/>
  <c r="E25" i="1"/>
  <c r="D26" i="1"/>
  <c r="E26" i="1"/>
  <c r="D27" i="1"/>
  <c r="E27" i="1"/>
  <c r="D28" i="1"/>
  <c r="E28" i="1"/>
  <c r="D29" i="1"/>
  <c r="E29" i="1"/>
  <c r="D30" i="1"/>
  <c r="E30" i="1"/>
  <c r="D31" i="1"/>
  <c r="E31" i="1"/>
  <c r="D33" i="1"/>
  <c r="E33" i="1"/>
  <c r="D34" i="1"/>
  <c r="E34" i="1"/>
  <c r="D35" i="1"/>
  <c r="E35" i="1"/>
  <c r="D36" i="1"/>
  <c r="E36" i="1"/>
  <c r="D37" i="1"/>
  <c r="E37" i="1"/>
  <c r="D38" i="1"/>
  <c r="E38" i="1"/>
  <c r="D39" i="1"/>
  <c r="E39" i="1"/>
  <c r="D40" i="1"/>
  <c r="E40" i="1"/>
  <c r="D41" i="1"/>
  <c r="E41" i="1"/>
  <c r="D42" i="1"/>
  <c r="E42" i="1"/>
  <c r="D43" i="1"/>
  <c r="E43" i="1"/>
  <c r="D44" i="1"/>
  <c r="E44" i="1"/>
  <c r="D45" i="1"/>
  <c r="E45" i="1"/>
  <c r="D46" i="1"/>
  <c r="E46" i="1"/>
  <c r="D47" i="1"/>
  <c r="E47" i="1"/>
  <c r="D48" i="1"/>
  <c r="E48" i="1"/>
  <c r="D49" i="1"/>
  <c r="E49" i="1"/>
  <c r="D51" i="1"/>
  <c r="E51" i="1"/>
  <c r="D53" i="1"/>
  <c r="E53" i="1"/>
  <c r="D54" i="1"/>
  <c r="E54" i="1"/>
  <c r="D55" i="1"/>
  <c r="E55" i="1"/>
  <c r="D56" i="1"/>
  <c r="E56" i="1"/>
  <c r="D57" i="1"/>
  <c r="E57" i="1"/>
  <c r="D58" i="1"/>
  <c r="E58" i="1"/>
  <c r="D59" i="1"/>
  <c r="E59" i="1"/>
  <c r="D61" i="1"/>
  <c r="E61" i="1"/>
  <c r="D65" i="1"/>
  <c r="E65" i="1"/>
  <c r="D66" i="1"/>
  <c r="E66" i="1"/>
  <c r="D67" i="1"/>
  <c r="E67" i="1"/>
  <c r="D68" i="1"/>
  <c r="E68" i="1"/>
  <c r="D70" i="1"/>
  <c r="E70" i="1"/>
  <c r="D71" i="1"/>
  <c r="E71" i="1"/>
  <c r="D72" i="1"/>
  <c r="E72" i="1"/>
  <c r="D73" i="1"/>
  <c r="E73" i="1"/>
  <c r="D74" i="1"/>
  <c r="E74" i="1"/>
  <c r="D75" i="1"/>
  <c r="E75" i="1"/>
  <c r="D76" i="1"/>
  <c r="E76" i="1"/>
  <c r="D77" i="1"/>
  <c r="E77" i="1"/>
  <c r="D78" i="1"/>
  <c r="E78" i="1"/>
  <c r="D79" i="1"/>
  <c r="E79" i="1"/>
  <c r="D80" i="1"/>
  <c r="E80" i="1"/>
  <c r="D81" i="1"/>
  <c r="E81" i="1"/>
  <c r="D82" i="1"/>
  <c r="E82" i="1"/>
  <c r="D83" i="1"/>
  <c r="E83" i="1"/>
  <c r="D84" i="1"/>
  <c r="E84" i="1"/>
  <c r="D85" i="1"/>
  <c r="E85" i="1"/>
  <c r="D86" i="1"/>
  <c r="E86" i="1"/>
  <c r="D87" i="1"/>
  <c r="E87" i="1"/>
  <c r="D88" i="1"/>
  <c r="E88" i="1"/>
  <c r="D89" i="1"/>
  <c r="E89" i="1"/>
  <c r="D90" i="1"/>
  <c r="E90" i="1"/>
  <c r="D91" i="1"/>
  <c r="E91" i="1"/>
  <c r="D92" i="1"/>
  <c r="E92" i="1"/>
  <c r="D93" i="1"/>
  <c r="E93" i="1"/>
  <c r="D94" i="1"/>
  <c r="E94" i="1"/>
  <c r="D95" i="1"/>
  <c r="E95" i="1"/>
  <c r="D96" i="1"/>
  <c r="E96" i="1"/>
  <c r="D97" i="1"/>
  <c r="E97" i="1"/>
  <c r="D98" i="1"/>
  <c r="E98" i="1"/>
  <c r="D99" i="1"/>
  <c r="E99" i="1"/>
  <c r="D100" i="1"/>
  <c r="E100" i="1"/>
  <c r="D101" i="1"/>
  <c r="E101" i="1"/>
  <c r="D102" i="1"/>
  <c r="E102" i="1"/>
  <c r="D103" i="1"/>
  <c r="E103" i="1"/>
  <c r="D104" i="1"/>
  <c r="E104" i="1"/>
  <c r="D105" i="1"/>
  <c r="E105" i="1"/>
  <c r="D106" i="1"/>
  <c r="E106" i="1"/>
  <c r="D107" i="1"/>
  <c r="E107" i="1"/>
  <c r="D108" i="1"/>
  <c r="E108" i="1"/>
  <c r="D109" i="1"/>
  <c r="E109" i="1"/>
  <c r="D110" i="1"/>
  <c r="E110" i="1"/>
  <c r="D111" i="1"/>
  <c r="E111" i="1"/>
  <c r="D112" i="1"/>
  <c r="E112" i="1"/>
  <c r="D113" i="1"/>
  <c r="E113" i="1"/>
  <c r="D114" i="1"/>
  <c r="E114" i="1"/>
  <c r="D115" i="1"/>
  <c r="E115" i="1"/>
  <c r="D116" i="1"/>
  <c r="E116" i="1"/>
  <c r="D117" i="1"/>
  <c r="E117" i="1"/>
  <c r="D118" i="1"/>
  <c r="E118" i="1"/>
  <c r="D119" i="1"/>
  <c r="E119" i="1"/>
  <c r="D120" i="1"/>
  <c r="E120" i="1"/>
  <c r="D121" i="1"/>
  <c r="E121" i="1"/>
  <c r="D122" i="1"/>
  <c r="E122" i="1"/>
  <c r="D123" i="1"/>
  <c r="E123" i="1"/>
  <c r="D124" i="1"/>
  <c r="E124" i="1"/>
  <c r="D125" i="1"/>
  <c r="E125" i="1"/>
  <c r="D126" i="1"/>
  <c r="E126" i="1"/>
  <c r="D127" i="1"/>
  <c r="E127" i="1"/>
  <c r="D128" i="1"/>
  <c r="E128" i="1"/>
  <c r="D129" i="1"/>
  <c r="E129" i="1"/>
  <c r="D130" i="1"/>
  <c r="E130" i="1"/>
  <c r="D131" i="1"/>
  <c r="E131" i="1"/>
  <c r="D132" i="1"/>
  <c r="E132" i="1"/>
  <c r="D133" i="1"/>
  <c r="E133" i="1"/>
  <c r="D134" i="1"/>
  <c r="E134" i="1"/>
  <c r="D135" i="1"/>
  <c r="E135" i="1"/>
  <c r="D136" i="1"/>
  <c r="E136" i="1"/>
  <c r="D137" i="1"/>
  <c r="E137" i="1"/>
  <c r="D138" i="1"/>
  <c r="E138" i="1"/>
  <c r="D139" i="1"/>
  <c r="E139" i="1"/>
  <c r="D140" i="1"/>
  <c r="E140" i="1"/>
  <c r="D141" i="1"/>
  <c r="E141" i="1"/>
  <c r="D142" i="1"/>
  <c r="E142" i="1"/>
  <c r="D143" i="1"/>
  <c r="E143" i="1"/>
  <c r="D144" i="1"/>
  <c r="E144" i="1"/>
  <c r="D145" i="1"/>
  <c r="E145" i="1"/>
  <c r="D146" i="1"/>
  <c r="E146" i="1"/>
  <c r="D147" i="1"/>
  <c r="E147" i="1"/>
  <c r="D148" i="1"/>
  <c r="E148" i="1"/>
  <c r="D149" i="1"/>
  <c r="E149" i="1"/>
  <c r="D150" i="1"/>
  <c r="E150" i="1"/>
  <c r="D151" i="1"/>
  <c r="E151" i="1"/>
  <c r="D152" i="1"/>
  <c r="E152" i="1"/>
  <c r="D153" i="1"/>
  <c r="E153" i="1"/>
  <c r="D154" i="1"/>
  <c r="E154" i="1"/>
  <c r="D155" i="1"/>
  <c r="E155" i="1"/>
  <c r="D156" i="1"/>
  <c r="E156" i="1"/>
  <c r="D157" i="1"/>
  <c r="E157" i="1"/>
  <c r="D158" i="1"/>
  <c r="E158" i="1"/>
  <c r="D159" i="1"/>
  <c r="E159" i="1"/>
  <c r="D160" i="1"/>
  <c r="E160" i="1"/>
  <c r="D161" i="1"/>
  <c r="E161" i="1"/>
  <c r="D162" i="1"/>
  <c r="E162" i="1"/>
  <c r="D163" i="1"/>
  <c r="E163" i="1"/>
  <c r="D164" i="1"/>
  <c r="E164" i="1"/>
  <c r="D165" i="1"/>
  <c r="E165" i="1"/>
  <c r="D166" i="1"/>
  <c r="E166" i="1"/>
  <c r="D167" i="1"/>
  <c r="E167" i="1"/>
  <c r="D168" i="1"/>
  <c r="E168" i="1"/>
  <c r="D169" i="1"/>
  <c r="E169" i="1"/>
  <c r="D170" i="1"/>
  <c r="E170" i="1"/>
  <c r="D171" i="1"/>
  <c r="E171" i="1"/>
  <c r="D172" i="1"/>
  <c r="E172" i="1"/>
  <c r="D173" i="1"/>
  <c r="E173" i="1"/>
  <c r="D174" i="1"/>
  <c r="E174" i="1"/>
  <c r="D175" i="1"/>
  <c r="E175" i="1"/>
  <c r="D176" i="1"/>
  <c r="E176" i="1"/>
  <c r="D177" i="1"/>
  <c r="E177" i="1"/>
  <c r="D178" i="1"/>
  <c r="E178" i="1"/>
  <c r="D179" i="1"/>
  <c r="E179" i="1"/>
  <c r="D180" i="1"/>
  <c r="E180" i="1"/>
  <c r="D181" i="1"/>
  <c r="E181" i="1"/>
  <c r="D182" i="1"/>
  <c r="E182" i="1"/>
  <c r="D183" i="1"/>
  <c r="E183" i="1"/>
  <c r="D184" i="1"/>
  <c r="E184" i="1"/>
  <c r="D185" i="1"/>
  <c r="E185" i="1"/>
  <c r="D186" i="1"/>
  <c r="E186" i="1"/>
  <c r="D187" i="1"/>
  <c r="E187" i="1"/>
  <c r="D188" i="1"/>
  <c r="E188" i="1"/>
  <c r="D189" i="1"/>
  <c r="E189" i="1"/>
  <c r="D190" i="1"/>
  <c r="E190" i="1"/>
  <c r="D191" i="1"/>
  <c r="E191" i="1"/>
  <c r="D192" i="1"/>
  <c r="E192" i="1"/>
  <c r="D193" i="1"/>
  <c r="E193" i="1"/>
  <c r="D194" i="1"/>
  <c r="E194" i="1"/>
  <c r="D195" i="1"/>
  <c r="D196" i="1"/>
  <c r="E196" i="1"/>
  <c r="D197" i="1"/>
  <c r="E197" i="1"/>
  <c r="D198" i="1"/>
  <c r="E198" i="1"/>
  <c r="D199" i="1"/>
  <c r="E199" i="1"/>
  <c r="D200" i="1"/>
  <c r="E200" i="1"/>
  <c r="D201" i="1"/>
  <c r="E201" i="1"/>
  <c r="D202" i="1"/>
  <c r="E202" i="1"/>
  <c r="D203" i="1"/>
  <c r="E203" i="1"/>
  <c r="D205" i="1"/>
  <c r="E205" i="1"/>
  <c r="D206" i="1"/>
  <c r="E206" i="1"/>
  <c r="D207" i="1"/>
  <c r="E207" i="1"/>
  <c r="D208" i="1"/>
  <c r="E208" i="1"/>
  <c r="D210" i="1"/>
  <c r="E210" i="1"/>
  <c r="D211" i="1"/>
  <c r="E211" i="1"/>
  <c r="D212" i="1"/>
  <c r="E212" i="1"/>
  <c r="D213" i="1"/>
  <c r="E213" i="1"/>
  <c r="D214" i="1"/>
  <c r="E214" i="1"/>
  <c r="D215" i="1"/>
  <c r="E215" i="1"/>
  <c r="D216" i="1"/>
  <c r="E216" i="1"/>
  <c r="D217" i="1"/>
  <c r="E217" i="1"/>
  <c r="D218" i="1"/>
  <c r="E218" i="1"/>
  <c r="D219" i="1"/>
  <c r="E219" i="1"/>
  <c r="D221" i="1"/>
  <c r="E221" i="1"/>
  <c r="D222" i="1"/>
  <c r="E222" i="1"/>
  <c r="D223" i="1"/>
  <c r="E223" i="1"/>
  <c r="D224" i="1"/>
  <c r="E224" i="1"/>
  <c r="D225" i="1"/>
  <c r="E225" i="1"/>
  <c r="D226" i="1"/>
  <c r="E226" i="1"/>
  <c r="D227" i="1"/>
  <c r="E227" i="1"/>
  <c r="D228" i="1"/>
  <c r="E228" i="1"/>
  <c r="D229" i="1"/>
  <c r="E229" i="1"/>
  <c r="D230" i="1"/>
  <c r="E230" i="1"/>
  <c r="D231" i="1"/>
  <c r="E231" i="1"/>
  <c r="D232" i="1"/>
  <c r="E232" i="1"/>
  <c r="D233" i="1"/>
  <c r="E233" i="1"/>
  <c r="D234" i="1"/>
  <c r="E234" i="1"/>
  <c r="D235" i="1"/>
  <c r="E235" i="1"/>
  <c r="D236" i="1"/>
  <c r="E236" i="1"/>
  <c r="D238" i="1"/>
  <c r="E238" i="1"/>
  <c r="D239" i="1"/>
  <c r="E239" i="1"/>
  <c r="D240" i="1"/>
  <c r="E240" i="1"/>
  <c r="D241" i="1"/>
  <c r="E241" i="1"/>
  <c r="D242" i="1"/>
  <c r="E242" i="1"/>
  <c r="D243" i="1"/>
  <c r="E243" i="1"/>
  <c r="D244" i="1"/>
  <c r="E244" i="1"/>
  <c r="D245" i="1"/>
  <c r="E245" i="1"/>
  <c r="D246" i="1"/>
  <c r="E246" i="1"/>
  <c r="D247" i="1"/>
  <c r="E247" i="1"/>
  <c r="D250" i="1"/>
  <c r="E250" i="1"/>
  <c r="D251" i="1"/>
  <c r="E251" i="1"/>
  <c r="D252" i="1"/>
  <c r="E252" i="1"/>
  <c r="D253" i="1"/>
  <c r="E253" i="1"/>
  <c r="D254" i="1"/>
  <c r="E254" i="1"/>
  <c r="D255" i="1"/>
  <c r="E255" i="1"/>
  <c r="D256" i="1"/>
  <c r="E256" i="1"/>
  <c r="D257" i="1"/>
  <c r="E257" i="1"/>
  <c r="D258" i="1"/>
  <c r="E258" i="1"/>
  <c r="D260" i="1"/>
  <c r="E260" i="1"/>
  <c r="D261" i="1"/>
  <c r="E261" i="1"/>
  <c r="D262" i="1"/>
  <c r="E262" i="1"/>
  <c r="D263" i="1"/>
  <c r="E263" i="1"/>
  <c r="D264" i="1"/>
  <c r="E264" i="1"/>
  <c r="D265" i="1"/>
  <c r="E265" i="1"/>
  <c r="D266" i="1"/>
  <c r="E266" i="1"/>
  <c r="D267" i="1"/>
  <c r="E267" i="1"/>
  <c r="D268" i="1"/>
  <c r="E268" i="1"/>
  <c r="D269" i="1"/>
  <c r="E269" i="1"/>
  <c r="D270" i="1"/>
  <c r="E270" i="1"/>
  <c r="D271" i="1"/>
  <c r="E271" i="1"/>
  <c r="D272" i="1"/>
  <c r="E272" i="1"/>
  <c r="D273" i="1"/>
  <c r="E273" i="1"/>
  <c r="D274" i="1"/>
  <c r="E274" i="1"/>
  <c r="D275" i="1"/>
  <c r="E275" i="1"/>
  <c r="D276" i="1"/>
  <c r="E276" i="1"/>
  <c r="D277" i="1"/>
  <c r="E277" i="1"/>
  <c r="D278" i="1"/>
  <c r="E278" i="1"/>
  <c r="D279" i="1"/>
  <c r="E279" i="1"/>
  <c r="D280" i="1"/>
  <c r="E280" i="1"/>
  <c r="D281" i="1"/>
  <c r="E281" i="1"/>
  <c r="D282" i="1"/>
  <c r="E282" i="1"/>
  <c r="D283" i="1"/>
  <c r="E283" i="1"/>
  <c r="D284" i="1"/>
  <c r="E284" i="1"/>
  <c r="D285" i="1"/>
  <c r="E285" i="1"/>
  <c r="D286" i="1"/>
  <c r="E286" i="1"/>
  <c r="D287" i="1"/>
  <c r="E287" i="1"/>
  <c r="D288" i="1"/>
  <c r="E288" i="1"/>
  <c r="D289" i="1"/>
  <c r="E289" i="1"/>
  <c r="D290" i="1"/>
  <c r="E290" i="1"/>
  <c r="D291" i="1"/>
  <c r="E291" i="1"/>
  <c r="D292" i="1"/>
  <c r="E292" i="1"/>
  <c r="D293" i="1"/>
  <c r="E293" i="1"/>
  <c r="D294" i="1"/>
  <c r="E294" i="1"/>
  <c r="D295" i="1"/>
  <c r="E295" i="1"/>
  <c r="D296" i="1"/>
  <c r="E296" i="1"/>
  <c r="D297" i="1"/>
  <c r="E297" i="1"/>
  <c r="D299" i="1"/>
  <c r="E299" i="1"/>
  <c r="D300" i="1"/>
  <c r="E300" i="1"/>
  <c r="D301" i="1"/>
  <c r="E301" i="1"/>
  <c r="D302" i="1"/>
  <c r="E302" i="1"/>
  <c r="D303" i="1"/>
  <c r="E303" i="1"/>
  <c r="D304" i="1"/>
  <c r="E304" i="1"/>
  <c r="D305" i="1"/>
  <c r="E305" i="1"/>
  <c r="D306" i="1"/>
  <c r="E306" i="1"/>
  <c r="D308" i="1"/>
  <c r="E308" i="1"/>
  <c r="D309" i="1"/>
  <c r="E309" i="1"/>
  <c r="D310" i="1"/>
  <c r="E310" i="1"/>
  <c r="D311" i="1"/>
  <c r="E311" i="1"/>
  <c r="D312" i="1"/>
  <c r="E312" i="1"/>
  <c r="D313" i="1"/>
  <c r="E313" i="1"/>
  <c r="D314" i="1"/>
  <c r="E314" i="1"/>
  <c r="D316" i="1"/>
  <c r="E316" i="1"/>
  <c r="D317" i="1"/>
  <c r="E317" i="1"/>
  <c r="D318" i="1"/>
  <c r="E318" i="1"/>
  <c r="D319" i="1"/>
  <c r="E319" i="1"/>
  <c r="D320" i="1"/>
  <c r="E320" i="1"/>
  <c r="D321" i="1"/>
  <c r="E321" i="1"/>
  <c r="D322" i="1"/>
  <c r="E322" i="1"/>
  <c r="D323" i="1"/>
  <c r="E323" i="1"/>
  <c r="D324" i="1"/>
  <c r="E324" i="1"/>
  <c r="D325" i="1"/>
  <c r="E325" i="1"/>
  <c r="D326" i="1"/>
  <c r="E326" i="1"/>
  <c r="D327" i="1"/>
  <c r="E327" i="1"/>
  <c r="D329" i="1"/>
  <c r="E329" i="1"/>
  <c r="D330" i="1"/>
  <c r="E330" i="1"/>
  <c r="D331" i="1"/>
  <c r="E331" i="1"/>
  <c r="D332" i="1"/>
  <c r="E332" i="1"/>
  <c r="D333" i="1"/>
  <c r="E333" i="1"/>
  <c r="D334" i="1"/>
  <c r="E334" i="1"/>
  <c r="D335" i="1"/>
  <c r="E335" i="1"/>
  <c r="D336" i="1"/>
  <c r="E336" i="1"/>
  <c r="D337" i="1"/>
  <c r="E337" i="1"/>
  <c r="D338" i="1"/>
  <c r="E338" i="1"/>
  <c r="D339" i="1"/>
  <c r="E339" i="1"/>
  <c r="D340" i="1"/>
  <c r="E340" i="1"/>
  <c r="D341" i="1"/>
  <c r="E341" i="1"/>
  <c r="D342" i="1"/>
  <c r="E342" i="1"/>
  <c r="D343" i="1"/>
  <c r="E343" i="1"/>
  <c r="D344" i="1"/>
  <c r="E344" i="1"/>
  <c r="D345" i="1"/>
  <c r="E345" i="1"/>
  <c r="D346" i="1"/>
  <c r="E346" i="1"/>
  <c r="D347" i="1"/>
  <c r="E347" i="1"/>
  <c r="D348" i="1"/>
  <c r="E348" i="1"/>
  <c r="D349" i="1"/>
  <c r="E349" i="1"/>
  <c r="D350" i="1"/>
  <c r="E350" i="1"/>
  <c r="D351" i="1"/>
  <c r="E351" i="1"/>
  <c r="D352" i="1"/>
  <c r="E352" i="1"/>
  <c r="D353" i="1"/>
  <c r="E353" i="1"/>
  <c r="D354" i="1"/>
  <c r="E354" i="1"/>
  <c r="D355" i="1"/>
  <c r="E355" i="1"/>
  <c r="D356" i="1"/>
  <c r="E356" i="1"/>
  <c r="D357" i="1"/>
  <c r="E357" i="1"/>
  <c r="D358" i="1"/>
  <c r="E358" i="1"/>
  <c r="D359" i="1"/>
  <c r="E359" i="1"/>
  <c r="D360" i="1"/>
  <c r="E360" i="1"/>
  <c r="D361" i="1"/>
  <c r="E361" i="1"/>
  <c r="D362" i="1"/>
  <c r="E362" i="1"/>
  <c r="D364" i="1"/>
  <c r="E364" i="1"/>
  <c r="D365" i="1"/>
  <c r="E365" i="1"/>
  <c r="D366" i="1"/>
  <c r="E366" i="1"/>
  <c r="D367" i="1"/>
  <c r="E367" i="1"/>
  <c r="D368" i="1"/>
  <c r="E368" i="1"/>
  <c r="D369" i="1"/>
  <c r="E369" i="1"/>
  <c r="D370" i="1"/>
  <c r="E370" i="1"/>
  <c r="D371" i="1"/>
  <c r="E371" i="1"/>
  <c r="D373" i="1"/>
  <c r="E373" i="1"/>
  <c r="D374" i="1"/>
  <c r="E374" i="1"/>
  <c r="D375" i="1"/>
  <c r="E375" i="1"/>
  <c r="D376" i="1"/>
  <c r="E376" i="1"/>
  <c r="D378" i="1"/>
  <c r="E378" i="1"/>
  <c r="D381" i="1"/>
  <c r="E381" i="1"/>
  <c r="D382" i="1"/>
  <c r="E382" i="1"/>
  <c r="D383" i="1"/>
  <c r="E383" i="1"/>
  <c r="D384" i="1"/>
  <c r="E384" i="1"/>
  <c r="D385" i="1"/>
  <c r="E385" i="1"/>
  <c r="D386" i="1"/>
  <c r="E386" i="1"/>
  <c r="D387" i="1"/>
  <c r="E387" i="1"/>
  <c r="D388" i="1"/>
  <c r="E388" i="1"/>
  <c r="D389" i="1"/>
  <c r="E389" i="1"/>
  <c r="D390" i="1"/>
  <c r="E390" i="1"/>
  <c r="D391" i="1"/>
  <c r="E391" i="1"/>
  <c r="D392" i="1"/>
  <c r="E392" i="1"/>
  <c r="D393" i="1"/>
  <c r="E393" i="1"/>
  <c r="D394" i="1"/>
  <c r="E394" i="1"/>
  <c r="D402" i="1"/>
  <c r="E402" i="1"/>
  <c r="D403" i="1"/>
  <c r="E403" i="1"/>
  <c r="D404" i="1"/>
  <c r="E404" i="1"/>
  <c r="D405" i="1"/>
  <c r="E405" i="1"/>
  <c r="D406" i="1"/>
  <c r="E406" i="1"/>
  <c r="D407" i="1"/>
  <c r="E407" i="1"/>
  <c r="D408" i="1"/>
  <c r="E408" i="1"/>
  <c r="D409" i="1"/>
  <c r="E409" i="1"/>
  <c r="D410" i="1"/>
  <c r="E410" i="1"/>
  <c r="D412" i="1"/>
  <c r="E412" i="1"/>
  <c r="D413" i="1"/>
  <c r="E413" i="1"/>
  <c r="D414" i="1"/>
  <c r="E414" i="1"/>
  <c r="D415" i="1"/>
  <c r="E415" i="1"/>
  <c r="D416" i="1"/>
  <c r="E416" i="1"/>
  <c r="D418" i="1"/>
  <c r="E418" i="1"/>
  <c r="D419" i="1"/>
  <c r="E419" i="1"/>
  <c r="D420" i="1"/>
  <c r="E420" i="1"/>
  <c r="D421" i="1"/>
  <c r="E421" i="1"/>
  <c r="D422" i="1"/>
  <c r="E422" i="1"/>
  <c r="D423" i="1"/>
  <c r="E423" i="1"/>
  <c r="D424" i="1"/>
  <c r="E424" i="1"/>
  <c r="D425" i="1"/>
  <c r="E425" i="1"/>
  <c r="D426" i="1"/>
  <c r="E426" i="1"/>
  <c r="D427" i="1"/>
  <c r="E427" i="1"/>
  <c r="D428" i="1"/>
  <c r="E428" i="1"/>
  <c r="D429" i="1"/>
  <c r="E429" i="1"/>
  <c r="D430" i="1"/>
  <c r="E430" i="1"/>
  <c r="D431" i="1"/>
  <c r="E431" i="1"/>
  <c r="D432" i="1"/>
  <c r="E432" i="1"/>
  <c r="D433" i="1"/>
  <c r="E433" i="1"/>
  <c r="D434" i="1"/>
  <c r="E434" i="1"/>
  <c r="D435" i="1"/>
  <c r="E435" i="1"/>
  <c r="D436" i="1"/>
  <c r="E436" i="1"/>
  <c r="D437" i="1"/>
  <c r="E437" i="1"/>
  <c r="D438" i="1"/>
  <c r="E438" i="1"/>
  <c r="D439" i="1"/>
  <c r="E439" i="1"/>
  <c r="D440" i="1"/>
  <c r="E440" i="1"/>
  <c r="D441" i="1"/>
  <c r="E441" i="1"/>
  <c r="D442" i="1"/>
  <c r="E442" i="1"/>
  <c r="D443" i="1"/>
  <c r="E443" i="1"/>
  <c r="D444" i="1"/>
  <c r="E444" i="1"/>
  <c r="D445" i="1"/>
  <c r="E445" i="1"/>
  <c r="D446" i="1"/>
  <c r="E446" i="1"/>
  <c r="D447" i="1"/>
  <c r="E447" i="1"/>
  <c r="D449" i="1"/>
  <c r="E449" i="1"/>
  <c r="D450" i="1"/>
  <c r="E450" i="1"/>
  <c r="D451" i="1"/>
  <c r="E451" i="1"/>
  <c r="D452" i="1"/>
  <c r="E452" i="1"/>
  <c r="D453" i="1"/>
  <c r="E453" i="1"/>
  <c r="D454" i="1"/>
  <c r="E454" i="1"/>
  <c r="D456" i="1"/>
  <c r="E456" i="1"/>
  <c r="D457" i="1"/>
  <c r="E457" i="1"/>
  <c r="D458" i="1"/>
  <c r="E458" i="1"/>
  <c r="D459" i="1"/>
  <c r="E459" i="1"/>
  <c r="D460" i="1"/>
  <c r="E460" i="1"/>
  <c r="D461" i="1"/>
  <c r="E461" i="1"/>
  <c r="D462" i="1"/>
  <c r="E462" i="1"/>
  <c r="D463" i="1"/>
  <c r="E463" i="1"/>
  <c r="D464" i="1"/>
  <c r="E464" i="1"/>
  <c r="D465" i="1"/>
  <c r="E465" i="1"/>
  <c r="D466" i="1"/>
  <c r="E466" i="1"/>
  <c r="D467" i="1"/>
  <c r="E467" i="1"/>
  <c r="D468" i="1"/>
  <c r="E468" i="1"/>
  <c r="D469" i="1"/>
  <c r="E469" i="1"/>
  <c r="D470" i="1"/>
  <c r="E470" i="1"/>
  <c r="D471" i="1"/>
  <c r="E471" i="1"/>
  <c r="D472" i="1"/>
  <c r="E472" i="1"/>
  <c r="D473" i="1"/>
  <c r="E473" i="1"/>
  <c r="D474" i="1"/>
  <c r="E474" i="1"/>
  <c r="D475" i="1"/>
  <c r="E475" i="1"/>
  <c r="D476" i="1"/>
  <c r="E476" i="1"/>
  <c r="D477" i="1"/>
  <c r="E477" i="1"/>
  <c r="D478" i="1"/>
  <c r="E478" i="1"/>
  <c r="D479" i="1"/>
  <c r="E479" i="1"/>
  <c r="D480" i="1"/>
  <c r="E480" i="1"/>
  <c r="D481" i="1"/>
  <c r="E481" i="1"/>
  <c r="D482" i="1"/>
  <c r="E482" i="1"/>
  <c r="D483" i="1"/>
  <c r="E483" i="1"/>
  <c r="D484" i="1"/>
  <c r="E484" i="1"/>
  <c r="D485" i="1"/>
  <c r="E485" i="1"/>
  <c r="D486" i="1"/>
  <c r="E486" i="1"/>
  <c r="D487" i="1"/>
  <c r="E487" i="1"/>
  <c r="D488" i="1"/>
  <c r="E488" i="1"/>
  <c r="D489" i="1"/>
  <c r="E489" i="1"/>
  <c r="D490" i="1"/>
  <c r="E490" i="1"/>
  <c r="D491" i="1"/>
  <c r="E491" i="1"/>
  <c r="D492" i="1"/>
  <c r="E492" i="1"/>
  <c r="D493" i="1"/>
  <c r="E493" i="1"/>
  <c r="D494" i="1"/>
  <c r="E494" i="1"/>
  <c r="D495" i="1"/>
  <c r="E495" i="1"/>
  <c r="D496" i="1"/>
  <c r="E496" i="1"/>
  <c r="D497" i="1"/>
  <c r="E497" i="1"/>
  <c r="D498" i="1"/>
  <c r="E498" i="1"/>
  <c r="D499" i="1"/>
  <c r="E499" i="1"/>
  <c r="D500" i="1"/>
  <c r="E500" i="1"/>
  <c r="D501" i="1"/>
  <c r="E501" i="1"/>
  <c r="D502" i="1"/>
  <c r="E502" i="1"/>
  <c r="D503" i="1"/>
  <c r="E503" i="1"/>
  <c r="D504" i="1"/>
  <c r="E504" i="1"/>
  <c r="D505" i="1"/>
  <c r="E505" i="1"/>
  <c r="D506" i="1"/>
  <c r="E506" i="1"/>
  <c r="D507" i="1"/>
  <c r="E507" i="1"/>
  <c r="D508" i="1"/>
  <c r="E508" i="1"/>
  <c r="D509" i="1"/>
  <c r="E509" i="1"/>
  <c r="D510" i="1"/>
  <c r="E510" i="1"/>
  <c r="D511" i="1"/>
  <c r="E511" i="1"/>
  <c r="D512" i="1"/>
  <c r="E512" i="1"/>
  <c r="D513" i="1"/>
  <c r="E513" i="1"/>
  <c r="D514" i="1"/>
  <c r="E514" i="1"/>
  <c r="D515" i="1"/>
  <c r="E515" i="1"/>
  <c r="D516" i="1"/>
  <c r="E516" i="1"/>
  <c r="D517" i="1"/>
  <c r="E517" i="1"/>
  <c r="D518" i="1"/>
  <c r="E518" i="1"/>
  <c r="D519" i="1"/>
  <c r="E519" i="1"/>
  <c r="D520" i="1"/>
  <c r="E520" i="1"/>
  <c r="D521" i="1"/>
  <c r="E521" i="1"/>
  <c r="D522" i="1"/>
  <c r="E522" i="1"/>
  <c r="D523" i="1"/>
  <c r="E523" i="1"/>
  <c r="D524" i="1"/>
  <c r="E524" i="1"/>
  <c r="D525" i="1"/>
  <c r="E525" i="1"/>
  <c r="D526" i="1"/>
  <c r="E526" i="1"/>
  <c r="D527" i="1"/>
  <c r="E527" i="1"/>
  <c r="D528" i="1"/>
  <c r="E528" i="1"/>
  <c r="D529" i="1"/>
  <c r="E529" i="1"/>
  <c r="D530" i="1"/>
  <c r="E530" i="1"/>
  <c r="D531" i="1"/>
  <c r="E531" i="1"/>
  <c r="D532" i="1"/>
  <c r="E532" i="1"/>
  <c r="D533" i="1"/>
  <c r="E533" i="1"/>
  <c r="D534" i="1"/>
  <c r="E534" i="1"/>
  <c r="D535" i="1"/>
  <c r="E535" i="1"/>
  <c r="D536" i="1"/>
  <c r="E536" i="1"/>
  <c r="D537" i="1"/>
  <c r="E537" i="1"/>
  <c r="D538" i="1"/>
  <c r="E538" i="1"/>
  <c r="D540" i="1"/>
  <c r="E540" i="1"/>
  <c r="D541" i="1"/>
  <c r="E541" i="1"/>
  <c r="D542" i="1"/>
  <c r="E542" i="1"/>
  <c r="D543" i="1"/>
  <c r="E543" i="1"/>
  <c r="D544" i="1"/>
  <c r="E544" i="1"/>
  <c r="D545" i="1"/>
  <c r="E545" i="1"/>
  <c r="D546" i="1"/>
  <c r="E546" i="1"/>
  <c r="D547" i="1"/>
  <c r="E547" i="1"/>
  <c r="D548" i="1"/>
  <c r="E548" i="1"/>
  <c r="D549" i="1"/>
  <c r="E549" i="1"/>
  <c r="D550" i="1"/>
  <c r="E550" i="1"/>
  <c r="D551" i="1"/>
  <c r="E551" i="1"/>
  <c r="D552" i="1"/>
  <c r="E552" i="1"/>
  <c r="D553" i="1"/>
  <c r="E553" i="1"/>
  <c r="D3" i="1"/>
  <c r="E3" i="1"/>
  <c r="D564" i="1"/>
  <c r="E564" i="1"/>
  <c r="D566" i="1"/>
  <c r="E566" i="1"/>
  <c r="D567" i="1"/>
  <c r="E567" i="1"/>
  <c r="D568" i="1"/>
  <c r="E568" i="1"/>
  <c r="D569" i="1"/>
  <c r="E569" i="1"/>
  <c r="D570" i="1"/>
  <c r="E570" i="1"/>
  <c r="D571" i="1"/>
  <c r="E571" i="1"/>
  <c r="D572" i="1"/>
  <c r="E572" i="1"/>
  <c r="D573" i="1"/>
  <c r="E573" i="1"/>
  <c r="D574" i="1"/>
  <c r="E574" i="1"/>
  <c r="D575" i="1"/>
  <c r="E575" i="1"/>
  <c r="D576" i="1"/>
  <c r="E576" i="1"/>
  <c r="D577" i="1"/>
  <c r="E577" i="1"/>
  <c r="D579" i="1"/>
  <c r="E579" i="1"/>
  <c r="D580" i="1"/>
  <c r="E580" i="1"/>
  <c r="D581" i="1"/>
  <c r="E581" i="1"/>
  <c r="D582" i="1"/>
  <c r="E582" i="1"/>
  <c r="D583" i="1"/>
  <c r="E583" i="1"/>
  <c r="D584" i="1"/>
  <c r="E584" i="1"/>
  <c r="D585" i="1"/>
  <c r="E585" i="1"/>
  <c r="D586" i="1"/>
  <c r="E586" i="1"/>
  <c r="D587" i="1"/>
  <c r="E587" i="1"/>
  <c r="D588" i="1"/>
  <c r="E588" i="1"/>
  <c r="D589" i="1"/>
  <c r="E589" i="1"/>
  <c r="D590" i="1"/>
  <c r="E590" i="1"/>
  <c r="D591" i="1"/>
  <c r="E591" i="1"/>
  <c r="D592" i="1"/>
  <c r="E592" i="1"/>
  <c r="D593" i="1"/>
  <c r="E593" i="1"/>
  <c r="D596" i="1"/>
  <c r="E596" i="1"/>
  <c r="D597" i="1"/>
  <c r="E597" i="1"/>
  <c r="D599" i="1"/>
  <c r="E599" i="1"/>
  <c r="D600" i="1"/>
  <c r="E600" i="1"/>
  <c r="D601" i="1"/>
  <c r="E601" i="1"/>
  <c r="D602" i="1"/>
  <c r="E602" i="1"/>
  <c r="D603" i="1"/>
  <c r="E603" i="1"/>
  <c r="D604" i="1"/>
  <c r="D605" i="1"/>
  <c r="E605" i="1"/>
  <c r="D606" i="1"/>
  <c r="E606" i="1"/>
  <c r="D607" i="1"/>
  <c r="E607" i="1"/>
  <c r="D608" i="1"/>
  <c r="E608" i="1"/>
  <c r="D609" i="1"/>
  <c r="E609" i="1"/>
  <c r="D610" i="1"/>
  <c r="E610" i="1"/>
  <c r="D611" i="1"/>
  <c r="E611" i="1"/>
  <c r="D612" i="1"/>
  <c r="E612" i="1"/>
  <c r="D613" i="1"/>
  <c r="E613" i="1"/>
  <c r="D614" i="1"/>
  <c r="E614" i="1"/>
  <c r="D615" i="1"/>
  <c r="E615" i="1"/>
  <c r="D616" i="1"/>
  <c r="E616" i="1"/>
  <c r="D617" i="1"/>
  <c r="E617" i="1"/>
  <c r="D618" i="1"/>
  <c r="E618" i="1"/>
  <c r="D619" i="1"/>
  <c r="E619" i="1"/>
  <c r="D620" i="1"/>
  <c r="E620" i="1"/>
  <c r="D621" i="1"/>
  <c r="E621" i="1"/>
  <c r="D622" i="1"/>
  <c r="E622" i="1"/>
  <c r="D623" i="1"/>
  <c r="E623" i="1"/>
  <c r="D624" i="1"/>
  <c r="E624" i="1"/>
  <c r="D625" i="1"/>
  <c r="E625" i="1"/>
  <c r="D627" i="1"/>
  <c r="E627" i="1"/>
  <c r="D629" i="1"/>
  <c r="E629" i="1"/>
  <c r="D630" i="1"/>
  <c r="E630" i="1"/>
  <c r="D631" i="1"/>
  <c r="E631" i="1"/>
  <c r="D633" i="1"/>
  <c r="E633" i="1"/>
  <c r="D637" i="1"/>
  <c r="E637" i="1"/>
  <c r="D638" i="1"/>
  <c r="E638" i="1"/>
  <c r="D640" i="1"/>
  <c r="E640" i="1"/>
  <c r="D641" i="1"/>
  <c r="E641" i="1"/>
  <c r="D642" i="1"/>
  <c r="E642" i="1"/>
  <c r="D643" i="1"/>
  <c r="E643" i="1"/>
  <c r="D644" i="1"/>
  <c r="E644" i="1"/>
  <c r="D645" i="1"/>
  <c r="E645" i="1"/>
  <c r="D646" i="1"/>
  <c r="E646" i="1"/>
  <c r="E6" i="1"/>
  <c r="D6" i="1"/>
  <c r="G2" i="2" a="1"/>
  <c r="G2"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Stephen Richard</author>
  </authors>
  <commentList>
    <comment ref="D1" authorId="0" shapeId="0" xr:uid="{A0A3F315-5B13-4766-A539-F1023AAC8EAB}">
      <text>
        <r>
          <rPr>
            <b/>
            <sz val="11"/>
            <color indexed="81"/>
            <rFont val="Tahoma"/>
            <family val="2"/>
          </rPr>
          <t>Stephen Richard:</t>
        </r>
        <r>
          <rPr>
            <sz val="11"/>
            <color indexed="81"/>
            <rFont val="Tahoma"/>
            <family val="2"/>
          </rPr>
          <t xml:space="preserve">
=IFERROR(INDEX([Sampling_method_vocab.xlsx]SamplingMethod!$A$2:$C$156,MATCH(B3,[Sampling_method_vocab.xlsx]SamplingMethod!$C$2:$C$156,FALSE),1),"")
</t>
        </r>
      </text>
    </comment>
    <comment ref="A36" authorId="0" shapeId="0" xr:uid="{B2F27306-5750-40C4-8F0C-E6A83422BC53}">
      <text>
        <r>
          <rPr>
            <b/>
            <sz val="11"/>
            <color indexed="81"/>
            <rFont val="Tahoma"/>
            <family val="2"/>
          </rPr>
          <t>Stephen Richard:</t>
        </r>
        <r>
          <rPr>
            <sz val="11"/>
            <color indexed="81"/>
            <rFont val="Tahoma"/>
            <family val="2"/>
          </rPr>
          <t xml:space="preserve">
chemical abrasion-isotope dilution-thermal ionization mass spectrometry (CA-ID-TIMS)</t>
        </r>
      </text>
    </comment>
    <comment ref="A191" authorId="0" shapeId="0" xr:uid="{4EE2CA31-677A-4C43-B58D-C52BFB51223A}">
      <text>
        <r>
          <rPr>
            <b/>
            <sz val="11"/>
            <color indexed="81"/>
            <rFont val="Tahoma"/>
            <family val="2"/>
          </rPr>
          <t>Stephen Richard:</t>
        </r>
        <r>
          <rPr>
            <sz val="11"/>
            <color indexed="81"/>
            <rFont val="Tahoma"/>
            <family val="2"/>
          </rPr>
          <t xml:space="preserve">
https://oceanexplorer.noaa.gov/facts/ctd.html
Conductivity, Temperature, and Depth, and refers to a package of electronic instruments that measure these properties. Often, CTDs are attached to a much larger metal frame called a rosette, which may hold water-sampling bottles that are used to collect water at different depths, as well as other sensors that can measure additional physical or chemical properties.</t>
        </r>
      </text>
    </comment>
    <comment ref="A342" authorId="0" shapeId="0" xr:uid="{F60432D4-8A9F-4ABA-8616-05EA8548C7A0}">
      <text>
        <r>
          <rPr>
            <b/>
            <sz val="11"/>
            <color indexed="81"/>
            <rFont val="Tahoma"/>
            <family val="2"/>
          </rPr>
          <t>Stephen Richard:</t>
        </r>
        <r>
          <rPr>
            <sz val="11"/>
            <color indexed="81"/>
            <rFont val="Tahoma"/>
            <family val="2"/>
          </rPr>
          <t xml:space="preserve">
LA-ICP-MS (Laser Ablation Inductively Coupled Plasma Mass Spectrometry)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tc={D2AB94BB-B2D8-4C23-9FB0-183BDF470699}</author>
    <author>tc={26A5164B-296B-4FAC-A1B9-B28A198E859B}</author>
  </authors>
  <commentList>
    <comment ref="F32" authorId="0" shapeId="0" xr:uid="{D2AB94BB-B2D8-4C23-9FB0-183BDF470699}">
      <text>
        <t>[Threaded comment]
Your version of Excel allows you to read this threaded comment; however, any edits to it will get removed if the file is opened in a newer version of Excel. Learn more: https://go.microsoft.com/fwlink/?linkid=870924
Comment:
    Vocab tab content converted to SKOS and ;merged with Geoscience Australia collection methods, with some input from SeaDataNet collection methods</t>
      </text>
    </comment>
    <comment ref="C42" authorId="1" shapeId="0" xr:uid="{26A5164B-296B-4FAC-A1B9-B28A198E859B}">
      <text>
        <t>[Threaded comment]
Your version of Excel allows you to read this threaded comment; however, any edits to it will get removed if the file is opened in a newer version of Excel. Learn more: https://go.microsoft.com/fwlink/?linkid=870924
Comment:
    File based on CGI GTWG sampling method draft (~2013), updated for Minerva Mine match project 2020</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B4A68A0-E95C-4BE5-A52B-208057BABB56}" keepAlive="1" name="Query - collectionMethodDistinct" description="Connection to the 'collectionMethodDistinct' query in the workbook." type="5" refreshedVersion="8" background="1" saveData="1">
    <dbPr connection="Provider=Microsoft.Mashup.OleDb.1;Data Source=$Workbook$;Location=collectionMethodDistinct;Extended Properties=&quot;&quot;" command="SELECT * FROM [collectionMethodDistinc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<sst xmlns="http://schemas.openxmlformats.org/spreadsheetml/2006/main" count="2582" uniqueCount="971">
  <si>
    <t>collection_method</t>
  </si>
  <si>
    <t>redux</t>
  </si>
  <si>
    <t>Agassiz trawl</t>
  </si>
  <si>
    <t>&gt;2 mm size fraction</t>
  </si>
  <si>
    <t>ALVIN grab</t>
  </si>
  <si>
    <t>&gt;38 um size fraction</t>
  </si>
  <si>
    <t>Backhoe</t>
  </si>
  <si>
    <t>&gt;63 um size fraction</t>
  </si>
  <si>
    <t>Beam Trawl</t>
  </si>
  <si>
    <t>Blake Trawl</t>
  </si>
  <si>
    <t>Box corer</t>
  </si>
  <si>
    <t>Campbell Grab</t>
  </si>
  <si>
    <t>0.8/0.2 micron cartridge filter (AcroPak)</t>
  </si>
  <si>
    <t>Chain saw</t>
  </si>
  <si>
    <t>0.8/0.2 micron cartridge filter (AcroPak), no preservative</t>
  </si>
  <si>
    <t>core catcher</t>
  </si>
  <si>
    <t>2-inch diameter hand corer</t>
  </si>
  <si>
    <t>Core&gt;Syringe</t>
  </si>
  <si>
    <t>2mm sieved soil sample, quartered, ground and homogenized in an agate mill.</t>
  </si>
  <si>
    <t>Crab Trap</t>
  </si>
  <si>
    <t>4 inch hand auger</t>
  </si>
  <si>
    <t>Dredging</t>
  </si>
  <si>
    <t>gas tight bottle</t>
  </si>
  <si>
    <t>Alvin</t>
  </si>
  <si>
    <t>Ghostbuster fluid sampler</t>
  </si>
  <si>
    <t>Aquatic Instruments Universal Corer</t>
  </si>
  <si>
    <t>Auger</t>
  </si>
  <si>
    <t>augered soil core</t>
  </si>
  <si>
    <t>Backhoe or by hand</t>
  </si>
  <si>
    <t>Jumbo Piston Corer</t>
  </si>
  <si>
    <t>Jumbo Trigger Corer</t>
  </si>
  <si>
    <t>Big Bertha</t>
  </si>
  <si>
    <t>Kasten Corer</t>
  </si>
  <si>
    <t>Menzie Trawl</t>
  </si>
  <si>
    <t>Blake Trawl/Menzie Trawl</t>
  </si>
  <si>
    <t>Micropillar Compression</t>
  </si>
  <si>
    <t>Blake Trawl/Menzies Trawl</t>
  </si>
  <si>
    <t>Niskin Water Sampler</t>
  </si>
  <si>
    <t>Blasting</t>
  </si>
  <si>
    <t>scoop</t>
  </si>
  <si>
    <t>borosilicate glass bottle, 0.8/0.2 micron cartridge filter (AcroPak), HgCl2 preservative</t>
  </si>
  <si>
    <t>Settlement Plate</t>
  </si>
  <si>
    <t>Shaker table</t>
  </si>
  <si>
    <t>Bulk Sample</t>
  </si>
  <si>
    <t>shovel</t>
  </si>
  <si>
    <t>CA-IDTIMS</t>
  </si>
  <si>
    <t>Camera Grab</t>
  </si>
  <si>
    <t>Camera Grab/Blake Trawl</t>
  </si>
  <si>
    <t>Suction Sampler</t>
  </si>
  <si>
    <t>Camera Sled</t>
  </si>
  <si>
    <t>Vibrating Corer</t>
  </si>
  <si>
    <t>Camera SledCamera tow</t>
  </si>
  <si>
    <t>Wax Corer</t>
  </si>
  <si>
    <t>Camera tow</t>
  </si>
  <si>
    <t>Camera&gt;Yoyo</t>
  </si>
  <si>
    <t>Ceramic Cup</t>
  </si>
  <si>
    <t>CeramicCup</t>
  </si>
  <si>
    <t>ChainBagDredge, Sediment Trap</t>
  </si>
  <si>
    <t>Chainsaw</t>
  </si>
  <si>
    <t>Chain-saw</t>
  </si>
  <si>
    <t>channel through entire stratum or layer</t>
  </si>
  <si>
    <t>chip sample</t>
  </si>
  <si>
    <t>Collected from outcrop (hammer)</t>
  </si>
  <si>
    <t>Collected from river bed</t>
  </si>
  <si>
    <t>Collected from scree below outcrop</t>
  </si>
  <si>
    <t>Collected from trench</t>
  </si>
  <si>
    <t>Collected in situ 2.5 months after eruption</t>
  </si>
  <si>
    <t>Collected in situ during explosive eruption</t>
  </si>
  <si>
    <t>Collected with clean scupula</t>
  </si>
  <si>
    <t>core</t>
  </si>
  <si>
    <t>Core</t>
  </si>
  <si>
    <t>Core collected during well installation</t>
  </si>
  <si>
    <t>core, gravity</t>
  </si>
  <si>
    <t>Core&gt;Wax</t>
  </si>
  <si>
    <t>Corer - camera mounted</t>
  </si>
  <si>
    <t>Corer - submersible mounted</t>
  </si>
  <si>
    <t>Corer &gt; Syringe</t>
  </si>
  <si>
    <t>Corer&gt;auger corer</t>
  </si>
  <si>
    <t>Corer&gt;slide hammer corer</t>
  </si>
  <si>
    <t>Corer&gt;VibratingCorer</t>
  </si>
  <si>
    <t>CorerCoring&gt;DrillCorer</t>
  </si>
  <si>
    <t>coring</t>
  </si>
  <si>
    <t>Coring</t>
  </si>
  <si>
    <t>Coring - Jumbo Piston Core</t>
  </si>
  <si>
    <t>Coring - Jumbo Piston Corer</t>
  </si>
  <si>
    <t>Coring - Jumbo Trigger Core</t>
  </si>
  <si>
    <t>Coring - Jumbo Trigger Corer</t>
  </si>
  <si>
    <t>Coring - Kasten Core</t>
  </si>
  <si>
    <t>Coring - Kasten Corer</t>
  </si>
  <si>
    <t>Coring - Mulit Core</t>
  </si>
  <si>
    <t>Coring - Multi Core</t>
  </si>
  <si>
    <t>Coring - Phleger</t>
  </si>
  <si>
    <t>Coring - Phleger Core</t>
  </si>
  <si>
    <t xml:space="preserve">Coring - Phleger Core </t>
  </si>
  <si>
    <t>Coring - Phleger Corec</t>
  </si>
  <si>
    <t>Coring - Piston Core</t>
  </si>
  <si>
    <t>Coring - Piston Corer</t>
  </si>
  <si>
    <t>Coring - Push Core</t>
  </si>
  <si>
    <t>Coring - Trigger Core</t>
  </si>
  <si>
    <t>Coring - Trigger Corer</t>
  </si>
  <si>
    <t>Coring &gt; Push Corer</t>
  </si>
  <si>
    <t>Coring &gt; Syringe</t>
  </si>
  <si>
    <t>Coring&gt;</t>
  </si>
  <si>
    <t>Coring&gt; HandHeldCorer</t>
  </si>
  <si>
    <t>Coring&gt; Jumbo Piston Core</t>
  </si>
  <si>
    <t>Coring&gt; Jumbo Piston Corer</t>
  </si>
  <si>
    <t>Coring&gt; Jumbo Trigger Core</t>
  </si>
  <si>
    <t>Coring&gt; Jumbo Trigger Corer</t>
  </si>
  <si>
    <t>Coring&gt; Mulit Core</t>
  </si>
  <si>
    <t>Coring&gt; Multi Core</t>
  </si>
  <si>
    <t>Coring&gt; Phleger Core</t>
  </si>
  <si>
    <t>Coring&gt; Piston Core</t>
  </si>
  <si>
    <t>Coring&gt; Piston Corer</t>
  </si>
  <si>
    <t>Coring&gt; Push Core</t>
  </si>
  <si>
    <t>Coring&gt; Trigger Core</t>
  </si>
  <si>
    <t>Coring&gt; TriggerCorer</t>
  </si>
  <si>
    <t>Coring&gt;BoxCore</t>
  </si>
  <si>
    <t>Coring&gt;BoxCorer</t>
  </si>
  <si>
    <t>Coring&gt;BucketAuger</t>
  </si>
  <si>
    <t>Coring&gt;CameraMounted</t>
  </si>
  <si>
    <t>Coring&gt;CameraMountedCorer</t>
  </si>
  <si>
    <t>Coring&gt;CoreBarrel&gt;Extended</t>
  </si>
  <si>
    <t>Coring&gt;Drill</t>
  </si>
  <si>
    <t>Coring&gt;DrillCorer</t>
  </si>
  <si>
    <t>Coring&gt;DrillCorer&gt;HandHeldCorer</t>
  </si>
  <si>
    <t>Coring&gt;FreeFallCorer</t>
  </si>
  <si>
    <t>Coring&gt;Geoprobe</t>
  </si>
  <si>
    <t>Coring&gt;Giant Gravity Core</t>
  </si>
  <si>
    <t>Coring&gt;gravity core</t>
  </si>
  <si>
    <t>Coring&gt;Gravity Core</t>
  </si>
  <si>
    <t>Coring&gt;Gravity Corer</t>
  </si>
  <si>
    <t>Coring&gt;Gravity corer (Kiel type) (SL)</t>
  </si>
  <si>
    <t>Coring&gt;GravityCorer</t>
  </si>
  <si>
    <t xml:space="preserve">Coring&gt;GravityCorer </t>
  </si>
  <si>
    <t>Coring&gt;GravityCorer and Rhizon</t>
  </si>
  <si>
    <t>Coring&gt;GravityCorer&gt;Giant</t>
  </si>
  <si>
    <t>Coring&gt;GravityCorer&gt;Pilot</t>
  </si>
  <si>
    <t>Coring&gt;HandHeldCore</t>
  </si>
  <si>
    <t>Coring&gt;HandHeldCorer</t>
  </si>
  <si>
    <t>Coring&gt;Jumbo Gravity Core</t>
  </si>
  <si>
    <t>Coring&gt;Jumbo Piston Core</t>
  </si>
  <si>
    <t>Coring&gt;Jumbo Trigger Core</t>
  </si>
  <si>
    <t>Coring&gt;JumboGravityCorer</t>
  </si>
  <si>
    <t>Coring&gt;JumboKastenCorer</t>
  </si>
  <si>
    <t>Coring&gt;JumboPistonCore</t>
  </si>
  <si>
    <t>Coring&gt;JumboPistonCorer</t>
  </si>
  <si>
    <t>Coring&gt;JumboTriggerCore</t>
  </si>
  <si>
    <t>Coring&gt;JumboTriggerCorer</t>
  </si>
  <si>
    <t>Coring&gt;Kasten Core</t>
  </si>
  <si>
    <t>Coring&gt;KastenCorer</t>
  </si>
  <si>
    <t>Coring&gt;KastenlotCorer</t>
  </si>
  <si>
    <t>Coring&gt;Megacore</t>
  </si>
  <si>
    <t>Coring&gt;Multicore</t>
  </si>
  <si>
    <t>Coring&gt;Multicorer</t>
  </si>
  <si>
    <t>Coring&gt;MultiCorer</t>
  </si>
  <si>
    <t>Coring&gt;MultiCorer core</t>
  </si>
  <si>
    <t>Coring&gt;PercussionCorer</t>
  </si>
  <si>
    <t>Coring&gt;Phleger</t>
  </si>
  <si>
    <t>Coring&gt;Phleger Core</t>
  </si>
  <si>
    <t>Coring&gt;Phleger Corec</t>
  </si>
  <si>
    <t>Coring&gt;PhlegerCore</t>
  </si>
  <si>
    <t>Coring&gt;PhlegerCorer</t>
  </si>
  <si>
    <t>Coring&gt;Piston Core</t>
  </si>
  <si>
    <t>Coring&gt;Piston corer</t>
  </si>
  <si>
    <t>Coring&gt;PistonCore</t>
  </si>
  <si>
    <t>Coring&gt;PistonCorer</t>
  </si>
  <si>
    <t>Coring&gt;PistonCorer&gt;Giant</t>
  </si>
  <si>
    <t>Coring&gt;PistonCorer&gt;Jumbo</t>
  </si>
  <si>
    <t>Coring&gt;PistonCoring</t>
  </si>
  <si>
    <t>Coring&gt;PistonPushCorer</t>
  </si>
  <si>
    <t>Coring&gt;PushCorer</t>
  </si>
  <si>
    <t>Coring&gt;RockCorer</t>
  </si>
  <si>
    <t>Coring&gt;ShortKastenCorer</t>
  </si>
  <si>
    <t>Coring&gt;SideSaddleCorer</t>
  </si>
  <si>
    <t>Coring&gt;SubmersibleMountedCorer</t>
  </si>
  <si>
    <t>coring&gt;Trigger Core</t>
  </si>
  <si>
    <t>Coring&gt;Trigger Core</t>
  </si>
  <si>
    <t>Coring&gt;TriggerCore</t>
  </si>
  <si>
    <t>Coring&gt;TriggerCore&gt;Giant</t>
  </si>
  <si>
    <t>Coring&gt;Triggercorer</t>
  </si>
  <si>
    <t>Coring&gt;TriggerCorer</t>
  </si>
  <si>
    <t>Coring&gt;TriggerCorer&gt;Giant</t>
  </si>
  <si>
    <t>Coring&gt;TriggerCorerr</t>
  </si>
  <si>
    <t>Coring&gt;TriggerGravityCorer</t>
  </si>
  <si>
    <t>Coring&gt;TriggerWeight</t>
  </si>
  <si>
    <t>Coring&gt;TriggerWeightCorer</t>
  </si>
  <si>
    <t>Coring&gt;Vibracore</t>
  </si>
  <si>
    <t>Coring&gt;VibraCorer</t>
  </si>
  <si>
    <t>Coring&gt;VibratingCorer</t>
  </si>
  <si>
    <t>CORING&gt;VIBRATINGCORER</t>
  </si>
  <si>
    <t>Coring&gt;WaxCorer</t>
  </si>
  <si>
    <t>CTD</t>
  </si>
  <si>
    <t>Cut and removed with spatula</t>
  </si>
  <si>
    <t>Cut from American Museum of Natural History Mineral Collection # 100242</t>
  </si>
  <si>
    <t>David's collection \ testing escapable chars."</t>
  </si>
  <si>
    <t>Deep ice core</t>
  </si>
  <si>
    <t>DEEP LAKE DRILLING SYSTEM using Hydraulic Piston Corer (HPC), Extended shoe, non-rotating (EXN), Extended core bit, rotating (XCB)</t>
  </si>
  <si>
    <t>Density Coreing Device</t>
  </si>
  <si>
    <t>Depth-integrated</t>
  </si>
  <si>
    <t>diamond bit wireline coring</t>
  </si>
  <si>
    <t>Dietz grab</t>
  </si>
  <si>
    <t xml:space="preserve">dig from pit </t>
  </si>
  <si>
    <t>Dilling</t>
  </si>
  <si>
    <t>Direct from tephra deposit</t>
  </si>
  <si>
    <t>Direct push drill</t>
  </si>
  <si>
    <t>dredge</t>
  </si>
  <si>
    <t>Dredge</t>
  </si>
  <si>
    <t>dredging</t>
  </si>
  <si>
    <t>Dredging; Manual</t>
  </si>
  <si>
    <t>Dredging&gt;Chain Bag</t>
  </si>
  <si>
    <t>Dredging&gt;ChainBagDredge</t>
  </si>
  <si>
    <t>dregde</t>
  </si>
  <si>
    <t>Drill</t>
  </si>
  <si>
    <t>drill core</t>
  </si>
  <si>
    <t>Drill core</t>
  </si>
  <si>
    <t>Drill Core</t>
  </si>
  <si>
    <t>drill corer</t>
  </si>
  <si>
    <t>drill coring</t>
  </si>
  <si>
    <t>drilling</t>
  </si>
  <si>
    <t>Drilling</t>
  </si>
  <si>
    <t>Drilling - Extended Core Barrel</t>
  </si>
  <si>
    <t>drilling, hammer</t>
  </si>
  <si>
    <t>drilling, saw</t>
  </si>
  <si>
    <t>drilling, spoon</t>
  </si>
  <si>
    <t>Drilling-extended core barrel</t>
  </si>
  <si>
    <t>Dry Drill</t>
  </si>
  <si>
    <t xml:space="preserve">Dry Drill </t>
  </si>
  <si>
    <t>dug</t>
  </si>
  <si>
    <t>Dug pit with shovel, then scraped thin (~10cm) layers of ash from top down into bags</t>
  </si>
  <si>
    <t>Engine Strainer</t>
  </si>
  <si>
    <t>Epi-Benthic</t>
  </si>
  <si>
    <t>excavation</t>
  </si>
  <si>
    <t>Excised branch</t>
  </si>
  <si>
    <t>Experimental Apparatus</t>
  </si>
  <si>
    <t>External detector</t>
  </si>
  <si>
    <t>Field</t>
  </si>
  <si>
    <t>field collected</t>
  </si>
  <si>
    <t>field geoloogy</t>
  </si>
  <si>
    <t>field sampling</t>
  </si>
  <si>
    <t>Field sampling</t>
  </si>
  <si>
    <t>Filled in laboratory</t>
  </si>
  <si>
    <t>Fog wets plastic sheet</t>
  </si>
  <si>
    <t>Fog wets plastic web</t>
  </si>
  <si>
    <t>Fontainebleau quarry</t>
  </si>
  <si>
    <t>From Handpump</t>
  </si>
  <si>
    <t>Fumarole, manual</t>
  </si>
  <si>
    <t>G</t>
  </si>
  <si>
    <t>Gas-tight Water Sampler</t>
  </si>
  <si>
    <t>Geological hammer</t>
  </si>
  <si>
    <t>Geoprobe 8140 LS</t>
  </si>
  <si>
    <t>Gildehaus quarry</t>
  </si>
  <si>
    <t>grab</t>
  </si>
  <si>
    <t>Grab</t>
  </si>
  <si>
    <t xml:space="preserve">Grab </t>
  </si>
  <si>
    <t>Grab or Hammering</t>
  </si>
  <si>
    <t>Grab Sample</t>
  </si>
  <si>
    <t>grab sample of top few cm of sediment</t>
  </si>
  <si>
    <t>Grab sample&gt;MQ dispenser</t>
  </si>
  <si>
    <t>Grab sampler</t>
  </si>
  <si>
    <t>grab, 0.22 micron filtered</t>
  </si>
  <si>
    <t>grab, 0.8/0.2 micron filtered</t>
  </si>
  <si>
    <t>Grab&gt;HOV</t>
  </si>
  <si>
    <t>Grab&gt;Rov</t>
  </si>
  <si>
    <t>Grab&gt;ROV</t>
  </si>
  <si>
    <t xml:space="preserve">Grab&gt;ROV </t>
  </si>
  <si>
    <t>grab&gt;shovel</t>
  </si>
  <si>
    <t>Grab&gt;SMG</t>
  </si>
  <si>
    <t>Gravity Core</t>
  </si>
  <si>
    <t>gravity corer</t>
  </si>
  <si>
    <t>Gravity corer</t>
  </si>
  <si>
    <t>Gravity Corer</t>
  </si>
  <si>
    <t>Gravity corer pilot</t>
  </si>
  <si>
    <t>Gravity drilling</t>
  </si>
  <si>
    <t>GravityCorer</t>
  </si>
  <si>
    <t>hammer</t>
  </si>
  <si>
    <t>Hammer</t>
  </si>
  <si>
    <t>Hammer &amp; Chisel</t>
  </si>
  <si>
    <t>hammer and chisel</t>
  </si>
  <si>
    <t>Hammer and chisel</t>
  </si>
  <si>
    <t>Hammering, hand</t>
  </si>
  <si>
    <t>hand</t>
  </si>
  <si>
    <t>Hand</t>
  </si>
  <si>
    <t>Hand auger</t>
  </si>
  <si>
    <t>Hand Auger</t>
  </si>
  <si>
    <t>Hand augering</t>
  </si>
  <si>
    <t>Hand Augering</t>
  </si>
  <si>
    <t>Hand Auguring</t>
  </si>
  <si>
    <t>hand core</t>
  </si>
  <si>
    <t>Hand dug soil pit</t>
  </si>
  <si>
    <t>Hand Intertidal</t>
  </si>
  <si>
    <t>hand sample</t>
  </si>
  <si>
    <t>Hand sample</t>
  </si>
  <si>
    <t>Hand Sample</t>
  </si>
  <si>
    <t>Hand sample collected from outcrop</t>
  </si>
  <si>
    <t>hand sample from outcrop</t>
  </si>
  <si>
    <t>Hand shovel</t>
  </si>
  <si>
    <t>hand shovel, 0 - 4cm below land surface</t>
  </si>
  <si>
    <t>hand shovel, 0 - 7 cm below land surface</t>
  </si>
  <si>
    <t>hand-drill</t>
  </si>
  <si>
    <t>Hand-drill</t>
  </si>
  <si>
    <t>HandHeldCorer</t>
  </si>
  <si>
    <t>HandSpecimen</t>
  </si>
  <si>
    <t>Headspace equilibration method</t>
  </si>
  <si>
    <t>Heavy liquid separation</t>
  </si>
  <si>
    <t>Horizon A12 of soil profile V10</t>
  </si>
  <si>
    <t>hot pressed</t>
  </si>
  <si>
    <t>HOV</t>
  </si>
  <si>
    <t>hummering</t>
  </si>
  <si>
    <t>Hydraulic drill, 5 cm marble coring bit</t>
  </si>
  <si>
    <t>IGTB</t>
  </si>
  <si>
    <t>IHPV</t>
  </si>
  <si>
    <t>Impact Coring</t>
  </si>
  <si>
    <t>In situ&gt;WaxCore</t>
  </si>
  <si>
    <t>In-drain autosampler</t>
  </si>
  <si>
    <t>In-situ</t>
  </si>
  <si>
    <t>In-stream autosampler</t>
  </si>
  <si>
    <t>IODP core</t>
  </si>
  <si>
    <t>Isaacs Kidd Mid Water Trawl</t>
  </si>
  <si>
    <t>ISCO autosampler</t>
  </si>
  <si>
    <t>Jumbo Piston Core</t>
  </si>
  <si>
    <t>Kaiko dive</t>
  </si>
  <si>
    <t>Kasten Core</t>
  </si>
  <si>
    <t>Knife</t>
  </si>
  <si>
    <t>Lab made</t>
  </si>
  <si>
    <t>LA-ICPMS</t>
  </si>
  <si>
    <t>Layer below grass</t>
  </si>
  <si>
    <t>Lechate from soil core</t>
  </si>
  <si>
    <t>Lechatefrom soil core</t>
  </si>
  <si>
    <t>livingstone corer</t>
  </si>
  <si>
    <t>Local natural rock dealer</t>
  </si>
  <si>
    <t>Long Line</t>
  </si>
  <si>
    <t>Long Piston Core</t>
  </si>
  <si>
    <t>lose block</t>
  </si>
  <si>
    <t>LVT</t>
  </si>
  <si>
    <t>manipulator</t>
  </si>
  <si>
    <t>Manipulator</t>
  </si>
  <si>
    <t>Manipulator, ThermocoupleArray</t>
  </si>
  <si>
    <t>manual</t>
  </si>
  <si>
    <t>Manual</t>
  </si>
  <si>
    <t>MANUAL</t>
  </si>
  <si>
    <t xml:space="preserve">manual </t>
  </si>
  <si>
    <t xml:space="preserve">Manual </t>
  </si>
  <si>
    <t>Manual - Hammer</t>
  </si>
  <si>
    <t>Manual extraction</t>
  </si>
  <si>
    <t>Manual surface water sampling</t>
  </si>
  <si>
    <t>Manual; tube collection</t>
  </si>
  <si>
    <t>Manual&gt; hammer</t>
  </si>
  <si>
    <t>Manual&gt; nylon spatula</t>
  </si>
  <si>
    <t>Manual&gt;block and hammer</t>
  </si>
  <si>
    <t>Manual&gt;Hamer</t>
  </si>
  <si>
    <t>manual&gt;hammer</t>
  </si>
  <si>
    <t>Manual&gt;hammer</t>
  </si>
  <si>
    <t>Manual&gt;Hammer</t>
  </si>
  <si>
    <t>Manual&gt;HandCorer</t>
  </si>
  <si>
    <t>Manual&gt;Shovel</t>
  </si>
  <si>
    <t>manualAugering&gt;AMSauger</t>
  </si>
  <si>
    <t>manual-hammer</t>
  </si>
  <si>
    <t>Mars 2020 abrasion bit</t>
  </si>
  <si>
    <t>Mars 2020 coring bit</t>
  </si>
  <si>
    <t>melting</t>
  </si>
  <si>
    <t>Menzies Trawl</t>
  </si>
  <si>
    <t>metal scoop</t>
  </si>
  <si>
    <t>microdrilling</t>
  </si>
  <si>
    <t>Micropillar Deformation</t>
  </si>
  <si>
    <t>Mined</t>
  </si>
  <si>
    <t>mixed left, right, center, 0.45 micron filtered</t>
  </si>
  <si>
    <t>Multicore</t>
  </si>
  <si>
    <t>Museum specimen</t>
  </si>
  <si>
    <t>Nanoindentation</t>
  </si>
  <si>
    <t>Niskin</t>
  </si>
  <si>
    <t>NULL</t>
  </si>
  <si>
    <t>ODP drilling</t>
  </si>
  <si>
    <t>Oil and Gas Exploration</t>
  </si>
  <si>
    <t>open-hole drilling</t>
  </si>
  <si>
    <t>Oriented hand sample</t>
  </si>
  <si>
    <t>Other</t>
  </si>
  <si>
    <t>Otter Trawl</t>
  </si>
  <si>
    <t>Otter Trawl/IK Net</t>
  </si>
  <si>
    <t>outcrop</t>
  </si>
  <si>
    <t>Outcrop</t>
  </si>
  <si>
    <t>outcrop hand sample</t>
  </si>
  <si>
    <t>Outcrop Hand Sample</t>
  </si>
  <si>
    <t>Outcrop sampling</t>
  </si>
  <si>
    <t>Paleomagnetic drilling</t>
  </si>
  <si>
    <t>percussion corer and Livingston corer</t>
  </si>
  <si>
    <t>PES membrane filtered</t>
  </si>
  <si>
    <t>Peterson Grab</t>
  </si>
  <si>
    <t>Phleger Core</t>
  </si>
  <si>
    <t>Photomicrograph</t>
  </si>
  <si>
    <t>Pick up by hand</t>
  </si>
  <si>
    <t>piston core</t>
  </si>
  <si>
    <t>Piston Core</t>
  </si>
  <si>
    <t>Piston Cylinder</t>
  </si>
  <si>
    <t>PistonCorer</t>
  </si>
  <si>
    <t>pit</t>
  </si>
  <si>
    <t>Pit</t>
  </si>
  <si>
    <t>pit in cliff</t>
  </si>
  <si>
    <t>pit sampling</t>
  </si>
  <si>
    <t>Pneumatic drill</t>
  </si>
  <si>
    <t>Pneumatic Drill</t>
  </si>
  <si>
    <t>pneumatic drill, 4cm diameter</t>
  </si>
  <si>
    <t>Pnumatic drill, 3.5 cm marble coring bit</t>
  </si>
  <si>
    <t>Pomerory Rock Drill</t>
  </si>
  <si>
    <t>porewater sample of top ~10 cm of sediment using Rhizon</t>
  </si>
  <si>
    <t>Power Drilling</t>
  </si>
  <si>
    <t>powered auger</t>
  </si>
  <si>
    <t>pre-combusted amber glass bottle, 0.8/0.2 micron cartridge filter (AcroPak), HCl preservative</t>
  </si>
  <si>
    <t>precombusted glass fiber filter (GFF) filtered</t>
  </si>
  <si>
    <t>Prenart</t>
  </si>
  <si>
    <t xml:space="preserve">Prenart </t>
  </si>
  <si>
    <t>Pump</t>
  </si>
  <si>
    <t>Pumping</t>
  </si>
  <si>
    <t>purchasing on-site</t>
  </si>
  <si>
    <t>push core</t>
  </si>
  <si>
    <t>quantitative pit/ hand coring</t>
  </si>
  <si>
    <t>random grab</t>
  </si>
  <si>
    <t>random number generator</t>
  </si>
  <si>
    <t>random sample</t>
  </si>
  <si>
    <t xml:space="preserve">Received </t>
  </si>
  <si>
    <t>Rock dredge</t>
  </si>
  <si>
    <t>Rock Dredge</t>
  </si>
  <si>
    <t>rock hammer</t>
  </si>
  <si>
    <t>Rock hammer</t>
  </si>
  <si>
    <t>Rock Hammer</t>
  </si>
  <si>
    <t>rock hammer / sledge</t>
  </si>
  <si>
    <t>RockCorer</t>
  </si>
  <si>
    <t>rock-crusher</t>
  </si>
  <si>
    <t>Rosette</t>
  </si>
  <si>
    <t>Rotary core barrel</t>
  </si>
  <si>
    <t>Rotary drill</t>
  </si>
  <si>
    <t xml:space="preserve">rotasonic </t>
  </si>
  <si>
    <t>rov</t>
  </si>
  <si>
    <t>ROV</t>
  </si>
  <si>
    <t>ROV Grab Sample</t>
  </si>
  <si>
    <t>ROV Hercules</t>
  </si>
  <si>
    <t>Russian corer</t>
  </si>
  <si>
    <t>sample from outcrop</t>
  </si>
  <si>
    <t>Sample from outcrop</t>
  </si>
  <si>
    <t>Sample plug</t>
  </si>
  <si>
    <t>sampled by rock hammer</t>
  </si>
  <si>
    <t>sampled from NYBG herbarium sheet</t>
  </si>
  <si>
    <t>Sampler</t>
  </si>
  <si>
    <t>Sampler:Bacteria</t>
  </si>
  <si>
    <t>Sampler:Biology</t>
  </si>
  <si>
    <t>Sampler:Biology:ColonizationSubstrate</t>
  </si>
  <si>
    <t>Sampler:Biology:CrabTrap</t>
  </si>
  <si>
    <t>Sampler:Biology:IncubationChamber</t>
  </si>
  <si>
    <t>Sampler:Biology:MOCNESS</t>
  </si>
  <si>
    <t>Sampler:Biology:MusselPot</t>
  </si>
  <si>
    <t>Sampler:Biology:Net</t>
  </si>
  <si>
    <t>Sampler:Biology:Pump</t>
  </si>
  <si>
    <t>Sampler:Biology:PushCore</t>
  </si>
  <si>
    <t>Sampler:Biology:Scoop</t>
  </si>
  <si>
    <t>Sampler:Biology:Scoop, Sampler:Biology:Slurp</t>
  </si>
  <si>
    <t>Sampler:Biology:SettlementPlate</t>
  </si>
  <si>
    <t>Sampler:Biology:ShrimpTrap</t>
  </si>
  <si>
    <t>Sampler:Biology:Slurp</t>
  </si>
  <si>
    <t>Sampler:Biology:Suction</t>
  </si>
  <si>
    <t>Sampler:Biology:Syringe</t>
  </si>
  <si>
    <t>Sampler:Biology:Trap</t>
  </si>
  <si>
    <t>Sampler:Biology:WormWok</t>
  </si>
  <si>
    <t>Sampler:Fluid</t>
  </si>
  <si>
    <t>Sampler:Fluid:Bottle</t>
  </si>
  <si>
    <t>Sampler:Fluid:GasTight</t>
  </si>
  <si>
    <t>Sampler:Fluid:GasTight:IGT</t>
  </si>
  <si>
    <t>Sampler:Fluid:Ghostbuster</t>
  </si>
  <si>
    <t>Sampler:Fluid:GTHFS</t>
  </si>
  <si>
    <t>Sampler:Fluid:HFPS</t>
  </si>
  <si>
    <t>Sampler:Fluid:HFS</t>
  </si>
  <si>
    <t xml:space="preserve">Sampler:Fluid:HFS </t>
  </si>
  <si>
    <t>Sampler:Fluid:HotFluid</t>
  </si>
  <si>
    <t>Sampler:Fluid:major</t>
  </si>
  <si>
    <t>Sampler:Fluid:Major</t>
  </si>
  <si>
    <t>Sampler:Fluid:Manifold</t>
  </si>
  <si>
    <t>Sampler:Fluid:Niskin</t>
  </si>
  <si>
    <t>Sampler:Fluid:Slurp</t>
  </si>
  <si>
    <t>Sampler:Fluid:Squeeze</t>
  </si>
  <si>
    <t>Sampler:Fluid:SuPR</t>
  </si>
  <si>
    <t>Sampler:Fluid:Toaster</t>
  </si>
  <si>
    <t>Sampler:Gas:bottle</t>
  </si>
  <si>
    <t>Sampler:Gas:Bottle</t>
  </si>
  <si>
    <t>Sampler:Gas:HFS</t>
  </si>
  <si>
    <t>Sampler:GAS:HFS</t>
  </si>
  <si>
    <t>Sampler:Geology:Scoop</t>
  </si>
  <si>
    <t>Sampler:HFS:Gas</t>
  </si>
  <si>
    <t>Sampler:PushCore</t>
  </si>
  <si>
    <t>Sampler:Rock:Core</t>
  </si>
  <si>
    <t>Sampler:Rock:Dredge</t>
  </si>
  <si>
    <t>Sampler:Rock:Drill</t>
  </si>
  <si>
    <t>Sampler:Sediment:BoxCore</t>
  </si>
  <si>
    <t>Sampler:Sediment:GougeCore</t>
  </si>
  <si>
    <t>Sampler:Sediment:Grab</t>
  </si>
  <si>
    <t>Sampler:Sediment:GravityCore</t>
  </si>
  <si>
    <t>Sampler:Sediment:JumboPistonCore</t>
  </si>
  <si>
    <t>Sampler:Sediment:KastenCore</t>
  </si>
  <si>
    <t>Sampler:Sediment:MultiCore</t>
  </si>
  <si>
    <t>Sampler:Sediment:PistonCore</t>
  </si>
  <si>
    <t>Sampler:Sediment:RussianCore</t>
  </si>
  <si>
    <t>Sampler:Sediment:Scoop</t>
  </si>
  <si>
    <t>Sampler:Sediment:Slurp</t>
  </si>
  <si>
    <t>Sampler:Sediment:TriggerCore</t>
  </si>
  <si>
    <t>Sampler:Sediment:VibraCore</t>
  </si>
  <si>
    <t>Sampler:SedimentCore</t>
  </si>
  <si>
    <t>Sampler:SedimentTrap</t>
  </si>
  <si>
    <t xml:space="preserve">Sampler:SPME </t>
  </si>
  <si>
    <t>Sampler:Suction</t>
  </si>
  <si>
    <t>sampling</t>
  </si>
  <si>
    <t>Sampling protocol Global Rivers Project</t>
  </si>
  <si>
    <t>Scoop</t>
  </si>
  <si>
    <t>Scoop&gt;ROV</t>
  </si>
  <si>
    <t>Scooped up from scree slope</t>
  </si>
  <si>
    <t>Scraping layers with trowel</t>
  </si>
  <si>
    <t>SCUBA diving</t>
  </si>
  <si>
    <t>sediment grab sampler</t>
  </si>
  <si>
    <t>Sediment trap</t>
  </si>
  <si>
    <t>SedPoint insertion tool</t>
  </si>
  <si>
    <t>SG</t>
  </si>
  <si>
    <t>Shinkai 6500</t>
  </si>
  <si>
    <t>Shinkai 6500 dive</t>
  </si>
  <si>
    <t>Shop bought</t>
  </si>
  <si>
    <t>Shovel</t>
  </si>
  <si>
    <t>Shovel; auger</t>
  </si>
  <si>
    <t>Sieved</t>
  </si>
  <si>
    <t>Single/Grab</t>
  </si>
  <si>
    <t>Sinking particle traps</t>
  </si>
  <si>
    <t>sipper</t>
  </si>
  <si>
    <t xml:space="preserve">Slide hammer </t>
  </si>
  <si>
    <t>slurp</t>
  </si>
  <si>
    <t>SMG</t>
  </si>
  <si>
    <t>Snapper</t>
  </si>
  <si>
    <t>soil auger</t>
  </si>
  <si>
    <t>Soil Core</t>
  </si>
  <si>
    <t>soil core bulk density sampler</t>
  </si>
  <si>
    <t>Soil knife</t>
  </si>
  <si>
    <t>soil pit</t>
  </si>
  <si>
    <t>Soil Pit</t>
  </si>
  <si>
    <t>soil pit and soil auger</t>
  </si>
  <si>
    <t>spatter ramparts</t>
  </si>
  <si>
    <t>spoon</t>
  </si>
  <si>
    <t>stored frozen in plastic Whirl-Pak bag</t>
  </si>
  <si>
    <t>submersible</t>
  </si>
  <si>
    <t>Submersible</t>
  </si>
  <si>
    <t>suction</t>
  </si>
  <si>
    <t>Suction&gt;60mLSyringe</t>
  </si>
  <si>
    <t>Suction&gt;ROV</t>
  </si>
  <si>
    <t>SuctionSampler</t>
  </si>
  <si>
    <t>surface</t>
  </si>
  <si>
    <t>Surface</t>
  </si>
  <si>
    <t>Surface and shallow excavation</t>
  </si>
  <si>
    <t>surface collection</t>
  </si>
  <si>
    <t>Surface measurement by use of terrestrial LiDAR</t>
  </si>
  <si>
    <t>surface samples into plastic bags</t>
  </si>
  <si>
    <t>surface sampling</t>
  </si>
  <si>
    <t>Suspended sediment</t>
  </si>
  <si>
    <t>syringe</t>
  </si>
  <si>
    <t>Syringe</t>
  </si>
  <si>
    <t>Syringe, 100 cc</t>
  </si>
  <si>
    <t>Syringe, 400 ml</t>
  </si>
  <si>
    <t>Tension Lysimeter</t>
  </si>
  <si>
    <t>TensionLys1</t>
  </si>
  <si>
    <t>Tephra scraped into bag from surface of 1995 flow lobe (so as to constrain age to &lt;1995)</t>
  </si>
  <si>
    <t>test</t>
  </si>
  <si>
    <t>Titanium Major Water Sampler</t>
  </si>
  <si>
    <t>Took from section</t>
  </si>
  <si>
    <t>towcam</t>
  </si>
  <si>
    <t>Trawl</t>
  </si>
  <si>
    <t>Trawling&gt;Blake Trawl</t>
  </si>
  <si>
    <t>Trawling&gt;BlakeTrawl</t>
  </si>
  <si>
    <t>Trawling&gt;OtterTrawl</t>
  </si>
  <si>
    <t>Trench, manual</t>
  </si>
  <si>
    <t>Triangular Dredge</t>
  </si>
  <si>
    <t>Trigger Core</t>
  </si>
  <si>
    <t>tripod piston corerer</t>
  </si>
  <si>
    <t>Trowel</t>
  </si>
  <si>
    <t>truck-mounted drill rig</t>
  </si>
  <si>
    <t>Try Net</t>
  </si>
  <si>
    <t>tube well</t>
  </si>
  <si>
    <t>TV grab sample</t>
  </si>
  <si>
    <t>TZM</t>
  </si>
  <si>
    <t>U.C. Berkeley Sample Archive</t>
  </si>
  <si>
    <t>Unknown</t>
  </si>
  <si>
    <t>UWITECH 90</t>
  </si>
  <si>
    <t>Van Veen grab</t>
  </si>
  <si>
    <t>vibracore</t>
  </si>
  <si>
    <t>VibraCore</t>
  </si>
  <si>
    <t>vibracorer</t>
  </si>
  <si>
    <t>Viewing</t>
  </si>
  <si>
    <t>Volunteer&gt;HOV</t>
  </si>
  <si>
    <t>water sample from just below surface</t>
  </si>
  <si>
    <t>Water Well Cuttings</t>
  </si>
  <si>
    <t>WaxCorer</t>
  </si>
  <si>
    <t>WellSample</t>
  </si>
  <si>
    <t>Wick</t>
  </si>
  <si>
    <t>XXXXX</t>
  </si>
  <si>
    <t>Yokosuka deep-tow dredge</t>
  </si>
  <si>
    <t>Zero Tension</t>
  </si>
  <si>
    <t>ZeroTension</t>
  </si>
  <si>
    <t>Sieved aggregate</t>
  </si>
  <si>
    <t>Slide hammer corer</t>
  </si>
  <si>
    <t>Cartridge filter residue</t>
  </si>
  <si>
    <t>Pulverize</t>
  </si>
  <si>
    <t>reduce to powder</t>
  </si>
  <si>
    <t>material left behind when liquid passed throught cartridge filter</t>
  </si>
  <si>
    <t>Cartridge filter filtrate</t>
  </si>
  <si>
    <t>liquid that has been passed through a cartridge filter</t>
  </si>
  <si>
    <t>subaerial or subaqueous solid earth boundary surface</t>
  </si>
  <si>
    <t>Gas tight bottle</t>
  </si>
  <si>
    <t>Hammer from outcrop</t>
  </si>
  <si>
    <t>Core catcher</t>
  </si>
  <si>
    <t>Human grab from surface</t>
  </si>
  <si>
    <t>Mechanical grab from surface</t>
  </si>
  <si>
    <t>under water or atmosphere</t>
  </si>
  <si>
    <t>Channel sampling</t>
  </si>
  <si>
    <t>sampling material along a channel through a feature of interest.</t>
  </si>
  <si>
    <t>Chip sampling</t>
  </si>
  <si>
    <t>sampling over an area of a feature off interest by breaking off small pieces; produces an aggregate</t>
  </si>
  <si>
    <t>parent term</t>
  </si>
  <si>
    <t>parentID</t>
  </si>
  <si>
    <t>genus</t>
  </si>
  <si>
    <t>source</t>
  </si>
  <si>
    <t>environment</t>
  </si>
  <si>
    <t>target material type</t>
  </si>
  <si>
    <t>type</t>
  </si>
  <si>
    <t>Composite water sample preserved with reagent</t>
  </si>
  <si>
    <t>sm001</t>
  </si>
  <si>
    <t>Composite water sample</t>
  </si>
  <si>
    <t>sm010</t>
  </si>
  <si>
    <t>sm100</t>
  </si>
  <si>
    <t>e.g. see http://www.azdeq.gov/environ/water/assessment/download/sampling.pdf</t>
  </si>
  <si>
    <t>composite water sample  preserved with reagent (e.g. nitric acid  sulfuric acid) as part of sampling process</t>
  </si>
  <si>
    <t>sub aqueous</t>
  </si>
  <si>
    <t>water</t>
  </si>
  <si>
    <t>composite</t>
  </si>
  <si>
    <t>Composite water sample  filtered</t>
  </si>
  <si>
    <t>sm002</t>
  </si>
  <si>
    <t>composite water sample  filtered as part of the sampling process (in the field or within a very short time period after collection)</t>
  </si>
  <si>
    <t>Composite water sample  filtered preserved with reagent</t>
  </si>
  <si>
    <t>sm003</t>
  </si>
  <si>
    <t>composite filtered water sample  preserved with reagent (e.g. nitric acid  sulfuric acid) as part of sampling process</t>
  </si>
  <si>
    <t>Drilled core</t>
  </si>
  <si>
    <t>sm004</t>
  </si>
  <si>
    <t>sm041</t>
  </si>
  <si>
    <t>SESAR collection method</t>
  </si>
  <si>
    <t>core extracted from rock or sediment by a rotating hollow cylindrical bit</t>
  </si>
  <si>
    <t>rock or sediment</t>
  </si>
  <si>
    <t>simple</t>
  </si>
  <si>
    <t>Soft sediment corer</t>
  </si>
  <si>
    <t>sm005</t>
  </si>
  <si>
    <t>General category for methods to extract columnar samples perpendicular to the depositional surface from sediment that is poorly enough consolidated that it can be sampled without drilling.</t>
  </si>
  <si>
    <t>shallow subsurface</t>
  </si>
  <si>
    <t>sediment</t>
  </si>
  <si>
    <t>Chain Bag Dredge</t>
  </si>
  <si>
    <t>sm006</t>
  </si>
  <si>
    <t>sm033</t>
  </si>
  <si>
    <t>SESAR collection method; http://www.deepreef.org/technology/79-rock-dredge.html</t>
  </si>
  <si>
    <t>A rock dredge is a large bag made of metal chain links attached to a simple heavy frame that keeps the bag expanded. The dredge is lowered off the back of a ship to the seafloor and dragged along to collect large pieces of rock. Because of the coarse chain links  most of the finer material is washed out of the bag  leaving behind the larger rock and gravel pieces within the chain bag. The dredge is then winched up to the surface and any samples are dumped onto the deck of the ship to be sorted and preserved.</t>
  </si>
  <si>
    <t>Hand auger coring</t>
  </si>
  <si>
    <t>sm007</t>
  </si>
  <si>
    <t>this vocabulary; http://www.oakenviro.com/pdfs/Dutch%20Auger%20equipment%20options%20-%20Eijkelkamp.pdf</t>
  </si>
  <si>
    <t xml:space="preserve">core extracted from sediment or soil by a hand rotated tool with a special bit that extracts short segments of cored sediment; many variations in design. </t>
  </si>
  <si>
    <t>sediment/soil</t>
  </si>
  <si>
    <t>Inverted funnel to evacuated bottle gas collection</t>
  </si>
  <si>
    <t>sm008</t>
  </si>
  <si>
    <t>Evacuated bottle gas sampling</t>
  </si>
  <si>
    <t>sm011</t>
  </si>
  <si>
    <t>Gas is collected from a bubbling subaqueous gas source by inverting a suitable size and composition funnel over the gas source  connected by a tube to a  evacuated bottle gas collector.</t>
  </si>
  <si>
    <t>gas</t>
  </si>
  <si>
    <t>Inverted funnel to flow through bottle gas collection</t>
  </si>
  <si>
    <t>sm009</t>
  </si>
  <si>
    <t>Flow through bottle gas sampling</t>
  </si>
  <si>
    <t>sm012</t>
  </si>
  <si>
    <t>Gas is collected from a bubbling subaqueous gas source by inverting a suitable size and composition funnel over the gas source  connected by a tube to a  flow through bottle gas collector.</t>
  </si>
  <si>
    <t>Fluid collected into container</t>
  </si>
  <si>
    <t>sm043</t>
  </si>
  <si>
    <t>water sample collected through some documented process over an extended water volume  meant to characterize that volume  e.g. a profile in a lake  a stream cross section  or some volume in the ocean. Many different processes may be used to collect subsamples and aggregate them into a representative single sample.</t>
  </si>
  <si>
    <t>http://volcanoes.usgs.gov/activity/methods/gas/sample.php</t>
  </si>
  <si>
    <t>Insert a suitable chemically inert and durable tube (e.g. titanium  quartz  alumina  or mullite) into gas source. After allowing the tube to heat until condensation in the tube has reached equilibrium with the escaping gases  usually about 5 minutes   a specially-designed bottle with a high-vacuum stopcock and sample port is attached to the collection tube. Before arriving at the sampling site  the bottle is partially filled with concentrated aqueous sodium hydroxide  carefully weighed  and evacuated with a vacuum pump. As gases bubble through the alkaline solution  acid gases  such as CO2  H2S  SO2  HCl  and HF dissolve into the liquid. The remaining gases  such as N2  O2  H2  CO  and He  collect in the headspace of the bottle. For gas is composed mostly of water and condensable acid gases  many liters of gas can be collected in a single bottle. This method concentrates gases in the solution and headspace  and thereby promotes better analytical precision. Typically used for hot (volcanic  geothermal) gas collection.</t>
  </si>
  <si>
    <t>anyEnvironment</t>
  </si>
  <si>
    <t>Insert a suitable chemically inert and durable tube (e.g. titanium  quartz  alumina  or mullite) into gas source. After allowing the tube to heat until condensation in the tube has reached equilibrium with the escaping gases  usually about 5 minutes  a specially-designed flow-through sample bottle with a stopcock at each end and a hand-operated pump is attached to the collection tubing.  The hand pump flushes out air and draws the gas into the bottle. This collection method is faster that the evacuated bottle method. It is used when a complete gas analysis is not necessary  or where field conditions are too hazardous to safely make an evacuated-bottle collection. Sulfur gases are stable for only a short time so this type of sample must be analyzed within a few hours of collection.</t>
  </si>
  <si>
    <t>Other gas sampling apparatus</t>
  </si>
  <si>
    <t>sm013</t>
  </si>
  <si>
    <t>this vocabulary</t>
  </si>
  <si>
    <t>general class for gas sampling methods</t>
  </si>
  <si>
    <t>any</t>
  </si>
  <si>
    <t>Simple water sample</t>
  </si>
  <si>
    <t>sm014</t>
  </si>
  <si>
    <t>water collected into a suitable container from a single sampling point. Includes grab sample from stream  samples collected by machines that open and close sampling bottles as the device is lowered through water column. e.g. Van Dorn bottles  Kemmerer Water Sampler</t>
  </si>
  <si>
    <t>Channel sample</t>
  </si>
  <si>
    <t>sm015</t>
  </si>
  <si>
    <t>Manual grab</t>
  </si>
  <si>
    <t>sm035</t>
  </si>
  <si>
    <t>USGS Circular; Vernon E. Swanson and Claude Huffman  Jr.  1976  GUIDELINES FOR SAMPLE COLLECTING AND ANALYTICAL METHODS USED IN THE U.S. GEOLOGICAL SURVEY FOR DETERMINING CHEMICAL COMPOSITION OF COAL: U. S. Geological Survey  CIRCULAR 735. accessed at http://energy.er.usgs.gov/products/databases/CoalQual/Docs/c735.pdf</t>
  </si>
  <si>
    <t>chip an approximately 3-inch by 3-inch (7.5 cm by 7.5 cm) channel accross the sampled feature (e.g. a coal bed) with a chisel or pick-point hammer  producing  fragments 2 inches (5 cm) or less across. Positioning a horizontal plastic sheet below the level of channel cutting is sometimes helpful.  May also be applied to sampling at regular intervals along a channel or trench cut across a surface.</t>
  </si>
  <si>
    <t>Collected from outcrop</t>
  </si>
  <si>
    <t>sm016</t>
  </si>
  <si>
    <t>specimen obtained by breaking piece(s) of rock from rock outcrop  on surface  or in a subsurface tunnel</t>
  </si>
  <si>
    <t>rock</t>
  </si>
  <si>
    <t>Manual surface grab</t>
  </si>
  <si>
    <t>sm017</t>
  </si>
  <si>
    <t>specimen obtained from loose material on surface  e.g. from talus  colluvium  mine heap.</t>
  </si>
  <si>
    <t>sm018</t>
  </si>
  <si>
    <t>Other sampling appartus</t>
  </si>
  <si>
    <t>sm044</t>
  </si>
  <si>
    <t>SESAR collection method; http://www.whoi.edu/instruments/viewInstrument.do?id=10286</t>
  </si>
  <si>
    <t xml:space="preserve">Sediment traps are containers that scientists place in the water to collect particles falling toward the sea floor. The basic sediment trap consists of a broad funnel with a collecting jar at the bottom. The funnel opening covers a standard area (such as 0.25 square meter [2.7 square feet]) and has baffles at the top to keep out very large objects that might clog the funnel. </t>
  </si>
  <si>
    <t>Panned concentrate</t>
  </si>
  <si>
    <t>sm019</t>
  </si>
  <si>
    <t>Processed separation</t>
  </si>
  <si>
    <t>sm045</t>
  </si>
  <si>
    <t>use of a gold-miners pan to concentrate heavy minerals from a loose sediment (typcially stream sediment) sample</t>
  </si>
  <si>
    <t>continental</t>
  </si>
  <si>
    <t>Split processed sample</t>
  </si>
  <si>
    <t>sm020</t>
  </si>
  <si>
    <t>mechanical separation of part a processed sample; e.g. taking grains from a mineral separate  splitting a powdered sample  splitting a crushed sample</t>
  </si>
  <si>
    <t>derived</t>
  </si>
  <si>
    <t>Suspended sediment separate</t>
  </si>
  <si>
    <t>sm021</t>
  </si>
  <si>
    <t>SESAR collection method; this vocabulary</t>
  </si>
  <si>
    <t>suspended sediment separated from containing water by filtration or centrifuge.</t>
  </si>
  <si>
    <t>Simple water sample preserved with reagent</t>
  </si>
  <si>
    <t>sm022</t>
  </si>
  <si>
    <t>simple water sample  preserved with reagent (e.g. nitric acid  sulfuric acid) as part of sampling process</t>
  </si>
  <si>
    <t>Simple water sample  filtered</t>
  </si>
  <si>
    <t>sm023</t>
  </si>
  <si>
    <t>simple water sample  filtered as part of the sampling process (in the field or within a very short time period after collection)</t>
  </si>
  <si>
    <t>Simple water sample  filtered preserved with reagent</t>
  </si>
  <si>
    <t>sm024</t>
  </si>
  <si>
    <t>simple filtered water sample  preserved with reagent (e.g. nitric acid  sulfuric acid) as part of sampling process</t>
  </si>
  <si>
    <t>Box Corer</t>
  </si>
  <si>
    <t>sm025</t>
  </si>
  <si>
    <t>SESAR collection method; http://www.deepreef.org/technology/9-grab.html; http://www.eu-hermione.net/box-core; http://www.azdeq.gov/environ/water/assessment/download/sampling.pdf (Eckman dredge)</t>
  </si>
  <si>
    <t xml:space="preserve"> A box core uses trigger plates that contact the seafloor to close the top and bottom of a metal box plunged into the seabed. This device neatly extracts a plug of sediment that is mostly undisturbed and allows scientists to examine the layers of sediment carefully and any marine life found within.  Use this category for Eckman Dredge samples as well</t>
  </si>
  <si>
    <t>sm026</t>
  </si>
  <si>
    <t>SESAR collection method; http://www.whoi.edu/instruments/viewInstrument.do?id=8087  http://www.whoi.edu/instruments/viewInstrument.do?id=1079</t>
  </si>
  <si>
    <t>A gravity corer is just a weighted pipe that is allowed to free fall into the water.</t>
  </si>
  <si>
    <t>Hand Held Corer</t>
  </si>
  <si>
    <t>sm027</t>
  </si>
  <si>
    <t>collects core by operator pushing the core tube into the sediment to be sampled; may be assisted by vibration induced in the core tube</t>
  </si>
  <si>
    <t>MultiCorer</t>
  </si>
  <si>
    <t>sm028</t>
  </si>
  <si>
    <t>SESAR collection method; http://polardiscovery.whoi.edu/expedition5/tools_multicore.html</t>
  </si>
  <si>
    <t>either</t>
  </si>
  <si>
    <t>Piston Corer</t>
  </si>
  <si>
    <t>sm029</t>
  </si>
  <si>
    <t>SESAR collection method; http://www.whoi.edu/instruments/gallery.do?mainid=17288&amp;iid=8087; http://www.tdi-bi.com/field_services/sge_info/piston_coring.htm</t>
  </si>
  <si>
    <t>Probe core</t>
  </si>
  <si>
    <t>sm030</t>
  </si>
  <si>
    <t>SESAR collection method; http://www.fandm.edu/earth-and-environment/sediment-sampling-methods</t>
  </si>
  <si>
    <t>Soil or sediment collected by pneumatically pushing or pounding a sleeve  through soft sediments via a rig mounted on the back of a pick-up truck or on an ATV.  Note: Sediment in cores commonly is compressed to 30-50% of the in situ volume. Wildco corer.</t>
  </si>
  <si>
    <t>sm031</t>
  </si>
  <si>
    <t>SESAR collection method; http://www.vibracoring.com/vcconcepts.html</t>
  </si>
  <si>
    <t>sm032</t>
  </si>
  <si>
    <t>Surface grab</t>
  </si>
  <si>
    <t>sm047</t>
  </si>
  <si>
    <t>sample collected from rock material freed from outcrop by explosives; similar to surface grab in that precise location of specimen in the rock body is not precisely known</t>
  </si>
  <si>
    <t>NA</t>
  </si>
  <si>
    <t>Grab from trench</t>
  </si>
  <si>
    <t>sm034</t>
  </si>
  <si>
    <t xml:space="preserve">loose sediment collected into bag from the wall of a trench  stream bank  or pit--any vertical cut that provides access to a near surface soil and sediment profile; common for sampling soil horizons. </t>
  </si>
  <si>
    <t>speciment is obtained by pickup up an object by hand</t>
  </si>
  <si>
    <t>surface | sub aqueous</t>
  </si>
  <si>
    <t>Sediment grab</t>
  </si>
  <si>
    <t>sm036</t>
  </si>
  <si>
    <t>http://www.deepreef.org/technology/9-grab.html</t>
  </si>
  <si>
    <t>Sediment grabs come in all shapes and sizes  but they all do much the same thing  to collect a sample of sediment from the seabed. Sediment grabs are often named after their inventors. For example  the Smith-MacIntyre grab is lowered from ships  and on contact with the seabed  a split cylindrical bucket is triggered which scoops up about 10 litres of sediment. Another is the Van-Veen grab  like a giant pair of tongs which closes two halves of the bucket together as the winch draws the cable in. Sediment is then evenly scooped into the large buckets. A sediment grab does not attempt to preserve the internal structure of the sediment  which disginguishes it from soft sediment coring.</t>
  </si>
  <si>
    <t>Stream sediment composite</t>
  </si>
  <si>
    <t>sm037</t>
  </si>
  <si>
    <t>composite of several single grab sediment samples collected from a stream channel  agregatted in the field</t>
  </si>
  <si>
    <t>Stream sediment single grab</t>
  </si>
  <si>
    <t>sm038</t>
  </si>
  <si>
    <t>stream sediment collected from bed of a  stream (dry or flowing) at a single location;</t>
  </si>
  <si>
    <t>Submarine grab</t>
  </si>
  <si>
    <t>sm039</t>
  </si>
  <si>
    <t>Lag sample</t>
  </si>
  <si>
    <t>sm040</t>
  </si>
  <si>
    <t xml:space="preserve">Surface grab </t>
  </si>
  <si>
    <t>Sample collected by sweeping up surface lag material over some area and bagging it.  Generally only used in arid or semi-arid environments where surface lag is representative in some way of underlying bedrock.</t>
  </si>
  <si>
    <t>Top</t>
  </si>
  <si>
    <t>sediment  rock  ice</t>
  </si>
  <si>
    <t>Drill cuttings</t>
  </si>
  <si>
    <t>sm042</t>
  </si>
  <si>
    <t>sample collected from  material from return flow from borehole drilling. Commonly screened from mud or drilling liquid in reverse circulation drilling.  Sample is a composite of chips from rock bit is currently cutting and recently cut units.</t>
  </si>
  <si>
    <t xml:space="preserve">General category for gas and water sampling procedures that obtain a specimen in a sealed container. </t>
  </si>
  <si>
    <t>water or gas</t>
  </si>
  <si>
    <t>Specimen obtained using some mechnical process not identified in this vocabulary</t>
  </si>
  <si>
    <t>Split bulk sample</t>
  </si>
  <si>
    <t>sm046</t>
  </si>
  <si>
    <t>mechanical separation of part of a bulk sample. E.g. breaking a hand sample up with a hammer and taking pieces  splitting material in a bagged sample</t>
  </si>
  <si>
    <t>Specimen obtained by picking up material from a surface; may involve breaking material away from outcrop  or picking up loose material on surface</t>
  </si>
  <si>
    <t>top concept</t>
  </si>
  <si>
    <t>ID</t>
  </si>
  <si>
    <t>sampling by pushing a device into seafloor sediments that extracts many tubular samples of sediment at once. The multicore has a cone-shaped aluminum frame. In the middle are eight plastic tubes. When the frame settles on the floor  the center of the multicore slowly and evenly pushes the tubes into the sediment. The tubes are capped at the top and bottom and the multicore comes back to the surface with eight samples of sediment.</t>
  </si>
  <si>
    <t>ses200</t>
  </si>
  <si>
    <t>ses201</t>
  </si>
  <si>
    <t>ses202</t>
  </si>
  <si>
    <t>ses203</t>
  </si>
  <si>
    <t>ses204</t>
  </si>
  <si>
    <t>ses205</t>
  </si>
  <si>
    <t>ses206</t>
  </si>
  <si>
    <t>ses207</t>
  </si>
  <si>
    <t>ses208</t>
  </si>
  <si>
    <t>ses209</t>
  </si>
  <si>
    <t>ses210</t>
  </si>
  <si>
    <t>ses211</t>
  </si>
  <si>
    <t>ses212</t>
  </si>
  <si>
    <t>ses213</t>
  </si>
  <si>
    <t>ses214</t>
  </si>
  <si>
    <t>ses215</t>
  </si>
  <si>
    <t>ses216</t>
  </si>
  <si>
    <t>ses217</t>
  </si>
  <si>
    <t>ses218</t>
  </si>
  <si>
    <t>ses219</t>
  </si>
  <si>
    <t>ses220</t>
  </si>
  <si>
    <t>ses221</t>
  </si>
  <si>
    <t>ses222</t>
  </si>
  <si>
    <t>ses223</t>
  </si>
  <si>
    <t>ses224</t>
  </si>
  <si>
    <t>ses225</t>
  </si>
  <si>
    <t>ses226</t>
  </si>
  <si>
    <t>ses227</t>
  </si>
  <si>
    <t>ses228</t>
  </si>
  <si>
    <t>ses229</t>
  </si>
  <si>
    <t>ses230</t>
  </si>
  <si>
    <t>ses231</t>
  </si>
  <si>
    <t>ses232</t>
  </si>
  <si>
    <t>ses233</t>
  </si>
  <si>
    <t>ses234</t>
  </si>
  <si>
    <t>skos</t>
  </si>
  <si>
    <t>scope_note</t>
  </si>
  <si>
    <t>samples _grabbed_ from submarine surface by dragging a basket with an enclosed bottom (solid or open-chain) along the bottome of the water body.</t>
  </si>
  <si>
    <t>Samples _grabbed_ from submarine surface by mechanical submersible; specific location of acquisition is know</t>
  </si>
  <si>
    <t>Sample is removed from sampling feature by extracting an undisturbed provile  typically as a long cylinder  meant to preserve the internal structure of the sampled sediment or rock.  sample extracted as a cylinder of material drilled out of the feature of interest; diameter can range from mm to m, lengths mm to 100_s of m.</t>
  </si>
  <si>
    <t>separation of part of a sample by some lab technique; have to look at processing method for details. E.g. density separation  magnetic separation  insoluble residue  hand picking.  Too many possibilities to categorize each subsampling method.</t>
  </si>
  <si>
    <t>Interpret to mean collecting some amount of a liquid or fine-grained aggregate using a spoon-like instrument (scoop); size can range from milligram to kilogram mass.  Metallurgy: _A shallow, spherical 1.25-inch diameter disc is sawed out of the feature of interest._ https://www.stress.com/services/materials-engineering/field-inspection-and-testing/non-destructive-scoop-sampling/.</t>
  </si>
  <si>
    <t>Piston corers have a piston mechanism that is triggered when the corer hits the bottom. The piston helps to avoid disturbing the sediment. As the piston corer penetrates the seafloor  the piston inside stops at the sediment surface. The action of the piston creates a pressure differential at the top of the sediment column. This allows the soft material to enter the core liner without disruption. A piston corer uses a _free fall_ of the coring rig to achieve a greater initial force on impact than gravity coring  and a sliding piston inside the core barrel to reduce inside wall friction with the sediment and to assist in the evacuation of displaced water from the top of the corer. The piston-coring rig is comprised of a trigger assembly  the coring weight assembly  core barrels  tip assembly  and piston.</t>
  </si>
  <si>
    <t xml:space="preserve">Vibracoring (or vibrocoring) is a technology and a technique for collecting core samples of underwater sediments and wetland soils.  The vibrating mechanism of a vibracorer  sometimes called the _vibrahead_  operates on hydraulic  pneumatic  mechanical or electrical power from an external source.  The attached core tube is driven into sediment by the force of gravity  enhanced by vibration energy.  When the insertion is completed  the vibracorer is turned off  and the tube is withdrawn with the aid of hoist equipment. </t>
  </si>
  <si>
    <t>Syringe sampling</t>
  </si>
  <si>
    <t>Coring from submersible</t>
  </si>
  <si>
    <t>Phleger coring</t>
  </si>
  <si>
    <t>Piston coring</t>
  </si>
  <si>
    <t>Push coring</t>
  </si>
  <si>
    <t>Trigger coring</t>
  </si>
  <si>
    <t>Multi coring</t>
  </si>
  <si>
    <t>Multi Coring</t>
  </si>
  <si>
    <t>Box Coring</t>
  </si>
  <si>
    <t>Core drilling</t>
  </si>
  <si>
    <t>Gravity coring</t>
  </si>
  <si>
    <t>Free fall coring</t>
  </si>
  <si>
    <t>Kasten coring</t>
  </si>
  <si>
    <t>Splitting from bulk sample</t>
  </si>
  <si>
    <t>Diamond bit drill coring</t>
  </si>
  <si>
    <t>Subaerial surface sampling</t>
  </si>
  <si>
    <t>Percussion drilling</t>
  </si>
  <si>
    <t>Benthic trawl</t>
  </si>
  <si>
    <t>Submersible grab</t>
  </si>
  <si>
    <t>Gas sampling</t>
  </si>
  <si>
    <t>Fluid sampling</t>
  </si>
  <si>
    <t>Trawl sampling</t>
  </si>
  <si>
    <t>unknown</t>
  </si>
  <si>
    <t>Chemical separation</t>
  </si>
  <si>
    <t>Soft material coring</t>
  </si>
  <si>
    <t>Water body water sampling</t>
  </si>
  <si>
    <t>Micropillar Sampling</t>
  </si>
  <si>
    <t>Microanalytic sampling</t>
  </si>
  <si>
    <t>Niskin bottle</t>
  </si>
  <si>
    <t>Water body bottom grab</t>
  </si>
  <si>
    <t>Grab from trench or pit</t>
  </si>
  <si>
    <t>Vacuum pore water sampling</t>
  </si>
  <si>
    <t>Water sampling-filter</t>
  </si>
  <si>
    <t>Chain bag dredge</t>
  </si>
  <si>
    <t>Sonic coring</t>
  </si>
  <si>
    <t>Subaqueous organism trap</t>
  </si>
  <si>
    <t>Chamber incubation</t>
  </si>
  <si>
    <t>Slurp sampling</t>
  </si>
  <si>
    <t>Container sampling</t>
  </si>
  <si>
    <t>Blake trawl</t>
  </si>
  <si>
    <t>Dredge sampling</t>
  </si>
  <si>
    <t>Wax coring</t>
  </si>
  <si>
    <t>Lysimeter water collection</t>
  </si>
  <si>
    <t>Water sampling-filter and preserve with reagent</t>
  </si>
  <si>
    <t>Van Veen grab sampling</t>
  </si>
  <si>
    <t>Gas tight bottle sampling</t>
  </si>
  <si>
    <t>Rotary hammer drilling</t>
  </si>
  <si>
    <t>Settlement plate</t>
  </si>
  <si>
    <t>Pump sampling</t>
  </si>
  <si>
    <t>Water sampling</t>
  </si>
  <si>
    <t>Smith Mcintyre grab sampling</t>
  </si>
  <si>
    <t>Slide hammer coring</t>
  </si>
  <si>
    <t>new_label</t>
  </si>
  <si>
    <t>Density separation</t>
  </si>
  <si>
    <t>Beam trawl</t>
  </si>
  <si>
    <t>Box coring</t>
  </si>
  <si>
    <t>Vibrator coring</t>
  </si>
  <si>
    <t>Hand held coring</t>
  </si>
  <si>
    <t>Menzie trawl</t>
  </si>
  <si>
    <t>Suction sampler</t>
  </si>
  <si>
    <t>Manual&gt;in situ</t>
  </si>
  <si>
    <t>alt label</t>
  </si>
  <si>
    <t>method_id</t>
  </si>
  <si>
    <t>method_uri</t>
  </si>
  <si>
    <t>CTD Sampler</t>
  </si>
  <si>
    <t>Other sampling procedure</t>
  </si>
  <si>
    <t>missing</t>
  </si>
  <si>
    <t>Solid phase microextraction</t>
  </si>
  <si>
    <t>0.22 µm, PES</t>
  </si>
  <si>
    <t>0.22μm</t>
  </si>
  <si>
    <t>0.45 µm, PES</t>
  </si>
  <si>
    <t>0.45μm</t>
  </si>
  <si>
    <t>air-dried soil sample sieved in 2mm and 250 µm mesh by mechanical agitation.</t>
  </si>
  <si>
    <t>striking</t>
  </si>
  <si>
    <t>Hand-net (100 µm mesh size)</t>
  </si>
  <si>
    <t>channel across strata or layer</t>
  </si>
  <si>
    <t>channel through selected sub-interval of stratum or layer</t>
  </si>
  <si>
    <t>Manual-Hammer</t>
  </si>
  <si>
    <t>Collection method</t>
  </si>
  <si>
    <t>Wax Core</t>
  </si>
  <si>
    <t xml:space="preserve">Water displacment method </t>
  </si>
  <si>
    <t>water displacment method</t>
  </si>
  <si>
    <t>vibrating corer, auger head 5 cm outer/4,5 inner diameter</t>
  </si>
  <si>
    <t>Vegetation Community Plot Aboveground NPP Harvest</t>
  </si>
  <si>
    <t>Vacuum filtration</t>
  </si>
  <si>
    <t>the soil sample was sieved at &lt;250 µm by mechanical agitation.</t>
  </si>
  <si>
    <t>Syringe into soil enrichment</t>
  </si>
  <si>
    <t>Synthetic</t>
  </si>
  <si>
    <t>Suspended sediment sampler</t>
  </si>
  <si>
    <t>small core</t>
  </si>
  <si>
    <t>slide hammer corer</t>
  </si>
  <si>
    <t>short (30 cm) lake core using Universal Corer</t>
  </si>
  <si>
    <t>saw</t>
  </si>
  <si>
    <t>Rock Powder</t>
  </si>
  <si>
    <t>Retrieved in field and dried at 70 C before shipping to ORNL</t>
  </si>
  <si>
    <t>Pick</t>
  </si>
  <si>
    <t>Passive Filtration</t>
  </si>
  <si>
    <t>Oriented sample, collected with hammer, chisel.</t>
  </si>
  <si>
    <t>Non Oriented  sample, collected with hammer, chisel.</t>
  </si>
  <si>
    <t>Manuel&gt;Hammer</t>
  </si>
  <si>
    <t>manual&gt;hammer&gt; oriented</t>
  </si>
  <si>
    <t>Manual; rock hammer</t>
  </si>
  <si>
    <t>installed via soil auger according to Lawrence “Gas well instructions”</t>
  </si>
  <si>
    <t xml:space="preserve">Infrared heaters and  static chambers technique </t>
  </si>
  <si>
    <t>Individual Sample</t>
  </si>
  <si>
    <t>hand sampling</t>
  </si>
  <si>
    <t>hand bottle fill</t>
  </si>
  <si>
    <t>hand-picked clasts</t>
  </si>
  <si>
    <t>GRAB&gt;ROV</t>
  </si>
  <si>
    <t>GRAB&gt;HOV</t>
  </si>
  <si>
    <t>Grab sample</t>
  </si>
  <si>
    <t>Geoprobe 7822DT</t>
  </si>
  <si>
    <t>float sample from rock slide</t>
  </si>
  <si>
    <t>Filtration + acidification</t>
  </si>
  <si>
    <t>excavation of sub-aerial deposit</t>
  </si>
  <si>
    <t>drill core paleomag</t>
  </si>
  <si>
    <t>Dredge/MAPR</t>
  </si>
  <si>
    <t>direct from outcrop</t>
  </si>
  <si>
    <t>Core section</t>
  </si>
  <si>
    <t>Continental Drilling</t>
  </si>
  <si>
    <t xml:space="preserve">Collecting fresh outcrops by hammering and chiseling away weathered parts </t>
  </si>
  <si>
    <t>Collected predawn in field and dried at 70 C before shipping to ORNL</t>
  </si>
  <si>
    <t>Borehole</t>
  </si>
  <si>
    <t>Alvin Grab</t>
  </si>
  <si>
    <t xml:space="preserve">	Cut from American Museum of Natural History Mineral Collection # 100242</t>
  </si>
  <si>
    <t xml:space="preserve">	Coring&gt;HandHeldCorer</t>
  </si>
  <si>
    <t xml:space="preserve"> Shop bought - Northern Geological Supplies Ltd</t>
  </si>
  <si>
    <t xml:space="preserve"> Coring&gt;JumboPistonCorer</t>
  </si>
  <si>
    <t>method</t>
  </si>
  <si>
    <t>Column1</t>
  </si>
  <si>
    <t xml:space="preserve">extracted from trench wall by hand </t>
  </si>
  <si>
    <t>Column2</t>
  </si>
  <si>
    <t>Composite water sampling-filter w reagent</t>
  </si>
  <si>
    <t>Composite water sampling-filter</t>
  </si>
  <si>
    <t>Filtration residue sampling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</si>
</sst>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8"/>
      <name val="Aptos Narrow"/>
      <family val="2"/>
      <scheme val="minor"/>
    </font>
    <font>
      <sz val="11"/>
      <color indexed="81"/>
      <name val="Tahoma"/>
      <family val="2"/>
    </font>
    <font>
      <b/>
      <sz val="11"/>
      <color indexed="81"/>
      <name val="Tahoma"/>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theme="9"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9" tint="0.39997558519241921"/>
      </left>
      <right style="thin">
        <color theme="9" tint="0.39997558519241921"/>
      </right>
      <top style="thin">
        <color theme="9" tint="0.39997558519241921"/>
      </top>
      <bottom style="thin">
        <color theme="9"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2">
    <xf numFmtId="0" fontId="0" fillId="0" borderId="0" xfId="0"/>
    <xf numFmtId="0" fontId="0" fillId="0" borderId="0" xfId="0" applyAlignment="1">
      <alignment vertical="top" wrapText="1"/>
    </xf>
    <xf numFmtId="0" fontId="0" fillId="0" borderId="0" xfId="0" applyAlignment="1">
      <alignment horizontal="left" vertical="top" wrapText="1"/>
    </xf>
    <xf numFmtId="0" fontId="18" fillId="0" borderId="0" xfId="42" applyAlignment="1">
      <alignment horizontal="left" vertical="top" wrapText="1"/>
    </xf>
    <xf numFmtId="0" fontId="18" fillId="0" borderId="0" xfId="42" applyAlignment="1">
      <alignment vertical="top" wrapText="1"/>
    </xf>
    <xf numFmtId="0" fontId="0" fillId="0" borderId="0" xfId="0" applyAlignment="1">
      <alignment vertical="top"/>
    </xf>
    <xf numFmtId="0" fontId="0" fillId="33" borderId="0" xfId="0" applyFill="1"/>
    <xf numFmtId="0" fontId="0" fillId="0" borderId="10" xfId="0" applyBorder="1" applyAlignment="1">
      <alignment vertical="top"/>
    </xf>
    <xf numFmtId="0" fontId="0" fillId="0" borderId="0" xfId="0" applyBorder="1" applyAlignment="1">
      <alignment vertical="top"/>
    </xf>
    <xf numFmtId="0" fontId="0" fillId="33" borderId="0" xfId="0" applyFill="1" applyBorder="1"/>
    <xf numFmtId="0" fontId="0" fillId="0" borderId="0" xfId="0" applyAlignment="1"/>
    <xf numFmtId="0" fontId="0" fillId="0" borderId="0" xfId="0"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alcChain" Target="calcChain.xml"/><Relationship Id="rId5" Type="http://schemas.openxmlformats.org/officeDocument/2006/relationships/theme" Target="theme/theme1.xml"/><Relationship Id="rId10" Type="http://schemas.microsoft.com/office/2017/10/relationships/person" Target="persons/person.xml"/><Relationship Id="rId4" Type="http://schemas.openxmlformats.org/officeDocument/2006/relationships/externalLink" Target="externalLinks/externalLink1.xml"/><Relationship Id="rId9"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944a82e2ddcde9eb/Documents/GithubC/IEDA/sesar2/MigrationNotes_LookupTables/SamplingMethods/Sampling_method_vocab.xlsx" TargetMode="External"/><Relationship Id="rId1" Type="http://schemas.openxmlformats.org/officeDocument/2006/relationships/externalLinkPath" Target="Sampling_method_voca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amplingMethod"/>
      <sheetName val="Sheet1"/>
      <sheetName val="SamplingMethod-wParent"/>
    </sheetNames>
    <sheetDataSet>
      <sheetData sheetId="0">
        <row r="2">
          <cell r="A2">
            <v>64</v>
          </cell>
          <cell r="B2" t="str">
            <v>secm:ses200</v>
          </cell>
          <cell r="C2" t="str">
            <v>Agassiz trawl</v>
          </cell>
        </row>
        <row r="3">
          <cell r="A3">
            <v>21</v>
          </cell>
          <cell r="B3" t="str">
            <v>secm:core_air</v>
          </cell>
          <cell r="C3" t="str">
            <v>Air cooled core drilling</v>
          </cell>
        </row>
        <row r="4">
          <cell r="A4">
            <v>1</v>
          </cell>
          <cell r="B4" t="str">
            <v>secm:airfall_dust_collector</v>
          </cell>
          <cell r="C4" t="str">
            <v>Airfall dust collection</v>
          </cell>
        </row>
        <row r="5">
          <cell r="A5">
            <v>2</v>
          </cell>
          <cell r="B5" t="str">
            <v>secm:airlift</v>
          </cell>
          <cell r="C5" t="str">
            <v>Airlift water sampling</v>
          </cell>
        </row>
        <row r="6">
          <cell r="A6">
            <v>3</v>
          </cell>
          <cell r="B6" t="str">
            <v>secm:artesian_flow</v>
          </cell>
          <cell r="C6" t="str">
            <v>Artesian flow sampling</v>
          </cell>
        </row>
        <row r="7">
          <cell r="A7">
            <v>4</v>
          </cell>
          <cell r="B7" t="str">
            <v>secm:auger</v>
          </cell>
          <cell r="C7" t="str">
            <v>Auger</v>
          </cell>
        </row>
        <row r="8">
          <cell r="A8">
            <v>66</v>
          </cell>
          <cell r="B8" t="str">
            <v>secm:ses202</v>
          </cell>
          <cell r="C8" t="str">
            <v>Backhoe</v>
          </cell>
        </row>
        <row r="9">
          <cell r="A9">
            <v>67</v>
          </cell>
          <cell r="B9" t="str">
            <v>secm:ses203</v>
          </cell>
          <cell r="C9" t="str">
            <v>Beam trawl</v>
          </cell>
        </row>
        <row r="10">
          <cell r="A10">
            <v>39</v>
          </cell>
          <cell r="B10" t="str">
            <v>secm:epibenthic_sled</v>
          </cell>
          <cell r="C10" t="str">
            <v>Benthic sled sampling</v>
          </cell>
        </row>
        <row r="11">
          <cell r="A11">
            <v>6</v>
          </cell>
          <cell r="B11" t="str">
            <v>secm:benthic_trawl</v>
          </cell>
          <cell r="C11" t="str">
            <v>Benthic trawl</v>
          </cell>
        </row>
        <row r="12">
          <cell r="A12">
            <v>68</v>
          </cell>
          <cell r="B12" t="str">
            <v>secm:ses204</v>
          </cell>
          <cell r="C12" t="str">
            <v>Blake trawl</v>
          </cell>
        </row>
        <row r="13">
          <cell r="A13">
            <v>131</v>
          </cell>
          <cell r="B13" t="str">
            <v>secm:sm032</v>
          </cell>
          <cell r="C13" t="str">
            <v>Blasting</v>
          </cell>
        </row>
        <row r="14">
          <cell r="A14">
            <v>5</v>
          </cell>
          <cell r="B14" t="str">
            <v>secm:bailer</v>
          </cell>
          <cell r="C14" t="str">
            <v>Borehole bailer sampling</v>
          </cell>
        </row>
        <row r="15">
          <cell r="A15">
            <v>7</v>
          </cell>
          <cell r="B15" t="str">
            <v>secm:borehole_dst_test</v>
          </cell>
          <cell r="C15" t="str">
            <v>Borehole drill stem test</v>
          </cell>
        </row>
        <row r="16">
          <cell r="A16">
            <v>8</v>
          </cell>
          <cell r="B16" t="str">
            <v>secm:borehole_fluid_sampling</v>
          </cell>
          <cell r="C16" t="str">
            <v>Borehole fluid sampling</v>
          </cell>
        </row>
        <row r="17">
          <cell r="A17">
            <v>9</v>
          </cell>
          <cell r="B17" t="str">
            <v>secm:borehole_prod_test</v>
          </cell>
          <cell r="C17" t="str">
            <v>Borehole production test</v>
          </cell>
        </row>
        <row r="18">
          <cell r="A18">
            <v>11</v>
          </cell>
          <cell r="B18" t="str">
            <v>secm:boreholewaterpump</v>
          </cell>
          <cell r="C18" t="str">
            <v>Borehole water pumping</v>
          </cell>
        </row>
        <row r="19">
          <cell r="A19">
            <v>10</v>
          </cell>
          <cell r="B19" t="str">
            <v>secm:borehole_wft_test</v>
          </cell>
          <cell r="C19" t="str">
            <v>Borehole wireline formation test</v>
          </cell>
        </row>
        <row r="20">
          <cell r="A20">
            <v>12</v>
          </cell>
          <cell r="B20" t="str">
            <v>secm:bottle_incubation</v>
          </cell>
          <cell r="C20" t="str">
            <v>bottle incubation</v>
          </cell>
        </row>
        <row r="21">
          <cell r="A21">
            <v>13</v>
          </cell>
          <cell r="B21" t="str">
            <v>secm:bottle_incubation_dark</v>
          </cell>
          <cell r="C21" t="str">
            <v>bottle incubation dark</v>
          </cell>
        </row>
        <row r="22">
          <cell r="A22">
            <v>14</v>
          </cell>
          <cell r="B22" t="str">
            <v>secm:bottle_incubation_light</v>
          </cell>
          <cell r="C22" t="str">
            <v>bottle incubation light</v>
          </cell>
        </row>
        <row r="23">
          <cell r="A23">
            <v>124</v>
          </cell>
          <cell r="B23" t="str">
            <v>secm:sm025</v>
          </cell>
          <cell r="C23" t="str">
            <v>Box coring</v>
          </cell>
        </row>
        <row r="24">
          <cell r="A24">
            <v>16</v>
          </cell>
          <cell r="B24" t="str">
            <v>secm:cable_tool_drilling</v>
          </cell>
          <cell r="C24" t="str">
            <v>cable tool drilling</v>
          </cell>
        </row>
        <row r="25">
          <cell r="A25">
            <v>69</v>
          </cell>
          <cell r="B25" t="str">
            <v>secm:ses205</v>
          </cell>
          <cell r="C25" t="str">
            <v>Campbell grab sampling</v>
          </cell>
        </row>
        <row r="26">
          <cell r="A26">
            <v>70</v>
          </cell>
          <cell r="B26" t="str">
            <v>secm:ses206</v>
          </cell>
          <cell r="C26" t="str">
            <v>Cartridge filter filtrate</v>
          </cell>
        </row>
        <row r="27">
          <cell r="A27">
            <v>71</v>
          </cell>
          <cell r="B27" t="str">
            <v>secm:ses207</v>
          </cell>
          <cell r="C27" t="str">
            <v>Cartridge filter residue</v>
          </cell>
        </row>
        <row r="28">
          <cell r="A28">
            <v>104</v>
          </cell>
          <cell r="B28" t="str">
            <v>secm:sm006</v>
          </cell>
          <cell r="C28" t="str">
            <v>Chain bag dredge</v>
          </cell>
        </row>
        <row r="29">
          <cell r="A29">
            <v>72</v>
          </cell>
          <cell r="B29" t="str">
            <v>secm:ses208</v>
          </cell>
          <cell r="C29" t="str">
            <v>Chain saw</v>
          </cell>
        </row>
        <row r="30">
          <cell r="A30">
            <v>17</v>
          </cell>
          <cell r="B30" t="str">
            <v>secm:chamber_incubation</v>
          </cell>
          <cell r="C30" t="str">
            <v>Chamber incubation</v>
          </cell>
        </row>
        <row r="31">
          <cell r="A31">
            <v>18</v>
          </cell>
          <cell r="B31" t="str">
            <v>secm:chamber_incubation_dark</v>
          </cell>
          <cell r="C31" t="str">
            <v>chamber incubation dark</v>
          </cell>
        </row>
        <row r="32">
          <cell r="A32">
            <v>19</v>
          </cell>
          <cell r="B32" t="str">
            <v>secm:chamber_incubation_light</v>
          </cell>
          <cell r="C32" t="str">
            <v>chamber incubation light</v>
          </cell>
        </row>
        <row r="33">
          <cell r="A33">
            <v>114</v>
          </cell>
          <cell r="B33" t="str">
            <v>secm:sm015</v>
          </cell>
          <cell r="C33" t="str">
            <v>Channel sampling</v>
          </cell>
        </row>
        <row r="34">
          <cell r="A34">
            <v>20</v>
          </cell>
          <cell r="B34" t="str">
            <v>secm:chemicalseparation</v>
          </cell>
          <cell r="C34" t="str">
            <v>Chemical separation</v>
          </cell>
        </row>
        <row r="35">
          <cell r="A35">
            <v>73</v>
          </cell>
          <cell r="B35" t="str">
            <v>secm:ses210</v>
          </cell>
          <cell r="C35" t="str">
            <v>Chip sampling</v>
          </cell>
        </row>
        <row r="36">
          <cell r="A36">
            <v>115</v>
          </cell>
          <cell r="B36" t="str">
            <v>secm:sm016</v>
          </cell>
          <cell r="C36" t="str">
            <v>Collected from outcrop</v>
          </cell>
        </row>
        <row r="37">
          <cell r="A37">
            <v>108</v>
          </cell>
          <cell r="B37" t="str">
            <v>secm:sm010</v>
          </cell>
          <cell r="C37" t="str">
            <v>Composite water sampling</v>
          </cell>
        </row>
        <row r="38">
          <cell r="A38">
            <v>102</v>
          </cell>
          <cell r="B38" t="str">
            <v>secm:sm003</v>
          </cell>
          <cell r="C38" t="str">
            <v>Composite water sampling-filter w reagent</v>
          </cell>
        </row>
        <row r="39">
          <cell r="A39">
            <v>100</v>
          </cell>
          <cell r="B39" t="str">
            <v>secm:sm001</v>
          </cell>
          <cell r="C39" t="str">
            <v>Composite water sampling- w reagent</v>
          </cell>
        </row>
        <row r="40">
          <cell r="A40">
            <v>101</v>
          </cell>
          <cell r="B40" t="str">
            <v>secm:sm002</v>
          </cell>
          <cell r="C40" t="str">
            <v>Composite water sampling-filter</v>
          </cell>
        </row>
        <row r="41">
          <cell r="A41">
            <v>15</v>
          </cell>
          <cell r="B41" t="str">
            <v>secm:bottlesampling</v>
          </cell>
          <cell r="C41" t="str">
            <v>Container sampling</v>
          </cell>
        </row>
        <row r="42">
          <cell r="A42">
            <v>22</v>
          </cell>
          <cell r="B42" t="str">
            <v>secm:core_catcher</v>
          </cell>
          <cell r="C42" t="str">
            <v>Core catcher</v>
          </cell>
        </row>
        <row r="43">
          <cell r="A43">
            <v>23</v>
          </cell>
          <cell r="B43" t="str">
            <v>secm:core_conventional</v>
          </cell>
          <cell r="C43" t="str">
            <v>Core conventional</v>
          </cell>
        </row>
        <row r="44">
          <cell r="A44">
            <v>24</v>
          </cell>
          <cell r="B44" t="str">
            <v>secm:core_cutter</v>
          </cell>
          <cell r="C44" t="str">
            <v>Core cutter</v>
          </cell>
        </row>
        <row r="45">
          <cell r="A45">
            <v>26</v>
          </cell>
          <cell r="B45" t="str">
            <v>secm:core_drilling_unspecified</v>
          </cell>
          <cell r="C45" t="str">
            <v>Core drilling</v>
          </cell>
        </row>
        <row r="46">
          <cell r="A46">
            <v>28</v>
          </cell>
          <cell r="B46" t="str">
            <v>secm:core_incubation_dark</v>
          </cell>
          <cell r="C46" t="str">
            <v>core incubation dark</v>
          </cell>
        </row>
        <row r="47">
          <cell r="A47">
            <v>29</v>
          </cell>
          <cell r="B47" t="str">
            <v>secm:core_incubation_light</v>
          </cell>
          <cell r="C47" t="str">
            <v>core incubation light</v>
          </cell>
        </row>
        <row r="48">
          <cell r="A48">
            <v>30</v>
          </cell>
          <cell r="B48" t="str">
            <v>secm:core_mackereth</v>
          </cell>
          <cell r="C48" t="str">
            <v>core Mackereth</v>
          </cell>
        </row>
        <row r="49">
          <cell r="A49">
            <v>95</v>
          </cell>
          <cell r="B49" t="str">
            <v>secm:ses234</v>
          </cell>
          <cell r="C49" t="str">
            <v>Core preserved with wax</v>
          </cell>
        </row>
        <row r="50">
          <cell r="A50">
            <v>31</v>
          </cell>
          <cell r="B50" t="str">
            <v>secm:core_press</v>
          </cell>
          <cell r="C50" t="str">
            <v>core press</v>
          </cell>
        </row>
        <row r="51">
          <cell r="A51">
            <v>35</v>
          </cell>
          <cell r="B51" t="str">
            <v>secm:core_spike</v>
          </cell>
          <cell r="C51" t="str">
            <v>core spike</v>
          </cell>
        </row>
        <row r="52">
          <cell r="A52">
            <v>140</v>
          </cell>
          <cell r="B52" t="str">
            <v>secm:sm041</v>
          </cell>
          <cell r="C52" t="str">
            <v>Coring</v>
          </cell>
        </row>
        <row r="53">
          <cell r="A53">
            <v>33</v>
          </cell>
          <cell r="B53" t="str">
            <v>secm:core_rov</v>
          </cell>
          <cell r="C53" t="str">
            <v>Coring from submersible</v>
          </cell>
        </row>
        <row r="54">
          <cell r="A54">
            <v>36</v>
          </cell>
          <cell r="B54" t="str">
            <v>secm:densityseparation</v>
          </cell>
          <cell r="C54" t="str">
            <v>Density separation</v>
          </cell>
        </row>
        <row r="55">
          <cell r="A55">
            <v>25</v>
          </cell>
          <cell r="B55" t="str">
            <v>secm:core_diamond</v>
          </cell>
          <cell r="C55" t="str">
            <v>Diamond bit drill coring</v>
          </cell>
        </row>
        <row r="56">
          <cell r="A56">
            <v>37</v>
          </cell>
          <cell r="B56" t="str">
            <v>secm:diamantina_dredge</v>
          </cell>
          <cell r="C56" t="str">
            <v>dredge diamantina</v>
          </cell>
        </row>
        <row r="57">
          <cell r="A57">
            <v>56</v>
          </cell>
          <cell r="B57" t="str">
            <v>secm:pipe_dredge</v>
          </cell>
          <cell r="C57" t="str">
            <v>dredge pipe</v>
          </cell>
        </row>
        <row r="58">
          <cell r="A58">
            <v>132</v>
          </cell>
          <cell r="B58" t="str">
            <v>secm:sm033</v>
          </cell>
          <cell r="C58" t="str">
            <v>Dredge sampling</v>
          </cell>
        </row>
        <row r="59">
          <cell r="A59">
            <v>38</v>
          </cell>
          <cell r="B59" t="str">
            <v>secm:drilling</v>
          </cell>
          <cell r="C59" t="str">
            <v>Drilling</v>
          </cell>
        </row>
        <row r="60">
          <cell r="A60">
            <v>109</v>
          </cell>
          <cell r="B60" t="str">
            <v>secm:sm011</v>
          </cell>
          <cell r="C60" t="str">
            <v>Evacuated bottle gas sampling</v>
          </cell>
        </row>
        <row r="61">
          <cell r="A61">
            <v>40</v>
          </cell>
          <cell r="B61" t="str">
            <v>secm:field_mapping_observation</v>
          </cell>
          <cell r="C61" t="str">
            <v>Field mapping survey</v>
          </cell>
        </row>
        <row r="62">
          <cell r="A62">
            <v>41</v>
          </cell>
          <cell r="B62" t="str">
            <v>secm:filtered_dust_collector</v>
          </cell>
          <cell r="C62" t="str">
            <v>Filtered dust collector</v>
          </cell>
        </row>
        <row r="63">
          <cell r="A63">
            <v>42</v>
          </cell>
          <cell r="B63" t="str">
            <v>secm:filtration</v>
          </cell>
          <cell r="C63" t="str">
            <v>Filtration residue sampling</v>
          </cell>
        </row>
        <row r="64">
          <cell r="A64">
            <v>110</v>
          </cell>
          <cell r="B64" t="str">
            <v>secm:sm012</v>
          </cell>
          <cell r="C64" t="str">
            <v>Flow through bottle gas sampling</v>
          </cell>
        </row>
        <row r="65">
          <cell r="A65">
            <v>141</v>
          </cell>
          <cell r="B65" t="str">
            <v>secm:sm043</v>
          </cell>
          <cell r="C65" t="str">
            <v>Fluid sampling</v>
          </cell>
        </row>
        <row r="66">
          <cell r="A66">
            <v>43</v>
          </cell>
          <cell r="B66" t="str">
            <v>secm:freefallcoring</v>
          </cell>
          <cell r="C66" t="str">
            <v>Free fall coring</v>
          </cell>
        </row>
        <row r="67">
          <cell r="A67">
            <v>111</v>
          </cell>
          <cell r="B67" t="str">
            <v>secm:sm013</v>
          </cell>
          <cell r="C67" t="str">
            <v>Gas sampling</v>
          </cell>
        </row>
        <row r="68">
          <cell r="A68">
            <v>76</v>
          </cell>
          <cell r="B68" t="str">
            <v>secm:ses214</v>
          </cell>
          <cell r="C68" t="str">
            <v>Gas tight bottle sampling</v>
          </cell>
        </row>
        <row r="69">
          <cell r="A69">
            <v>27</v>
          </cell>
          <cell r="B69" t="str">
            <v>secm:core_geoprobe</v>
          </cell>
          <cell r="C69" t="str">
            <v>Geoprobe coring</v>
          </cell>
        </row>
        <row r="70">
          <cell r="A70">
            <v>77</v>
          </cell>
          <cell r="B70" t="str">
            <v>secm:ses215</v>
          </cell>
          <cell r="C70" t="str">
            <v>Ghostbuster fluid sampler</v>
          </cell>
        </row>
        <row r="71">
          <cell r="A71">
            <v>44</v>
          </cell>
          <cell r="B71" t="str">
            <v>secm:grab_eckman</v>
          </cell>
          <cell r="C71" t="str">
            <v>grab Eckman</v>
          </cell>
        </row>
        <row r="72">
          <cell r="A72">
            <v>133</v>
          </cell>
          <cell r="B72" t="str">
            <v>secm:sm034</v>
          </cell>
          <cell r="C72" t="str">
            <v>Grab from trench or pit</v>
          </cell>
        </row>
        <row r="73">
          <cell r="A73">
            <v>45</v>
          </cell>
          <cell r="B73" t="str">
            <v>secm:grab_shipek</v>
          </cell>
          <cell r="C73" t="str">
            <v>grab Shipek</v>
          </cell>
        </row>
        <row r="74">
          <cell r="A74">
            <v>48</v>
          </cell>
          <cell r="B74" t="str">
            <v>secm:grainsize_separation</v>
          </cell>
          <cell r="C74" t="str">
            <v>Grain size separation</v>
          </cell>
        </row>
        <row r="75">
          <cell r="A75">
            <v>125</v>
          </cell>
          <cell r="B75" t="str">
            <v>secm:sm026</v>
          </cell>
          <cell r="C75" t="str">
            <v>Gravity coring</v>
          </cell>
        </row>
        <row r="76">
          <cell r="A76">
            <v>78</v>
          </cell>
          <cell r="B76" t="str">
            <v>secm:ses216</v>
          </cell>
          <cell r="C76" t="str">
            <v>Hammer from outcrop</v>
          </cell>
        </row>
        <row r="77">
          <cell r="A77">
            <v>79</v>
          </cell>
          <cell r="B77" t="str">
            <v>secm:ses217</v>
          </cell>
          <cell r="C77" t="str">
            <v>Hand auger</v>
          </cell>
        </row>
        <row r="78">
          <cell r="A78">
            <v>105</v>
          </cell>
          <cell r="B78" t="str">
            <v>secm:sm007</v>
          </cell>
          <cell r="C78" t="str">
            <v>Hand auger coring</v>
          </cell>
        </row>
        <row r="79">
          <cell r="A79">
            <v>126</v>
          </cell>
          <cell r="B79" t="str">
            <v>secm:sm027</v>
          </cell>
          <cell r="C79" t="str">
            <v>Hand held coring</v>
          </cell>
        </row>
        <row r="80">
          <cell r="A80">
            <v>80</v>
          </cell>
          <cell r="B80" t="str">
            <v>secm:ses218</v>
          </cell>
          <cell r="C80" t="str">
            <v>Human grab from surface</v>
          </cell>
        </row>
        <row r="81">
          <cell r="A81">
            <v>106</v>
          </cell>
          <cell r="B81" t="str">
            <v>secm:sm008</v>
          </cell>
          <cell r="C81" t="str">
            <v>Inverted funnel evacuated bottle gas collection</v>
          </cell>
        </row>
        <row r="82">
          <cell r="A82">
            <v>107</v>
          </cell>
          <cell r="B82" t="str">
            <v>secm:sm009</v>
          </cell>
          <cell r="C82" t="str">
            <v>Inverted funnel flow thru bottle gas collection</v>
          </cell>
        </row>
        <row r="83">
          <cell r="A83">
            <v>82</v>
          </cell>
          <cell r="B83" t="str">
            <v>secm:ses221</v>
          </cell>
          <cell r="C83" t="str">
            <v>Kasten coring</v>
          </cell>
        </row>
        <row r="84">
          <cell r="A84">
            <v>139</v>
          </cell>
          <cell r="B84" t="str">
            <v>secm:sm040</v>
          </cell>
          <cell r="C84" t="str">
            <v>Lag sample</v>
          </cell>
        </row>
        <row r="85">
          <cell r="A85">
            <v>50</v>
          </cell>
          <cell r="B85" t="str">
            <v>secm:liquid-gas_separation</v>
          </cell>
          <cell r="C85" t="str">
            <v>Liquid-gas separation</v>
          </cell>
        </row>
        <row r="86">
          <cell r="A86">
            <v>51</v>
          </cell>
          <cell r="B86" t="str">
            <v>secm:lysimeter</v>
          </cell>
          <cell r="C86" t="str">
            <v>Lysimeter water collection</v>
          </cell>
        </row>
        <row r="87">
          <cell r="A87">
            <v>134</v>
          </cell>
          <cell r="B87" t="str">
            <v>secm:sm035</v>
          </cell>
          <cell r="C87" t="str">
            <v>Manual grab</v>
          </cell>
        </row>
        <row r="88">
          <cell r="A88">
            <v>116</v>
          </cell>
          <cell r="B88" t="str">
            <v>secm:sm017</v>
          </cell>
          <cell r="C88" t="str">
            <v>Manual surface grab</v>
          </cell>
        </row>
        <row r="89">
          <cell r="A89">
            <v>83</v>
          </cell>
          <cell r="B89" t="str">
            <v>secm:ses222</v>
          </cell>
          <cell r="C89" t="str">
            <v>Mechanical grab from surface</v>
          </cell>
        </row>
        <row r="90">
          <cell r="A90">
            <v>84</v>
          </cell>
          <cell r="B90" t="str">
            <v>secm:ses223</v>
          </cell>
          <cell r="C90" t="str">
            <v>Menzie trawl</v>
          </cell>
        </row>
        <row r="91">
          <cell r="A91">
            <v>52</v>
          </cell>
          <cell r="B91" t="str">
            <v>secm:microanalyticsampling</v>
          </cell>
          <cell r="C91" t="str">
            <v>Microanalytic sampling</v>
          </cell>
        </row>
        <row r="92">
          <cell r="A92">
            <v>85</v>
          </cell>
          <cell r="B92" t="str">
            <v>secm:ses224</v>
          </cell>
          <cell r="C92" t="str">
            <v>Micropillar sampling</v>
          </cell>
        </row>
        <row r="93">
          <cell r="A93">
            <v>127</v>
          </cell>
          <cell r="B93" t="str">
            <v>secm:sm028</v>
          </cell>
          <cell r="C93" t="str">
            <v>Multi coring</v>
          </cell>
        </row>
        <row r="94">
          <cell r="A94">
            <v>86</v>
          </cell>
          <cell r="B94" t="str">
            <v>secm:ses225</v>
          </cell>
          <cell r="C94" t="str">
            <v>Niskin bottle</v>
          </cell>
        </row>
        <row r="95">
          <cell r="A95">
            <v>142</v>
          </cell>
          <cell r="B95" t="str">
            <v>secm:sm044</v>
          </cell>
          <cell r="C95" t="str">
            <v>Other sampling procedure</v>
          </cell>
        </row>
        <row r="96">
          <cell r="A96">
            <v>53</v>
          </cell>
          <cell r="B96" t="str">
            <v>secm:outcrop_sampling</v>
          </cell>
          <cell r="C96" t="str">
            <v>Outcrop sampling</v>
          </cell>
        </row>
        <row r="97">
          <cell r="A97">
            <v>118</v>
          </cell>
          <cell r="B97" t="str">
            <v>secm:sm019</v>
          </cell>
          <cell r="C97" t="str">
            <v>Panned concentrate sampling</v>
          </cell>
        </row>
        <row r="98">
          <cell r="A98">
            <v>54</v>
          </cell>
          <cell r="B98" t="str">
            <v>secm:percussion_drilling</v>
          </cell>
          <cell r="C98" t="str">
            <v>Percussion drilling</v>
          </cell>
        </row>
        <row r="99">
          <cell r="A99">
            <v>97</v>
          </cell>
          <cell r="B99" t="str">
            <v>secm:sidewall_core_bullet</v>
          </cell>
          <cell r="C99" t="str">
            <v>Percussion sidewall coring</v>
          </cell>
        </row>
        <row r="100">
          <cell r="A100">
            <v>55</v>
          </cell>
          <cell r="B100" t="str">
            <v>secm:phlegercoring</v>
          </cell>
          <cell r="C100" t="str">
            <v>Phleger coring</v>
          </cell>
        </row>
        <row r="101">
          <cell r="A101">
            <v>128</v>
          </cell>
          <cell r="B101" t="str">
            <v>secm:sm029</v>
          </cell>
          <cell r="C101" t="str">
            <v>Piston coring</v>
          </cell>
        </row>
        <row r="102">
          <cell r="A102">
            <v>57</v>
          </cell>
          <cell r="B102" t="str">
            <v>secm:pit_or_trench_sampling</v>
          </cell>
          <cell r="C102" t="str">
            <v>Pit or trench sampling</v>
          </cell>
        </row>
        <row r="103">
          <cell r="A103">
            <v>49</v>
          </cell>
          <cell r="B103" t="str">
            <v>secm:in_situ_grab_sampler</v>
          </cell>
          <cell r="C103" t="str">
            <v>Point souce bailer sampling</v>
          </cell>
        </row>
        <row r="104">
          <cell r="A104">
            <v>129</v>
          </cell>
          <cell r="B104" t="str">
            <v>secm:sm030</v>
          </cell>
          <cell r="C104" t="str">
            <v>Probe core</v>
          </cell>
        </row>
        <row r="105">
          <cell r="A105">
            <v>143</v>
          </cell>
          <cell r="B105" t="str">
            <v>secm:sm045</v>
          </cell>
          <cell r="C105" t="str">
            <v>Processed separation</v>
          </cell>
        </row>
        <row r="106">
          <cell r="A106">
            <v>87</v>
          </cell>
          <cell r="B106" t="str">
            <v>secm:ses226</v>
          </cell>
          <cell r="C106" t="str">
            <v>Pulverize</v>
          </cell>
        </row>
        <row r="107">
          <cell r="A107">
            <v>58</v>
          </cell>
          <cell r="B107" t="str">
            <v>secm:pumpsampling</v>
          </cell>
          <cell r="C107" t="str">
            <v>Pump sampling</v>
          </cell>
        </row>
        <row r="108">
          <cell r="A108">
            <v>32</v>
          </cell>
          <cell r="B108" t="str">
            <v>secm:core_push</v>
          </cell>
          <cell r="C108" t="str">
            <v>Push coring</v>
          </cell>
        </row>
        <row r="109">
          <cell r="A109">
            <v>59</v>
          </cell>
          <cell r="B109" t="str">
            <v>secm:rab_drilling</v>
          </cell>
          <cell r="C109" t="str">
            <v>RAB drilling</v>
          </cell>
        </row>
        <row r="110">
          <cell r="A110">
            <v>60</v>
          </cell>
          <cell r="B110" t="str">
            <v>secm:rain_gauge</v>
          </cell>
          <cell r="C110" t="str">
            <v>Rain gauge</v>
          </cell>
        </row>
        <row r="111">
          <cell r="A111">
            <v>61</v>
          </cell>
          <cell r="B111" t="str">
            <v>secm:reverse_circulation_drilling</v>
          </cell>
          <cell r="C111" t="str">
            <v>reverse circulation drilling</v>
          </cell>
        </row>
        <row r="112">
          <cell r="A112">
            <v>62</v>
          </cell>
          <cell r="B112" t="str">
            <v>secm:rotary_drilling</v>
          </cell>
          <cell r="C112" t="str">
            <v>Rotary drilling</v>
          </cell>
        </row>
        <row r="113">
          <cell r="A113">
            <v>63</v>
          </cell>
          <cell r="B113" t="str">
            <v>secm:rotary_hammer_drilling</v>
          </cell>
          <cell r="C113" t="str">
            <v>Rotary hammer drilling</v>
          </cell>
        </row>
        <row r="114">
          <cell r="A114">
            <v>98</v>
          </cell>
          <cell r="B114" t="str">
            <v>secm:sidewall_core_mechanical</v>
          </cell>
          <cell r="C114" t="str">
            <v>Rotary sidewall coring</v>
          </cell>
        </row>
        <row r="115">
          <cell r="A115">
            <v>146</v>
          </cell>
          <cell r="B115" t="str">
            <v>secm:sm100</v>
          </cell>
          <cell r="C115" t="str">
            <v>Sampling method</v>
          </cell>
        </row>
        <row r="116">
          <cell r="A116">
            <v>88</v>
          </cell>
          <cell r="B116" t="str">
            <v>secm:ses227</v>
          </cell>
          <cell r="C116" t="str">
            <v>Scoop</v>
          </cell>
        </row>
        <row r="117">
          <cell r="A117">
            <v>135</v>
          </cell>
          <cell r="B117" t="str">
            <v>secm:sm036</v>
          </cell>
          <cell r="C117" t="str">
            <v>Sediment grab</v>
          </cell>
        </row>
        <row r="118">
          <cell r="A118">
            <v>117</v>
          </cell>
          <cell r="B118" t="str">
            <v>secm:sm018</v>
          </cell>
          <cell r="C118" t="str">
            <v>Sediment trap</v>
          </cell>
        </row>
        <row r="119">
          <cell r="A119">
            <v>147</v>
          </cell>
          <cell r="B119" t="str">
            <v>secm:sm200</v>
          </cell>
          <cell r="C119" t="str">
            <v>Sediment water incubation sampling</v>
          </cell>
        </row>
        <row r="120">
          <cell r="A120">
            <v>89</v>
          </cell>
          <cell r="B120" t="str">
            <v>secm:ses228</v>
          </cell>
          <cell r="C120" t="str">
            <v>Settlement plate</v>
          </cell>
        </row>
        <row r="121">
          <cell r="A121">
            <v>90</v>
          </cell>
          <cell r="B121" t="str">
            <v>secm:ses229</v>
          </cell>
          <cell r="C121" t="str">
            <v>Shaker table</v>
          </cell>
        </row>
        <row r="122">
          <cell r="A122">
            <v>91</v>
          </cell>
          <cell r="B122" t="str">
            <v>secm:ses230</v>
          </cell>
          <cell r="C122" t="str">
            <v>Shovel</v>
          </cell>
        </row>
        <row r="123">
          <cell r="A123">
            <v>96</v>
          </cell>
          <cell r="B123" t="str">
            <v>secm:sidewall_core</v>
          </cell>
          <cell r="C123" t="str">
            <v>Sidewall coring</v>
          </cell>
        </row>
        <row r="124">
          <cell r="A124">
            <v>92</v>
          </cell>
          <cell r="B124" t="str">
            <v>secm:ses231</v>
          </cell>
          <cell r="C124" t="str">
            <v>Sieved aggregate</v>
          </cell>
        </row>
        <row r="125">
          <cell r="A125">
            <v>93</v>
          </cell>
          <cell r="B125" t="str">
            <v>secm:ses232</v>
          </cell>
          <cell r="C125" t="str">
            <v>Slide hammer coring</v>
          </cell>
        </row>
        <row r="126">
          <cell r="A126">
            <v>99</v>
          </cell>
          <cell r="B126" t="str">
            <v>secm:slurpsampling</v>
          </cell>
          <cell r="C126" t="str">
            <v>Slurp sampling</v>
          </cell>
        </row>
        <row r="127">
          <cell r="A127">
            <v>46</v>
          </cell>
          <cell r="B127" t="str">
            <v>secm:grab_smith_mcintyre</v>
          </cell>
          <cell r="C127" t="str">
            <v>Smith Mcintyre grab sampling</v>
          </cell>
        </row>
        <row r="128">
          <cell r="A128">
            <v>103</v>
          </cell>
          <cell r="B128" t="str">
            <v>secm:sm005</v>
          </cell>
          <cell r="C128" t="str">
            <v>Soft material coring</v>
          </cell>
        </row>
        <row r="129">
          <cell r="A129">
            <v>34</v>
          </cell>
          <cell r="B129" t="str">
            <v>secm:core_sonic</v>
          </cell>
          <cell r="C129" t="str">
            <v>Sonic coring</v>
          </cell>
        </row>
        <row r="130">
          <cell r="A130">
            <v>119</v>
          </cell>
          <cell r="B130" t="str">
            <v>secm:sm020</v>
          </cell>
          <cell r="C130" t="str">
            <v>Split processed sample</v>
          </cell>
        </row>
        <row r="131">
          <cell r="A131">
            <v>144</v>
          </cell>
          <cell r="B131" t="str">
            <v>secm:sm046</v>
          </cell>
          <cell r="C131" t="str">
            <v>Splitting from bulk sample</v>
          </cell>
        </row>
        <row r="132">
          <cell r="A132">
            <v>136</v>
          </cell>
          <cell r="B132" t="str">
            <v>secm:sm037</v>
          </cell>
          <cell r="C132" t="str">
            <v>Stream sediment composite</v>
          </cell>
        </row>
        <row r="133">
          <cell r="A133">
            <v>137</v>
          </cell>
          <cell r="B133" t="str">
            <v>secm:sm038</v>
          </cell>
          <cell r="C133" t="str">
            <v>Stream sediment single grab</v>
          </cell>
        </row>
        <row r="134">
          <cell r="A134">
            <v>148</v>
          </cell>
          <cell r="B134" t="str">
            <v>secm:surface_material_sampling</v>
          </cell>
          <cell r="C134" t="str">
            <v>Subaerial surface sampling</v>
          </cell>
        </row>
        <row r="135">
          <cell r="A135">
            <v>75</v>
          </cell>
          <cell r="B135" t="str">
            <v>secm:ses213</v>
          </cell>
          <cell r="C135" t="str">
            <v>Subaqueous organism trap</v>
          </cell>
        </row>
        <row r="136">
          <cell r="A136">
            <v>65</v>
          </cell>
          <cell r="B136" t="str">
            <v>secm:ses201</v>
          </cell>
          <cell r="C136" t="str">
            <v>Submersible grab</v>
          </cell>
        </row>
        <row r="137">
          <cell r="A137">
            <v>94</v>
          </cell>
          <cell r="B137" t="str">
            <v>secm:ses233</v>
          </cell>
          <cell r="C137" t="str">
            <v>Suction sampler</v>
          </cell>
        </row>
        <row r="138">
          <cell r="A138">
            <v>145</v>
          </cell>
          <cell r="B138" t="str">
            <v>secm:sm047</v>
          </cell>
          <cell r="C138" t="str">
            <v>Surface grab</v>
          </cell>
        </row>
        <row r="139">
          <cell r="A139">
            <v>120</v>
          </cell>
          <cell r="B139" t="str">
            <v>secm:sm021</v>
          </cell>
          <cell r="C139" t="str">
            <v>Suspended sediment separate</v>
          </cell>
        </row>
        <row r="140">
          <cell r="A140">
            <v>74</v>
          </cell>
          <cell r="B140" t="str">
            <v>secm:ses212</v>
          </cell>
          <cell r="C140" t="str">
            <v>Syringe sampling</v>
          </cell>
        </row>
        <row r="141">
          <cell r="A141">
            <v>149</v>
          </cell>
          <cell r="B141" t="str">
            <v>secm:trawlsampling</v>
          </cell>
          <cell r="C141" t="str">
            <v>Trawl sampling</v>
          </cell>
        </row>
        <row r="142">
          <cell r="A142">
            <v>81</v>
          </cell>
          <cell r="B142" t="str">
            <v>secm:ses220</v>
          </cell>
          <cell r="C142" t="str">
            <v>Trigger coring</v>
          </cell>
        </row>
        <row r="143">
          <cell r="A143">
            <v>150</v>
          </cell>
          <cell r="B143" t="str">
            <v>secm:undergound_mine_sampling</v>
          </cell>
          <cell r="C143" t="str">
            <v>Undergound mine sampling</v>
          </cell>
        </row>
        <row r="144">
          <cell r="A144">
            <v>151</v>
          </cell>
          <cell r="B144" t="str">
            <v>secm:unknown</v>
          </cell>
          <cell r="C144" t="str">
            <v>unknown</v>
          </cell>
        </row>
        <row r="145">
          <cell r="A145">
            <v>152</v>
          </cell>
          <cell r="B145" t="str">
            <v>secm:vacuumporewatersampling</v>
          </cell>
          <cell r="C145" t="str">
            <v>Vacuum pore water sampling</v>
          </cell>
        </row>
        <row r="146">
          <cell r="A146">
            <v>47</v>
          </cell>
          <cell r="B146" t="str">
            <v>secm:grab_van_veen</v>
          </cell>
          <cell r="C146" t="str">
            <v>Van Veen grab sampling</v>
          </cell>
        </row>
        <row r="147">
          <cell r="A147">
            <v>130</v>
          </cell>
          <cell r="B147" t="str">
            <v>secm:sm031</v>
          </cell>
          <cell r="C147" t="str">
            <v>Vibrator coring</v>
          </cell>
        </row>
        <row r="148">
          <cell r="A148">
            <v>138</v>
          </cell>
          <cell r="B148" t="str">
            <v>secm:sm039</v>
          </cell>
          <cell r="C148" t="str">
            <v>Water body bottom grab</v>
          </cell>
        </row>
        <row r="149">
          <cell r="A149">
            <v>153</v>
          </cell>
          <cell r="B149" t="str">
            <v>secm:waterbodysampling</v>
          </cell>
          <cell r="C149" t="str">
            <v>Water body survey sampling</v>
          </cell>
        </row>
        <row r="150">
          <cell r="A150">
            <v>154</v>
          </cell>
          <cell r="B150" t="str">
            <v>secm:waterbodywatersampling</v>
          </cell>
          <cell r="C150" t="str">
            <v>Water body water sampling</v>
          </cell>
        </row>
        <row r="151">
          <cell r="A151">
            <v>112</v>
          </cell>
          <cell r="B151" t="str">
            <v>secm:sm014</v>
          </cell>
          <cell r="C151" t="str">
            <v>Water sampling</v>
          </cell>
        </row>
        <row r="152">
          <cell r="A152">
            <v>113</v>
          </cell>
          <cell r="B152" t="str">
            <v>secm:sm014</v>
          </cell>
          <cell r="C152" t="str">
            <v>Water sampling</v>
          </cell>
        </row>
        <row r="153">
          <cell r="A153">
            <v>121</v>
          </cell>
          <cell r="B153" t="str">
            <v>secm:sm022</v>
          </cell>
          <cell r="C153" t="str">
            <v>Water sampling- preserve with reagent</v>
          </cell>
        </row>
        <row r="154">
          <cell r="A154">
            <v>122</v>
          </cell>
          <cell r="B154" t="str">
            <v>secm:sm023</v>
          </cell>
          <cell r="C154" t="str">
            <v>Water sampling-filter</v>
          </cell>
        </row>
        <row r="155">
          <cell r="A155">
            <v>123</v>
          </cell>
          <cell r="B155" t="str">
            <v>secm:sm024</v>
          </cell>
          <cell r="C155" t="str">
            <v>Water sampling-filter and preserve with reagent</v>
          </cell>
        </row>
        <row r="156">
          <cell r="A156">
            <v>155</v>
          </cell>
          <cell r="B156" t="str">
            <v>secm:waxcoring</v>
          </cell>
          <cell r="C156" t="str">
            <v>Wax coring</v>
          </cell>
        </row>
        <row r="157">
          <cell r="A157">
            <v>156</v>
          </cell>
          <cell r="B157" t="str">
            <v>secm:ctd_sampler</v>
          </cell>
          <cell r="C157" t="str">
            <v>CTD sampler</v>
          </cell>
        </row>
        <row r="158">
          <cell r="A158">
            <v>157</v>
          </cell>
          <cell r="C158" t="str">
            <v>missing</v>
          </cell>
        </row>
        <row r="159">
          <cell r="A159">
            <v>158</v>
          </cell>
          <cell r="B159" t="str">
            <v>secm:spme</v>
          </cell>
          <cell r="C159" t="str">
            <v>Solid phase microextraction</v>
          </cell>
        </row>
      </sheetData>
      <sheetData sheetId="1"/>
      <sheetData sheetId="2"/>
    </sheetDataSet>
  </externalBook>
</externalLink>
</file>

<file path=xl/persons/person.xml><?xml version="1.0" encoding="utf-8"?>
<personList xmlns="http://schemas.microsoft.com/office/spreadsheetml/2018/threadedcomments" xmlns:x="http://schemas.openxmlformats.org/spreadsheetml/2006/main">
  <person displayName="Stephen Richard" id="{09614222-C351-4B5D-8417-1CCC7A55B43E}" userId="944a82e2ddcde9eb" providerId="Windows Live"/>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893CAA9-458F-4342-B633-BDA2DD92F1D8}" autoFormatId="16" applyNumberFormats="0" applyBorderFormats="0" applyFontFormats="0" applyPatternFormats="0" applyAlignmentFormats="0" applyWidthHeightFormats="0">
  <queryTableRefresh nextId="3" unboundColumnsRight="1">
    <queryTableFields count="2">
      <queryTableField id="1" name="Column1" tableColumnId="1"/>
      <queryTableField id="2" dataBound="0" tableColumnId="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84A7A9-07A0-4B3A-9FE2-3CED6BB496F9}" name="collectionMethodDistinct" displayName="collectionMethodDistinct" ref="A1:B646" tableType="queryTable" totalsRowShown="0">
  <autoFilter ref="A1:B646" xr:uid="{DBA951D5-0DCC-40C4-BB83-DF1C680BE88B}">
    <filterColumn colId="1">
      <filters blank="1"/>
    </filterColumn>
  </autoFilter>
  <tableColumns count="2">
    <tableColumn id="1" xr3:uid="{C0E3F46F-1415-4483-B58E-75D730DA9178}" uniqueName="1" name="Column1" queryTableFieldId="1" dataDxfId="1"/>
    <tableColumn id="2" xr3:uid="{8726EA42-2739-49D7-9A76-645F09501169}" uniqueName="2" name="Column2" queryTableFieldId="2" dataDxfId="0">
      <calculatedColumnFormula>IFERROR(INDEX(samplemethodlookup!$A$2:$D$648,MATCH(collectionMethodDistinct[[#This Row],[Column1]],samplemethodlookup!$A$2:$A$648,FALSE),1),"")</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32" dT="2024-09-11T20:52:52.28" personId="{09614222-C351-4B5D-8417-1CCC7A55B43E}" id="{D2AB94BB-B2D8-4C23-9FB0-183BDF470699}">
    <text>Vocab tab content converted to SKOS and ;merged with Geoscience Australia collection methods, with some input from SeaDataNet collection methods</text>
  </threadedComment>
  <threadedComment ref="C42" dT="2024-09-11T16:02:46.71" personId="{09614222-C351-4B5D-8417-1CCC7A55B43E}" id="{26A5164B-296B-4FAC-A1B9-B28A198E859B}">
    <text>File based on CGI GTWG sampling method draft (~2013), updated for Minerva Mine match project 2020</text>
  </threadedComment>
</ThreadedComments>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hyperlink" Target="http://volcanoes.usgs.gov/activity/methods/gas/sample.php" TargetMode="External"/><Relationship Id="rId7" Type="http://schemas.microsoft.com/office/2017/10/relationships/threadedComment" Target="../threadedComments/threadedComment1.xml"/><Relationship Id="rId2" Type="http://schemas.openxmlformats.org/officeDocument/2006/relationships/hyperlink" Target="http://volcanoes.usgs.gov/activity/methods/gas/sample.php" TargetMode="External"/><Relationship Id="rId1" Type="http://schemas.openxmlformats.org/officeDocument/2006/relationships/hyperlink" Target="http://www.deepreef.org/technology/9-grab.html" TargetMode="Externa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hyperlink" Target="http://www.azdeq.gov/environ/water/assessment/download/sampling.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8F11A-0DAB-407D-8C38-3C8B3146DC4C}">
  <dimension ref="A1:G646"/>
  <sheetViews>
    <sheetView tabSelected="1" workbookViewId="0">
      <pane ySplit="1" topLeftCell="A2" activePane="bottomLeft" state="frozen"/>
      <selection pane="bottomLeft" activeCell="G2" sqref="G2"/>
    </sheetView>
  </sheetViews>
  <sheetFormatPr defaultRowHeight="15" x14ac:dyDescent="0.25"/>
  <cols>
    <col min="1" max="1" width="72.42578125" customWidth="1"/>
    <col min="2" max="2" width="34.140625" customWidth="1"/>
    <col min="3" max="3" width="27.85546875" bestFit="1" customWidth="1"/>
    <col min="4" max="4" width="21.140625" customWidth="1"/>
    <col min="5" max="5" width="21.85546875" customWidth="1"/>
    <col min="6" max="6" width="21.140625" customWidth="1"/>
  </cols>
  <sheetData>
    <row r="1" spans="1:7" x14ac:dyDescent="0.25">
      <c r="A1" s="5" t="s">
        <v>0</v>
      </c>
      <c r="B1" s="5" t="s">
        <v>888</v>
      </c>
      <c r="C1" s="5" t="s">
        <v>897</v>
      </c>
      <c r="D1" s="5" t="s">
        <v>898</v>
      </c>
      <c r="E1" s="5" t="s">
        <v>899</v>
      </c>
      <c r="F1" s="5" t="s">
        <v>561</v>
      </c>
    </row>
    <row r="2" spans="1:7" x14ac:dyDescent="0.25">
      <c r="A2" t="s">
        <v>963</v>
      </c>
      <c r="B2" s="5" t="s">
        <v>839</v>
      </c>
      <c r="D2" s="1">
        <f>IFERROR(INDEX([1]SamplingMethod!$A$2:$C$160,MATCH(B2,[1]SamplingMethod!$C$2:$C$160,FALSE),1),"")</f>
        <v>128</v>
      </c>
      <c r="E2" s="5" t="str">
        <f>IFERROR(INDEX([1]SamplingMethod!$A$2:$C$160,MATCH(B2,[1]SamplingMethod!$C$2:$C$160,FALSE),2),"")</f>
        <v>secm:sm029</v>
      </c>
      <c r="F2" t="str">
        <f>IFERROR(INDEX('collectionMethodDistinct'!$A$2:$A$646,MATCH(A2,'collectionMethodDistinct'!$A$2:$A$646,FALSE),1),"")</f>
        <v xml:space="preserve"> Coring&gt;JumboPistonCorer</v>
      </c>
    </row>
    <row r="3" spans="1:7" x14ac:dyDescent="0.25">
      <c r="A3" s="6" t="s">
        <v>962</v>
      </c>
      <c r="B3" s="5" t="s">
        <v>858</v>
      </c>
      <c r="C3" s="5"/>
      <c r="D3" s="1">
        <f>IFERROR(INDEX([1]SamplingMethod!$A$2:$C$160,MATCH(B3,[1]SamplingMethod!$C$2:$C$160,FALSE),1),"")</f>
        <v>151</v>
      </c>
      <c r="E3" s="5" t="str">
        <f>IFERROR(INDEX([1]SamplingMethod!$A$2:$C$160,MATCH(B3,[1]SamplingMethod!$C$2:$C$160,FALSE),2),"")</f>
        <v>secm:unknown</v>
      </c>
      <c r="F3" t="str">
        <f>IFERROR(INDEX('collectionMethodDistinct'!$A$2:$A$646,MATCH(A3,'collectionMethodDistinct'!$A$2:$A$646,FALSE),1),"")</f>
        <v xml:space="preserve"> Shop bought - Northern Geological Supplies Ltd</v>
      </c>
      <c r="G3" t="str">
        <f>IFERROR(INDEX($A$2:$D$585,MATCH(collectionMethodDistinct[[#This Row],[Column1]],$A$2:$A$585,FALSE),1),"")</f>
        <v xml:space="preserve"> Coring&gt;JumboPistonCorer</v>
      </c>
    </row>
    <row r="4" spans="1:7" x14ac:dyDescent="0.25">
      <c r="A4" t="s">
        <v>961</v>
      </c>
      <c r="B4" s="5" t="s">
        <v>656</v>
      </c>
      <c r="D4" s="1">
        <f>IFERROR(INDEX([1]SamplingMethod!$A$2:$C$160,MATCH(B4,[1]SamplingMethod!$C$2:$C$160,FALSE),1),"")</f>
        <v>105</v>
      </c>
      <c r="E4" s="5" t="str">
        <f>IFERROR(INDEX([1]SamplingMethod!$A$2:$C$160,MATCH(B4,[1]SamplingMethod!$C$2:$C$160,FALSE),2),"")</f>
        <v>secm:sm007</v>
      </c>
      <c r="F4" t="str">
        <f>IFERROR(INDEX('collectionMethodDistinct'!$A$2:$A$646,MATCH(A4,'collectionMethodDistinct'!$A$2:$A$646,FALSE),1),"")</f>
        <v xml:space="preserve">	Coring&gt;HandHeldCorer</v>
      </c>
    </row>
    <row r="5" spans="1:7" x14ac:dyDescent="0.25">
      <c r="A5" t="s">
        <v>960</v>
      </c>
      <c r="B5" t="s">
        <v>849</v>
      </c>
      <c r="D5" s="1">
        <f>IFERROR(INDEX([1]SamplingMethod!$A$2:$C$160,MATCH(B5,[1]SamplingMethod!$C$2:$C$160,FALSE),1),"")</f>
        <v>144</v>
      </c>
      <c r="E5" s="5" t="str">
        <f>IFERROR(INDEX([1]SamplingMethod!$A$2:$C$160,MATCH(B5,[1]SamplingMethod!$C$2:$C$160,FALSE),2),"")</f>
        <v>secm:sm046</v>
      </c>
      <c r="F5" t="str">
        <f>IFERROR(INDEX('collectionMethodDistinct'!$A$2:$A$646,MATCH(A5,'collectionMethodDistinct'!$A$2:$A$646,FALSE),1),"")</f>
        <v xml:space="preserve">	Cut from American Museum of Natural History Mineral Collection # 100242</v>
      </c>
    </row>
    <row r="6" spans="1:7" x14ac:dyDescent="0.25">
      <c r="A6" s="5" t="s">
        <v>3</v>
      </c>
      <c r="B6" s="5" t="s">
        <v>597</v>
      </c>
      <c r="C6" s="5"/>
      <c r="D6" s="1">
        <f>IFERROR(INDEX([1]SamplingMethod!$A$2:$C$160,MATCH(B6,[1]SamplingMethod!$C$2:$C$160,FALSE),1),"")</f>
        <v>92</v>
      </c>
      <c r="E6" s="5" t="str">
        <f>IFERROR(INDEX([1]SamplingMethod!$A$2:$C$160,MATCH(B6,[1]SamplingMethod!$C$2:$C$160,FALSE),2),"")</f>
        <v>secm:ses231</v>
      </c>
      <c r="F6" t="str">
        <f>IFERROR(INDEX('collectionMethodDistinct'!$A$2:$A$646,MATCH(A6,'collectionMethodDistinct'!$A$2:$A$646,FALSE),1),"")</f>
        <v>&gt;2 mm size fraction</v>
      </c>
      <c r="G6" t="str">
        <f>IFERROR(INDEX($A$2:$D$585,MATCH(collectionMethodDistinct[[#This Row],[Column1]],$A$2:$A$585,FALSE),1),"")</f>
        <v xml:space="preserve">	Cut from American Museum of Natural History Mineral Collection # 100242</v>
      </c>
    </row>
    <row r="7" spans="1:7" x14ac:dyDescent="0.25">
      <c r="A7" s="5" t="s">
        <v>5</v>
      </c>
      <c r="B7" s="5" t="s">
        <v>597</v>
      </c>
      <c r="C7" s="5"/>
      <c r="D7" s="1">
        <f>IFERROR(INDEX([1]SamplingMethod!$A$2:$C$160,MATCH(B7,[1]SamplingMethod!$C$2:$C$160,FALSE),1),"")</f>
        <v>92</v>
      </c>
      <c r="E7" s="5" t="str">
        <f>IFERROR(INDEX([1]SamplingMethod!$A$2:$C$160,MATCH(B7,[1]SamplingMethod!$C$2:$C$160,FALSE),2),"")</f>
        <v>secm:ses231</v>
      </c>
      <c r="F7" t="str">
        <f>IFERROR(INDEX('collectionMethodDistinct'!$A$2:$A$646,MATCH(A7,'collectionMethodDistinct'!$A$2:$A$646,FALSE),1),"")</f>
        <v>&gt;38 um size fraction</v>
      </c>
      <c r="G7" t="str">
        <f>IFERROR(INDEX($A$2:$D$585,MATCH(collectionMethodDistinct[[#This Row],[Column1]],$A$2:$A$585,FALSE),1),"")</f>
        <v>&gt;2 mm size fraction</v>
      </c>
    </row>
    <row r="8" spans="1:7" x14ac:dyDescent="0.25">
      <c r="A8" s="5" t="s">
        <v>7</v>
      </c>
      <c r="B8" s="5" t="s">
        <v>597</v>
      </c>
      <c r="C8" s="5"/>
      <c r="D8" s="1">
        <f>IFERROR(INDEX([1]SamplingMethod!$A$2:$C$160,MATCH(B8,[1]SamplingMethod!$C$2:$C$160,FALSE),1),"")</f>
        <v>92</v>
      </c>
      <c r="E8" s="5" t="str">
        <f>IFERROR(INDEX([1]SamplingMethod!$A$2:$C$160,MATCH(B8,[1]SamplingMethod!$C$2:$C$160,FALSE),2),"")</f>
        <v>secm:ses231</v>
      </c>
      <c r="F8" t="str">
        <f>IFERROR(INDEX('collectionMethodDistinct'!$A$2:$A$646,MATCH(A8,'collectionMethodDistinct'!$A$2:$A$646,FALSE),1),"")</f>
        <v>&gt;63 um size fraction</v>
      </c>
      <c r="G8" t="str">
        <f>IFERROR(INDEX($A$2:$D$585,MATCH(collectionMethodDistinct[[#This Row],[Column1]],$A$2:$A$585,FALSE),1),"")</f>
        <v>&gt;38 um size fraction</v>
      </c>
    </row>
    <row r="9" spans="1:7" x14ac:dyDescent="0.25">
      <c r="A9" s="5" t="s">
        <v>904</v>
      </c>
      <c r="B9" s="5" t="s">
        <v>868</v>
      </c>
      <c r="C9" s="5"/>
      <c r="D9" s="1">
        <f>IFERROR(INDEX([1]SamplingMethod!$A$2:$C$160,MATCH(B9,[1]SamplingMethod!$C$2:$C$160,FALSE),1),"")</f>
        <v>122</v>
      </c>
      <c r="E9" s="5" t="str">
        <f>IFERROR(INDEX([1]SamplingMethod!$A$2:$C$160,MATCH(B9,[1]SamplingMethod!$C$2:$C$160,FALSE),2),"")</f>
        <v>secm:sm023</v>
      </c>
      <c r="F9" t="str">
        <f>IFERROR(INDEX('collectionMethodDistinct'!$A$2:$A$646,MATCH(A9,'collectionMethodDistinct'!$A$2:$A$646,FALSE),1),"")</f>
        <v>0.22 µm, PES</v>
      </c>
      <c r="G9" t="str">
        <f>IFERROR(INDEX($A$2:$D$585,MATCH(collectionMethodDistinct[[#This Row],[Column1]],$A$2:$A$585,FALSE),1),"")</f>
        <v>&gt;63 um size fraction</v>
      </c>
    </row>
    <row r="10" spans="1:7" x14ac:dyDescent="0.25">
      <c r="A10" s="5" t="s">
        <v>905</v>
      </c>
      <c r="B10" s="5" t="s">
        <v>868</v>
      </c>
      <c r="C10" s="5"/>
      <c r="D10" s="1">
        <f>IFERROR(INDEX([1]SamplingMethod!$A$2:$C$160,MATCH(B10,[1]SamplingMethod!$C$2:$C$160,FALSE),1),"")</f>
        <v>122</v>
      </c>
      <c r="E10" s="5" t="str">
        <f>IFERROR(INDEX([1]SamplingMethod!$A$2:$C$160,MATCH(B10,[1]SamplingMethod!$C$2:$C$160,FALSE),2),"")</f>
        <v>secm:sm023</v>
      </c>
      <c r="F10" t="str">
        <f>IFERROR(INDEX('collectionMethodDistinct'!$A$2:$A$646,MATCH(A10,'collectionMethodDistinct'!$A$2:$A$646,FALSE),1),"")</f>
        <v>0.22μm</v>
      </c>
    </row>
    <row r="11" spans="1:7" x14ac:dyDescent="0.25">
      <c r="A11" s="5" t="s">
        <v>906</v>
      </c>
      <c r="B11" s="5" t="s">
        <v>868</v>
      </c>
      <c r="C11" s="5"/>
      <c r="D11" s="1">
        <f>IFERROR(INDEX([1]SamplingMethod!$A$2:$C$160,MATCH(B11,[1]SamplingMethod!$C$2:$C$160,FALSE),1),"")</f>
        <v>122</v>
      </c>
      <c r="E11" s="5" t="str">
        <f>IFERROR(INDEX([1]SamplingMethod!$A$2:$C$160,MATCH(B11,[1]SamplingMethod!$C$2:$C$160,FALSE),2),"")</f>
        <v>secm:sm023</v>
      </c>
      <c r="F11" t="str">
        <f>IFERROR(INDEX('collectionMethodDistinct'!$A$2:$A$646,MATCH(A11,'collectionMethodDistinct'!$A$2:$A$646,FALSE),1),"")</f>
        <v>0.45 µm, PES</v>
      </c>
    </row>
    <row r="12" spans="1:7" x14ac:dyDescent="0.25">
      <c r="A12" s="5" t="s">
        <v>907</v>
      </c>
      <c r="B12" s="5" t="s">
        <v>868</v>
      </c>
      <c r="C12" s="5"/>
      <c r="D12" s="1">
        <f>IFERROR(INDEX([1]SamplingMethod!$A$2:$C$160,MATCH(B12,[1]SamplingMethod!$C$2:$C$160,FALSE),1),"")</f>
        <v>122</v>
      </c>
      <c r="E12" s="5" t="str">
        <f>IFERROR(INDEX([1]SamplingMethod!$A$2:$C$160,MATCH(B12,[1]SamplingMethod!$C$2:$C$160,FALSE),2),"")</f>
        <v>secm:sm023</v>
      </c>
      <c r="F12" t="str">
        <f>IFERROR(INDEX('collectionMethodDistinct'!$A$2:$A$646,MATCH(A12,'collectionMethodDistinct'!$A$2:$A$646,FALSE),1),"")</f>
        <v>0.45μm</v>
      </c>
    </row>
    <row r="13" spans="1:7" x14ac:dyDescent="0.25">
      <c r="A13" s="5" t="s">
        <v>12</v>
      </c>
      <c r="B13" s="5" t="s">
        <v>868</v>
      </c>
      <c r="C13" s="5"/>
      <c r="D13" s="1">
        <f>IFERROR(INDEX([1]SamplingMethod!$A$2:$C$160,MATCH(B13,[1]SamplingMethod!$C$2:$C$160,FALSE),1),"")</f>
        <v>122</v>
      </c>
      <c r="E13" s="5" t="str">
        <f>IFERROR(INDEX([1]SamplingMethod!$A$2:$C$160,MATCH(B13,[1]SamplingMethod!$C$2:$C$160,FALSE),2),"")</f>
        <v>secm:sm023</v>
      </c>
      <c r="F13" t="str">
        <f>IFERROR(INDEX('collectionMethodDistinct'!$A$2:$A$646,MATCH(A13,'collectionMethodDistinct'!$A$2:$A$646,FALSE),1),"")</f>
        <v>0.8/0.2 micron cartridge filter (AcroPak)</v>
      </c>
    </row>
    <row r="14" spans="1:7" x14ac:dyDescent="0.25">
      <c r="A14" s="5" t="s">
        <v>14</v>
      </c>
      <c r="B14" s="5" t="s">
        <v>868</v>
      </c>
      <c r="C14" s="5"/>
      <c r="D14" s="1">
        <f>IFERROR(INDEX([1]SamplingMethod!$A$2:$C$160,MATCH(B14,[1]SamplingMethod!$C$2:$C$160,FALSE),1),"")</f>
        <v>122</v>
      </c>
      <c r="E14" s="5" t="str">
        <f>IFERROR(INDEX([1]SamplingMethod!$A$2:$C$160,MATCH(B14,[1]SamplingMethod!$C$2:$C$160,FALSE),2),"")</f>
        <v>secm:sm023</v>
      </c>
      <c r="F14" t="str">
        <f>IFERROR(INDEX('collectionMethodDistinct'!$A$2:$A$646,MATCH(A14,'collectionMethodDistinct'!$A$2:$A$646,FALSE),1),"")</f>
        <v>0.8/0.2 micron cartridge filter (AcroPak), no preservative</v>
      </c>
    </row>
    <row r="15" spans="1:7" x14ac:dyDescent="0.25">
      <c r="A15" s="5" t="s">
        <v>16</v>
      </c>
      <c r="B15" s="5" t="s">
        <v>656</v>
      </c>
      <c r="C15" s="5"/>
      <c r="D15" s="1">
        <f>IFERROR(INDEX([1]SamplingMethod!$A$2:$C$160,MATCH(B15,[1]SamplingMethod!$C$2:$C$160,FALSE),1),"")</f>
        <v>105</v>
      </c>
      <c r="E15" s="5" t="str">
        <f>IFERROR(INDEX([1]SamplingMethod!$A$2:$C$160,MATCH(B15,[1]SamplingMethod!$C$2:$C$160,FALSE),2),"")</f>
        <v>secm:sm007</v>
      </c>
      <c r="F15" t="str">
        <f>IFERROR(INDEX('collectionMethodDistinct'!$A$2:$A$646,MATCH(A15,'collectionMethodDistinct'!$A$2:$A$646,FALSE),1),"")</f>
        <v>2-inch diameter hand corer</v>
      </c>
    </row>
    <row r="16" spans="1:7" x14ac:dyDescent="0.25">
      <c r="A16" s="5" t="s">
        <v>18</v>
      </c>
      <c r="B16" s="5" t="s">
        <v>597</v>
      </c>
      <c r="C16" s="5" t="s">
        <v>600</v>
      </c>
      <c r="D16" s="1">
        <f>IFERROR(INDEX([1]SamplingMethod!$A$2:$C$160,MATCH(B16,[1]SamplingMethod!$C$2:$C$160,FALSE),1),"")</f>
        <v>92</v>
      </c>
      <c r="E16" s="5" t="str">
        <f>IFERROR(INDEX([1]SamplingMethod!$A$2:$C$160,MATCH(B16,[1]SamplingMethod!$C$2:$C$160,FALSE),2),"")</f>
        <v>secm:ses231</v>
      </c>
      <c r="F16" t="str">
        <f>IFERROR(INDEX('collectionMethodDistinct'!$A$2:$A$646,MATCH(A16,'collectionMethodDistinct'!$A$2:$A$646,FALSE),1),"")</f>
        <v>2mm sieved soil sample, quartered, ground and homogenized in an agate mill.</v>
      </c>
    </row>
    <row r="17" spans="1:6" x14ac:dyDescent="0.25">
      <c r="A17" s="5" t="s">
        <v>20</v>
      </c>
      <c r="B17" s="5" t="s">
        <v>282</v>
      </c>
      <c r="C17" s="5"/>
      <c r="D17" s="1">
        <f>IFERROR(INDEX([1]SamplingMethod!$A$2:$C$160,MATCH(B17,[1]SamplingMethod!$C$2:$C$160,FALSE),1),"")</f>
        <v>79</v>
      </c>
      <c r="E17" s="5" t="str">
        <f>IFERROR(INDEX([1]SamplingMethod!$A$2:$C$160,MATCH(B17,[1]SamplingMethod!$C$2:$C$160,FALSE),2),"")</f>
        <v>secm:ses217</v>
      </c>
      <c r="F17" t="str">
        <f>IFERROR(INDEX('collectionMethodDistinct'!$A$2:$A$646,MATCH(A17,'collectionMethodDistinct'!$A$2:$A$646,FALSE),1),"")</f>
        <v>4 inch hand auger</v>
      </c>
    </row>
    <row r="18" spans="1:6" x14ac:dyDescent="0.25">
      <c r="A18" s="5" t="s">
        <v>2</v>
      </c>
      <c r="B18" s="5" t="s">
        <v>2</v>
      </c>
      <c r="C18" s="5"/>
      <c r="D18" s="1">
        <f>IFERROR(INDEX([1]SamplingMethod!$A$2:$C$160,MATCH(B18,[1]SamplingMethod!$C$2:$C$160,FALSE),1),"")</f>
        <v>64</v>
      </c>
      <c r="E18" s="5" t="str">
        <f>IFERROR(INDEX([1]SamplingMethod!$A$2:$C$160,MATCH(B18,[1]SamplingMethod!$C$2:$C$160,FALSE),2),"")</f>
        <v>secm:ses200</v>
      </c>
      <c r="F18" t="str">
        <f>IFERROR(INDEX('collectionMethodDistinct'!$A$2:$A$646,MATCH(A18,'collectionMethodDistinct'!$A$2:$A$646,FALSE),1),"")</f>
        <v>Agassiz trawl</v>
      </c>
    </row>
    <row r="19" spans="1:6" x14ac:dyDescent="0.25">
      <c r="A19" s="5" t="s">
        <v>908</v>
      </c>
      <c r="B19" s="5" t="s">
        <v>597</v>
      </c>
      <c r="C19" s="5"/>
      <c r="D19" s="1">
        <f>IFERROR(INDEX([1]SamplingMethod!$A$2:$C$160,MATCH(B19,[1]SamplingMethod!$C$2:$C$160,FALSE),1),"")</f>
        <v>92</v>
      </c>
      <c r="E19" s="5" t="str">
        <f>IFERROR(INDEX([1]SamplingMethod!$A$2:$C$160,MATCH(B19,[1]SamplingMethod!$C$2:$C$160,FALSE),2),"")</f>
        <v>secm:ses231</v>
      </c>
      <c r="F19" t="str">
        <f>IFERROR(INDEX('collectionMethodDistinct'!$A$2:$A$646,MATCH(A19,'collectionMethodDistinct'!$A$2:$A$646,FALSE),1),"")</f>
        <v>air-dried soil sample sieved in 2mm and 250 µm mesh by mechanical agitation.</v>
      </c>
    </row>
    <row r="20" spans="1:6" x14ac:dyDescent="0.25">
      <c r="A20" s="5" t="s">
        <v>23</v>
      </c>
      <c r="B20" s="5" t="s">
        <v>854</v>
      </c>
      <c r="C20" s="5"/>
      <c r="D20" s="1">
        <f>IFERROR(INDEX([1]SamplingMethod!$A$2:$C$160,MATCH(B20,[1]SamplingMethod!$C$2:$C$160,FALSE),1),"")</f>
        <v>65</v>
      </c>
      <c r="E20" s="5" t="str">
        <f>IFERROR(INDEX([1]SamplingMethod!$A$2:$C$160,MATCH(B20,[1]SamplingMethod!$C$2:$C$160,FALSE),2),"")</f>
        <v>secm:ses201</v>
      </c>
      <c r="F20" t="str">
        <f>IFERROR(INDEX('collectionMethodDistinct'!$A$2:$A$646,MATCH(A20,'collectionMethodDistinct'!$A$2:$A$646,FALSE),1),"")</f>
        <v>Alvin</v>
      </c>
    </row>
    <row r="21" spans="1:6" x14ac:dyDescent="0.25">
      <c r="A21" s="5" t="s">
        <v>4</v>
      </c>
      <c r="B21" s="5" t="s">
        <v>854</v>
      </c>
      <c r="C21" s="5"/>
      <c r="D21" s="1">
        <f>IFERROR(INDEX([1]SamplingMethod!$A$2:$C$160,MATCH(B21,[1]SamplingMethod!$C$2:$C$160,FALSE),1),"")</f>
        <v>65</v>
      </c>
      <c r="E21" s="5" t="str">
        <f>IFERROR(INDEX([1]SamplingMethod!$A$2:$C$160,MATCH(B21,[1]SamplingMethod!$C$2:$C$160,FALSE),2),"")</f>
        <v>secm:ses201</v>
      </c>
      <c r="F21" t="str">
        <f>IFERROR(INDEX('collectionMethodDistinct'!$A$2:$A$646,MATCH(A21,'collectionMethodDistinct'!$A$2:$A$646,FALSE),1),"")</f>
        <v>Alvin Grab</v>
      </c>
    </row>
    <row r="22" spans="1:6" x14ac:dyDescent="0.25">
      <c r="A22" s="5" t="s">
        <v>25</v>
      </c>
      <c r="B22" s="5" t="s">
        <v>860</v>
      </c>
      <c r="C22" s="5"/>
      <c r="D22" s="1">
        <f>IFERROR(INDEX([1]SamplingMethod!$A$2:$C$160,MATCH(B22,[1]SamplingMethod!$C$2:$C$160,FALSE),1),"")</f>
        <v>103</v>
      </c>
      <c r="E22" s="5" t="str">
        <f>IFERROR(INDEX([1]SamplingMethod!$A$2:$C$160,MATCH(B22,[1]SamplingMethod!$C$2:$C$160,FALSE),2),"")</f>
        <v>secm:sm005</v>
      </c>
      <c r="F22" t="str">
        <f>IFERROR(INDEX('collectionMethodDistinct'!$A$2:$A$646,MATCH(A22,'collectionMethodDistinct'!$A$2:$A$646,FALSE),1),"")</f>
        <v>Aquatic Instruments Universal Corer</v>
      </c>
    </row>
    <row r="23" spans="1:6" x14ac:dyDescent="0.25">
      <c r="A23" s="5" t="s">
        <v>26</v>
      </c>
      <c r="B23" s="5" t="s">
        <v>26</v>
      </c>
      <c r="C23" s="5"/>
      <c r="D23" s="1">
        <f>IFERROR(INDEX([1]SamplingMethod!$A$2:$C$160,MATCH(B23,[1]SamplingMethod!$C$2:$C$160,FALSE),1),"")</f>
        <v>4</v>
      </c>
      <c r="E23" s="5" t="str">
        <f>IFERROR(INDEX([1]SamplingMethod!$A$2:$C$160,MATCH(B23,[1]SamplingMethod!$C$2:$C$160,FALSE),2),"")</f>
        <v>secm:auger</v>
      </c>
      <c r="F23" t="str">
        <f>IFERROR(INDEX('collectionMethodDistinct'!$A$2:$A$646,MATCH(A23,'collectionMethodDistinct'!$A$2:$A$646,FALSE),1),"")</f>
        <v>Auger</v>
      </c>
    </row>
    <row r="24" spans="1:6" x14ac:dyDescent="0.25">
      <c r="A24" s="5" t="s">
        <v>27</v>
      </c>
      <c r="B24" s="5" t="s">
        <v>656</v>
      </c>
      <c r="C24" s="5"/>
      <c r="D24" s="1">
        <f>IFERROR(INDEX([1]SamplingMethod!$A$2:$C$160,MATCH(B24,[1]SamplingMethod!$C$2:$C$160,FALSE),1),"")</f>
        <v>105</v>
      </c>
      <c r="E24" s="5" t="str">
        <f>IFERROR(INDEX([1]SamplingMethod!$A$2:$C$160,MATCH(B24,[1]SamplingMethod!$C$2:$C$160,FALSE),2),"")</f>
        <v>secm:sm007</v>
      </c>
      <c r="F24" t="str">
        <f>IFERROR(INDEX('collectionMethodDistinct'!$A$2:$A$646,MATCH(A24,'collectionMethodDistinct'!$A$2:$A$646,FALSE),1),"")</f>
        <v>augered soil core</v>
      </c>
    </row>
    <row r="25" spans="1:6" x14ac:dyDescent="0.25">
      <c r="A25" s="5" t="s">
        <v>28</v>
      </c>
      <c r="B25" s="5" t="s">
        <v>609</v>
      </c>
      <c r="C25" s="5"/>
      <c r="D25" s="1">
        <f>IFERROR(INDEX([1]SamplingMethod!$A$2:$C$160,MATCH(B25,[1]SamplingMethod!$C$2:$C$160,FALSE),1),"")</f>
        <v>80</v>
      </c>
      <c r="E25" s="5" t="str">
        <f>IFERROR(INDEX([1]SamplingMethod!$A$2:$C$160,MATCH(B25,[1]SamplingMethod!$C$2:$C$160,FALSE),2),"")</f>
        <v>secm:ses218</v>
      </c>
      <c r="F25" t="str">
        <f>IFERROR(INDEX('collectionMethodDistinct'!$A$2:$A$646,MATCH(A25,'collectionMethodDistinct'!$A$2:$A$646,FALSE),1),"")</f>
        <v/>
      </c>
    </row>
    <row r="26" spans="1:6" x14ac:dyDescent="0.25">
      <c r="A26" s="5" t="s">
        <v>8</v>
      </c>
      <c r="B26" s="5" t="s">
        <v>890</v>
      </c>
      <c r="C26" s="5"/>
      <c r="D26" s="1">
        <f>IFERROR(INDEX([1]SamplingMethod!$A$2:$C$160,MATCH(B26,[1]SamplingMethod!$C$2:$C$160,FALSE),1),"")</f>
        <v>67</v>
      </c>
      <c r="E26" s="5" t="str">
        <f>IFERROR(INDEX([1]SamplingMethod!$A$2:$C$160,MATCH(B26,[1]SamplingMethod!$C$2:$C$160,FALSE),2),"")</f>
        <v>secm:ses203</v>
      </c>
      <c r="F26" t="str">
        <f>IFERROR(INDEX('collectionMethodDistinct'!$A$2:$A$646,MATCH(A26,'collectionMethodDistinct'!$A$2:$A$646,FALSE),1),"")</f>
        <v>Beam Trawl</v>
      </c>
    </row>
    <row r="27" spans="1:6" x14ac:dyDescent="0.25">
      <c r="A27" s="5" t="s">
        <v>31</v>
      </c>
      <c r="B27" s="5" t="s">
        <v>857</v>
      </c>
      <c r="C27" s="5"/>
      <c r="D27" s="1">
        <f>IFERROR(INDEX([1]SamplingMethod!$A$2:$C$160,MATCH(B27,[1]SamplingMethod!$C$2:$C$160,FALSE),1),"")</f>
        <v>149</v>
      </c>
      <c r="E27" s="5" t="str">
        <f>IFERROR(INDEX([1]SamplingMethod!$A$2:$C$160,MATCH(B27,[1]SamplingMethod!$C$2:$C$160,FALSE),2),"")</f>
        <v>secm:trawlsampling</v>
      </c>
      <c r="F27" t="str">
        <f>IFERROR(INDEX('collectionMethodDistinct'!$A$2:$A$646,MATCH(A27,'collectionMethodDistinct'!$A$2:$A$646,FALSE),1),"")</f>
        <v>Big Bertha</v>
      </c>
    </row>
    <row r="28" spans="1:6" x14ac:dyDescent="0.25">
      <c r="A28" s="5" t="s">
        <v>9</v>
      </c>
      <c r="B28" s="5" t="s">
        <v>875</v>
      </c>
      <c r="C28" s="5"/>
      <c r="D28" s="1">
        <f>IFERROR(INDEX([1]SamplingMethod!$A$2:$C$160,MATCH(B28,[1]SamplingMethod!$C$2:$C$160,FALSE),1),"")</f>
        <v>68</v>
      </c>
      <c r="E28" s="5" t="str">
        <f>IFERROR(INDEX([1]SamplingMethod!$A$2:$C$160,MATCH(B28,[1]SamplingMethod!$C$2:$C$160,FALSE),2),"")</f>
        <v>secm:ses204</v>
      </c>
      <c r="F28" t="str">
        <f>IFERROR(INDEX('collectionMethodDistinct'!$A$2:$A$646,MATCH(A28,'collectionMethodDistinct'!$A$2:$A$646,FALSE),1),"")</f>
        <v>Blake Trawl</v>
      </c>
    </row>
    <row r="29" spans="1:6" x14ac:dyDescent="0.25">
      <c r="A29" s="5" t="s">
        <v>34</v>
      </c>
      <c r="B29" s="5" t="s">
        <v>875</v>
      </c>
      <c r="C29" s="5" t="s">
        <v>33</v>
      </c>
      <c r="D29" s="1">
        <f>IFERROR(INDEX([1]SamplingMethod!$A$2:$C$160,MATCH(B29,[1]SamplingMethod!$C$2:$C$160,FALSE),1),"")</f>
        <v>68</v>
      </c>
      <c r="E29" s="5" t="str">
        <f>IFERROR(INDEX([1]SamplingMethod!$A$2:$C$160,MATCH(B29,[1]SamplingMethod!$C$2:$C$160,FALSE),2),"")</f>
        <v>secm:ses204</v>
      </c>
      <c r="F29" t="str">
        <f>IFERROR(INDEX('collectionMethodDistinct'!$A$2:$A$646,MATCH(A29,'collectionMethodDistinct'!$A$2:$A$646,FALSE),1),"")</f>
        <v>Blake Trawl/Menzie Trawl</v>
      </c>
    </row>
    <row r="30" spans="1:6" x14ac:dyDescent="0.25">
      <c r="A30" s="5" t="s">
        <v>36</v>
      </c>
      <c r="B30" s="5" t="s">
        <v>875</v>
      </c>
      <c r="C30" s="5" t="s">
        <v>33</v>
      </c>
      <c r="D30" s="1">
        <f>IFERROR(INDEX([1]SamplingMethod!$A$2:$C$160,MATCH(B30,[1]SamplingMethod!$C$2:$C$160,FALSE),1),"")</f>
        <v>68</v>
      </c>
      <c r="E30" s="5" t="str">
        <f>IFERROR(INDEX([1]SamplingMethod!$A$2:$C$160,MATCH(B30,[1]SamplingMethod!$C$2:$C$160,FALSE),2),"")</f>
        <v>secm:ses204</v>
      </c>
      <c r="F30" t="str">
        <f>IFERROR(INDEX('collectionMethodDistinct'!$A$2:$A$646,MATCH(A30,'collectionMethodDistinct'!$A$2:$A$646,FALSE),1),"")</f>
        <v>Blake Trawl/Menzies Trawl</v>
      </c>
    </row>
    <row r="31" spans="1:6" x14ac:dyDescent="0.25">
      <c r="A31" s="5" t="s">
        <v>38</v>
      </c>
      <c r="B31" s="5" t="s">
        <v>38</v>
      </c>
      <c r="C31" s="5"/>
      <c r="D31" s="1">
        <f>IFERROR(INDEX([1]SamplingMethod!$A$2:$C$160,MATCH(B31,[1]SamplingMethod!$C$2:$C$160,FALSE),1),"")</f>
        <v>131</v>
      </c>
      <c r="E31" s="5" t="str">
        <f>IFERROR(INDEX([1]SamplingMethod!$A$2:$C$160,MATCH(B31,[1]SamplingMethod!$C$2:$C$160,FALSE),2),"")</f>
        <v>secm:sm032</v>
      </c>
      <c r="F31" t="str">
        <f>IFERROR(INDEX('collectionMethodDistinct'!$A$2:$A$646,MATCH(A31,'collectionMethodDistinct'!$A$2:$A$646,FALSE),1),"")</f>
        <v>Blasting</v>
      </c>
    </row>
    <row r="32" spans="1:6" x14ac:dyDescent="0.25">
      <c r="A32" t="s">
        <v>958</v>
      </c>
      <c r="B32" s="5" t="s">
        <v>219</v>
      </c>
      <c r="D32" s="1">
        <f>IFERROR(INDEX([1]SamplingMethod!$A$2:$C$160,MATCH(B32,[1]SamplingMethod!$C$2:$C$160,FALSE),1),"")</f>
        <v>38</v>
      </c>
      <c r="E32" s="5" t="str">
        <f>IFERROR(INDEX([1]SamplingMethod!$A$2:$C$160,MATCH(B32,[1]SamplingMethod!$C$2:$C$160,FALSE),2),"")</f>
        <v>secm:drilling</v>
      </c>
      <c r="F32" t="str">
        <f>IFERROR(INDEX('collectionMethodDistinct'!$A$2:$A$646,MATCH(A32,'collectionMethodDistinct'!$A$2:$A$646,FALSE),1),"")</f>
        <v>Borehole</v>
      </c>
    </row>
    <row r="33" spans="1:6" x14ac:dyDescent="0.25">
      <c r="A33" s="5" t="s">
        <v>40</v>
      </c>
      <c r="B33" s="5" t="s">
        <v>879</v>
      </c>
      <c r="C33" s="5"/>
      <c r="D33" s="1">
        <f>IFERROR(INDEX([1]SamplingMethod!$A$2:$C$160,MATCH(B33,[1]SamplingMethod!$C$2:$C$160,FALSE),1),"")</f>
        <v>123</v>
      </c>
      <c r="E33" s="5" t="str">
        <f>IFERROR(INDEX([1]SamplingMethod!$A$2:$C$160,MATCH(B33,[1]SamplingMethod!$C$2:$C$160,FALSE),2),"")</f>
        <v>secm:sm024</v>
      </c>
      <c r="F33" t="str">
        <f>IFERROR(INDEX('collectionMethodDistinct'!$A$2:$A$646,MATCH(A33,'collectionMethodDistinct'!$A$2:$A$646,FALSE),1),"")</f>
        <v>borosilicate glass bottle, 0.8/0.2 micron cartridge filter (AcroPak), HgCl2 preservative</v>
      </c>
    </row>
    <row r="34" spans="1:6" x14ac:dyDescent="0.25">
      <c r="A34" s="5" t="s">
        <v>10</v>
      </c>
      <c r="B34" s="5" t="s">
        <v>891</v>
      </c>
      <c r="C34" s="5"/>
      <c r="D34" s="1">
        <f>IFERROR(INDEX([1]SamplingMethod!$A$2:$C$160,MATCH(B34,[1]SamplingMethod!$C$2:$C$160,FALSE),1),"")</f>
        <v>124</v>
      </c>
      <c r="E34" s="5" t="str">
        <f>IFERROR(INDEX([1]SamplingMethod!$A$2:$C$160,MATCH(B34,[1]SamplingMethod!$C$2:$C$160,FALSE),2),"")</f>
        <v>secm:sm025</v>
      </c>
      <c r="F34" t="str">
        <f>IFERROR(INDEX('collectionMethodDistinct'!$A$2:$A$646,MATCH(A34,'collectionMethodDistinct'!$A$2:$A$646,FALSE),1),"")</f>
        <v>Box corer</v>
      </c>
    </row>
    <row r="35" spans="1:6" x14ac:dyDescent="0.25">
      <c r="A35" s="5" t="s">
        <v>43</v>
      </c>
      <c r="B35" s="5" t="s">
        <v>858</v>
      </c>
      <c r="C35" s="5"/>
      <c r="D35" s="1">
        <f>IFERROR(INDEX([1]SamplingMethod!$A$2:$C$160,MATCH(B35,[1]SamplingMethod!$C$2:$C$160,FALSE),1),"")</f>
        <v>151</v>
      </c>
      <c r="E35" s="5" t="str">
        <f>IFERROR(INDEX([1]SamplingMethod!$A$2:$C$160,MATCH(B35,[1]SamplingMethod!$C$2:$C$160,FALSE),2),"")</f>
        <v>secm:unknown</v>
      </c>
      <c r="F35" t="str">
        <f>IFERROR(INDEX('collectionMethodDistinct'!$A$2:$A$646,MATCH(A35,'collectionMethodDistinct'!$A$2:$A$646,FALSE),1),"")</f>
        <v>Bulk Sample</v>
      </c>
    </row>
    <row r="36" spans="1:6" x14ac:dyDescent="0.25">
      <c r="A36" s="5" t="s">
        <v>45</v>
      </c>
      <c r="B36" s="1" t="s">
        <v>901</v>
      </c>
      <c r="C36" s="5"/>
      <c r="D36" s="1">
        <f>IFERROR(INDEX([1]SamplingMethod!$A$2:$C$160,MATCH(B36,[1]SamplingMethod!$C$2:$C$160,FALSE),1),"")</f>
        <v>142</v>
      </c>
      <c r="E36" s="5" t="str">
        <f>IFERROR(INDEX([1]SamplingMethod!$A$2:$C$160,MATCH(B36,[1]SamplingMethod!$C$2:$C$160,FALSE),2),"")</f>
        <v>secm:sm044</v>
      </c>
      <c r="F36" t="str">
        <f>IFERROR(INDEX('collectionMethodDistinct'!$A$2:$A$646,MATCH(A36,'collectionMethodDistinct'!$A$2:$A$646,FALSE),1),"")</f>
        <v>CA-IDTIMS</v>
      </c>
    </row>
    <row r="37" spans="1:6" x14ac:dyDescent="0.25">
      <c r="A37" s="5" t="s">
        <v>46</v>
      </c>
      <c r="B37" s="5" t="s">
        <v>610</v>
      </c>
      <c r="C37" s="5"/>
      <c r="D37" s="1">
        <f>IFERROR(INDEX([1]SamplingMethod!$A$2:$C$160,MATCH(B37,[1]SamplingMethod!$C$2:$C$160,FALSE),1),"")</f>
        <v>83</v>
      </c>
      <c r="E37" s="5" t="str">
        <f>IFERROR(INDEX([1]SamplingMethod!$A$2:$C$160,MATCH(B37,[1]SamplingMethod!$C$2:$C$160,FALSE),2),"")</f>
        <v>secm:ses222</v>
      </c>
      <c r="F37" t="str">
        <f>IFERROR(INDEX('collectionMethodDistinct'!$A$2:$A$646,MATCH(A37,'collectionMethodDistinct'!$A$2:$A$646,FALSE),1),"")</f>
        <v>Camera Grab</v>
      </c>
    </row>
    <row r="38" spans="1:6" x14ac:dyDescent="0.25">
      <c r="A38" s="5" t="s">
        <v>47</v>
      </c>
      <c r="B38" s="5" t="s">
        <v>875</v>
      </c>
      <c r="C38" s="5" t="s">
        <v>610</v>
      </c>
      <c r="D38" s="1">
        <f>IFERROR(INDEX([1]SamplingMethod!$A$2:$C$160,MATCH(B38,[1]SamplingMethod!$C$2:$C$160,FALSE),1),"")</f>
        <v>68</v>
      </c>
      <c r="E38" s="5" t="str">
        <f>IFERROR(INDEX([1]SamplingMethod!$A$2:$C$160,MATCH(B38,[1]SamplingMethod!$C$2:$C$160,FALSE),2),"")</f>
        <v>secm:ses204</v>
      </c>
      <c r="F38" t="str">
        <f>IFERROR(INDEX('collectionMethodDistinct'!$A$2:$A$646,MATCH(A38,'collectionMethodDistinct'!$A$2:$A$646,FALSE),1),"")</f>
        <v>Camera Grab/Blake Trawl</v>
      </c>
    </row>
    <row r="39" spans="1:6" x14ac:dyDescent="0.25">
      <c r="A39" s="5" t="s">
        <v>49</v>
      </c>
      <c r="B39" s="1" t="s">
        <v>901</v>
      </c>
      <c r="C39" s="5"/>
      <c r="D39" s="1">
        <f>IFERROR(INDEX([1]SamplingMethod!$A$2:$C$160,MATCH(B39,[1]SamplingMethod!$C$2:$C$160,FALSE),1),"")</f>
        <v>142</v>
      </c>
      <c r="E39" s="5" t="str">
        <f>IFERROR(INDEX([1]SamplingMethod!$A$2:$C$160,MATCH(B39,[1]SamplingMethod!$C$2:$C$160,FALSE),2),"")</f>
        <v>secm:sm044</v>
      </c>
      <c r="F39" t="str">
        <f>IFERROR(INDEX('collectionMethodDistinct'!$A$2:$A$646,MATCH(A39,'collectionMethodDistinct'!$A$2:$A$646,FALSE),1),"")</f>
        <v>Camera Sled</v>
      </c>
    </row>
    <row r="40" spans="1:6" x14ac:dyDescent="0.25">
      <c r="A40" s="5" t="s">
        <v>51</v>
      </c>
      <c r="B40" s="1" t="s">
        <v>901</v>
      </c>
      <c r="C40" s="5"/>
      <c r="D40" s="1">
        <f>IFERROR(INDEX([1]SamplingMethod!$A$2:$C$160,MATCH(B40,[1]SamplingMethod!$C$2:$C$160,FALSE),1),"")</f>
        <v>142</v>
      </c>
      <c r="E40" s="5" t="str">
        <f>IFERROR(INDEX([1]SamplingMethod!$A$2:$C$160,MATCH(B40,[1]SamplingMethod!$C$2:$C$160,FALSE),2),"")</f>
        <v>secm:sm044</v>
      </c>
      <c r="F40" t="str">
        <f>IFERROR(INDEX('collectionMethodDistinct'!$A$2:$A$646,MATCH(A40,'collectionMethodDistinct'!$A$2:$A$646,FALSE),1),"")</f>
        <v>Camera SledCamera tow</v>
      </c>
    </row>
    <row r="41" spans="1:6" x14ac:dyDescent="0.25">
      <c r="A41" s="5" t="s">
        <v>53</v>
      </c>
      <c r="B41" s="1" t="s">
        <v>901</v>
      </c>
      <c r="C41" s="5"/>
      <c r="D41" s="1">
        <f>IFERROR(INDEX([1]SamplingMethod!$A$2:$C$160,MATCH(B41,[1]SamplingMethod!$C$2:$C$160,FALSE),1),"")</f>
        <v>142</v>
      </c>
      <c r="E41" s="5" t="str">
        <f>IFERROR(INDEX([1]SamplingMethod!$A$2:$C$160,MATCH(B41,[1]SamplingMethod!$C$2:$C$160,FALSE),2),"")</f>
        <v>secm:sm044</v>
      </c>
      <c r="F41" t="str">
        <f>IFERROR(INDEX('collectionMethodDistinct'!$A$2:$A$646,MATCH(A41,'collectionMethodDistinct'!$A$2:$A$646,FALSE),1),"")</f>
        <v>Camera tow</v>
      </c>
    </row>
    <row r="42" spans="1:6" x14ac:dyDescent="0.25">
      <c r="A42" s="5" t="s">
        <v>54</v>
      </c>
      <c r="B42" s="1" t="s">
        <v>901</v>
      </c>
      <c r="C42" s="5"/>
      <c r="D42" s="1">
        <f>IFERROR(INDEX([1]SamplingMethod!$A$2:$C$160,MATCH(B42,[1]SamplingMethod!$C$2:$C$160,FALSE),1),"")</f>
        <v>142</v>
      </c>
      <c r="E42" s="5" t="str">
        <f>IFERROR(INDEX([1]SamplingMethod!$A$2:$C$160,MATCH(B42,[1]SamplingMethod!$C$2:$C$160,FALSE),2),"")</f>
        <v>secm:sm044</v>
      </c>
      <c r="F42" t="str">
        <f>IFERROR(INDEX('collectionMethodDistinct'!$A$2:$A$646,MATCH(A42,'collectionMethodDistinct'!$A$2:$A$646,FALSE),1),"")</f>
        <v>Camera&gt;Yoyo</v>
      </c>
    </row>
    <row r="43" spans="1:6" x14ac:dyDescent="0.25">
      <c r="A43" s="5" t="s">
        <v>11</v>
      </c>
      <c r="B43" s="5" t="s">
        <v>610</v>
      </c>
      <c r="C43" s="5"/>
      <c r="D43" s="1">
        <f>IFERROR(INDEX([1]SamplingMethod!$A$2:$C$160,MATCH(B43,[1]SamplingMethod!$C$2:$C$160,FALSE),1),"")</f>
        <v>83</v>
      </c>
      <c r="E43" s="5" t="str">
        <f>IFERROR(INDEX([1]SamplingMethod!$A$2:$C$160,MATCH(B43,[1]SamplingMethod!$C$2:$C$160,FALSE),2),"")</f>
        <v>secm:ses222</v>
      </c>
      <c r="F43" t="str">
        <f>IFERROR(INDEX('collectionMethodDistinct'!$A$2:$A$646,MATCH(A43,'collectionMethodDistinct'!$A$2:$A$646,FALSE),1),"")</f>
        <v>Campbell Grab</v>
      </c>
    </row>
    <row r="44" spans="1:6" x14ac:dyDescent="0.25">
      <c r="A44" s="5" t="s">
        <v>55</v>
      </c>
      <c r="B44" s="5" t="s">
        <v>508</v>
      </c>
      <c r="C44" s="5"/>
      <c r="D44" s="1">
        <f>IFERROR(INDEX([1]SamplingMethod!$A$2:$C$160,MATCH(B44,[1]SamplingMethod!$C$2:$C$160,FALSE),1),"")</f>
        <v>88</v>
      </c>
      <c r="E44" s="5" t="str">
        <f>IFERROR(INDEX([1]SamplingMethod!$A$2:$C$160,MATCH(B44,[1]SamplingMethod!$C$2:$C$160,FALSE),2),"")</f>
        <v>secm:ses227</v>
      </c>
      <c r="F44" t="str">
        <f>IFERROR(INDEX('collectionMethodDistinct'!$A$2:$A$646,MATCH(A44,'collectionMethodDistinct'!$A$2:$A$646,FALSE),1),"")</f>
        <v>Ceramic Cup</v>
      </c>
    </row>
    <row r="45" spans="1:6" x14ac:dyDescent="0.25">
      <c r="A45" s="5" t="s">
        <v>56</v>
      </c>
      <c r="B45" s="5" t="s">
        <v>508</v>
      </c>
      <c r="C45" s="5"/>
      <c r="D45" s="1">
        <f>IFERROR(INDEX([1]SamplingMethod!$A$2:$C$160,MATCH(B45,[1]SamplingMethod!$C$2:$C$160,FALSE),1),"")</f>
        <v>88</v>
      </c>
      <c r="E45" s="5" t="str">
        <f>IFERROR(INDEX([1]SamplingMethod!$A$2:$C$160,MATCH(B45,[1]SamplingMethod!$C$2:$C$160,FALSE),2),"")</f>
        <v>secm:ses227</v>
      </c>
      <c r="F45" t="str">
        <f>IFERROR(INDEX('collectionMethodDistinct'!$A$2:$A$646,MATCH(A45,'collectionMethodDistinct'!$A$2:$A$646,FALSE),1),"")</f>
        <v>CeramicCup</v>
      </c>
    </row>
    <row r="46" spans="1:6" x14ac:dyDescent="0.25">
      <c r="A46" s="5" t="s">
        <v>13</v>
      </c>
      <c r="B46" s="5" t="s">
        <v>13</v>
      </c>
      <c r="C46" s="5"/>
      <c r="D46" s="1">
        <f>IFERROR(INDEX([1]SamplingMethod!$A$2:$C$160,MATCH(B46,[1]SamplingMethod!$C$2:$C$160,FALSE),1),"")</f>
        <v>72</v>
      </c>
      <c r="E46" s="5" t="str">
        <f>IFERROR(INDEX([1]SamplingMethod!$A$2:$C$160,MATCH(B46,[1]SamplingMethod!$C$2:$C$160,FALSE),2),"")</f>
        <v>secm:ses208</v>
      </c>
      <c r="F46" t="str">
        <f>IFERROR(INDEX('collectionMethodDistinct'!$A$2:$A$646,MATCH(A46,'collectionMethodDistinct'!$A$2:$A$646,FALSE),1),"")</f>
        <v>Chain saw</v>
      </c>
    </row>
    <row r="47" spans="1:6" x14ac:dyDescent="0.25">
      <c r="A47" s="5" t="s">
        <v>57</v>
      </c>
      <c r="B47" s="5" t="s">
        <v>876</v>
      </c>
      <c r="C47" s="5" t="s">
        <v>514</v>
      </c>
      <c r="D47" s="1">
        <f>IFERROR(INDEX([1]SamplingMethod!$A$2:$C$160,MATCH(B47,[1]SamplingMethod!$C$2:$C$160,FALSE),1),"")</f>
        <v>132</v>
      </c>
      <c r="E47" s="5" t="str">
        <f>IFERROR(INDEX([1]SamplingMethod!$A$2:$C$160,MATCH(B47,[1]SamplingMethod!$C$2:$C$160,FALSE),2),"")</f>
        <v>secm:sm033</v>
      </c>
      <c r="F47" t="str">
        <f>IFERROR(INDEX('collectionMethodDistinct'!$A$2:$A$646,MATCH(A47,'collectionMethodDistinct'!$A$2:$A$646,FALSE),1),"")</f>
        <v>ChainBagDredge, Sediment Trap</v>
      </c>
    </row>
    <row r="48" spans="1:6" x14ac:dyDescent="0.25">
      <c r="A48" s="5" t="s">
        <v>58</v>
      </c>
      <c r="B48" s="5" t="s">
        <v>13</v>
      </c>
      <c r="C48" s="5"/>
      <c r="D48" s="1">
        <f>IFERROR(INDEX([1]SamplingMethod!$A$2:$C$160,MATCH(B48,[1]SamplingMethod!$C$2:$C$160,FALSE),1),"")</f>
        <v>72</v>
      </c>
      <c r="E48" s="5" t="str">
        <f>IFERROR(INDEX([1]SamplingMethod!$A$2:$C$160,MATCH(B48,[1]SamplingMethod!$C$2:$C$160,FALSE),2),"")</f>
        <v>secm:ses208</v>
      </c>
      <c r="F48" t="str">
        <f>IFERROR(INDEX('collectionMethodDistinct'!$A$2:$A$646,MATCH(A48,'collectionMethodDistinct'!$A$2:$A$646,FALSE),1),"")</f>
        <v>Chainsaw</v>
      </c>
    </row>
    <row r="49" spans="1:6" x14ac:dyDescent="0.25">
      <c r="A49" s="5" t="s">
        <v>59</v>
      </c>
      <c r="B49" s="5" t="s">
        <v>13</v>
      </c>
      <c r="C49" s="5"/>
      <c r="D49" s="1">
        <f>IFERROR(INDEX([1]SamplingMethod!$A$2:$C$160,MATCH(B49,[1]SamplingMethod!$C$2:$C$160,FALSE),1),"")</f>
        <v>72</v>
      </c>
      <c r="E49" s="5" t="str">
        <f>IFERROR(INDEX([1]SamplingMethod!$A$2:$C$160,MATCH(B49,[1]SamplingMethod!$C$2:$C$160,FALSE),2),"")</f>
        <v>secm:ses208</v>
      </c>
      <c r="F49" t="str">
        <f>IFERROR(INDEX('collectionMethodDistinct'!$A$2:$A$646,MATCH(A49,'collectionMethodDistinct'!$A$2:$A$646,FALSE),1),"")</f>
        <v>Chain-saw</v>
      </c>
    </row>
    <row r="50" spans="1:6" x14ac:dyDescent="0.25">
      <c r="A50" s="5" t="s">
        <v>911</v>
      </c>
      <c r="B50" s="5" t="s">
        <v>612</v>
      </c>
      <c r="C50" s="5"/>
      <c r="D50" s="1">
        <f>IFERROR(INDEX([1]SamplingMethod!$A$2:$C$160,MATCH(B50,[1]SamplingMethod!$C$2:$C$160,FALSE),1),"")</f>
        <v>114</v>
      </c>
      <c r="E50" s="5" t="str">
        <f>IFERROR(INDEX([1]SamplingMethod!$A$2:$C$160,MATCH(B50,[1]SamplingMethod!$C$2:$C$160,FALSE),2),"")</f>
        <v>secm:sm015</v>
      </c>
      <c r="F50" t="str">
        <f>IFERROR(INDEX('collectionMethodDistinct'!$A$2:$A$646,MATCH(A50,'collectionMethodDistinct'!$A$2:$A$646,FALSE),1),"")</f>
        <v>channel across strata or layer</v>
      </c>
    </row>
    <row r="51" spans="1:6" x14ac:dyDescent="0.25">
      <c r="A51" s="5" t="s">
        <v>60</v>
      </c>
      <c r="B51" s="5" t="s">
        <v>612</v>
      </c>
      <c r="C51" s="5"/>
      <c r="D51" s="1">
        <f>IFERROR(INDEX([1]SamplingMethod!$A$2:$C$160,MATCH(B51,[1]SamplingMethod!$C$2:$C$160,FALSE),1),"")</f>
        <v>114</v>
      </c>
      <c r="E51" s="5" t="str">
        <f>IFERROR(INDEX([1]SamplingMethod!$A$2:$C$160,MATCH(B51,[1]SamplingMethod!$C$2:$C$160,FALSE),2),"")</f>
        <v>secm:sm015</v>
      </c>
      <c r="F51" t="str">
        <f>IFERROR(INDEX('collectionMethodDistinct'!$A$2:$A$646,MATCH(A51,'collectionMethodDistinct'!$A$2:$A$646,FALSE),1),"")</f>
        <v>channel through entire stratum or layer</v>
      </c>
    </row>
    <row r="52" spans="1:6" x14ac:dyDescent="0.25">
      <c r="A52" s="5" t="s">
        <v>912</v>
      </c>
      <c r="B52" s="5" t="s">
        <v>612</v>
      </c>
      <c r="C52" s="5"/>
      <c r="D52" s="1">
        <f>IFERROR(INDEX([1]SamplingMethod!$A$2:$C$160,MATCH(B52,[1]SamplingMethod!$C$2:$C$160,FALSE),1),"")</f>
        <v>114</v>
      </c>
      <c r="E52" s="5" t="str">
        <f>IFERROR(INDEX([1]SamplingMethod!$A$2:$C$160,MATCH(B52,[1]SamplingMethod!$C$2:$C$160,FALSE),2),"")</f>
        <v>secm:sm015</v>
      </c>
      <c r="F52" t="str">
        <f>IFERROR(INDEX('collectionMethodDistinct'!$A$2:$A$646,MATCH(A52,'collectionMethodDistinct'!$A$2:$A$646,FALSE),1),"")</f>
        <v>channel through selected sub-interval of stratum or layer</v>
      </c>
    </row>
    <row r="53" spans="1:6" x14ac:dyDescent="0.25">
      <c r="A53" s="5" t="s">
        <v>61</v>
      </c>
      <c r="B53" s="5" t="s">
        <v>614</v>
      </c>
      <c r="C53" s="5"/>
      <c r="D53" s="1">
        <f>IFERROR(INDEX([1]SamplingMethod!$A$2:$C$160,MATCH(B53,[1]SamplingMethod!$C$2:$C$160,FALSE),1),"")</f>
        <v>73</v>
      </c>
      <c r="E53" s="5" t="str">
        <f>IFERROR(INDEX([1]SamplingMethod!$A$2:$C$160,MATCH(B53,[1]SamplingMethod!$C$2:$C$160,FALSE),2),"")</f>
        <v>secm:ses210</v>
      </c>
      <c r="F53" t="str">
        <f>IFERROR(INDEX('collectionMethodDistinct'!$A$2:$A$646,MATCH(A53,'collectionMethodDistinct'!$A$2:$A$646,FALSE),1),"")</f>
        <v>chip sample</v>
      </c>
    </row>
    <row r="54" spans="1:6" x14ac:dyDescent="0.25">
      <c r="A54" s="5" t="s">
        <v>62</v>
      </c>
      <c r="B54" s="5" t="s">
        <v>607</v>
      </c>
      <c r="C54" s="5"/>
      <c r="D54" s="1">
        <f>IFERROR(INDEX([1]SamplingMethod!$A$2:$C$160,MATCH(B54,[1]SamplingMethod!$C$2:$C$160,FALSE),1),"")</f>
        <v>78</v>
      </c>
      <c r="E54" s="5" t="str">
        <f>IFERROR(INDEX([1]SamplingMethod!$A$2:$C$160,MATCH(B54,[1]SamplingMethod!$C$2:$C$160,FALSE),2),"")</f>
        <v>secm:ses216</v>
      </c>
      <c r="F54" t="str">
        <f>IFERROR(INDEX('collectionMethodDistinct'!$A$2:$A$646,MATCH(A54,'collectionMethodDistinct'!$A$2:$A$646,FALSE),1),"")</f>
        <v>Collected from outcrop (hammer)</v>
      </c>
    </row>
    <row r="55" spans="1:6" x14ac:dyDescent="0.25">
      <c r="A55" s="5" t="s">
        <v>63</v>
      </c>
      <c r="B55" s="5" t="s">
        <v>609</v>
      </c>
      <c r="C55" s="5"/>
      <c r="D55" s="1">
        <f>IFERROR(INDEX([1]SamplingMethod!$A$2:$C$160,MATCH(B55,[1]SamplingMethod!$C$2:$C$160,FALSE),1),"")</f>
        <v>80</v>
      </c>
      <c r="E55" s="5" t="str">
        <f>IFERROR(INDEX([1]SamplingMethod!$A$2:$C$160,MATCH(B55,[1]SamplingMethod!$C$2:$C$160,FALSE),2),"")</f>
        <v>secm:ses218</v>
      </c>
      <c r="F55" t="str">
        <f>IFERROR(INDEX('collectionMethodDistinct'!$A$2:$A$646,MATCH(A55,'collectionMethodDistinct'!$A$2:$A$646,FALSE),1),"")</f>
        <v>Collected from river bed</v>
      </c>
    </row>
    <row r="56" spans="1:6" x14ac:dyDescent="0.25">
      <c r="A56" s="5" t="s">
        <v>64</v>
      </c>
      <c r="B56" s="5" t="s">
        <v>609</v>
      </c>
      <c r="C56" s="5"/>
      <c r="D56" s="1">
        <f>IFERROR(INDEX([1]SamplingMethod!$A$2:$C$160,MATCH(B56,[1]SamplingMethod!$C$2:$C$160,FALSE),1),"")</f>
        <v>80</v>
      </c>
      <c r="E56" s="5" t="str">
        <f>IFERROR(INDEX([1]SamplingMethod!$A$2:$C$160,MATCH(B56,[1]SamplingMethod!$C$2:$C$160,FALSE),2),"")</f>
        <v>secm:ses218</v>
      </c>
      <c r="F56" t="str">
        <f>IFERROR(INDEX('collectionMethodDistinct'!$A$2:$A$646,MATCH(A56,'collectionMethodDistinct'!$A$2:$A$646,FALSE),1),"")</f>
        <v>Collected from scree below outcrop</v>
      </c>
    </row>
    <row r="57" spans="1:6" x14ac:dyDescent="0.25">
      <c r="A57" s="5" t="s">
        <v>65</v>
      </c>
      <c r="B57" s="5" t="s">
        <v>609</v>
      </c>
      <c r="C57" s="5"/>
      <c r="D57" s="1">
        <f>IFERROR(INDEX([1]SamplingMethod!$A$2:$C$160,MATCH(B57,[1]SamplingMethod!$C$2:$C$160,FALSE),1),"")</f>
        <v>80</v>
      </c>
      <c r="E57" s="5" t="str">
        <f>IFERROR(INDEX([1]SamplingMethod!$A$2:$C$160,MATCH(B57,[1]SamplingMethod!$C$2:$C$160,FALSE),2),"")</f>
        <v>secm:ses218</v>
      </c>
      <c r="F57" t="str">
        <f>IFERROR(INDEX('collectionMethodDistinct'!$A$2:$A$646,MATCH(A57,'collectionMethodDistinct'!$A$2:$A$646,FALSE),1),"")</f>
        <v>Collected from trench</v>
      </c>
    </row>
    <row r="58" spans="1:6" x14ac:dyDescent="0.25">
      <c r="A58" s="5" t="s">
        <v>66</v>
      </c>
      <c r="B58" s="5" t="s">
        <v>609</v>
      </c>
      <c r="C58" s="5"/>
      <c r="D58" s="1">
        <f>IFERROR(INDEX([1]SamplingMethod!$A$2:$C$160,MATCH(B58,[1]SamplingMethod!$C$2:$C$160,FALSE),1),"")</f>
        <v>80</v>
      </c>
      <c r="E58" s="5" t="str">
        <f>IFERROR(INDEX([1]SamplingMethod!$A$2:$C$160,MATCH(B58,[1]SamplingMethod!$C$2:$C$160,FALSE),2),"")</f>
        <v>secm:ses218</v>
      </c>
      <c r="F58" t="str">
        <f>IFERROR(INDEX('collectionMethodDistinct'!$A$2:$A$646,MATCH(A58,'collectionMethodDistinct'!$A$2:$A$646,FALSE),1),"")</f>
        <v>Collected in situ 2.5 months after eruption</v>
      </c>
    </row>
    <row r="59" spans="1:6" x14ac:dyDescent="0.25">
      <c r="A59" s="5" t="s">
        <v>67</v>
      </c>
      <c r="B59" s="5" t="s">
        <v>609</v>
      </c>
      <c r="C59" s="5"/>
      <c r="D59" s="1">
        <f>IFERROR(INDEX([1]SamplingMethod!$A$2:$C$160,MATCH(B59,[1]SamplingMethod!$C$2:$C$160,FALSE),1),"")</f>
        <v>80</v>
      </c>
      <c r="E59" s="5" t="str">
        <f>IFERROR(INDEX([1]SamplingMethod!$A$2:$C$160,MATCH(B59,[1]SamplingMethod!$C$2:$C$160,FALSE),2),"")</f>
        <v>secm:ses218</v>
      </c>
      <c r="F59" t="str">
        <f>IFERROR(INDEX('collectionMethodDistinct'!$A$2:$A$646,MATCH(A59,'collectionMethodDistinct'!$A$2:$A$646,FALSE),1),"")</f>
        <v>Collected in situ during explosive eruption</v>
      </c>
    </row>
    <row r="60" spans="1:6" x14ac:dyDescent="0.25">
      <c r="A60" t="s">
        <v>957</v>
      </c>
      <c r="B60" s="5" t="s">
        <v>609</v>
      </c>
      <c r="D60" s="1">
        <f>IFERROR(INDEX([1]SamplingMethod!$A$2:$C$160,MATCH(B60,[1]SamplingMethod!$C$2:$C$160,FALSE),1),"")</f>
        <v>80</v>
      </c>
      <c r="E60" s="5" t="str">
        <f>IFERROR(INDEX([1]SamplingMethod!$A$2:$C$160,MATCH(B60,[1]SamplingMethod!$C$2:$C$160,FALSE),2),"")</f>
        <v>secm:ses218</v>
      </c>
      <c r="F60" t="str">
        <f>IFERROR(INDEX('collectionMethodDistinct'!$A$2:$A$646,MATCH(A60,'collectionMethodDistinct'!$A$2:$A$646,FALSE),1),"")</f>
        <v>Collected predawn in field and dried at 70 C before shipping to ORNL</v>
      </c>
    </row>
    <row r="61" spans="1:6" x14ac:dyDescent="0.25">
      <c r="A61" s="5" t="s">
        <v>68</v>
      </c>
      <c r="B61" s="5" t="s">
        <v>508</v>
      </c>
      <c r="C61" s="5"/>
      <c r="D61" s="1">
        <f>IFERROR(INDEX([1]SamplingMethod!$A$2:$C$160,MATCH(B61,[1]SamplingMethod!$C$2:$C$160,FALSE),1),"")</f>
        <v>88</v>
      </c>
      <c r="E61" s="5" t="str">
        <f>IFERROR(INDEX([1]SamplingMethod!$A$2:$C$160,MATCH(B61,[1]SamplingMethod!$C$2:$C$160,FALSE),2),"")</f>
        <v>secm:ses227</v>
      </c>
      <c r="F61" t="str">
        <f>IFERROR(INDEX('collectionMethodDistinct'!$A$2:$A$646,MATCH(A61,'collectionMethodDistinct'!$A$2:$A$646,FALSE),1),"")</f>
        <v>Collected with clean scupula</v>
      </c>
    </row>
    <row r="62" spans="1:6" x14ac:dyDescent="0.25">
      <c r="A62" t="s">
        <v>956</v>
      </c>
      <c r="B62" s="5" t="s">
        <v>607</v>
      </c>
      <c r="D62" s="1">
        <f>IFERROR(INDEX([1]SamplingMethod!$A$2:$C$160,MATCH(B62,[1]SamplingMethod!$C$2:$C$160,FALSE),1),"")</f>
        <v>78</v>
      </c>
      <c r="E62" s="5" t="str">
        <f>IFERROR(INDEX([1]SamplingMethod!$A$2:$C$160,MATCH(B62,[1]SamplingMethod!$C$2:$C$160,FALSE),2),"")</f>
        <v>secm:ses216</v>
      </c>
      <c r="F62" t="str">
        <f>IFERROR(INDEX('collectionMethodDistinct'!$A$2:$A$646,MATCH(A62,'collectionMethodDistinct'!$A$2:$A$646,FALSE),1),"")</f>
        <v xml:space="preserve">Collecting fresh outcrops by hammering and chiseling away weathered parts </v>
      </c>
    </row>
    <row r="63" spans="1:6" x14ac:dyDescent="0.25">
      <c r="A63" s="5" t="s">
        <v>914</v>
      </c>
      <c r="B63" s="5" t="s">
        <v>858</v>
      </c>
      <c r="C63" s="5"/>
      <c r="D63" s="1">
        <f>IFERROR(INDEX([1]SamplingMethod!$A$2:$C$160,MATCH(B63,[1]SamplingMethod!$C$2:$C$160,FALSE),1),"")</f>
        <v>151</v>
      </c>
      <c r="E63" s="5" t="str">
        <f>IFERROR(INDEX([1]SamplingMethod!$A$2:$C$160,MATCH(B63,[1]SamplingMethod!$C$2:$C$160,FALSE),2),"")</f>
        <v>secm:unknown</v>
      </c>
      <c r="F63" t="str">
        <f>IFERROR(INDEX('collectionMethodDistinct'!$A$2:$A$646,MATCH(A63,'collectionMethodDistinct'!$A$2:$A$646,FALSE),1),"")</f>
        <v>Collection method</v>
      </c>
    </row>
    <row r="64" spans="1:6" x14ac:dyDescent="0.25">
      <c r="A64" t="s">
        <v>955</v>
      </c>
      <c r="B64" s="5" t="s">
        <v>219</v>
      </c>
      <c r="D64" s="1">
        <f>IFERROR(INDEX([1]SamplingMethod!$A$2:$C$160,MATCH(B64,[1]SamplingMethod!$C$2:$C$160,FALSE),1),"")</f>
        <v>38</v>
      </c>
      <c r="E64" s="5" t="str">
        <f>IFERROR(INDEX([1]SamplingMethod!$A$2:$C$160,MATCH(B64,[1]SamplingMethod!$C$2:$C$160,FALSE),2),"")</f>
        <v>secm:drilling</v>
      </c>
      <c r="F64" t="str">
        <f>IFERROR(INDEX('collectionMethodDistinct'!$A$2:$A$646,MATCH(A64,'collectionMethodDistinct'!$A$2:$A$646,FALSE),1),"")</f>
        <v>Continental Drilling</v>
      </c>
    </row>
    <row r="65" spans="1:6" x14ac:dyDescent="0.25">
      <c r="A65" s="5" t="s">
        <v>69</v>
      </c>
      <c r="B65" s="5" t="s">
        <v>82</v>
      </c>
      <c r="C65" s="5"/>
      <c r="D65" s="1">
        <f>IFERROR(INDEX([1]SamplingMethod!$A$2:$C$160,MATCH(B65,[1]SamplingMethod!$C$2:$C$160,FALSE),1),"")</f>
        <v>140</v>
      </c>
      <c r="E65" s="5" t="str">
        <f>IFERROR(INDEX([1]SamplingMethod!$A$2:$C$160,MATCH(B65,[1]SamplingMethod!$C$2:$C$160,FALSE),2),"")</f>
        <v>secm:sm041</v>
      </c>
      <c r="F65" t="str">
        <f>IFERROR(INDEX('collectionMethodDistinct'!$A$2:$A$646,MATCH(A65,'collectionMethodDistinct'!$A$2:$A$646,FALSE),1),"")</f>
        <v>core</v>
      </c>
    </row>
    <row r="66" spans="1:6" x14ac:dyDescent="0.25">
      <c r="A66" s="5" t="s">
        <v>70</v>
      </c>
      <c r="B66" s="5" t="s">
        <v>81</v>
      </c>
      <c r="C66" s="5"/>
      <c r="D66" s="1">
        <f>IFERROR(INDEX([1]SamplingMethod!$A$2:$C$160,MATCH(B66,[1]SamplingMethod!$C$2:$C$160,FALSE),1),"")</f>
        <v>140</v>
      </c>
      <c r="E66" s="5" t="str">
        <f>IFERROR(INDEX([1]SamplingMethod!$A$2:$C$160,MATCH(B66,[1]SamplingMethod!$C$2:$C$160,FALSE),2),"")</f>
        <v>secm:sm041</v>
      </c>
      <c r="F66" t="str">
        <f>IFERROR(INDEX('collectionMethodDistinct'!$A$2:$A$646,MATCH(A66,'collectionMethodDistinct'!$A$2:$A$646,FALSE),1),"")</f>
        <v>core</v>
      </c>
    </row>
    <row r="67" spans="1:6" x14ac:dyDescent="0.25">
      <c r="A67" s="5" t="s">
        <v>15</v>
      </c>
      <c r="B67" s="5" t="s">
        <v>608</v>
      </c>
      <c r="C67" s="5"/>
      <c r="D67" s="1">
        <f>IFERROR(INDEX([1]SamplingMethod!$A$2:$C$160,MATCH(B67,[1]SamplingMethod!$C$2:$C$160,FALSE),1),"")</f>
        <v>22</v>
      </c>
      <c r="E67" s="5" t="str">
        <f>IFERROR(INDEX([1]SamplingMethod!$A$2:$C$160,MATCH(B67,[1]SamplingMethod!$C$2:$C$160,FALSE),2),"")</f>
        <v>secm:core_catcher</v>
      </c>
      <c r="F67" t="str">
        <f>IFERROR(INDEX('collectionMethodDistinct'!$A$2:$A$646,MATCH(A67,'collectionMethodDistinct'!$A$2:$A$646,FALSE),1),"")</f>
        <v>core catcher</v>
      </c>
    </row>
    <row r="68" spans="1:6" x14ac:dyDescent="0.25">
      <c r="A68" s="5" t="s">
        <v>71</v>
      </c>
      <c r="B68" s="5" t="s">
        <v>81</v>
      </c>
      <c r="C68" s="5"/>
      <c r="D68" s="1">
        <f>IFERROR(INDEX([1]SamplingMethod!$A$2:$C$160,MATCH(B68,[1]SamplingMethod!$C$2:$C$160,FALSE),1),"")</f>
        <v>140</v>
      </c>
      <c r="E68" s="5" t="str">
        <f>IFERROR(INDEX([1]SamplingMethod!$A$2:$C$160,MATCH(B68,[1]SamplingMethod!$C$2:$C$160,FALSE),2),"")</f>
        <v>secm:sm041</v>
      </c>
      <c r="F68" t="str">
        <f>IFERROR(INDEX('collectionMethodDistinct'!$A$2:$A$646,MATCH(A68,'collectionMethodDistinct'!$A$2:$A$646,FALSE),1),"")</f>
        <v>Core collected during well installation</v>
      </c>
    </row>
    <row r="69" spans="1:6" x14ac:dyDescent="0.25">
      <c r="A69" t="s">
        <v>954</v>
      </c>
      <c r="B69" s="5" t="s">
        <v>82</v>
      </c>
      <c r="D69" s="1">
        <f>IFERROR(INDEX([1]SamplingMethod!$A$2:$C$160,MATCH(B69,[1]SamplingMethod!$C$2:$C$160,FALSE),1),"")</f>
        <v>140</v>
      </c>
      <c r="E69" s="5" t="str">
        <f>IFERROR(INDEX([1]SamplingMethod!$A$2:$C$160,MATCH(B69,[1]SamplingMethod!$C$2:$C$160,FALSE),2),"")</f>
        <v>secm:sm041</v>
      </c>
      <c r="F69" t="str">
        <f>IFERROR(INDEX('collectionMethodDistinct'!$A$2:$A$646,MATCH(A69,'collectionMethodDistinct'!$A$2:$A$646,FALSE),1),"")</f>
        <v>Core section</v>
      </c>
    </row>
    <row r="70" spans="1:6" x14ac:dyDescent="0.25">
      <c r="A70" s="5" t="s">
        <v>72</v>
      </c>
      <c r="B70" s="5" t="s">
        <v>846</v>
      </c>
      <c r="C70" s="5"/>
      <c r="D70" s="1">
        <f>IFERROR(INDEX([1]SamplingMethod!$A$2:$C$160,MATCH(B70,[1]SamplingMethod!$C$2:$C$160,FALSE),1),"")</f>
        <v>125</v>
      </c>
      <c r="E70" s="5" t="str">
        <f>IFERROR(INDEX([1]SamplingMethod!$A$2:$C$160,MATCH(B70,[1]SamplingMethod!$C$2:$C$160,FALSE),2),"")</f>
        <v>secm:sm026</v>
      </c>
      <c r="F70" t="str">
        <f>IFERROR(INDEX('collectionMethodDistinct'!$A$2:$A$646,MATCH(A70,'collectionMethodDistinct'!$A$2:$A$646,FALSE),1),"")</f>
        <v>core, gravity</v>
      </c>
    </row>
    <row r="71" spans="1:6" x14ac:dyDescent="0.25">
      <c r="A71" s="5" t="s">
        <v>17</v>
      </c>
      <c r="B71" s="5" t="s">
        <v>836</v>
      </c>
      <c r="C71" s="5"/>
      <c r="D71" s="1">
        <f>IFERROR(INDEX([1]SamplingMethod!$A$2:$C$160,MATCH(B71,[1]SamplingMethod!$C$2:$C$160,FALSE),1),"")</f>
        <v>74</v>
      </c>
      <c r="E71" s="5" t="str">
        <f>IFERROR(INDEX([1]SamplingMethod!$A$2:$C$160,MATCH(B71,[1]SamplingMethod!$C$2:$C$160,FALSE),2),"")</f>
        <v>secm:ses212</v>
      </c>
      <c r="F71" t="str">
        <f>IFERROR(INDEX('collectionMethodDistinct'!$A$2:$A$646,MATCH(A71,'collectionMethodDistinct'!$A$2:$A$646,FALSE),1),"")</f>
        <v>Core&gt;Syringe</v>
      </c>
    </row>
    <row r="72" spans="1:6" x14ac:dyDescent="0.25">
      <c r="A72" s="5" t="s">
        <v>73</v>
      </c>
      <c r="B72" s="5" t="s">
        <v>877</v>
      </c>
      <c r="C72" s="5"/>
      <c r="D72" s="1">
        <f>IFERROR(INDEX([1]SamplingMethod!$A$2:$C$160,MATCH(B72,[1]SamplingMethod!$C$2:$C$160,FALSE),1),"")</f>
        <v>155</v>
      </c>
      <c r="E72" s="5" t="str">
        <f>IFERROR(INDEX([1]SamplingMethod!$A$2:$C$160,MATCH(B72,[1]SamplingMethod!$C$2:$C$160,FALSE),2),"")</f>
        <v>secm:waxcoring</v>
      </c>
      <c r="F72" t="str">
        <f>IFERROR(INDEX('collectionMethodDistinct'!$A$2:$A$646,MATCH(A72,'collectionMethodDistinct'!$A$2:$A$646,FALSE),1),"")</f>
        <v>Core&gt;Wax</v>
      </c>
    </row>
    <row r="73" spans="1:6" x14ac:dyDescent="0.25">
      <c r="A73" s="5" t="s">
        <v>74</v>
      </c>
      <c r="B73" s="5" t="s">
        <v>82</v>
      </c>
      <c r="C73" s="5"/>
      <c r="D73" s="1">
        <f>IFERROR(INDEX([1]SamplingMethod!$A$2:$C$160,MATCH(B73,[1]SamplingMethod!$C$2:$C$160,FALSE),1),"")</f>
        <v>140</v>
      </c>
      <c r="E73" s="5" t="str">
        <f>IFERROR(INDEX([1]SamplingMethod!$A$2:$C$160,MATCH(B73,[1]SamplingMethod!$C$2:$C$160,FALSE),2),"")</f>
        <v>secm:sm041</v>
      </c>
      <c r="F73" t="str">
        <f>IFERROR(INDEX('collectionMethodDistinct'!$A$2:$A$646,MATCH(A73,'collectionMethodDistinct'!$A$2:$A$646,FALSE),1),"")</f>
        <v>Corer - camera mounted</v>
      </c>
    </row>
    <row r="74" spans="1:6" x14ac:dyDescent="0.25">
      <c r="A74" s="5" t="s">
        <v>75</v>
      </c>
      <c r="B74" s="5" t="s">
        <v>837</v>
      </c>
      <c r="C74" s="5"/>
      <c r="D74" s="1">
        <f>IFERROR(INDEX([1]SamplingMethod!$A$2:$C$160,MATCH(B74,[1]SamplingMethod!$C$2:$C$160,FALSE),1),"")</f>
        <v>33</v>
      </c>
      <c r="E74" s="5" t="str">
        <f>IFERROR(INDEX([1]SamplingMethod!$A$2:$C$160,MATCH(B74,[1]SamplingMethod!$C$2:$C$160,FALSE),2),"")</f>
        <v>secm:core_rov</v>
      </c>
      <c r="F74" t="str">
        <f>IFERROR(INDEX('collectionMethodDistinct'!$A$2:$A$646,MATCH(A74,'collectionMethodDistinct'!$A$2:$A$646,FALSE),1),"")</f>
        <v>Corer - submersible mounted</v>
      </c>
    </row>
    <row r="75" spans="1:6" x14ac:dyDescent="0.25">
      <c r="A75" s="5" t="s">
        <v>76</v>
      </c>
      <c r="B75" s="5" t="s">
        <v>836</v>
      </c>
      <c r="C75" s="5"/>
      <c r="D75" s="1">
        <f>IFERROR(INDEX([1]SamplingMethod!$A$2:$C$160,MATCH(B75,[1]SamplingMethod!$C$2:$C$160,FALSE),1),"")</f>
        <v>74</v>
      </c>
      <c r="E75" s="5" t="str">
        <f>IFERROR(INDEX([1]SamplingMethod!$A$2:$C$160,MATCH(B75,[1]SamplingMethod!$C$2:$C$160,FALSE),2),"")</f>
        <v>secm:ses212</v>
      </c>
      <c r="F75" t="str">
        <f>IFERROR(INDEX('collectionMethodDistinct'!$A$2:$A$646,MATCH(A75,'collectionMethodDistinct'!$A$2:$A$646,FALSE),1),"")</f>
        <v>Corer &gt; Syringe</v>
      </c>
    </row>
    <row r="76" spans="1:6" x14ac:dyDescent="0.25">
      <c r="A76" s="5" t="s">
        <v>77</v>
      </c>
      <c r="B76" s="5" t="s">
        <v>656</v>
      </c>
      <c r="C76" s="5"/>
      <c r="D76" s="1">
        <f>IFERROR(INDEX([1]SamplingMethod!$A$2:$C$160,MATCH(B76,[1]SamplingMethod!$C$2:$C$160,FALSE),1),"")</f>
        <v>105</v>
      </c>
      <c r="E76" s="5" t="str">
        <f>IFERROR(INDEX([1]SamplingMethod!$A$2:$C$160,MATCH(B76,[1]SamplingMethod!$C$2:$C$160,FALSE),2),"")</f>
        <v>secm:sm007</v>
      </c>
      <c r="F76" t="str">
        <f>IFERROR(INDEX('collectionMethodDistinct'!$A$2:$A$646,MATCH(A76,'collectionMethodDistinct'!$A$2:$A$646,FALSE),1),"")</f>
        <v>Corer&gt;auger corer</v>
      </c>
    </row>
    <row r="77" spans="1:6" x14ac:dyDescent="0.25">
      <c r="A77" s="5" t="s">
        <v>78</v>
      </c>
      <c r="B77" s="5" t="s">
        <v>887</v>
      </c>
      <c r="C77" s="5"/>
      <c r="D77" s="1">
        <f>IFERROR(INDEX([1]SamplingMethod!$A$2:$C$160,MATCH(B77,[1]SamplingMethod!$C$2:$C$160,FALSE),1),"")</f>
        <v>93</v>
      </c>
      <c r="E77" s="5" t="str">
        <f>IFERROR(INDEX([1]SamplingMethod!$A$2:$C$160,MATCH(B77,[1]SamplingMethod!$C$2:$C$160,FALSE),2),"")</f>
        <v>secm:ses232</v>
      </c>
      <c r="F77" t="str">
        <f>IFERROR(INDEX('collectionMethodDistinct'!$A$2:$A$646,MATCH(A77,'collectionMethodDistinct'!$A$2:$A$646,FALSE),1),"")</f>
        <v>Corer&gt;slide hammer corer</v>
      </c>
    </row>
    <row r="78" spans="1:6" x14ac:dyDescent="0.25">
      <c r="A78" s="5" t="s">
        <v>79</v>
      </c>
      <c r="B78" s="5" t="s">
        <v>892</v>
      </c>
      <c r="C78" s="5"/>
      <c r="D78" s="1">
        <f>IFERROR(INDEX([1]SamplingMethod!$A$2:$C$160,MATCH(B78,[1]SamplingMethod!$C$2:$C$160,FALSE),1),"")</f>
        <v>130</v>
      </c>
      <c r="E78" s="5" t="str">
        <f>IFERROR(INDEX([1]SamplingMethod!$A$2:$C$160,MATCH(B78,[1]SamplingMethod!$C$2:$C$160,FALSE),2),"")</f>
        <v>secm:sm031</v>
      </c>
      <c r="F78" t="str">
        <f>IFERROR(INDEX('collectionMethodDistinct'!$A$2:$A$646,MATCH(A78,'collectionMethodDistinct'!$A$2:$A$646,FALSE),1),"")</f>
        <v>Corer&gt;VibratingCorer</v>
      </c>
    </row>
    <row r="79" spans="1:6" x14ac:dyDescent="0.25">
      <c r="A79" s="5" t="s">
        <v>80</v>
      </c>
      <c r="B79" s="5" t="s">
        <v>845</v>
      </c>
      <c r="C79" s="5"/>
      <c r="D79" s="1">
        <f>IFERROR(INDEX([1]SamplingMethod!$A$2:$C$160,MATCH(B79,[1]SamplingMethod!$C$2:$C$160,FALSE),1),"")</f>
        <v>26</v>
      </c>
      <c r="E79" s="5" t="str">
        <f>IFERROR(INDEX([1]SamplingMethod!$A$2:$C$160,MATCH(B79,[1]SamplingMethod!$C$2:$C$160,FALSE),2),"")</f>
        <v>secm:core_drilling_unspecified</v>
      </c>
      <c r="F79" t="str">
        <f>IFERROR(INDEX('collectionMethodDistinct'!$A$2:$A$646,MATCH(A79,'collectionMethodDistinct'!$A$2:$A$646,FALSE),1),"")</f>
        <v>CorerCoring&gt;DrillCorer</v>
      </c>
    </row>
    <row r="80" spans="1:6" x14ac:dyDescent="0.25">
      <c r="A80" s="5" t="s">
        <v>81</v>
      </c>
      <c r="B80" s="5" t="s">
        <v>82</v>
      </c>
      <c r="C80" s="5"/>
      <c r="D80" s="1">
        <f>IFERROR(INDEX([1]SamplingMethod!$A$2:$C$160,MATCH(B80,[1]SamplingMethod!$C$2:$C$160,FALSE),1),"")</f>
        <v>140</v>
      </c>
      <c r="E80" s="5" t="str">
        <f>IFERROR(INDEX([1]SamplingMethod!$A$2:$C$160,MATCH(B80,[1]SamplingMethod!$C$2:$C$160,FALSE),2),"")</f>
        <v>secm:sm041</v>
      </c>
      <c r="F80" t="str">
        <f>IFERROR(INDEX('collectionMethodDistinct'!$A$2:$A$646,MATCH(A80,'collectionMethodDistinct'!$A$2:$A$646,FALSE),1),"")</f>
        <v>coring</v>
      </c>
    </row>
    <row r="81" spans="1:6" x14ac:dyDescent="0.25">
      <c r="A81" s="5" t="s">
        <v>82</v>
      </c>
      <c r="B81" s="5" t="s">
        <v>82</v>
      </c>
      <c r="C81" s="5"/>
      <c r="D81" s="1">
        <f>IFERROR(INDEX([1]SamplingMethod!$A$2:$C$160,MATCH(B81,[1]SamplingMethod!$C$2:$C$160,FALSE),1),"")</f>
        <v>140</v>
      </c>
      <c r="E81" s="5" t="str">
        <f>IFERROR(INDEX([1]SamplingMethod!$A$2:$C$160,MATCH(B81,[1]SamplingMethod!$C$2:$C$160,FALSE),2),"")</f>
        <v>secm:sm041</v>
      </c>
      <c r="F81" t="str">
        <f>IFERROR(INDEX('collectionMethodDistinct'!$A$2:$A$646,MATCH(A81,'collectionMethodDistinct'!$A$2:$A$646,FALSE),1),"")</f>
        <v>coring</v>
      </c>
    </row>
    <row r="82" spans="1:6" x14ac:dyDescent="0.25">
      <c r="A82" s="5" t="s">
        <v>83</v>
      </c>
      <c r="B82" s="5" t="s">
        <v>839</v>
      </c>
      <c r="C82" s="5"/>
      <c r="D82" s="1">
        <f>IFERROR(INDEX([1]SamplingMethod!$A$2:$C$160,MATCH(B82,[1]SamplingMethod!$C$2:$C$160,FALSE),1),"")</f>
        <v>128</v>
      </c>
      <c r="E82" s="5" t="str">
        <f>IFERROR(INDEX([1]SamplingMethod!$A$2:$C$160,MATCH(B82,[1]SamplingMethod!$C$2:$C$160,FALSE),2),"")</f>
        <v>secm:sm029</v>
      </c>
      <c r="F82" t="str">
        <f>IFERROR(INDEX('collectionMethodDistinct'!$A$2:$A$646,MATCH(A82,'collectionMethodDistinct'!$A$2:$A$646,FALSE),1),"")</f>
        <v>Coring - Jumbo Piston Core</v>
      </c>
    </row>
    <row r="83" spans="1:6" x14ac:dyDescent="0.25">
      <c r="A83" s="5" t="s">
        <v>84</v>
      </c>
      <c r="B83" s="5" t="s">
        <v>839</v>
      </c>
      <c r="C83" s="5"/>
      <c r="D83" s="1">
        <f>IFERROR(INDEX([1]SamplingMethod!$A$2:$C$160,MATCH(B83,[1]SamplingMethod!$C$2:$C$160,FALSE),1),"")</f>
        <v>128</v>
      </c>
      <c r="E83" s="5" t="str">
        <f>IFERROR(INDEX([1]SamplingMethod!$A$2:$C$160,MATCH(B83,[1]SamplingMethod!$C$2:$C$160,FALSE),2),"")</f>
        <v>secm:sm029</v>
      </c>
      <c r="F83" t="str">
        <f>IFERROR(INDEX('collectionMethodDistinct'!$A$2:$A$646,MATCH(A83,'collectionMethodDistinct'!$A$2:$A$646,FALSE),1),"")</f>
        <v>Coring - Jumbo Piston Corer</v>
      </c>
    </row>
    <row r="84" spans="1:6" x14ac:dyDescent="0.25">
      <c r="A84" s="5" t="s">
        <v>85</v>
      </c>
      <c r="B84" s="5" t="s">
        <v>841</v>
      </c>
      <c r="C84" s="5"/>
      <c r="D84" s="1">
        <f>IFERROR(INDEX([1]SamplingMethod!$A$2:$C$160,MATCH(B84,[1]SamplingMethod!$C$2:$C$160,FALSE),1),"")</f>
        <v>81</v>
      </c>
      <c r="E84" s="5" t="str">
        <f>IFERROR(INDEX([1]SamplingMethod!$A$2:$C$160,MATCH(B84,[1]SamplingMethod!$C$2:$C$160,FALSE),2),"")</f>
        <v>secm:ses220</v>
      </c>
      <c r="F84" t="str">
        <f>IFERROR(INDEX('collectionMethodDistinct'!$A$2:$A$646,MATCH(A84,'collectionMethodDistinct'!$A$2:$A$646,FALSE),1),"")</f>
        <v>Coring - Jumbo Trigger Core</v>
      </c>
    </row>
    <row r="85" spans="1:6" x14ac:dyDescent="0.25">
      <c r="A85" s="5" t="s">
        <v>86</v>
      </c>
      <c r="B85" s="5" t="s">
        <v>841</v>
      </c>
      <c r="C85" s="5"/>
      <c r="D85" s="1">
        <f>IFERROR(INDEX([1]SamplingMethod!$A$2:$C$160,MATCH(B85,[1]SamplingMethod!$C$2:$C$160,FALSE),1),"")</f>
        <v>81</v>
      </c>
      <c r="E85" s="5" t="str">
        <f>IFERROR(INDEX([1]SamplingMethod!$A$2:$C$160,MATCH(B85,[1]SamplingMethod!$C$2:$C$160,FALSE),2),"")</f>
        <v>secm:ses220</v>
      </c>
      <c r="F85" t="str">
        <f>IFERROR(INDEX('collectionMethodDistinct'!$A$2:$A$646,MATCH(A85,'collectionMethodDistinct'!$A$2:$A$646,FALSE),1),"")</f>
        <v>Coring - Jumbo Trigger Corer</v>
      </c>
    </row>
    <row r="86" spans="1:6" x14ac:dyDescent="0.25">
      <c r="A86" s="5" t="s">
        <v>87</v>
      </c>
      <c r="B86" s="5" t="s">
        <v>848</v>
      </c>
      <c r="C86" s="5"/>
      <c r="D86" s="1">
        <f>IFERROR(INDEX([1]SamplingMethod!$A$2:$C$160,MATCH(B86,[1]SamplingMethod!$C$2:$C$160,FALSE),1),"")</f>
        <v>82</v>
      </c>
      <c r="E86" s="5" t="str">
        <f>IFERROR(INDEX([1]SamplingMethod!$A$2:$C$160,MATCH(B86,[1]SamplingMethod!$C$2:$C$160,FALSE),2),"")</f>
        <v>secm:ses221</v>
      </c>
      <c r="F86" t="str">
        <f>IFERROR(INDEX('collectionMethodDistinct'!$A$2:$A$646,MATCH(A86,'collectionMethodDistinct'!$A$2:$A$646,FALSE),1),"")</f>
        <v>Coring - Kasten Core</v>
      </c>
    </row>
    <row r="87" spans="1:6" x14ac:dyDescent="0.25">
      <c r="A87" s="5" t="s">
        <v>88</v>
      </c>
      <c r="B87" s="5" t="s">
        <v>848</v>
      </c>
      <c r="C87" s="5"/>
      <c r="D87" s="1">
        <f>IFERROR(INDEX([1]SamplingMethod!$A$2:$C$160,MATCH(B87,[1]SamplingMethod!$C$2:$C$160,FALSE),1),"")</f>
        <v>82</v>
      </c>
      <c r="E87" s="5" t="str">
        <f>IFERROR(INDEX([1]SamplingMethod!$A$2:$C$160,MATCH(B87,[1]SamplingMethod!$C$2:$C$160,FALSE),2),"")</f>
        <v>secm:ses221</v>
      </c>
      <c r="F87" t="str">
        <f>IFERROR(INDEX('collectionMethodDistinct'!$A$2:$A$646,MATCH(A87,'collectionMethodDistinct'!$A$2:$A$646,FALSE),1),"")</f>
        <v>Coring - Kasten Corer</v>
      </c>
    </row>
    <row r="88" spans="1:6" x14ac:dyDescent="0.25">
      <c r="A88" s="5" t="s">
        <v>89</v>
      </c>
      <c r="B88" s="5" t="s">
        <v>843</v>
      </c>
      <c r="C88" s="5"/>
      <c r="D88" s="1">
        <f>IFERROR(INDEX([1]SamplingMethod!$A$2:$C$160,MATCH(B88,[1]SamplingMethod!$C$2:$C$160,FALSE),1),"")</f>
        <v>127</v>
      </c>
      <c r="E88" s="5" t="str">
        <f>IFERROR(INDEX([1]SamplingMethod!$A$2:$C$160,MATCH(B88,[1]SamplingMethod!$C$2:$C$160,FALSE),2),"")</f>
        <v>secm:sm028</v>
      </c>
      <c r="F88" t="str">
        <f>IFERROR(INDEX('collectionMethodDistinct'!$A$2:$A$646,MATCH(A88,'collectionMethodDistinct'!$A$2:$A$646,FALSE),1),"")</f>
        <v>Coring - Mulit Core</v>
      </c>
    </row>
    <row r="89" spans="1:6" x14ac:dyDescent="0.25">
      <c r="A89" s="5" t="s">
        <v>90</v>
      </c>
      <c r="B89" s="5" t="s">
        <v>843</v>
      </c>
      <c r="C89" s="5"/>
      <c r="D89" s="1">
        <f>IFERROR(INDEX([1]SamplingMethod!$A$2:$C$160,MATCH(B89,[1]SamplingMethod!$C$2:$C$160,FALSE),1),"")</f>
        <v>127</v>
      </c>
      <c r="E89" s="5" t="str">
        <f>IFERROR(INDEX([1]SamplingMethod!$A$2:$C$160,MATCH(B89,[1]SamplingMethod!$C$2:$C$160,FALSE),2),"")</f>
        <v>secm:sm028</v>
      </c>
      <c r="F89" t="str">
        <f>IFERROR(INDEX('collectionMethodDistinct'!$A$2:$A$646,MATCH(A89,'collectionMethodDistinct'!$A$2:$A$646,FALSE),1),"")</f>
        <v>Coring - Multi Core</v>
      </c>
    </row>
    <row r="90" spans="1:6" x14ac:dyDescent="0.25">
      <c r="A90" s="5" t="s">
        <v>91</v>
      </c>
      <c r="B90" s="5" t="s">
        <v>838</v>
      </c>
      <c r="C90" s="5"/>
      <c r="D90" s="1">
        <f>IFERROR(INDEX([1]SamplingMethod!$A$2:$C$160,MATCH(B90,[1]SamplingMethod!$C$2:$C$160,FALSE),1),"")</f>
        <v>55</v>
      </c>
      <c r="E90" s="5" t="str">
        <f>IFERROR(INDEX([1]SamplingMethod!$A$2:$C$160,MATCH(B90,[1]SamplingMethod!$C$2:$C$160,FALSE),2),"")</f>
        <v>secm:phlegercoring</v>
      </c>
      <c r="F90" t="str">
        <f>IFERROR(INDEX('collectionMethodDistinct'!$A$2:$A$646,MATCH(A90,'collectionMethodDistinct'!$A$2:$A$646,FALSE),1),"")</f>
        <v>Coring - Phleger</v>
      </c>
    </row>
    <row r="91" spans="1:6" x14ac:dyDescent="0.25">
      <c r="A91" s="5" t="s">
        <v>92</v>
      </c>
      <c r="B91" s="5" t="s">
        <v>838</v>
      </c>
      <c r="C91" s="5"/>
      <c r="D91" s="1">
        <f>IFERROR(INDEX([1]SamplingMethod!$A$2:$C$160,MATCH(B91,[1]SamplingMethod!$C$2:$C$160,FALSE),1),"")</f>
        <v>55</v>
      </c>
      <c r="E91" s="5" t="str">
        <f>IFERROR(INDEX([1]SamplingMethod!$A$2:$C$160,MATCH(B91,[1]SamplingMethod!$C$2:$C$160,FALSE),2),"")</f>
        <v>secm:phlegercoring</v>
      </c>
      <c r="F91" t="str">
        <f>IFERROR(INDEX('collectionMethodDistinct'!$A$2:$A$646,MATCH(A91,'collectionMethodDistinct'!$A$2:$A$646,FALSE),1),"")</f>
        <v>Coring - Phleger Core</v>
      </c>
    </row>
    <row r="92" spans="1:6" x14ac:dyDescent="0.25">
      <c r="A92" s="5" t="s">
        <v>93</v>
      </c>
      <c r="B92" s="5" t="s">
        <v>838</v>
      </c>
      <c r="C92" s="5"/>
      <c r="D92" s="1">
        <f>IFERROR(INDEX([1]SamplingMethod!$A$2:$C$160,MATCH(B92,[1]SamplingMethod!$C$2:$C$160,FALSE),1),"")</f>
        <v>55</v>
      </c>
      <c r="E92" s="5" t="str">
        <f>IFERROR(INDEX([1]SamplingMethod!$A$2:$C$160,MATCH(B92,[1]SamplingMethod!$C$2:$C$160,FALSE),2),"")</f>
        <v>secm:phlegercoring</v>
      </c>
      <c r="F92" t="str">
        <f>IFERROR(INDEX('collectionMethodDistinct'!$A$2:$A$646,MATCH(A92,'collectionMethodDistinct'!$A$2:$A$646,FALSE),1),"")</f>
        <v xml:space="preserve">Coring - Phleger Core </v>
      </c>
    </row>
    <row r="93" spans="1:6" x14ac:dyDescent="0.25">
      <c r="A93" s="5" t="s">
        <v>94</v>
      </c>
      <c r="B93" s="5" t="s">
        <v>838</v>
      </c>
      <c r="C93" s="5"/>
      <c r="D93" s="1">
        <f>IFERROR(INDEX([1]SamplingMethod!$A$2:$C$160,MATCH(B93,[1]SamplingMethod!$C$2:$C$160,FALSE),1),"")</f>
        <v>55</v>
      </c>
      <c r="E93" s="5" t="str">
        <f>IFERROR(INDEX([1]SamplingMethod!$A$2:$C$160,MATCH(B93,[1]SamplingMethod!$C$2:$C$160,FALSE),2),"")</f>
        <v>secm:phlegercoring</v>
      </c>
      <c r="F93" t="str">
        <f>IFERROR(INDEX('collectionMethodDistinct'!$A$2:$A$646,MATCH(A93,'collectionMethodDistinct'!$A$2:$A$646,FALSE),1),"")</f>
        <v>Coring - Phleger Corec</v>
      </c>
    </row>
    <row r="94" spans="1:6" x14ac:dyDescent="0.25">
      <c r="A94" s="5" t="s">
        <v>95</v>
      </c>
      <c r="B94" s="5" t="s">
        <v>839</v>
      </c>
      <c r="C94" s="5"/>
      <c r="D94" s="1">
        <f>IFERROR(INDEX([1]SamplingMethod!$A$2:$C$160,MATCH(B94,[1]SamplingMethod!$C$2:$C$160,FALSE),1),"")</f>
        <v>128</v>
      </c>
      <c r="E94" s="5" t="str">
        <f>IFERROR(INDEX([1]SamplingMethod!$A$2:$C$160,MATCH(B94,[1]SamplingMethod!$C$2:$C$160,FALSE),2),"")</f>
        <v>secm:sm029</v>
      </c>
      <c r="F94" t="str">
        <f>IFERROR(INDEX('collectionMethodDistinct'!$A$2:$A$646,MATCH(A94,'collectionMethodDistinct'!$A$2:$A$646,FALSE),1),"")</f>
        <v>Coring - Piston Core</v>
      </c>
    </row>
    <row r="95" spans="1:6" x14ac:dyDescent="0.25">
      <c r="A95" s="5" t="s">
        <v>96</v>
      </c>
      <c r="B95" s="5" t="s">
        <v>839</v>
      </c>
      <c r="C95" s="5"/>
      <c r="D95" s="1">
        <f>IFERROR(INDEX([1]SamplingMethod!$A$2:$C$160,MATCH(B95,[1]SamplingMethod!$C$2:$C$160,FALSE),1),"")</f>
        <v>128</v>
      </c>
      <c r="E95" s="5" t="str">
        <f>IFERROR(INDEX([1]SamplingMethod!$A$2:$C$160,MATCH(B95,[1]SamplingMethod!$C$2:$C$160,FALSE),2),"")</f>
        <v>secm:sm029</v>
      </c>
      <c r="F95" t="str">
        <f>IFERROR(INDEX('collectionMethodDistinct'!$A$2:$A$646,MATCH(A95,'collectionMethodDistinct'!$A$2:$A$646,FALSE),1),"")</f>
        <v>Coring - Piston Corer</v>
      </c>
    </row>
    <row r="96" spans="1:6" x14ac:dyDescent="0.25">
      <c r="A96" s="5" t="s">
        <v>97</v>
      </c>
      <c r="B96" s="5" t="s">
        <v>840</v>
      </c>
      <c r="C96" s="5"/>
      <c r="D96" s="1">
        <f>IFERROR(INDEX([1]SamplingMethod!$A$2:$C$160,MATCH(B96,[1]SamplingMethod!$C$2:$C$160,FALSE),1),"")</f>
        <v>32</v>
      </c>
      <c r="E96" s="5" t="str">
        <f>IFERROR(INDEX([1]SamplingMethod!$A$2:$C$160,MATCH(B96,[1]SamplingMethod!$C$2:$C$160,FALSE),2),"")</f>
        <v>secm:core_push</v>
      </c>
      <c r="F96" t="str">
        <f>IFERROR(INDEX('collectionMethodDistinct'!$A$2:$A$646,MATCH(A96,'collectionMethodDistinct'!$A$2:$A$646,FALSE),1),"")</f>
        <v>Coring - Push Core</v>
      </c>
    </row>
    <row r="97" spans="1:6" x14ac:dyDescent="0.25">
      <c r="A97" s="5" t="s">
        <v>98</v>
      </c>
      <c r="B97" s="5" t="s">
        <v>841</v>
      </c>
      <c r="C97" s="5"/>
      <c r="D97" s="1">
        <f>IFERROR(INDEX([1]SamplingMethod!$A$2:$C$160,MATCH(B97,[1]SamplingMethod!$C$2:$C$160,FALSE),1),"")</f>
        <v>81</v>
      </c>
      <c r="E97" s="5" t="str">
        <f>IFERROR(INDEX([1]SamplingMethod!$A$2:$C$160,MATCH(B97,[1]SamplingMethod!$C$2:$C$160,FALSE),2),"")</f>
        <v>secm:ses220</v>
      </c>
      <c r="F97" t="str">
        <f>IFERROR(INDEX('collectionMethodDistinct'!$A$2:$A$646,MATCH(A97,'collectionMethodDistinct'!$A$2:$A$646,FALSE),1),"")</f>
        <v>Coring - Trigger Core</v>
      </c>
    </row>
    <row r="98" spans="1:6" x14ac:dyDescent="0.25">
      <c r="A98" s="5" t="s">
        <v>99</v>
      </c>
      <c r="B98" s="5" t="s">
        <v>841</v>
      </c>
      <c r="C98" s="5"/>
      <c r="D98" s="1">
        <f>IFERROR(INDEX([1]SamplingMethod!$A$2:$C$160,MATCH(B98,[1]SamplingMethod!$C$2:$C$160,FALSE),1),"")</f>
        <v>81</v>
      </c>
      <c r="E98" s="5" t="str">
        <f>IFERROR(INDEX([1]SamplingMethod!$A$2:$C$160,MATCH(B98,[1]SamplingMethod!$C$2:$C$160,FALSE),2),"")</f>
        <v>secm:ses220</v>
      </c>
      <c r="F98" t="str">
        <f>IFERROR(INDEX('collectionMethodDistinct'!$A$2:$A$646,MATCH(A98,'collectionMethodDistinct'!$A$2:$A$646,FALSE),1),"")</f>
        <v>Coring - Trigger Corer</v>
      </c>
    </row>
    <row r="99" spans="1:6" x14ac:dyDescent="0.25">
      <c r="A99" s="5" t="s">
        <v>100</v>
      </c>
      <c r="B99" s="5" t="s">
        <v>840</v>
      </c>
      <c r="C99" s="5"/>
      <c r="D99" s="1">
        <f>IFERROR(INDEX([1]SamplingMethod!$A$2:$C$160,MATCH(B99,[1]SamplingMethod!$C$2:$C$160,FALSE),1),"")</f>
        <v>32</v>
      </c>
      <c r="E99" s="5" t="str">
        <f>IFERROR(INDEX([1]SamplingMethod!$A$2:$C$160,MATCH(B99,[1]SamplingMethod!$C$2:$C$160,FALSE),2),"")</f>
        <v>secm:core_push</v>
      </c>
      <c r="F99" t="str">
        <f>IFERROR(INDEX('collectionMethodDistinct'!$A$2:$A$646,MATCH(A99,'collectionMethodDistinct'!$A$2:$A$646,FALSE),1),"")</f>
        <v>Coring &gt; Push Corer</v>
      </c>
    </row>
    <row r="100" spans="1:6" x14ac:dyDescent="0.25">
      <c r="A100" s="5" t="s">
        <v>101</v>
      </c>
      <c r="B100" s="5" t="s">
        <v>836</v>
      </c>
      <c r="C100" s="5"/>
      <c r="D100" s="1">
        <f>IFERROR(INDEX([1]SamplingMethod!$A$2:$C$160,MATCH(B100,[1]SamplingMethod!$C$2:$C$160,FALSE),1),"")</f>
        <v>74</v>
      </c>
      <c r="E100" s="5" t="str">
        <f>IFERROR(INDEX([1]SamplingMethod!$A$2:$C$160,MATCH(B100,[1]SamplingMethod!$C$2:$C$160,FALSE),2),"")</f>
        <v>secm:ses212</v>
      </c>
      <c r="F100" t="str">
        <f>IFERROR(INDEX('collectionMethodDistinct'!$A$2:$A$646,MATCH(A100,'collectionMethodDistinct'!$A$2:$A$646,FALSE),1),"")</f>
        <v>Coring &gt; Syringe</v>
      </c>
    </row>
    <row r="101" spans="1:6" x14ac:dyDescent="0.25">
      <c r="A101" s="5" t="s">
        <v>102</v>
      </c>
      <c r="B101" s="5" t="s">
        <v>82</v>
      </c>
      <c r="C101" s="5"/>
      <c r="D101" s="1">
        <f>IFERROR(INDEX([1]SamplingMethod!$A$2:$C$160,MATCH(B101,[1]SamplingMethod!$C$2:$C$160,FALSE),1),"")</f>
        <v>140</v>
      </c>
      <c r="E101" s="5" t="str">
        <f>IFERROR(INDEX([1]SamplingMethod!$A$2:$C$160,MATCH(B101,[1]SamplingMethod!$C$2:$C$160,FALSE),2),"")</f>
        <v>secm:sm041</v>
      </c>
      <c r="F101" t="str">
        <f>IFERROR(INDEX('collectionMethodDistinct'!$A$2:$A$646,MATCH(A101,'collectionMethodDistinct'!$A$2:$A$646,FALSE),1),"")</f>
        <v>Coring&gt;</v>
      </c>
    </row>
    <row r="102" spans="1:6" x14ac:dyDescent="0.25">
      <c r="A102" s="5" t="s">
        <v>103</v>
      </c>
      <c r="B102" s="5" t="s">
        <v>656</v>
      </c>
      <c r="C102" s="5"/>
      <c r="D102" s="1">
        <f>IFERROR(INDEX([1]SamplingMethod!$A$2:$C$160,MATCH(B102,[1]SamplingMethod!$C$2:$C$160,FALSE),1),"")</f>
        <v>105</v>
      </c>
      <c r="E102" s="5" t="str">
        <f>IFERROR(INDEX([1]SamplingMethod!$A$2:$C$160,MATCH(B102,[1]SamplingMethod!$C$2:$C$160,FALSE),2),"")</f>
        <v>secm:sm007</v>
      </c>
      <c r="F102" t="str">
        <f>IFERROR(INDEX('collectionMethodDistinct'!$A$2:$A$646,MATCH(A102,'collectionMethodDistinct'!$A$2:$A$646,FALSE),1),"")</f>
        <v>Coring&gt; HandHeldCorer</v>
      </c>
    </row>
    <row r="103" spans="1:6" x14ac:dyDescent="0.25">
      <c r="A103" s="5" t="s">
        <v>104</v>
      </c>
      <c r="B103" s="5" t="s">
        <v>839</v>
      </c>
      <c r="C103" s="5"/>
      <c r="D103" s="1">
        <f>IFERROR(INDEX([1]SamplingMethod!$A$2:$C$160,MATCH(B103,[1]SamplingMethod!$C$2:$C$160,FALSE),1),"")</f>
        <v>128</v>
      </c>
      <c r="E103" s="5" t="str">
        <f>IFERROR(INDEX([1]SamplingMethod!$A$2:$C$160,MATCH(B103,[1]SamplingMethod!$C$2:$C$160,FALSE),2),"")</f>
        <v>secm:sm029</v>
      </c>
      <c r="F103" t="str">
        <f>IFERROR(INDEX('collectionMethodDistinct'!$A$2:$A$646,MATCH(A103,'collectionMethodDistinct'!$A$2:$A$646,FALSE),1),"")</f>
        <v>Coring&gt; Jumbo Piston Core</v>
      </c>
    </row>
    <row r="104" spans="1:6" x14ac:dyDescent="0.25">
      <c r="A104" s="5" t="s">
        <v>105</v>
      </c>
      <c r="B104" s="5" t="s">
        <v>839</v>
      </c>
      <c r="C104" s="5"/>
      <c r="D104" s="1">
        <f>IFERROR(INDEX([1]SamplingMethod!$A$2:$C$160,MATCH(B104,[1]SamplingMethod!$C$2:$C$160,FALSE),1),"")</f>
        <v>128</v>
      </c>
      <c r="E104" s="5" t="str">
        <f>IFERROR(INDEX([1]SamplingMethod!$A$2:$C$160,MATCH(B104,[1]SamplingMethod!$C$2:$C$160,FALSE),2),"")</f>
        <v>secm:sm029</v>
      </c>
      <c r="F104" t="str">
        <f>IFERROR(INDEX('collectionMethodDistinct'!$A$2:$A$646,MATCH(A104,'collectionMethodDistinct'!$A$2:$A$646,FALSE),1),"")</f>
        <v>Coring&gt; Jumbo Piston Corer</v>
      </c>
    </row>
    <row r="105" spans="1:6" x14ac:dyDescent="0.25">
      <c r="A105" s="5" t="s">
        <v>106</v>
      </c>
      <c r="B105" s="5" t="s">
        <v>841</v>
      </c>
      <c r="C105" s="5"/>
      <c r="D105" s="1">
        <f>IFERROR(INDEX([1]SamplingMethod!$A$2:$C$160,MATCH(B105,[1]SamplingMethod!$C$2:$C$160,FALSE),1),"")</f>
        <v>81</v>
      </c>
      <c r="E105" s="5" t="str">
        <f>IFERROR(INDEX([1]SamplingMethod!$A$2:$C$160,MATCH(B105,[1]SamplingMethod!$C$2:$C$160,FALSE),2),"")</f>
        <v>secm:ses220</v>
      </c>
      <c r="F105" t="str">
        <f>IFERROR(INDEX('collectionMethodDistinct'!$A$2:$A$646,MATCH(A105,'collectionMethodDistinct'!$A$2:$A$646,FALSE),1),"")</f>
        <v>Coring&gt; Jumbo Trigger Core</v>
      </c>
    </row>
    <row r="106" spans="1:6" x14ac:dyDescent="0.25">
      <c r="A106" s="5" t="s">
        <v>107</v>
      </c>
      <c r="B106" s="5" t="s">
        <v>841</v>
      </c>
      <c r="C106" s="5"/>
      <c r="D106" s="1">
        <f>IFERROR(INDEX([1]SamplingMethod!$A$2:$C$160,MATCH(B106,[1]SamplingMethod!$C$2:$C$160,FALSE),1),"")</f>
        <v>81</v>
      </c>
      <c r="E106" s="5" t="str">
        <f>IFERROR(INDEX([1]SamplingMethod!$A$2:$C$160,MATCH(B106,[1]SamplingMethod!$C$2:$C$160,FALSE),2),"")</f>
        <v>secm:ses220</v>
      </c>
      <c r="F106" t="str">
        <f>IFERROR(INDEX('collectionMethodDistinct'!$A$2:$A$646,MATCH(A106,'collectionMethodDistinct'!$A$2:$A$646,FALSE),1),"")</f>
        <v>Coring&gt; Jumbo Trigger Corer</v>
      </c>
    </row>
    <row r="107" spans="1:6" x14ac:dyDescent="0.25">
      <c r="A107" s="5" t="s">
        <v>108</v>
      </c>
      <c r="B107" s="5" t="s">
        <v>843</v>
      </c>
      <c r="C107" s="5"/>
      <c r="D107" s="1">
        <f>IFERROR(INDEX([1]SamplingMethod!$A$2:$C$160,MATCH(B107,[1]SamplingMethod!$C$2:$C$160,FALSE),1),"")</f>
        <v>127</v>
      </c>
      <c r="E107" s="5" t="str">
        <f>IFERROR(INDEX([1]SamplingMethod!$A$2:$C$160,MATCH(B107,[1]SamplingMethod!$C$2:$C$160,FALSE),2),"")</f>
        <v>secm:sm028</v>
      </c>
      <c r="F107" t="str">
        <f>IFERROR(INDEX('collectionMethodDistinct'!$A$2:$A$646,MATCH(A107,'collectionMethodDistinct'!$A$2:$A$646,FALSE),1),"")</f>
        <v>Coring&gt; Mulit Core</v>
      </c>
    </row>
    <row r="108" spans="1:6" x14ac:dyDescent="0.25">
      <c r="A108" s="5" t="s">
        <v>109</v>
      </c>
      <c r="B108" s="5" t="s">
        <v>843</v>
      </c>
      <c r="C108" s="5"/>
      <c r="D108" s="1">
        <f>IFERROR(INDEX([1]SamplingMethod!$A$2:$C$160,MATCH(B108,[1]SamplingMethod!$C$2:$C$160,FALSE),1),"")</f>
        <v>127</v>
      </c>
      <c r="E108" s="5" t="str">
        <f>IFERROR(INDEX([1]SamplingMethod!$A$2:$C$160,MATCH(B108,[1]SamplingMethod!$C$2:$C$160,FALSE),2),"")</f>
        <v>secm:sm028</v>
      </c>
      <c r="F108" t="str">
        <f>IFERROR(INDEX('collectionMethodDistinct'!$A$2:$A$646,MATCH(A108,'collectionMethodDistinct'!$A$2:$A$646,FALSE),1),"")</f>
        <v>Coring&gt; Multi Core</v>
      </c>
    </row>
    <row r="109" spans="1:6" x14ac:dyDescent="0.25">
      <c r="A109" s="5" t="s">
        <v>110</v>
      </c>
      <c r="B109" s="5" t="s">
        <v>838</v>
      </c>
      <c r="C109" s="5"/>
      <c r="D109" s="1">
        <f>IFERROR(INDEX([1]SamplingMethod!$A$2:$C$160,MATCH(B109,[1]SamplingMethod!$C$2:$C$160,FALSE),1),"")</f>
        <v>55</v>
      </c>
      <c r="E109" s="5" t="str">
        <f>IFERROR(INDEX([1]SamplingMethod!$A$2:$C$160,MATCH(B109,[1]SamplingMethod!$C$2:$C$160,FALSE),2),"")</f>
        <v>secm:phlegercoring</v>
      </c>
      <c r="F109" t="str">
        <f>IFERROR(INDEX('collectionMethodDistinct'!$A$2:$A$646,MATCH(A109,'collectionMethodDistinct'!$A$2:$A$646,FALSE),1),"")</f>
        <v>Coring&gt; Phleger Core</v>
      </c>
    </row>
    <row r="110" spans="1:6" x14ac:dyDescent="0.25">
      <c r="A110" s="5" t="s">
        <v>111</v>
      </c>
      <c r="B110" s="5" t="s">
        <v>839</v>
      </c>
      <c r="C110" s="5"/>
      <c r="D110" s="1">
        <f>IFERROR(INDEX([1]SamplingMethod!$A$2:$C$160,MATCH(B110,[1]SamplingMethod!$C$2:$C$160,FALSE),1),"")</f>
        <v>128</v>
      </c>
      <c r="E110" s="5" t="str">
        <f>IFERROR(INDEX([1]SamplingMethod!$A$2:$C$160,MATCH(B110,[1]SamplingMethod!$C$2:$C$160,FALSE),2),"")</f>
        <v>secm:sm029</v>
      </c>
      <c r="F110" t="str">
        <f>IFERROR(INDEX('collectionMethodDistinct'!$A$2:$A$646,MATCH(A110,'collectionMethodDistinct'!$A$2:$A$646,FALSE),1),"")</f>
        <v>Coring&gt; Piston Core</v>
      </c>
    </row>
    <row r="111" spans="1:6" x14ac:dyDescent="0.25">
      <c r="A111" s="5" t="s">
        <v>112</v>
      </c>
      <c r="B111" s="5" t="s">
        <v>839</v>
      </c>
      <c r="C111" s="5"/>
      <c r="D111" s="1">
        <f>IFERROR(INDEX([1]SamplingMethod!$A$2:$C$160,MATCH(B111,[1]SamplingMethod!$C$2:$C$160,FALSE),1),"")</f>
        <v>128</v>
      </c>
      <c r="E111" s="5" t="str">
        <f>IFERROR(INDEX([1]SamplingMethod!$A$2:$C$160,MATCH(B111,[1]SamplingMethod!$C$2:$C$160,FALSE),2),"")</f>
        <v>secm:sm029</v>
      </c>
      <c r="F111" t="str">
        <f>IFERROR(INDEX('collectionMethodDistinct'!$A$2:$A$646,MATCH(A111,'collectionMethodDistinct'!$A$2:$A$646,FALSE),1),"")</f>
        <v>Coring&gt; Piston Corer</v>
      </c>
    </row>
    <row r="112" spans="1:6" x14ac:dyDescent="0.25">
      <c r="A112" s="5" t="s">
        <v>113</v>
      </c>
      <c r="B112" s="5" t="s">
        <v>840</v>
      </c>
      <c r="C112" s="5"/>
      <c r="D112" s="1">
        <f>IFERROR(INDEX([1]SamplingMethod!$A$2:$C$160,MATCH(B112,[1]SamplingMethod!$C$2:$C$160,FALSE),1),"")</f>
        <v>32</v>
      </c>
      <c r="E112" s="5" t="str">
        <f>IFERROR(INDEX([1]SamplingMethod!$A$2:$C$160,MATCH(B112,[1]SamplingMethod!$C$2:$C$160,FALSE),2),"")</f>
        <v>secm:core_push</v>
      </c>
      <c r="F112" t="str">
        <f>IFERROR(INDEX('collectionMethodDistinct'!$A$2:$A$646,MATCH(A112,'collectionMethodDistinct'!$A$2:$A$646,FALSE),1),"")</f>
        <v>Coring&gt; Push Core</v>
      </c>
    </row>
    <row r="113" spans="1:6" x14ac:dyDescent="0.25">
      <c r="A113" s="5" t="s">
        <v>114</v>
      </c>
      <c r="B113" s="5" t="s">
        <v>841</v>
      </c>
      <c r="C113" s="5"/>
      <c r="D113" s="1">
        <f>IFERROR(INDEX([1]SamplingMethod!$A$2:$C$160,MATCH(B113,[1]SamplingMethod!$C$2:$C$160,FALSE),1),"")</f>
        <v>81</v>
      </c>
      <c r="E113" s="5" t="str">
        <f>IFERROR(INDEX([1]SamplingMethod!$A$2:$C$160,MATCH(B113,[1]SamplingMethod!$C$2:$C$160,FALSE),2),"")</f>
        <v>secm:ses220</v>
      </c>
      <c r="F113" t="str">
        <f>IFERROR(INDEX('collectionMethodDistinct'!$A$2:$A$646,MATCH(A113,'collectionMethodDistinct'!$A$2:$A$646,FALSE),1),"")</f>
        <v>Coring&gt; Trigger Core</v>
      </c>
    </row>
    <row r="114" spans="1:6" x14ac:dyDescent="0.25">
      <c r="A114" s="5" t="s">
        <v>115</v>
      </c>
      <c r="B114" s="5" t="s">
        <v>841</v>
      </c>
      <c r="C114" s="5"/>
      <c r="D114" s="1">
        <f>IFERROR(INDEX([1]SamplingMethod!$A$2:$C$160,MATCH(B114,[1]SamplingMethod!$C$2:$C$160,FALSE),1),"")</f>
        <v>81</v>
      </c>
      <c r="E114" s="5" t="str">
        <f>IFERROR(INDEX([1]SamplingMethod!$A$2:$C$160,MATCH(B114,[1]SamplingMethod!$C$2:$C$160,FALSE),2),"")</f>
        <v>secm:ses220</v>
      </c>
      <c r="F114" t="str">
        <f>IFERROR(INDEX('collectionMethodDistinct'!$A$2:$A$646,MATCH(A114,'collectionMethodDistinct'!$A$2:$A$646,FALSE),1),"")</f>
        <v>Coring&gt; TriggerCorer</v>
      </c>
    </row>
    <row r="115" spans="1:6" x14ac:dyDescent="0.25">
      <c r="A115" s="5" t="s">
        <v>116</v>
      </c>
      <c r="B115" s="5" t="s">
        <v>844</v>
      </c>
      <c r="C115" s="5"/>
      <c r="D115" s="1">
        <f>IFERROR(INDEX([1]SamplingMethod!$A$2:$C$160,MATCH(B115,[1]SamplingMethod!$C$2:$C$160,FALSE),1),"")</f>
        <v>124</v>
      </c>
      <c r="E115" s="5" t="str">
        <f>IFERROR(INDEX([1]SamplingMethod!$A$2:$C$160,MATCH(B115,[1]SamplingMethod!$C$2:$C$160,FALSE),2),"")</f>
        <v>secm:sm025</v>
      </c>
      <c r="F115" t="str">
        <f>IFERROR(INDEX('collectionMethodDistinct'!$A$2:$A$646,MATCH(A115,'collectionMethodDistinct'!$A$2:$A$646,FALSE),1),"")</f>
        <v>Coring&gt;BoxCore</v>
      </c>
    </row>
    <row r="116" spans="1:6" x14ac:dyDescent="0.25">
      <c r="A116" s="5" t="s">
        <v>117</v>
      </c>
      <c r="B116" s="5" t="s">
        <v>844</v>
      </c>
      <c r="C116" s="5"/>
      <c r="D116" s="1">
        <f>IFERROR(INDEX([1]SamplingMethod!$A$2:$C$160,MATCH(B116,[1]SamplingMethod!$C$2:$C$160,FALSE),1),"")</f>
        <v>124</v>
      </c>
      <c r="E116" s="5" t="str">
        <f>IFERROR(INDEX([1]SamplingMethod!$A$2:$C$160,MATCH(B116,[1]SamplingMethod!$C$2:$C$160,FALSE),2),"")</f>
        <v>secm:sm025</v>
      </c>
      <c r="F116" t="str">
        <f>IFERROR(INDEX('collectionMethodDistinct'!$A$2:$A$646,MATCH(A116,'collectionMethodDistinct'!$A$2:$A$646,FALSE),1),"")</f>
        <v>Coring&gt;BoxCorer</v>
      </c>
    </row>
    <row r="117" spans="1:6" x14ac:dyDescent="0.25">
      <c r="A117" s="5" t="s">
        <v>118</v>
      </c>
      <c r="B117" s="5" t="s">
        <v>26</v>
      </c>
      <c r="C117" s="5"/>
      <c r="D117" s="1">
        <f>IFERROR(INDEX([1]SamplingMethod!$A$2:$C$160,MATCH(B117,[1]SamplingMethod!$C$2:$C$160,FALSE),1),"")</f>
        <v>4</v>
      </c>
      <c r="E117" s="5" t="str">
        <f>IFERROR(INDEX([1]SamplingMethod!$A$2:$C$160,MATCH(B117,[1]SamplingMethod!$C$2:$C$160,FALSE),2),"")</f>
        <v>secm:auger</v>
      </c>
      <c r="F117" t="str">
        <f>IFERROR(INDEX('collectionMethodDistinct'!$A$2:$A$646,MATCH(A117,'collectionMethodDistinct'!$A$2:$A$646,FALSE),1),"")</f>
        <v>Coring&gt;BucketAuger</v>
      </c>
    </row>
    <row r="118" spans="1:6" x14ac:dyDescent="0.25">
      <c r="A118" s="5" t="s">
        <v>119</v>
      </c>
      <c r="B118" s="5" t="s">
        <v>82</v>
      </c>
      <c r="C118" s="5"/>
      <c r="D118" s="1">
        <f>IFERROR(INDEX([1]SamplingMethod!$A$2:$C$160,MATCH(B118,[1]SamplingMethod!$C$2:$C$160,FALSE),1),"")</f>
        <v>140</v>
      </c>
      <c r="E118" s="5" t="str">
        <f>IFERROR(INDEX([1]SamplingMethod!$A$2:$C$160,MATCH(B118,[1]SamplingMethod!$C$2:$C$160,FALSE),2),"")</f>
        <v>secm:sm041</v>
      </c>
      <c r="F118" t="str">
        <f>IFERROR(INDEX('collectionMethodDistinct'!$A$2:$A$646,MATCH(A118,'collectionMethodDistinct'!$A$2:$A$646,FALSE),1),"")</f>
        <v>Coring&gt;CameraMounted</v>
      </c>
    </row>
    <row r="119" spans="1:6" x14ac:dyDescent="0.25">
      <c r="A119" s="5" t="s">
        <v>120</v>
      </c>
      <c r="B119" s="5" t="s">
        <v>82</v>
      </c>
      <c r="C119" s="5"/>
      <c r="D119" s="1">
        <f>IFERROR(INDEX([1]SamplingMethod!$A$2:$C$160,MATCH(B119,[1]SamplingMethod!$C$2:$C$160,FALSE),1),"")</f>
        <v>140</v>
      </c>
      <c r="E119" s="5" t="str">
        <f>IFERROR(INDEX([1]SamplingMethod!$A$2:$C$160,MATCH(B119,[1]SamplingMethod!$C$2:$C$160,FALSE),2),"")</f>
        <v>secm:sm041</v>
      </c>
      <c r="F119" t="str">
        <f>IFERROR(INDEX('collectionMethodDistinct'!$A$2:$A$646,MATCH(A119,'collectionMethodDistinct'!$A$2:$A$646,FALSE),1),"")</f>
        <v>Coring&gt;CameraMountedCorer</v>
      </c>
    </row>
    <row r="120" spans="1:6" x14ac:dyDescent="0.25">
      <c r="A120" s="5" t="s">
        <v>121</v>
      </c>
      <c r="B120" s="5" t="s">
        <v>82</v>
      </c>
      <c r="C120" s="5"/>
      <c r="D120" s="1">
        <f>IFERROR(INDEX([1]SamplingMethod!$A$2:$C$160,MATCH(B120,[1]SamplingMethod!$C$2:$C$160,FALSE),1),"")</f>
        <v>140</v>
      </c>
      <c r="E120" s="5" t="str">
        <f>IFERROR(INDEX([1]SamplingMethod!$A$2:$C$160,MATCH(B120,[1]SamplingMethod!$C$2:$C$160,FALSE),2),"")</f>
        <v>secm:sm041</v>
      </c>
      <c r="F120" t="str">
        <f>IFERROR(INDEX('collectionMethodDistinct'!$A$2:$A$646,MATCH(A120,'collectionMethodDistinct'!$A$2:$A$646,FALSE),1),"")</f>
        <v>Coring&gt;CoreBarrel&gt;Extended</v>
      </c>
    </row>
    <row r="121" spans="1:6" x14ac:dyDescent="0.25">
      <c r="A121" s="5" t="s">
        <v>122</v>
      </c>
      <c r="B121" s="5" t="s">
        <v>845</v>
      </c>
      <c r="C121" s="5"/>
      <c r="D121" s="1">
        <f>IFERROR(INDEX([1]SamplingMethod!$A$2:$C$160,MATCH(B121,[1]SamplingMethod!$C$2:$C$160,FALSE),1),"")</f>
        <v>26</v>
      </c>
      <c r="E121" s="5" t="str">
        <f>IFERROR(INDEX([1]SamplingMethod!$A$2:$C$160,MATCH(B121,[1]SamplingMethod!$C$2:$C$160,FALSE),2),"")</f>
        <v>secm:core_drilling_unspecified</v>
      </c>
      <c r="F121" t="str">
        <f>IFERROR(INDEX('collectionMethodDistinct'!$A$2:$A$646,MATCH(A121,'collectionMethodDistinct'!$A$2:$A$646,FALSE),1),"")</f>
        <v>Coring&gt;Drill</v>
      </c>
    </row>
    <row r="122" spans="1:6" x14ac:dyDescent="0.25">
      <c r="A122" s="5" t="s">
        <v>123</v>
      </c>
      <c r="B122" s="5" t="s">
        <v>845</v>
      </c>
      <c r="C122" s="5"/>
      <c r="D122" s="1">
        <f>IFERROR(INDEX([1]SamplingMethod!$A$2:$C$160,MATCH(B122,[1]SamplingMethod!$C$2:$C$160,FALSE),1),"")</f>
        <v>26</v>
      </c>
      <c r="E122" s="5" t="str">
        <f>IFERROR(INDEX([1]SamplingMethod!$A$2:$C$160,MATCH(B122,[1]SamplingMethod!$C$2:$C$160,FALSE),2),"")</f>
        <v>secm:core_drilling_unspecified</v>
      </c>
      <c r="F122" t="str">
        <f>IFERROR(INDEX('collectionMethodDistinct'!$A$2:$A$646,MATCH(A122,'collectionMethodDistinct'!$A$2:$A$646,FALSE),1),"")</f>
        <v>Coring&gt;DrillCorer</v>
      </c>
    </row>
    <row r="123" spans="1:6" x14ac:dyDescent="0.25">
      <c r="A123" s="5" t="s">
        <v>124</v>
      </c>
      <c r="B123" s="5" t="s">
        <v>656</v>
      </c>
      <c r="C123" s="5"/>
      <c r="D123" s="1">
        <f>IFERROR(INDEX([1]SamplingMethod!$A$2:$C$160,MATCH(B123,[1]SamplingMethod!$C$2:$C$160,FALSE),1),"")</f>
        <v>105</v>
      </c>
      <c r="E123" s="5" t="str">
        <f>IFERROR(INDEX([1]SamplingMethod!$A$2:$C$160,MATCH(B123,[1]SamplingMethod!$C$2:$C$160,FALSE),2),"")</f>
        <v>secm:sm007</v>
      </c>
      <c r="F123" t="str">
        <f>IFERROR(INDEX('collectionMethodDistinct'!$A$2:$A$646,MATCH(A123,'collectionMethodDistinct'!$A$2:$A$646,FALSE),1),"")</f>
        <v>Coring&gt;DrillCorer&gt;HandHeldCorer</v>
      </c>
    </row>
    <row r="124" spans="1:6" x14ac:dyDescent="0.25">
      <c r="A124" s="5" t="s">
        <v>125</v>
      </c>
      <c r="B124" s="5" t="s">
        <v>847</v>
      </c>
      <c r="C124" s="5"/>
      <c r="D124" s="1">
        <f>IFERROR(INDEX([1]SamplingMethod!$A$2:$C$160,MATCH(B124,[1]SamplingMethod!$C$2:$C$160,FALSE),1),"")</f>
        <v>43</v>
      </c>
      <c r="E124" s="5" t="str">
        <f>IFERROR(INDEX([1]SamplingMethod!$A$2:$C$160,MATCH(B124,[1]SamplingMethod!$C$2:$C$160,FALSE),2),"")</f>
        <v>secm:freefallcoring</v>
      </c>
      <c r="F124" t="str">
        <f>IFERROR(INDEX('collectionMethodDistinct'!$A$2:$A$646,MATCH(A124,'collectionMethodDistinct'!$A$2:$A$646,FALSE),1),"")</f>
        <v>Coring&gt;FreeFallCorer</v>
      </c>
    </row>
    <row r="125" spans="1:6" x14ac:dyDescent="0.25">
      <c r="A125" s="5" t="s">
        <v>126</v>
      </c>
      <c r="B125" s="5" t="s">
        <v>82</v>
      </c>
      <c r="C125" s="5"/>
      <c r="D125" s="1">
        <f>IFERROR(INDEX([1]SamplingMethod!$A$2:$C$160,MATCH(B125,[1]SamplingMethod!$C$2:$C$160,FALSE),1),"")</f>
        <v>140</v>
      </c>
      <c r="E125" s="5" t="str">
        <f>IFERROR(INDEX([1]SamplingMethod!$A$2:$C$160,MATCH(B125,[1]SamplingMethod!$C$2:$C$160,FALSE),2),"")</f>
        <v>secm:sm041</v>
      </c>
      <c r="F125" t="str">
        <f>IFERROR(INDEX('collectionMethodDistinct'!$A$2:$A$646,MATCH(A125,'collectionMethodDistinct'!$A$2:$A$646,FALSE),1),"")</f>
        <v>Coring&gt;Geoprobe</v>
      </c>
    </row>
    <row r="126" spans="1:6" x14ac:dyDescent="0.25">
      <c r="A126" s="5" t="s">
        <v>127</v>
      </c>
      <c r="B126" s="5" t="s">
        <v>846</v>
      </c>
      <c r="C126" s="5"/>
      <c r="D126" s="1">
        <f>IFERROR(INDEX([1]SamplingMethod!$A$2:$C$160,MATCH(B126,[1]SamplingMethod!$C$2:$C$160,FALSE),1),"")</f>
        <v>125</v>
      </c>
      <c r="E126" s="5" t="str">
        <f>IFERROR(INDEX([1]SamplingMethod!$A$2:$C$160,MATCH(B126,[1]SamplingMethod!$C$2:$C$160,FALSE),2),"")</f>
        <v>secm:sm026</v>
      </c>
      <c r="F126" t="str">
        <f>IFERROR(INDEX('collectionMethodDistinct'!$A$2:$A$646,MATCH(A126,'collectionMethodDistinct'!$A$2:$A$646,FALSE),1),"")</f>
        <v>Coring&gt;Giant Gravity Core</v>
      </c>
    </row>
    <row r="127" spans="1:6" x14ac:dyDescent="0.25">
      <c r="A127" s="5" t="s">
        <v>128</v>
      </c>
      <c r="B127" s="5" t="s">
        <v>846</v>
      </c>
      <c r="C127" s="5"/>
      <c r="D127" s="1">
        <f>IFERROR(INDEX([1]SamplingMethod!$A$2:$C$160,MATCH(B127,[1]SamplingMethod!$C$2:$C$160,FALSE),1),"")</f>
        <v>125</v>
      </c>
      <c r="E127" s="5" t="str">
        <f>IFERROR(INDEX([1]SamplingMethod!$A$2:$C$160,MATCH(B127,[1]SamplingMethod!$C$2:$C$160,FALSE),2),"")</f>
        <v>secm:sm026</v>
      </c>
      <c r="F127" t="str">
        <f>IFERROR(INDEX('collectionMethodDistinct'!$A$2:$A$646,MATCH(A127,'collectionMethodDistinct'!$A$2:$A$646,FALSE),1),"")</f>
        <v>Coring&gt;gravity core</v>
      </c>
    </row>
    <row r="128" spans="1:6" x14ac:dyDescent="0.25">
      <c r="A128" s="5" t="s">
        <v>129</v>
      </c>
      <c r="B128" s="5" t="s">
        <v>846</v>
      </c>
      <c r="C128" s="5"/>
      <c r="D128" s="1">
        <f>IFERROR(INDEX([1]SamplingMethod!$A$2:$C$160,MATCH(B128,[1]SamplingMethod!$C$2:$C$160,FALSE),1),"")</f>
        <v>125</v>
      </c>
      <c r="E128" s="5" t="str">
        <f>IFERROR(INDEX([1]SamplingMethod!$A$2:$C$160,MATCH(B128,[1]SamplingMethod!$C$2:$C$160,FALSE),2),"")</f>
        <v>secm:sm026</v>
      </c>
      <c r="F128" t="str">
        <f>IFERROR(INDEX('collectionMethodDistinct'!$A$2:$A$646,MATCH(A128,'collectionMethodDistinct'!$A$2:$A$646,FALSE),1),"")</f>
        <v>Coring&gt;gravity core</v>
      </c>
    </row>
    <row r="129" spans="1:6" x14ac:dyDescent="0.25">
      <c r="A129" s="5" t="s">
        <v>130</v>
      </c>
      <c r="B129" s="5" t="s">
        <v>846</v>
      </c>
      <c r="C129" s="5"/>
      <c r="D129" s="1">
        <f>IFERROR(INDEX([1]SamplingMethod!$A$2:$C$160,MATCH(B129,[1]SamplingMethod!$C$2:$C$160,FALSE),1),"")</f>
        <v>125</v>
      </c>
      <c r="E129" s="5" t="str">
        <f>IFERROR(INDEX([1]SamplingMethod!$A$2:$C$160,MATCH(B129,[1]SamplingMethod!$C$2:$C$160,FALSE),2),"")</f>
        <v>secm:sm026</v>
      </c>
      <c r="F129" t="str">
        <f>IFERROR(INDEX('collectionMethodDistinct'!$A$2:$A$646,MATCH(A129,'collectionMethodDistinct'!$A$2:$A$646,FALSE),1),"")</f>
        <v>Coring&gt;Gravity Corer</v>
      </c>
    </row>
    <row r="130" spans="1:6" x14ac:dyDescent="0.25">
      <c r="A130" s="5" t="s">
        <v>131</v>
      </c>
      <c r="B130" s="5" t="s">
        <v>846</v>
      </c>
      <c r="C130" s="5"/>
      <c r="D130" s="1">
        <f>IFERROR(INDEX([1]SamplingMethod!$A$2:$C$160,MATCH(B130,[1]SamplingMethod!$C$2:$C$160,FALSE),1),"")</f>
        <v>125</v>
      </c>
      <c r="E130" s="5" t="str">
        <f>IFERROR(INDEX([1]SamplingMethod!$A$2:$C$160,MATCH(B130,[1]SamplingMethod!$C$2:$C$160,FALSE),2),"")</f>
        <v>secm:sm026</v>
      </c>
      <c r="F130" t="str">
        <f>IFERROR(INDEX('collectionMethodDistinct'!$A$2:$A$646,MATCH(A130,'collectionMethodDistinct'!$A$2:$A$646,FALSE),1),"")</f>
        <v>Coring&gt;Gravity corer (Kiel type) (SL)</v>
      </c>
    </row>
    <row r="131" spans="1:6" x14ac:dyDescent="0.25">
      <c r="A131" s="5" t="s">
        <v>132</v>
      </c>
      <c r="B131" s="5" t="s">
        <v>846</v>
      </c>
      <c r="C131" s="5"/>
      <c r="D131" s="1">
        <f>IFERROR(INDEX([1]SamplingMethod!$A$2:$C$160,MATCH(B131,[1]SamplingMethod!$C$2:$C$160,FALSE),1),"")</f>
        <v>125</v>
      </c>
      <c r="E131" s="5" t="str">
        <f>IFERROR(INDEX([1]SamplingMethod!$A$2:$C$160,MATCH(B131,[1]SamplingMethod!$C$2:$C$160,FALSE),2),"")</f>
        <v>secm:sm026</v>
      </c>
      <c r="F131" t="str">
        <f>IFERROR(INDEX('collectionMethodDistinct'!$A$2:$A$646,MATCH(A131,'collectionMethodDistinct'!$A$2:$A$646,FALSE),1),"")</f>
        <v>Coring&gt;GravityCorer</v>
      </c>
    </row>
    <row r="132" spans="1:6" x14ac:dyDescent="0.25">
      <c r="A132" s="5" t="s">
        <v>133</v>
      </c>
      <c r="B132" s="5" t="s">
        <v>846</v>
      </c>
      <c r="C132" s="5"/>
      <c r="D132" s="1">
        <f>IFERROR(INDEX([1]SamplingMethod!$A$2:$C$160,MATCH(B132,[1]SamplingMethod!$C$2:$C$160,FALSE),1),"")</f>
        <v>125</v>
      </c>
      <c r="E132" s="5" t="str">
        <f>IFERROR(INDEX([1]SamplingMethod!$A$2:$C$160,MATCH(B132,[1]SamplingMethod!$C$2:$C$160,FALSE),2),"")</f>
        <v>secm:sm026</v>
      </c>
      <c r="F132" t="str">
        <f>IFERROR(INDEX('collectionMethodDistinct'!$A$2:$A$646,MATCH(A132,'collectionMethodDistinct'!$A$2:$A$646,FALSE),1),"")</f>
        <v xml:space="preserve">Coring&gt;GravityCorer </v>
      </c>
    </row>
    <row r="133" spans="1:6" x14ac:dyDescent="0.25">
      <c r="A133" s="5" t="s">
        <v>134</v>
      </c>
      <c r="B133" s="5" t="s">
        <v>846</v>
      </c>
      <c r="C133" s="5"/>
      <c r="D133" s="1">
        <f>IFERROR(INDEX([1]SamplingMethod!$A$2:$C$160,MATCH(B133,[1]SamplingMethod!$C$2:$C$160,FALSE),1),"")</f>
        <v>125</v>
      </c>
      <c r="E133" s="5" t="str">
        <f>IFERROR(INDEX([1]SamplingMethod!$A$2:$C$160,MATCH(B133,[1]SamplingMethod!$C$2:$C$160,FALSE),2),"")</f>
        <v>secm:sm026</v>
      </c>
      <c r="F133" t="str">
        <f>IFERROR(INDEX('collectionMethodDistinct'!$A$2:$A$646,MATCH(A133,'collectionMethodDistinct'!$A$2:$A$646,FALSE),1),"")</f>
        <v>Coring&gt;GravityCorer and Rhizon</v>
      </c>
    </row>
    <row r="134" spans="1:6" x14ac:dyDescent="0.25">
      <c r="A134" s="5" t="s">
        <v>135</v>
      </c>
      <c r="B134" s="5" t="s">
        <v>846</v>
      </c>
      <c r="C134" s="5"/>
      <c r="D134" s="1">
        <f>IFERROR(INDEX([1]SamplingMethod!$A$2:$C$160,MATCH(B134,[1]SamplingMethod!$C$2:$C$160,FALSE),1),"")</f>
        <v>125</v>
      </c>
      <c r="E134" s="5" t="str">
        <f>IFERROR(INDEX([1]SamplingMethod!$A$2:$C$160,MATCH(B134,[1]SamplingMethod!$C$2:$C$160,FALSE),2),"")</f>
        <v>secm:sm026</v>
      </c>
      <c r="F134" t="str">
        <f>IFERROR(INDEX('collectionMethodDistinct'!$A$2:$A$646,MATCH(A134,'collectionMethodDistinct'!$A$2:$A$646,FALSE),1),"")</f>
        <v>Coring&gt;GravityCorer&gt;Giant</v>
      </c>
    </row>
    <row r="135" spans="1:6" x14ac:dyDescent="0.25">
      <c r="A135" s="5" t="s">
        <v>136</v>
      </c>
      <c r="B135" s="5" t="s">
        <v>846</v>
      </c>
      <c r="C135" s="5"/>
      <c r="D135" s="1">
        <f>IFERROR(INDEX([1]SamplingMethod!$A$2:$C$160,MATCH(B135,[1]SamplingMethod!$C$2:$C$160,FALSE),1),"")</f>
        <v>125</v>
      </c>
      <c r="E135" s="5" t="str">
        <f>IFERROR(INDEX([1]SamplingMethod!$A$2:$C$160,MATCH(B135,[1]SamplingMethod!$C$2:$C$160,FALSE),2),"")</f>
        <v>secm:sm026</v>
      </c>
      <c r="F135" t="str">
        <f>IFERROR(INDEX('collectionMethodDistinct'!$A$2:$A$646,MATCH(A135,'collectionMethodDistinct'!$A$2:$A$646,FALSE),1),"")</f>
        <v>Coring&gt;GravityCorer&gt;Pilot</v>
      </c>
    </row>
    <row r="136" spans="1:6" x14ac:dyDescent="0.25">
      <c r="A136" s="5" t="s">
        <v>137</v>
      </c>
      <c r="B136" s="5" t="s">
        <v>893</v>
      </c>
      <c r="C136" s="5"/>
      <c r="D136" s="1">
        <f>IFERROR(INDEX([1]SamplingMethod!$A$2:$C$160,MATCH(B136,[1]SamplingMethod!$C$2:$C$160,FALSE),1),"")</f>
        <v>126</v>
      </c>
      <c r="E136" s="5" t="str">
        <f>IFERROR(INDEX([1]SamplingMethod!$A$2:$C$160,MATCH(B136,[1]SamplingMethod!$C$2:$C$160,FALSE),2),"")</f>
        <v>secm:sm027</v>
      </c>
      <c r="F136" t="str">
        <f>IFERROR(INDEX('collectionMethodDistinct'!$A$2:$A$646,MATCH(A136,'collectionMethodDistinct'!$A$2:$A$646,FALSE),1),"")</f>
        <v>Coring&gt;HandHeldCore</v>
      </c>
    </row>
    <row r="137" spans="1:6" x14ac:dyDescent="0.25">
      <c r="A137" s="5" t="s">
        <v>138</v>
      </c>
      <c r="B137" s="5" t="s">
        <v>893</v>
      </c>
      <c r="C137" s="5"/>
      <c r="D137" s="1">
        <f>IFERROR(INDEX([1]SamplingMethod!$A$2:$C$160,MATCH(B137,[1]SamplingMethod!$C$2:$C$160,FALSE),1),"")</f>
        <v>126</v>
      </c>
      <c r="E137" s="5" t="str">
        <f>IFERROR(INDEX([1]SamplingMethod!$A$2:$C$160,MATCH(B137,[1]SamplingMethod!$C$2:$C$160,FALSE),2),"")</f>
        <v>secm:sm027</v>
      </c>
      <c r="F137" t="str">
        <f>IFERROR(INDEX('collectionMethodDistinct'!$A$2:$A$646,MATCH(A137,'collectionMethodDistinct'!$A$2:$A$646,FALSE),1),"")</f>
        <v>Coring&gt;HandHeldCorer</v>
      </c>
    </row>
    <row r="138" spans="1:6" x14ac:dyDescent="0.25">
      <c r="A138" s="5" t="s">
        <v>139</v>
      </c>
      <c r="B138" s="5" t="s">
        <v>846</v>
      </c>
      <c r="C138" s="5"/>
      <c r="D138" s="1">
        <f>IFERROR(INDEX([1]SamplingMethod!$A$2:$C$160,MATCH(B138,[1]SamplingMethod!$C$2:$C$160,FALSE),1),"")</f>
        <v>125</v>
      </c>
      <c r="E138" s="5" t="str">
        <f>IFERROR(INDEX([1]SamplingMethod!$A$2:$C$160,MATCH(B138,[1]SamplingMethod!$C$2:$C$160,FALSE),2),"")</f>
        <v>secm:sm026</v>
      </c>
      <c r="F138" t="str">
        <f>IFERROR(INDEX('collectionMethodDistinct'!$A$2:$A$646,MATCH(A138,'collectionMethodDistinct'!$A$2:$A$646,FALSE),1),"")</f>
        <v>Coring&gt;Jumbo Gravity Core</v>
      </c>
    </row>
    <row r="139" spans="1:6" x14ac:dyDescent="0.25">
      <c r="A139" s="5" t="s">
        <v>140</v>
      </c>
      <c r="B139" s="5" t="s">
        <v>839</v>
      </c>
      <c r="C139" s="5"/>
      <c r="D139" s="1">
        <f>IFERROR(INDEX([1]SamplingMethod!$A$2:$C$160,MATCH(B139,[1]SamplingMethod!$C$2:$C$160,FALSE),1),"")</f>
        <v>128</v>
      </c>
      <c r="E139" s="5" t="str">
        <f>IFERROR(INDEX([1]SamplingMethod!$A$2:$C$160,MATCH(B139,[1]SamplingMethod!$C$2:$C$160,FALSE),2),"")</f>
        <v>secm:sm029</v>
      </c>
      <c r="F139" t="str">
        <f>IFERROR(INDEX('collectionMethodDistinct'!$A$2:$A$646,MATCH(A139,'collectionMethodDistinct'!$A$2:$A$646,FALSE),1),"")</f>
        <v>Coring&gt;Jumbo Piston Core</v>
      </c>
    </row>
    <row r="140" spans="1:6" x14ac:dyDescent="0.25">
      <c r="A140" s="5" t="s">
        <v>141</v>
      </c>
      <c r="B140" s="5" t="s">
        <v>841</v>
      </c>
      <c r="C140" s="5"/>
      <c r="D140" s="1">
        <f>IFERROR(INDEX([1]SamplingMethod!$A$2:$C$160,MATCH(B140,[1]SamplingMethod!$C$2:$C$160,FALSE),1),"")</f>
        <v>81</v>
      </c>
      <c r="E140" s="5" t="str">
        <f>IFERROR(INDEX([1]SamplingMethod!$A$2:$C$160,MATCH(B140,[1]SamplingMethod!$C$2:$C$160,FALSE),2),"")</f>
        <v>secm:ses220</v>
      </c>
      <c r="F140" t="str">
        <f>IFERROR(INDEX('collectionMethodDistinct'!$A$2:$A$646,MATCH(A140,'collectionMethodDistinct'!$A$2:$A$646,FALSE),1),"")</f>
        <v>Coring&gt;Jumbo Trigger Core</v>
      </c>
    </row>
    <row r="141" spans="1:6" x14ac:dyDescent="0.25">
      <c r="A141" s="5" t="s">
        <v>142</v>
      </c>
      <c r="B141" s="5" t="s">
        <v>846</v>
      </c>
      <c r="C141" s="5"/>
      <c r="D141" s="1">
        <f>IFERROR(INDEX([1]SamplingMethod!$A$2:$C$160,MATCH(B141,[1]SamplingMethod!$C$2:$C$160,FALSE),1),"")</f>
        <v>125</v>
      </c>
      <c r="E141" s="5" t="str">
        <f>IFERROR(INDEX([1]SamplingMethod!$A$2:$C$160,MATCH(B141,[1]SamplingMethod!$C$2:$C$160,FALSE),2),"")</f>
        <v>secm:sm026</v>
      </c>
      <c r="F141" t="str">
        <f>IFERROR(INDEX('collectionMethodDistinct'!$A$2:$A$646,MATCH(A141,'collectionMethodDistinct'!$A$2:$A$646,FALSE),1),"")</f>
        <v>Coring&gt;JumboGravityCorer</v>
      </c>
    </row>
    <row r="142" spans="1:6" x14ac:dyDescent="0.25">
      <c r="A142" s="5" t="s">
        <v>143</v>
      </c>
      <c r="B142" s="5" t="s">
        <v>848</v>
      </c>
      <c r="C142" s="5"/>
      <c r="D142" s="1">
        <f>IFERROR(INDEX([1]SamplingMethod!$A$2:$C$160,MATCH(B142,[1]SamplingMethod!$C$2:$C$160,FALSE),1),"")</f>
        <v>82</v>
      </c>
      <c r="E142" s="5" t="str">
        <f>IFERROR(INDEX([1]SamplingMethod!$A$2:$C$160,MATCH(B142,[1]SamplingMethod!$C$2:$C$160,FALSE),2),"")</f>
        <v>secm:ses221</v>
      </c>
      <c r="F142" t="str">
        <f>IFERROR(INDEX('collectionMethodDistinct'!$A$2:$A$646,MATCH(A142,'collectionMethodDistinct'!$A$2:$A$646,FALSE),1),"")</f>
        <v>Coring&gt;JumboKastenCorer</v>
      </c>
    </row>
    <row r="143" spans="1:6" x14ac:dyDescent="0.25">
      <c r="A143" s="5" t="s">
        <v>144</v>
      </c>
      <c r="B143" s="5" t="s">
        <v>839</v>
      </c>
      <c r="C143" s="5"/>
      <c r="D143" s="1">
        <f>IFERROR(INDEX([1]SamplingMethod!$A$2:$C$160,MATCH(B143,[1]SamplingMethod!$C$2:$C$160,FALSE),1),"")</f>
        <v>128</v>
      </c>
      <c r="E143" s="5" t="str">
        <f>IFERROR(INDEX([1]SamplingMethod!$A$2:$C$160,MATCH(B143,[1]SamplingMethod!$C$2:$C$160,FALSE),2),"")</f>
        <v>secm:sm029</v>
      </c>
      <c r="F143" t="str">
        <f>IFERROR(INDEX('collectionMethodDistinct'!$A$2:$A$646,MATCH(A143,'collectionMethodDistinct'!$A$2:$A$646,FALSE),1),"")</f>
        <v>Coring&gt;JumboPistonCore</v>
      </c>
    </row>
    <row r="144" spans="1:6" x14ac:dyDescent="0.25">
      <c r="A144" s="5" t="s">
        <v>145</v>
      </c>
      <c r="B144" s="5" t="s">
        <v>839</v>
      </c>
      <c r="C144" s="5"/>
      <c r="D144" s="1">
        <f>IFERROR(INDEX([1]SamplingMethod!$A$2:$C$160,MATCH(B144,[1]SamplingMethod!$C$2:$C$160,FALSE),1),"")</f>
        <v>128</v>
      </c>
      <c r="E144" s="5" t="str">
        <f>IFERROR(INDEX([1]SamplingMethod!$A$2:$C$160,MATCH(B144,[1]SamplingMethod!$C$2:$C$160,FALSE),2),"")</f>
        <v>secm:sm029</v>
      </c>
      <c r="F144" t="str">
        <f>IFERROR(INDEX('collectionMethodDistinct'!$A$2:$A$646,MATCH(A144,'collectionMethodDistinct'!$A$2:$A$646,FALSE),1),"")</f>
        <v>Coring&gt;JumboPistonCorer</v>
      </c>
    </row>
    <row r="145" spans="1:6" x14ac:dyDescent="0.25">
      <c r="A145" s="5" t="s">
        <v>145</v>
      </c>
      <c r="B145" s="5" t="s">
        <v>839</v>
      </c>
      <c r="C145" s="5"/>
      <c r="D145" s="1">
        <f>IFERROR(INDEX([1]SamplingMethod!$A$2:$C$160,MATCH(B145,[1]SamplingMethod!$C$2:$C$160,FALSE),1),"")</f>
        <v>128</v>
      </c>
      <c r="E145" s="5" t="str">
        <f>IFERROR(INDEX([1]SamplingMethod!$A$2:$C$160,MATCH(B145,[1]SamplingMethod!$C$2:$C$160,FALSE),2),"")</f>
        <v>secm:sm029</v>
      </c>
      <c r="F145" t="str">
        <f>IFERROR(INDEX('collectionMethodDistinct'!$A$2:$A$646,MATCH(A145,'collectionMethodDistinct'!$A$2:$A$646,FALSE),1),"")</f>
        <v>Coring&gt;JumboPistonCorer</v>
      </c>
    </row>
    <row r="146" spans="1:6" x14ac:dyDescent="0.25">
      <c r="A146" s="5" t="s">
        <v>146</v>
      </c>
      <c r="B146" s="5" t="s">
        <v>841</v>
      </c>
      <c r="C146" s="5"/>
      <c r="D146" s="1">
        <f>IFERROR(INDEX([1]SamplingMethod!$A$2:$C$160,MATCH(B146,[1]SamplingMethod!$C$2:$C$160,FALSE),1),"")</f>
        <v>81</v>
      </c>
      <c r="E146" s="5" t="str">
        <f>IFERROR(INDEX([1]SamplingMethod!$A$2:$C$160,MATCH(B146,[1]SamplingMethod!$C$2:$C$160,FALSE),2),"")</f>
        <v>secm:ses220</v>
      </c>
      <c r="F146" t="str">
        <f>IFERROR(INDEX('collectionMethodDistinct'!$A$2:$A$646,MATCH(A146,'collectionMethodDistinct'!$A$2:$A$646,FALSE),1),"")</f>
        <v>Coring&gt;JumboTriggerCore</v>
      </c>
    </row>
    <row r="147" spans="1:6" x14ac:dyDescent="0.25">
      <c r="A147" s="5" t="s">
        <v>147</v>
      </c>
      <c r="B147" s="5" t="s">
        <v>841</v>
      </c>
      <c r="C147" s="5"/>
      <c r="D147" s="1">
        <f>IFERROR(INDEX([1]SamplingMethod!$A$2:$C$160,MATCH(B147,[1]SamplingMethod!$C$2:$C$160,FALSE),1),"")</f>
        <v>81</v>
      </c>
      <c r="E147" s="5" t="str">
        <f>IFERROR(INDEX([1]SamplingMethod!$A$2:$C$160,MATCH(B147,[1]SamplingMethod!$C$2:$C$160,FALSE),2),"")</f>
        <v>secm:ses220</v>
      </c>
      <c r="F147" t="str">
        <f>IFERROR(INDEX('collectionMethodDistinct'!$A$2:$A$646,MATCH(A147,'collectionMethodDistinct'!$A$2:$A$646,FALSE),1),"")</f>
        <v>Coring&gt;JumboTriggerCorer</v>
      </c>
    </row>
    <row r="148" spans="1:6" x14ac:dyDescent="0.25">
      <c r="A148" s="5" t="s">
        <v>148</v>
      </c>
      <c r="B148" s="5" t="s">
        <v>848</v>
      </c>
      <c r="C148" s="5"/>
      <c r="D148" s="1">
        <f>IFERROR(INDEX([1]SamplingMethod!$A$2:$C$160,MATCH(B148,[1]SamplingMethod!$C$2:$C$160,FALSE),1),"")</f>
        <v>82</v>
      </c>
      <c r="E148" s="5" t="str">
        <f>IFERROR(INDEX([1]SamplingMethod!$A$2:$C$160,MATCH(B148,[1]SamplingMethod!$C$2:$C$160,FALSE),2),"")</f>
        <v>secm:ses221</v>
      </c>
      <c r="F148" t="str">
        <f>IFERROR(INDEX('collectionMethodDistinct'!$A$2:$A$646,MATCH(A148,'collectionMethodDistinct'!$A$2:$A$646,FALSE),1),"")</f>
        <v>Coring&gt;Kasten Core</v>
      </c>
    </row>
    <row r="149" spans="1:6" x14ac:dyDescent="0.25">
      <c r="A149" s="5" t="s">
        <v>149</v>
      </c>
      <c r="B149" s="5" t="s">
        <v>848</v>
      </c>
      <c r="C149" s="5"/>
      <c r="D149" s="1">
        <f>IFERROR(INDEX([1]SamplingMethod!$A$2:$C$160,MATCH(B149,[1]SamplingMethod!$C$2:$C$160,FALSE),1),"")</f>
        <v>82</v>
      </c>
      <c r="E149" s="5" t="str">
        <f>IFERROR(INDEX([1]SamplingMethod!$A$2:$C$160,MATCH(B149,[1]SamplingMethod!$C$2:$C$160,FALSE),2),"")</f>
        <v>secm:ses221</v>
      </c>
      <c r="F149" t="str">
        <f>IFERROR(INDEX('collectionMethodDistinct'!$A$2:$A$646,MATCH(A149,'collectionMethodDistinct'!$A$2:$A$646,FALSE),1),"")</f>
        <v>Coring&gt;KastenCorer</v>
      </c>
    </row>
    <row r="150" spans="1:6" x14ac:dyDescent="0.25">
      <c r="A150" s="5" t="s">
        <v>150</v>
      </c>
      <c r="B150" s="5" t="s">
        <v>848</v>
      </c>
      <c r="C150" s="5"/>
      <c r="D150" s="1">
        <f>IFERROR(INDEX([1]SamplingMethod!$A$2:$C$160,MATCH(B150,[1]SamplingMethod!$C$2:$C$160,FALSE),1),"")</f>
        <v>82</v>
      </c>
      <c r="E150" s="5" t="str">
        <f>IFERROR(INDEX([1]SamplingMethod!$A$2:$C$160,MATCH(B150,[1]SamplingMethod!$C$2:$C$160,FALSE),2),"")</f>
        <v>secm:ses221</v>
      </c>
      <c r="F150" t="str">
        <f>IFERROR(INDEX('collectionMethodDistinct'!$A$2:$A$646,MATCH(A150,'collectionMethodDistinct'!$A$2:$A$646,FALSE),1),"")</f>
        <v>Coring&gt;KastenlotCorer</v>
      </c>
    </row>
    <row r="151" spans="1:6" x14ac:dyDescent="0.25">
      <c r="A151" s="5" t="s">
        <v>151</v>
      </c>
      <c r="B151" s="5" t="s">
        <v>82</v>
      </c>
      <c r="C151" s="5"/>
      <c r="D151" s="1">
        <f>IFERROR(INDEX([1]SamplingMethod!$A$2:$C$160,MATCH(B151,[1]SamplingMethod!$C$2:$C$160,FALSE),1),"")</f>
        <v>140</v>
      </c>
      <c r="E151" s="5" t="str">
        <f>IFERROR(INDEX([1]SamplingMethod!$A$2:$C$160,MATCH(B151,[1]SamplingMethod!$C$2:$C$160,FALSE),2),"")</f>
        <v>secm:sm041</v>
      </c>
      <c r="F151" t="str">
        <f>IFERROR(INDEX('collectionMethodDistinct'!$A$2:$A$646,MATCH(A151,'collectionMethodDistinct'!$A$2:$A$646,FALSE),1),"")</f>
        <v>Coring&gt;Megacore</v>
      </c>
    </row>
    <row r="152" spans="1:6" x14ac:dyDescent="0.25">
      <c r="A152" s="5" t="s">
        <v>152</v>
      </c>
      <c r="B152" s="5" t="s">
        <v>843</v>
      </c>
      <c r="C152" s="5"/>
      <c r="D152" s="1">
        <f>IFERROR(INDEX([1]SamplingMethod!$A$2:$C$160,MATCH(B152,[1]SamplingMethod!$C$2:$C$160,FALSE),1),"")</f>
        <v>127</v>
      </c>
      <c r="E152" s="5" t="str">
        <f>IFERROR(INDEX([1]SamplingMethod!$A$2:$C$160,MATCH(B152,[1]SamplingMethod!$C$2:$C$160,FALSE),2),"")</f>
        <v>secm:sm028</v>
      </c>
      <c r="F152" t="str">
        <f>IFERROR(INDEX('collectionMethodDistinct'!$A$2:$A$646,MATCH(A152,'collectionMethodDistinct'!$A$2:$A$646,FALSE),1),"")</f>
        <v>Coring&gt;Multicore</v>
      </c>
    </row>
    <row r="153" spans="1:6" x14ac:dyDescent="0.25">
      <c r="A153" s="5" t="s">
        <v>153</v>
      </c>
      <c r="B153" s="5" t="s">
        <v>843</v>
      </c>
      <c r="C153" s="5"/>
      <c r="D153" s="1">
        <f>IFERROR(INDEX([1]SamplingMethod!$A$2:$C$160,MATCH(B153,[1]SamplingMethod!$C$2:$C$160,FALSE),1),"")</f>
        <v>127</v>
      </c>
      <c r="E153" s="5" t="str">
        <f>IFERROR(INDEX([1]SamplingMethod!$A$2:$C$160,MATCH(B153,[1]SamplingMethod!$C$2:$C$160,FALSE),2),"")</f>
        <v>secm:sm028</v>
      </c>
      <c r="F153" t="str">
        <f>IFERROR(INDEX('collectionMethodDistinct'!$A$2:$A$646,MATCH(A153,'collectionMethodDistinct'!$A$2:$A$646,FALSE),1),"")</f>
        <v>Coring&gt;Multicorer</v>
      </c>
    </row>
    <row r="154" spans="1:6" x14ac:dyDescent="0.25">
      <c r="A154" s="5" t="s">
        <v>154</v>
      </c>
      <c r="B154" s="5" t="s">
        <v>843</v>
      </c>
      <c r="C154" s="5"/>
      <c r="D154" s="1">
        <f>IFERROR(INDEX([1]SamplingMethod!$A$2:$C$160,MATCH(B154,[1]SamplingMethod!$C$2:$C$160,FALSE),1),"")</f>
        <v>127</v>
      </c>
      <c r="E154" s="5" t="str">
        <f>IFERROR(INDEX([1]SamplingMethod!$A$2:$C$160,MATCH(B154,[1]SamplingMethod!$C$2:$C$160,FALSE),2),"")</f>
        <v>secm:sm028</v>
      </c>
      <c r="F154" t="str">
        <f>IFERROR(INDEX('collectionMethodDistinct'!$A$2:$A$646,MATCH(A154,'collectionMethodDistinct'!$A$2:$A$646,FALSE),1),"")</f>
        <v>Coring&gt;Multicorer</v>
      </c>
    </row>
    <row r="155" spans="1:6" x14ac:dyDescent="0.25">
      <c r="A155" s="5" t="s">
        <v>155</v>
      </c>
      <c r="B155" s="5" t="s">
        <v>843</v>
      </c>
      <c r="C155" s="5"/>
      <c r="D155" s="1">
        <f>IFERROR(INDEX([1]SamplingMethod!$A$2:$C$160,MATCH(B155,[1]SamplingMethod!$C$2:$C$160,FALSE),1),"")</f>
        <v>127</v>
      </c>
      <c r="E155" s="5" t="str">
        <f>IFERROR(INDEX([1]SamplingMethod!$A$2:$C$160,MATCH(B155,[1]SamplingMethod!$C$2:$C$160,FALSE),2),"")</f>
        <v>secm:sm028</v>
      </c>
      <c r="F155" t="str">
        <f>IFERROR(INDEX('collectionMethodDistinct'!$A$2:$A$646,MATCH(A155,'collectionMethodDistinct'!$A$2:$A$646,FALSE),1),"")</f>
        <v>Coring&gt;MultiCorer core</v>
      </c>
    </row>
    <row r="156" spans="1:6" x14ac:dyDescent="0.25">
      <c r="A156" s="5" t="s">
        <v>156</v>
      </c>
      <c r="B156" s="5" t="s">
        <v>887</v>
      </c>
      <c r="C156" s="5"/>
      <c r="D156" s="1">
        <f>IFERROR(INDEX([1]SamplingMethod!$A$2:$C$160,MATCH(B156,[1]SamplingMethod!$C$2:$C$160,FALSE),1),"")</f>
        <v>93</v>
      </c>
      <c r="E156" s="5" t="str">
        <f>IFERROR(INDEX([1]SamplingMethod!$A$2:$C$160,MATCH(B156,[1]SamplingMethod!$C$2:$C$160,FALSE),2),"")</f>
        <v>secm:ses232</v>
      </c>
      <c r="F156" t="str">
        <f>IFERROR(INDEX('collectionMethodDistinct'!$A$2:$A$646,MATCH(A156,'collectionMethodDistinct'!$A$2:$A$646,FALSE),1),"")</f>
        <v>Coring&gt;PercussionCorer</v>
      </c>
    </row>
    <row r="157" spans="1:6" x14ac:dyDescent="0.25">
      <c r="A157" s="5" t="s">
        <v>157</v>
      </c>
      <c r="B157" s="5" t="s">
        <v>838</v>
      </c>
      <c r="C157" s="5"/>
      <c r="D157" s="1">
        <f>IFERROR(INDEX([1]SamplingMethod!$A$2:$C$160,MATCH(B157,[1]SamplingMethod!$C$2:$C$160,FALSE),1),"")</f>
        <v>55</v>
      </c>
      <c r="E157" s="5" t="str">
        <f>IFERROR(INDEX([1]SamplingMethod!$A$2:$C$160,MATCH(B157,[1]SamplingMethod!$C$2:$C$160,FALSE),2),"")</f>
        <v>secm:phlegercoring</v>
      </c>
      <c r="F157" t="str">
        <f>IFERROR(INDEX('collectionMethodDistinct'!$A$2:$A$646,MATCH(A157,'collectionMethodDistinct'!$A$2:$A$646,FALSE),1),"")</f>
        <v>Coring&gt;Phleger</v>
      </c>
    </row>
    <row r="158" spans="1:6" x14ac:dyDescent="0.25">
      <c r="A158" s="5" t="s">
        <v>158</v>
      </c>
      <c r="B158" s="5" t="s">
        <v>838</v>
      </c>
      <c r="C158" s="5"/>
      <c r="D158" s="1">
        <f>IFERROR(INDEX([1]SamplingMethod!$A$2:$C$160,MATCH(B158,[1]SamplingMethod!$C$2:$C$160,FALSE),1),"")</f>
        <v>55</v>
      </c>
      <c r="E158" s="5" t="str">
        <f>IFERROR(INDEX([1]SamplingMethod!$A$2:$C$160,MATCH(B158,[1]SamplingMethod!$C$2:$C$160,FALSE),2),"")</f>
        <v>secm:phlegercoring</v>
      </c>
      <c r="F158" t="str">
        <f>IFERROR(INDEX('collectionMethodDistinct'!$A$2:$A$646,MATCH(A158,'collectionMethodDistinct'!$A$2:$A$646,FALSE),1),"")</f>
        <v>Coring&gt;Phleger Core</v>
      </c>
    </row>
    <row r="159" spans="1:6" x14ac:dyDescent="0.25">
      <c r="A159" s="5" t="s">
        <v>159</v>
      </c>
      <c r="B159" s="5" t="s">
        <v>838</v>
      </c>
      <c r="C159" s="5"/>
      <c r="D159" s="1">
        <f>IFERROR(INDEX([1]SamplingMethod!$A$2:$C$160,MATCH(B159,[1]SamplingMethod!$C$2:$C$160,FALSE),1),"")</f>
        <v>55</v>
      </c>
      <c r="E159" s="5" t="str">
        <f>IFERROR(INDEX([1]SamplingMethod!$A$2:$C$160,MATCH(B159,[1]SamplingMethod!$C$2:$C$160,FALSE),2),"")</f>
        <v>secm:phlegercoring</v>
      </c>
      <c r="F159" t="str">
        <f>IFERROR(INDEX('collectionMethodDistinct'!$A$2:$A$646,MATCH(A159,'collectionMethodDistinct'!$A$2:$A$646,FALSE),1),"")</f>
        <v>Coring&gt;Phleger Corec</v>
      </c>
    </row>
    <row r="160" spans="1:6" x14ac:dyDescent="0.25">
      <c r="A160" s="5" t="s">
        <v>160</v>
      </c>
      <c r="B160" s="5" t="s">
        <v>838</v>
      </c>
      <c r="C160" s="5"/>
      <c r="D160" s="1">
        <f>IFERROR(INDEX([1]SamplingMethod!$A$2:$C$160,MATCH(B160,[1]SamplingMethod!$C$2:$C$160,FALSE),1),"")</f>
        <v>55</v>
      </c>
      <c r="E160" s="5" t="str">
        <f>IFERROR(INDEX([1]SamplingMethod!$A$2:$C$160,MATCH(B160,[1]SamplingMethod!$C$2:$C$160,FALSE),2),"")</f>
        <v>secm:phlegercoring</v>
      </c>
      <c r="F160" t="str">
        <f>IFERROR(INDEX('collectionMethodDistinct'!$A$2:$A$646,MATCH(A160,'collectionMethodDistinct'!$A$2:$A$646,FALSE),1),"")</f>
        <v>Coring&gt;PhlegerCore</v>
      </c>
    </row>
    <row r="161" spans="1:6" x14ac:dyDescent="0.25">
      <c r="A161" s="5" t="s">
        <v>161</v>
      </c>
      <c r="B161" s="5" t="s">
        <v>838</v>
      </c>
      <c r="C161" s="5"/>
      <c r="D161" s="1">
        <f>IFERROR(INDEX([1]SamplingMethod!$A$2:$C$160,MATCH(B161,[1]SamplingMethod!$C$2:$C$160,FALSE),1),"")</f>
        <v>55</v>
      </c>
      <c r="E161" s="5" t="str">
        <f>IFERROR(INDEX([1]SamplingMethod!$A$2:$C$160,MATCH(B161,[1]SamplingMethod!$C$2:$C$160,FALSE),2),"")</f>
        <v>secm:phlegercoring</v>
      </c>
      <c r="F161" t="str">
        <f>IFERROR(INDEX('collectionMethodDistinct'!$A$2:$A$646,MATCH(A161,'collectionMethodDistinct'!$A$2:$A$646,FALSE),1),"")</f>
        <v>Coring&gt;PhlegerCorer</v>
      </c>
    </row>
    <row r="162" spans="1:6" x14ac:dyDescent="0.25">
      <c r="A162" s="5" t="s">
        <v>162</v>
      </c>
      <c r="B162" s="5" t="s">
        <v>839</v>
      </c>
      <c r="C162" s="5"/>
      <c r="D162" s="1">
        <f>IFERROR(INDEX([1]SamplingMethod!$A$2:$C$160,MATCH(B162,[1]SamplingMethod!$C$2:$C$160,FALSE),1),"")</f>
        <v>128</v>
      </c>
      <c r="E162" s="5" t="str">
        <f>IFERROR(INDEX([1]SamplingMethod!$A$2:$C$160,MATCH(B162,[1]SamplingMethod!$C$2:$C$160,FALSE),2),"")</f>
        <v>secm:sm029</v>
      </c>
      <c r="F162" t="str">
        <f>IFERROR(INDEX('collectionMethodDistinct'!$A$2:$A$646,MATCH(A162,'collectionMethodDistinct'!$A$2:$A$646,FALSE),1),"")</f>
        <v>Coring&gt;Piston Core</v>
      </c>
    </row>
    <row r="163" spans="1:6" x14ac:dyDescent="0.25">
      <c r="A163" s="5" t="s">
        <v>163</v>
      </c>
      <c r="B163" s="5" t="s">
        <v>839</v>
      </c>
      <c r="C163" s="5"/>
      <c r="D163" s="1">
        <f>IFERROR(INDEX([1]SamplingMethod!$A$2:$C$160,MATCH(B163,[1]SamplingMethod!$C$2:$C$160,FALSE),1),"")</f>
        <v>128</v>
      </c>
      <c r="E163" s="5" t="str">
        <f>IFERROR(INDEX([1]SamplingMethod!$A$2:$C$160,MATCH(B163,[1]SamplingMethod!$C$2:$C$160,FALSE),2),"")</f>
        <v>secm:sm029</v>
      </c>
      <c r="F163" t="str">
        <f>IFERROR(INDEX('collectionMethodDistinct'!$A$2:$A$646,MATCH(A163,'collectionMethodDistinct'!$A$2:$A$646,FALSE),1),"")</f>
        <v>Coring&gt;Piston corer</v>
      </c>
    </row>
    <row r="164" spans="1:6" x14ac:dyDescent="0.25">
      <c r="A164" s="5" t="s">
        <v>164</v>
      </c>
      <c r="B164" s="5" t="s">
        <v>839</v>
      </c>
      <c r="C164" s="5"/>
      <c r="D164" s="1">
        <f>IFERROR(INDEX([1]SamplingMethod!$A$2:$C$160,MATCH(B164,[1]SamplingMethod!$C$2:$C$160,FALSE),1),"")</f>
        <v>128</v>
      </c>
      <c r="E164" s="5" t="str">
        <f>IFERROR(INDEX([1]SamplingMethod!$A$2:$C$160,MATCH(B164,[1]SamplingMethod!$C$2:$C$160,FALSE),2),"")</f>
        <v>secm:sm029</v>
      </c>
      <c r="F164" t="str">
        <f>IFERROR(INDEX('collectionMethodDistinct'!$A$2:$A$646,MATCH(A164,'collectionMethodDistinct'!$A$2:$A$646,FALSE),1),"")</f>
        <v>Coring&gt;PistonCore</v>
      </c>
    </row>
    <row r="165" spans="1:6" x14ac:dyDescent="0.25">
      <c r="A165" s="5" t="s">
        <v>165</v>
      </c>
      <c r="B165" s="5" t="s">
        <v>839</v>
      </c>
      <c r="C165" s="5"/>
      <c r="D165" s="1">
        <f>IFERROR(INDEX([1]SamplingMethod!$A$2:$C$160,MATCH(B165,[1]SamplingMethod!$C$2:$C$160,FALSE),1),"")</f>
        <v>128</v>
      </c>
      <c r="E165" s="5" t="str">
        <f>IFERROR(INDEX([1]SamplingMethod!$A$2:$C$160,MATCH(B165,[1]SamplingMethod!$C$2:$C$160,FALSE),2),"")</f>
        <v>secm:sm029</v>
      </c>
      <c r="F165" t="str">
        <f>IFERROR(INDEX('collectionMethodDistinct'!$A$2:$A$646,MATCH(A165,'collectionMethodDistinct'!$A$2:$A$646,FALSE),1),"")</f>
        <v>Coring&gt;PistonCorer</v>
      </c>
    </row>
    <row r="166" spans="1:6" x14ac:dyDescent="0.25">
      <c r="A166" s="5" t="s">
        <v>166</v>
      </c>
      <c r="B166" s="5" t="s">
        <v>839</v>
      </c>
      <c r="C166" s="5"/>
      <c r="D166" s="1">
        <f>IFERROR(INDEX([1]SamplingMethod!$A$2:$C$160,MATCH(B166,[1]SamplingMethod!$C$2:$C$160,FALSE),1),"")</f>
        <v>128</v>
      </c>
      <c r="E166" s="5" t="str">
        <f>IFERROR(INDEX([1]SamplingMethod!$A$2:$C$160,MATCH(B166,[1]SamplingMethod!$C$2:$C$160,FALSE),2),"")</f>
        <v>secm:sm029</v>
      </c>
      <c r="F166" t="str">
        <f>IFERROR(INDEX('collectionMethodDistinct'!$A$2:$A$646,MATCH(A166,'collectionMethodDistinct'!$A$2:$A$646,FALSE),1),"")</f>
        <v>Coring&gt;PistonCorer&gt;Giant</v>
      </c>
    </row>
    <row r="167" spans="1:6" x14ac:dyDescent="0.25">
      <c r="A167" s="5" t="s">
        <v>167</v>
      </c>
      <c r="B167" s="5" t="s">
        <v>839</v>
      </c>
      <c r="C167" s="5"/>
      <c r="D167" s="1">
        <f>IFERROR(INDEX([1]SamplingMethod!$A$2:$C$160,MATCH(B167,[1]SamplingMethod!$C$2:$C$160,FALSE),1),"")</f>
        <v>128</v>
      </c>
      <c r="E167" s="5" t="str">
        <f>IFERROR(INDEX([1]SamplingMethod!$A$2:$C$160,MATCH(B167,[1]SamplingMethod!$C$2:$C$160,FALSE),2),"")</f>
        <v>secm:sm029</v>
      </c>
      <c r="F167" t="str">
        <f>IFERROR(INDEX('collectionMethodDistinct'!$A$2:$A$646,MATCH(A167,'collectionMethodDistinct'!$A$2:$A$646,FALSE),1),"")</f>
        <v>Coring&gt;PistonCorer&gt;Jumbo</v>
      </c>
    </row>
    <row r="168" spans="1:6" x14ac:dyDescent="0.25">
      <c r="A168" s="5" t="s">
        <v>168</v>
      </c>
      <c r="B168" s="5" t="s">
        <v>839</v>
      </c>
      <c r="C168" s="5"/>
      <c r="D168" s="1">
        <f>IFERROR(INDEX([1]SamplingMethod!$A$2:$C$160,MATCH(B168,[1]SamplingMethod!$C$2:$C$160,FALSE),1),"")</f>
        <v>128</v>
      </c>
      <c r="E168" s="5" t="str">
        <f>IFERROR(INDEX([1]SamplingMethod!$A$2:$C$160,MATCH(B168,[1]SamplingMethod!$C$2:$C$160,FALSE),2),"")</f>
        <v>secm:sm029</v>
      </c>
      <c r="F168" t="str">
        <f>IFERROR(INDEX('collectionMethodDistinct'!$A$2:$A$646,MATCH(A168,'collectionMethodDistinct'!$A$2:$A$646,FALSE),1),"")</f>
        <v>Coring&gt;PistonCoring</v>
      </c>
    </row>
    <row r="169" spans="1:6" x14ac:dyDescent="0.25">
      <c r="A169" s="5" t="s">
        <v>169</v>
      </c>
      <c r="B169" s="5" t="s">
        <v>840</v>
      </c>
      <c r="C169" s="5"/>
      <c r="D169" s="1">
        <f>IFERROR(INDEX([1]SamplingMethod!$A$2:$C$160,MATCH(B169,[1]SamplingMethod!$C$2:$C$160,FALSE),1),"")</f>
        <v>32</v>
      </c>
      <c r="E169" s="5" t="str">
        <f>IFERROR(INDEX([1]SamplingMethod!$A$2:$C$160,MATCH(B169,[1]SamplingMethod!$C$2:$C$160,FALSE),2),"")</f>
        <v>secm:core_push</v>
      </c>
      <c r="F169" t="str">
        <f>IFERROR(INDEX('collectionMethodDistinct'!$A$2:$A$646,MATCH(A169,'collectionMethodDistinct'!$A$2:$A$646,FALSE),1),"")</f>
        <v>Coring&gt;PistonPushCorer</v>
      </c>
    </row>
    <row r="170" spans="1:6" x14ac:dyDescent="0.25">
      <c r="A170" s="5" t="s">
        <v>170</v>
      </c>
      <c r="B170" s="5" t="s">
        <v>840</v>
      </c>
      <c r="C170" s="5"/>
      <c r="D170" s="1">
        <f>IFERROR(INDEX([1]SamplingMethod!$A$2:$C$160,MATCH(B170,[1]SamplingMethod!$C$2:$C$160,FALSE),1),"")</f>
        <v>32</v>
      </c>
      <c r="E170" s="5" t="str">
        <f>IFERROR(INDEX([1]SamplingMethod!$A$2:$C$160,MATCH(B170,[1]SamplingMethod!$C$2:$C$160,FALSE),2),"")</f>
        <v>secm:core_push</v>
      </c>
      <c r="F170" t="str">
        <f>IFERROR(INDEX('collectionMethodDistinct'!$A$2:$A$646,MATCH(A170,'collectionMethodDistinct'!$A$2:$A$646,FALSE),1),"")</f>
        <v>Coring&gt;PushCorer</v>
      </c>
    </row>
    <row r="171" spans="1:6" x14ac:dyDescent="0.25">
      <c r="A171" s="5" t="s">
        <v>171</v>
      </c>
      <c r="B171" s="5" t="s">
        <v>845</v>
      </c>
      <c r="C171" s="5"/>
      <c r="D171" s="1">
        <f>IFERROR(INDEX([1]SamplingMethod!$A$2:$C$160,MATCH(B171,[1]SamplingMethod!$C$2:$C$160,FALSE),1),"")</f>
        <v>26</v>
      </c>
      <c r="E171" s="5" t="str">
        <f>IFERROR(INDEX([1]SamplingMethod!$A$2:$C$160,MATCH(B171,[1]SamplingMethod!$C$2:$C$160,FALSE),2),"")</f>
        <v>secm:core_drilling_unspecified</v>
      </c>
      <c r="F171" t="str">
        <f>IFERROR(INDEX('collectionMethodDistinct'!$A$2:$A$646,MATCH(A171,'collectionMethodDistinct'!$A$2:$A$646,FALSE),1),"")</f>
        <v>Coring&gt;RockCorer</v>
      </c>
    </row>
    <row r="172" spans="1:6" x14ac:dyDescent="0.25">
      <c r="A172" s="5" t="s">
        <v>172</v>
      </c>
      <c r="B172" s="5" t="s">
        <v>848</v>
      </c>
      <c r="C172" s="5"/>
      <c r="D172" s="1">
        <f>IFERROR(INDEX([1]SamplingMethod!$A$2:$C$160,MATCH(B172,[1]SamplingMethod!$C$2:$C$160,FALSE),1),"")</f>
        <v>82</v>
      </c>
      <c r="E172" s="5" t="str">
        <f>IFERROR(INDEX([1]SamplingMethod!$A$2:$C$160,MATCH(B172,[1]SamplingMethod!$C$2:$C$160,FALSE),2),"")</f>
        <v>secm:ses221</v>
      </c>
      <c r="F172" t="str">
        <f>IFERROR(INDEX('collectionMethodDistinct'!$A$2:$A$646,MATCH(A172,'collectionMethodDistinct'!$A$2:$A$646,FALSE),1),"")</f>
        <v>Coring&gt;ShortKastenCorer</v>
      </c>
    </row>
    <row r="173" spans="1:6" x14ac:dyDescent="0.25">
      <c r="A173" s="5" t="s">
        <v>173</v>
      </c>
      <c r="B173" s="5" t="s">
        <v>82</v>
      </c>
      <c r="C173" s="5"/>
      <c r="D173" s="1">
        <f>IFERROR(INDEX([1]SamplingMethod!$A$2:$C$160,MATCH(B173,[1]SamplingMethod!$C$2:$C$160,FALSE),1),"")</f>
        <v>140</v>
      </c>
      <c r="E173" s="5" t="str">
        <f>IFERROR(INDEX([1]SamplingMethod!$A$2:$C$160,MATCH(B173,[1]SamplingMethod!$C$2:$C$160,FALSE),2),"")</f>
        <v>secm:sm041</v>
      </c>
      <c r="F173" t="str">
        <f>IFERROR(INDEX('collectionMethodDistinct'!$A$2:$A$646,MATCH(A173,'collectionMethodDistinct'!$A$2:$A$646,FALSE),1),"")</f>
        <v>Coring&gt;SideSaddleCorer</v>
      </c>
    </row>
    <row r="174" spans="1:6" x14ac:dyDescent="0.25">
      <c r="A174" s="5" t="s">
        <v>174</v>
      </c>
      <c r="B174" s="5" t="s">
        <v>837</v>
      </c>
      <c r="C174" s="5"/>
      <c r="D174" s="1">
        <f>IFERROR(INDEX([1]SamplingMethod!$A$2:$C$160,MATCH(B174,[1]SamplingMethod!$C$2:$C$160,FALSE),1),"")</f>
        <v>33</v>
      </c>
      <c r="E174" s="5" t="str">
        <f>IFERROR(INDEX([1]SamplingMethod!$A$2:$C$160,MATCH(B174,[1]SamplingMethod!$C$2:$C$160,FALSE),2),"")</f>
        <v>secm:core_rov</v>
      </c>
      <c r="F174" t="str">
        <f>IFERROR(INDEX('collectionMethodDistinct'!$A$2:$A$646,MATCH(A174,'collectionMethodDistinct'!$A$2:$A$646,FALSE),1),"")</f>
        <v>Coring&gt;SubmersibleMountedCorer</v>
      </c>
    </row>
    <row r="175" spans="1:6" x14ac:dyDescent="0.25">
      <c r="A175" s="5" t="s">
        <v>175</v>
      </c>
      <c r="B175" s="5" t="s">
        <v>841</v>
      </c>
      <c r="C175" s="5"/>
      <c r="D175" s="1">
        <f>IFERROR(INDEX([1]SamplingMethod!$A$2:$C$160,MATCH(B175,[1]SamplingMethod!$C$2:$C$160,FALSE),1),"")</f>
        <v>81</v>
      </c>
      <c r="E175" s="5" t="str">
        <f>IFERROR(INDEX([1]SamplingMethod!$A$2:$C$160,MATCH(B175,[1]SamplingMethod!$C$2:$C$160,FALSE),2),"")</f>
        <v>secm:ses220</v>
      </c>
      <c r="F175" t="str">
        <f>IFERROR(INDEX('collectionMethodDistinct'!$A$2:$A$646,MATCH(A175,'collectionMethodDistinct'!$A$2:$A$646,FALSE),1),"")</f>
        <v>coring&gt;Trigger Core</v>
      </c>
    </row>
    <row r="176" spans="1:6" x14ac:dyDescent="0.25">
      <c r="A176" s="5" t="s">
        <v>176</v>
      </c>
      <c r="B176" s="5" t="s">
        <v>841</v>
      </c>
      <c r="C176" s="5"/>
      <c r="D176" s="1">
        <f>IFERROR(INDEX([1]SamplingMethod!$A$2:$C$160,MATCH(B176,[1]SamplingMethod!$C$2:$C$160,FALSE),1),"")</f>
        <v>81</v>
      </c>
      <c r="E176" s="5" t="str">
        <f>IFERROR(INDEX([1]SamplingMethod!$A$2:$C$160,MATCH(B176,[1]SamplingMethod!$C$2:$C$160,FALSE),2),"")</f>
        <v>secm:ses220</v>
      </c>
      <c r="F176" t="str">
        <f>IFERROR(INDEX('collectionMethodDistinct'!$A$2:$A$646,MATCH(A176,'collectionMethodDistinct'!$A$2:$A$646,FALSE),1),"")</f>
        <v>coring&gt;Trigger Core</v>
      </c>
    </row>
    <row r="177" spans="1:6" x14ac:dyDescent="0.25">
      <c r="A177" s="5" t="s">
        <v>177</v>
      </c>
      <c r="B177" s="5" t="s">
        <v>841</v>
      </c>
      <c r="C177" s="5"/>
      <c r="D177" s="1">
        <f>IFERROR(INDEX([1]SamplingMethod!$A$2:$C$160,MATCH(B177,[1]SamplingMethod!$C$2:$C$160,FALSE),1),"")</f>
        <v>81</v>
      </c>
      <c r="E177" s="5" t="str">
        <f>IFERROR(INDEX([1]SamplingMethod!$A$2:$C$160,MATCH(B177,[1]SamplingMethod!$C$2:$C$160,FALSE),2),"")</f>
        <v>secm:ses220</v>
      </c>
      <c r="F177" t="str">
        <f>IFERROR(INDEX('collectionMethodDistinct'!$A$2:$A$646,MATCH(A177,'collectionMethodDistinct'!$A$2:$A$646,FALSE),1),"")</f>
        <v>Coring&gt;TriggerCore</v>
      </c>
    </row>
    <row r="178" spans="1:6" x14ac:dyDescent="0.25">
      <c r="A178" s="5" t="s">
        <v>178</v>
      </c>
      <c r="B178" s="5" t="s">
        <v>841</v>
      </c>
      <c r="C178" s="5"/>
      <c r="D178" s="1">
        <f>IFERROR(INDEX([1]SamplingMethod!$A$2:$C$160,MATCH(B178,[1]SamplingMethod!$C$2:$C$160,FALSE),1),"")</f>
        <v>81</v>
      </c>
      <c r="E178" s="5" t="str">
        <f>IFERROR(INDEX([1]SamplingMethod!$A$2:$C$160,MATCH(B178,[1]SamplingMethod!$C$2:$C$160,FALSE),2),"")</f>
        <v>secm:ses220</v>
      </c>
      <c r="F178" t="str">
        <f>IFERROR(INDEX('collectionMethodDistinct'!$A$2:$A$646,MATCH(A178,'collectionMethodDistinct'!$A$2:$A$646,FALSE),1),"")</f>
        <v>Coring&gt;TriggerCore&gt;Giant</v>
      </c>
    </row>
    <row r="179" spans="1:6" x14ac:dyDescent="0.25">
      <c r="A179" s="5" t="s">
        <v>179</v>
      </c>
      <c r="B179" s="5" t="s">
        <v>841</v>
      </c>
      <c r="C179" s="5"/>
      <c r="D179" s="1">
        <f>IFERROR(INDEX([1]SamplingMethod!$A$2:$C$160,MATCH(B179,[1]SamplingMethod!$C$2:$C$160,FALSE),1),"")</f>
        <v>81</v>
      </c>
      <c r="E179" s="5" t="str">
        <f>IFERROR(INDEX([1]SamplingMethod!$A$2:$C$160,MATCH(B179,[1]SamplingMethod!$C$2:$C$160,FALSE),2),"")</f>
        <v>secm:ses220</v>
      </c>
      <c r="F179" t="str">
        <f>IFERROR(INDEX('collectionMethodDistinct'!$A$2:$A$646,MATCH(A179,'collectionMethodDistinct'!$A$2:$A$646,FALSE),1),"")</f>
        <v>Coring&gt;Triggercorer</v>
      </c>
    </row>
    <row r="180" spans="1:6" x14ac:dyDescent="0.25">
      <c r="A180" s="5" t="s">
        <v>180</v>
      </c>
      <c r="B180" s="5" t="s">
        <v>841</v>
      </c>
      <c r="C180" s="5"/>
      <c r="D180" s="1">
        <f>IFERROR(INDEX([1]SamplingMethod!$A$2:$C$160,MATCH(B180,[1]SamplingMethod!$C$2:$C$160,FALSE),1),"")</f>
        <v>81</v>
      </c>
      <c r="E180" s="5" t="str">
        <f>IFERROR(INDEX([1]SamplingMethod!$A$2:$C$160,MATCH(B180,[1]SamplingMethod!$C$2:$C$160,FALSE),2),"")</f>
        <v>secm:ses220</v>
      </c>
      <c r="F180" t="str">
        <f>IFERROR(INDEX('collectionMethodDistinct'!$A$2:$A$646,MATCH(A180,'collectionMethodDistinct'!$A$2:$A$646,FALSE),1),"")</f>
        <v>Coring&gt;Triggercorer</v>
      </c>
    </row>
    <row r="181" spans="1:6" x14ac:dyDescent="0.25">
      <c r="A181" s="5" t="s">
        <v>181</v>
      </c>
      <c r="B181" s="5" t="s">
        <v>841</v>
      </c>
      <c r="C181" s="5"/>
      <c r="D181" s="1">
        <f>IFERROR(INDEX([1]SamplingMethod!$A$2:$C$160,MATCH(B181,[1]SamplingMethod!$C$2:$C$160,FALSE),1),"")</f>
        <v>81</v>
      </c>
      <c r="E181" s="5" t="str">
        <f>IFERROR(INDEX([1]SamplingMethod!$A$2:$C$160,MATCH(B181,[1]SamplingMethod!$C$2:$C$160,FALSE),2),"")</f>
        <v>secm:ses220</v>
      </c>
      <c r="F181" t="str">
        <f>IFERROR(INDEX('collectionMethodDistinct'!$A$2:$A$646,MATCH(A181,'collectionMethodDistinct'!$A$2:$A$646,FALSE),1),"")</f>
        <v>Coring&gt;TriggerCorer&gt;Giant</v>
      </c>
    </row>
    <row r="182" spans="1:6" x14ac:dyDescent="0.25">
      <c r="A182" s="5" t="s">
        <v>182</v>
      </c>
      <c r="B182" s="5" t="s">
        <v>841</v>
      </c>
      <c r="C182" s="5"/>
      <c r="D182" s="1">
        <f>IFERROR(INDEX([1]SamplingMethod!$A$2:$C$160,MATCH(B182,[1]SamplingMethod!$C$2:$C$160,FALSE),1),"")</f>
        <v>81</v>
      </c>
      <c r="E182" s="5" t="str">
        <f>IFERROR(INDEX([1]SamplingMethod!$A$2:$C$160,MATCH(B182,[1]SamplingMethod!$C$2:$C$160,FALSE),2),"")</f>
        <v>secm:ses220</v>
      </c>
      <c r="F182" t="str">
        <f>IFERROR(INDEX('collectionMethodDistinct'!$A$2:$A$646,MATCH(A182,'collectionMethodDistinct'!$A$2:$A$646,FALSE),1),"")</f>
        <v>Coring&gt;TriggerCorerr</v>
      </c>
    </row>
    <row r="183" spans="1:6" x14ac:dyDescent="0.25">
      <c r="A183" s="5" t="s">
        <v>183</v>
      </c>
      <c r="B183" s="5" t="s">
        <v>841</v>
      </c>
      <c r="C183" s="5"/>
      <c r="D183" s="1">
        <f>IFERROR(INDEX([1]SamplingMethod!$A$2:$C$160,MATCH(B183,[1]SamplingMethod!$C$2:$C$160,FALSE),1),"")</f>
        <v>81</v>
      </c>
      <c r="E183" s="5" t="str">
        <f>IFERROR(INDEX([1]SamplingMethod!$A$2:$C$160,MATCH(B183,[1]SamplingMethod!$C$2:$C$160,FALSE),2),"")</f>
        <v>secm:ses220</v>
      </c>
      <c r="F183" t="str">
        <f>IFERROR(INDEX('collectionMethodDistinct'!$A$2:$A$646,MATCH(A183,'collectionMethodDistinct'!$A$2:$A$646,FALSE),1),"")</f>
        <v>Coring&gt;TriggerGravityCorer</v>
      </c>
    </row>
    <row r="184" spans="1:6" x14ac:dyDescent="0.25">
      <c r="A184" s="5" t="s">
        <v>184</v>
      </c>
      <c r="B184" s="5" t="s">
        <v>841</v>
      </c>
      <c r="C184" s="5"/>
      <c r="D184" s="1">
        <f>IFERROR(INDEX([1]SamplingMethod!$A$2:$C$160,MATCH(B184,[1]SamplingMethod!$C$2:$C$160,FALSE),1),"")</f>
        <v>81</v>
      </c>
      <c r="E184" s="5" t="str">
        <f>IFERROR(INDEX([1]SamplingMethod!$A$2:$C$160,MATCH(B184,[1]SamplingMethod!$C$2:$C$160,FALSE),2),"")</f>
        <v>secm:ses220</v>
      </c>
      <c r="F184" t="str">
        <f>IFERROR(INDEX('collectionMethodDistinct'!$A$2:$A$646,MATCH(A184,'collectionMethodDistinct'!$A$2:$A$646,FALSE),1),"")</f>
        <v>Coring&gt;TriggerWeight</v>
      </c>
    </row>
    <row r="185" spans="1:6" x14ac:dyDescent="0.25">
      <c r="A185" s="5" t="s">
        <v>185</v>
      </c>
      <c r="B185" s="5" t="s">
        <v>841</v>
      </c>
      <c r="C185" s="5"/>
      <c r="D185" s="1">
        <f>IFERROR(INDEX([1]SamplingMethod!$A$2:$C$160,MATCH(B185,[1]SamplingMethod!$C$2:$C$160,FALSE),1),"")</f>
        <v>81</v>
      </c>
      <c r="E185" s="5" t="str">
        <f>IFERROR(INDEX([1]SamplingMethod!$A$2:$C$160,MATCH(B185,[1]SamplingMethod!$C$2:$C$160,FALSE),2),"")</f>
        <v>secm:ses220</v>
      </c>
      <c r="F185" t="str">
        <f>IFERROR(INDEX('collectionMethodDistinct'!$A$2:$A$646,MATCH(A185,'collectionMethodDistinct'!$A$2:$A$646,FALSE),1),"")</f>
        <v>Coring&gt;TriggerWeightCorer</v>
      </c>
    </row>
    <row r="186" spans="1:6" x14ac:dyDescent="0.25">
      <c r="A186" s="5" t="s">
        <v>186</v>
      </c>
      <c r="B186" s="5" t="s">
        <v>892</v>
      </c>
      <c r="C186" s="5"/>
      <c r="D186" s="1">
        <f>IFERROR(INDEX([1]SamplingMethod!$A$2:$C$160,MATCH(B186,[1]SamplingMethod!$C$2:$C$160,FALSE),1),"")</f>
        <v>130</v>
      </c>
      <c r="E186" s="5" t="str">
        <f>IFERROR(INDEX([1]SamplingMethod!$A$2:$C$160,MATCH(B186,[1]SamplingMethod!$C$2:$C$160,FALSE),2),"")</f>
        <v>secm:sm031</v>
      </c>
      <c r="F186" t="str">
        <f>IFERROR(INDEX('collectionMethodDistinct'!$A$2:$A$646,MATCH(A186,'collectionMethodDistinct'!$A$2:$A$646,FALSE),1),"")</f>
        <v>Coring&gt;Vibracore</v>
      </c>
    </row>
    <row r="187" spans="1:6" x14ac:dyDescent="0.25">
      <c r="A187" s="5" t="s">
        <v>187</v>
      </c>
      <c r="B187" s="5" t="s">
        <v>892</v>
      </c>
      <c r="C187" s="5"/>
      <c r="D187" s="1">
        <f>IFERROR(INDEX([1]SamplingMethod!$A$2:$C$160,MATCH(B187,[1]SamplingMethod!$C$2:$C$160,FALSE),1),"")</f>
        <v>130</v>
      </c>
      <c r="E187" s="5" t="str">
        <f>IFERROR(INDEX([1]SamplingMethod!$A$2:$C$160,MATCH(B187,[1]SamplingMethod!$C$2:$C$160,FALSE),2),"")</f>
        <v>secm:sm031</v>
      </c>
      <c r="F187" t="str">
        <f>IFERROR(INDEX('collectionMethodDistinct'!$A$2:$A$646,MATCH(A187,'collectionMethodDistinct'!$A$2:$A$646,FALSE),1),"")</f>
        <v>Coring&gt;VibraCorer</v>
      </c>
    </row>
    <row r="188" spans="1:6" x14ac:dyDescent="0.25">
      <c r="A188" s="5" t="s">
        <v>188</v>
      </c>
      <c r="B188" s="5" t="s">
        <v>892</v>
      </c>
      <c r="C188" s="5"/>
      <c r="D188" s="1">
        <f>IFERROR(INDEX([1]SamplingMethod!$A$2:$C$160,MATCH(B188,[1]SamplingMethod!$C$2:$C$160,FALSE),1),"")</f>
        <v>130</v>
      </c>
      <c r="E188" s="5" t="str">
        <f>IFERROR(INDEX([1]SamplingMethod!$A$2:$C$160,MATCH(B188,[1]SamplingMethod!$C$2:$C$160,FALSE),2),"")</f>
        <v>secm:sm031</v>
      </c>
      <c r="F188" t="str">
        <f>IFERROR(INDEX('collectionMethodDistinct'!$A$2:$A$646,MATCH(A188,'collectionMethodDistinct'!$A$2:$A$646,FALSE),1),"")</f>
        <v>Coring&gt;VibratingCorer</v>
      </c>
    </row>
    <row r="189" spans="1:6" x14ac:dyDescent="0.25">
      <c r="A189" s="5" t="s">
        <v>189</v>
      </c>
      <c r="B189" s="5" t="s">
        <v>892</v>
      </c>
      <c r="C189" s="5"/>
      <c r="D189" s="1">
        <f>IFERROR(INDEX([1]SamplingMethod!$A$2:$C$160,MATCH(B189,[1]SamplingMethod!$C$2:$C$160,FALSE),1),"")</f>
        <v>130</v>
      </c>
      <c r="E189" s="5" t="str">
        <f>IFERROR(INDEX([1]SamplingMethod!$A$2:$C$160,MATCH(B189,[1]SamplingMethod!$C$2:$C$160,FALSE),2),"")</f>
        <v>secm:sm031</v>
      </c>
      <c r="F189" t="str">
        <f>IFERROR(INDEX('collectionMethodDistinct'!$A$2:$A$646,MATCH(A189,'collectionMethodDistinct'!$A$2:$A$646,FALSE),1),"")</f>
        <v>Coring&gt;VibratingCorer</v>
      </c>
    </row>
    <row r="190" spans="1:6" x14ac:dyDescent="0.25">
      <c r="A190" s="5" t="s">
        <v>190</v>
      </c>
      <c r="B190" s="5" t="s">
        <v>877</v>
      </c>
      <c r="C190" s="5"/>
      <c r="D190" s="1">
        <f>IFERROR(INDEX([1]SamplingMethod!$A$2:$C$160,MATCH(B190,[1]SamplingMethod!$C$2:$C$160,FALSE),1),"")</f>
        <v>155</v>
      </c>
      <c r="E190" s="5" t="str">
        <f>IFERROR(INDEX([1]SamplingMethod!$A$2:$C$160,MATCH(B190,[1]SamplingMethod!$C$2:$C$160,FALSE),2),"")</f>
        <v>secm:waxcoring</v>
      </c>
      <c r="F190" t="str">
        <f>IFERROR(INDEX('collectionMethodDistinct'!$A$2:$A$646,MATCH(A190,'collectionMethodDistinct'!$A$2:$A$646,FALSE),1),"")</f>
        <v>Coring&gt;WaxCorer</v>
      </c>
    </row>
    <row r="191" spans="1:6" x14ac:dyDescent="0.25">
      <c r="A191" s="5" t="s">
        <v>191</v>
      </c>
      <c r="B191" s="5" t="s">
        <v>900</v>
      </c>
      <c r="C191" s="5"/>
      <c r="D191" s="1">
        <f>IFERROR(INDEX([1]SamplingMethod!$A$2:$C$160,MATCH(B191,[1]SamplingMethod!$C$2:$C$160,FALSE),1),"")</f>
        <v>156</v>
      </c>
      <c r="E191" s="5" t="str">
        <f>IFERROR(INDEX([1]SamplingMethod!$A$2:$C$160,MATCH(B191,[1]SamplingMethod!$C$2:$C$160,FALSE),2),"")</f>
        <v>secm:ctd_sampler</v>
      </c>
      <c r="F191" t="str">
        <f>IFERROR(INDEX('collectionMethodDistinct'!$A$2:$A$646,MATCH(A191,'collectionMethodDistinct'!$A$2:$A$646,FALSE),1),"")</f>
        <v>CTD</v>
      </c>
    </row>
    <row r="192" spans="1:6" x14ac:dyDescent="0.25">
      <c r="A192" s="5" t="s">
        <v>192</v>
      </c>
      <c r="B192" s="5" t="s">
        <v>849</v>
      </c>
      <c r="C192" s="5"/>
      <c r="D192" s="1">
        <f>IFERROR(INDEX([1]SamplingMethod!$A$2:$C$160,MATCH(B192,[1]SamplingMethod!$C$2:$C$160,FALSE),1),"")</f>
        <v>144</v>
      </c>
      <c r="E192" s="5" t="str">
        <f>IFERROR(INDEX([1]SamplingMethod!$A$2:$C$160,MATCH(B192,[1]SamplingMethod!$C$2:$C$160,FALSE),2),"")</f>
        <v>secm:sm046</v>
      </c>
      <c r="F192" t="str">
        <f>IFERROR(INDEX('collectionMethodDistinct'!$A$2:$A$646,MATCH(A192,'collectionMethodDistinct'!$A$2:$A$646,FALSE),1),"")</f>
        <v>Cut and removed with spatula</v>
      </c>
    </row>
    <row r="193" spans="1:6" x14ac:dyDescent="0.25">
      <c r="A193" s="5" t="s">
        <v>193</v>
      </c>
      <c r="B193" s="5" t="s">
        <v>849</v>
      </c>
      <c r="C193" s="5"/>
      <c r="D193" s="1">
        <f>IFERROR(INDEX([1]SamplingMethod!$A$2:$C$160,MATCH(B193,[1]SamplingMethod!$C$2:$C$160,FALSE),1),"")</f>
        <v>144</v>
      </c>
      <c r="E193" s="5" t="str">
        <f>IFERROR(INDEX([1]SamplingMethod!$A$2:$C$160,MATCH(B193,[1]SamplingMethod!$C$2:$C$160,FALSE),2),"")</f>
        <v>secm:sm046</v>
      </c>
      <c r="F193" t="str">
        <f>IFERROR(INDEX('collectionMethodDistinct'!$A$2:$A$646,MATCH(A193,'collectionMethodDistinct'!$A$2:$A$646,FALSE),1),"")</f>
        <v>Cut from American Museum of Natural History Mineral Collection # 100242</v>
      </c>
    </row>
    <row r="194" spans="1:6" x14ac:dyDescent="0.25">
      <c r="A194" s="5" t="s">
        <v>193</v>
      </c>
      <c r="B194" s="5" t="s">
        <v>849</v>
      </c>
      <c r="C194" s="5"/>
      <c r="D194" s="1">
        <f>IFERROR(INDEX([1]SamplingMethod!$A$2:$C$160,MATCH(B194,[1]SamplingMethod!$C$2:$C$160,FALSE),1),"")</f>
        <v>144</v>
      </c>
      <c r="E194" s="5" t="str">
        <f>IFERROR(INDEX([1]SamplingMethod!$A$2:$C$160,MATCH(B194,[1]SamplingMethod!$C$2:$C$160,FALSE),2),"")</f>
        <v>secm:sm046</v>
      </c>
      <c r="F194" t="str">
        <f>IFERROR(INDEX('collectionMethodDistinct'!$A$2:$A$646,MATCH(A194,'collectionMethodDistinct'!$A$2:$A$646,FALSE),1),"")</f>
        <v>Cut from American Museum of Natural History Mineral Collection # 100242</v>
      </c>
    </row>
    <row r="195" spans="1:6" x14ac:dyDescent="0.25">
      <c r="A195" s="5" t="s">
        <v>194</v>
      </c>
      <c r="B195" s="5" t="s">
        <v>902</v>
      </c>
      <c r="C195" s="5"/>
      <c r="D195" s="1">
        <f>IFERROR(INDEX([1]SamplingMethod!$A$2:$C$160,MATCH(B195,[1]SamplingMethod!$C$2:$C$160,FALSE),1),"")</f>
        <v>157</v>
      </c>
      <c r="E195" s="5"/>
      <c r="F195" t="str">
        <f>IFERROR(INDEX('collectionMethodDistinct'!$A$2:$A$646,MATCH(A195,'collectionMethodDistinct'!$A$2:$A$646,FALSE),1),"")</f>
        <v>David's collection \ testing escapable chars."</v>
      </c>
    </row>
    <row r="196" spans="1:6" x14ac:dyDescent="0.25">
      <c r="A196" s="5" t="s">
        <v>195</v>
      </c>
      <c r="B196" s="5" t="s">
        <v>845</v>
      </c>
      <c r="C196" s="5"/>
      <c r="D196" s="1">
        <f>IFERROR(INDEX([1]SamplingMethod!$A$2:$C$160,MATCH(B196,[1]SamplingMethod!$C$2:$C$160,FALSE),1),"")</f>
        <v>26</v>
      </c>
      <c r="E196" s="5" t="str">
        <f>IFERROR(INDEX([1]SamplingMethod!$A$2:$C$160,MATCH(B196,[1]SamplingMethod!$C$2:$C$160,FALSE),2),"")</f>
        <v>secm:core_drilling_unspecified</v>
      </c>
      <c r="F196" t="str">
        <f>IFERROR(INDEX('collectionMethodDistinct'!$A$2:$A$646,MATCH(A196,'collectionMethodDistinct'!$A$2:$A$646,FALSE),1),"")</f>
        <v>Deep ice core</v>
      </c>
    </row>
    <row r="197" spans="1:6" x14ac:dyDescent="0.25">
      <c r="A197" s="5" t="s">
        <v>196</v>
      </c>
      <c r="B197" s="5" t="s">
        <v>839</v>
      </c>
      <c r="C197" s="5"/>
      <c r="D197" s="1">
        <f>IFERROR(INDEX([1]SamplingMethod!$A$2:$C$160,MATCH(B197,[1]SamplingMethod!$C$2:$C$160,FALSE),1),"")</f>
        <v>128</v>
      </c>
      <c r="E197" s="5" t="str">
        <f>IFERROR(INDEX([1]SamplingMethod!$A$2:$C$160,MATCH(B197,[1]SamplingMethod!$C$2:$C$160,FALSE),2),"")</f>
        <v>secm:sm029</v>
      </c>
      <c r="F197" t="str">
        <f>IFERROR(INDEX('collectionMethodDistinct'!$A$2:$A$646,MATCH(A197,'collectionMethodDistinct'!$A$2:$A$646,FALSE),1),"")</f>
        <v>DEEP LAKE DRILLING SYSTEM using Hydraulic Piston Corer (HPC), Extended shoe, non-rotating (EXN), Extended core bit, rotating (XCB)</v>
      </c>
    </row>
    <row r="198" spans="1:6" x14ac:dyDescent="0.25">
      <c r="A198" s="5" t="s">
        <v>197</v>
      </c>
      <c r="B198" s="5" t="s">
        <v>82</v>
      </c>
      <c r="C198" s="5"/>
      <c r="D198" s="1">
        <f>IFERROR(INDEX([1]SamplingMethod!$A$2:$C$160,MATCH(B198,[1]SamplingMethod!$C$2:$C$160,FALSE),1),"")</f>
        <v>140</v>
      </c>
      <c r="E198" s="5" t="str">
        <f>IFERROR(INDEX([1]SamplingMethod!$A$2:$C$160,MATCH(B198,[1]SamplingMethod!$C$2:$C$160,FALSE),2),"")</f>
        <v>secm:sm041</v>
      </c>
      <c r="F198" t="str">
        <f>IFERROR(INDEX('collectionMethodDistinct'!$A$2:$A$646,MATCH(A198,'collectionMethodDistinct'!$A$2:$A$646,FALSE),1),"")</f>
        <v>Density Coreing Device</v>
      </c>
    </row>
    <row r="199" spans="1:6" x14ac:dyDescent="0.25">
      <c r="A199" s="5" t="s">
        <v>198</v>
      </c>
      <c r="B199" s="5" t="s">
        <v>858</v>
      </c>
      <c r="C199" s="5"/>
      <c r="D199" s="1">
        <f>IFERROR(INDEX([1]SamplingMethod!$A$2:$C$160,MATCH(B199,[1]SamplingMethod!$C$2:$C$160,FALSE),1),"")</f>
        <v>151</v>
      </c>
      <c r="E199" s="5" t="str">
        <f>IFERROR(INDEX([1]SamplingMethod!$A$2:$C$160,MATCH(B199,[1]SamplingMethod!$C$2:$C$160,FALSE),2),"")</f>
        <v>secm:unknown</v>
      </c>
      <c r="F199" t="str">
        <f>IFERROR(INDEX('collectionMethodDistinct'!$A$2:$A$646,MATCH(A199,'collectionMethodDistinct'!$A$2:$A$646,FALSE),1),"")</f>
        <v>Depth-integrated</v>
      </c>
    </row>
    <row r="200" spans="1:6" x14ac:dyDescent="0.25">
      <c r="A200" s="5" t="s">
        <v>199</v>
      </c>
      <c r="B200" s="5" t="s">
        <v>850</v>
      </c>
      <c r="C200" s="5"/>
      <c r="D200" s="1">
        <f>IFERROR(INDEX([1]SamplingMethod!$A$2:$C$160,MATCH(B200,[1]SamplingMethod!$C$2:$C$160,FALSE),1),"")</f>
        <v>25</v>
      </c>
      <c r="E200" s="5" t="str">
        <f>IFERROR(INDEX([1]SamplingMethod!$A$2:$C$160,MATCH(B200,[1]SamplingMethod!$C$2:$C$160,FALSE),2),"")</f>
        <v>secm:core_diamond</v>
      </c>
      <c r="F200" t="str">
        <f>IFERROR(INDEX('collectionMethodDistinct'!$A$2:$A$646,MATCH(A200,'collectionMethodDistinct'!$A$2:$A$646,FALSE),1),"")</f>
        <v>diamond bit wireline coring</v>
      </c>
    </row>
    <row r="201" spans="1:6" x14ac:dyDescent="0.25">
      <c r="A201" s="5" t="s">
        <v>200</v>
      </c>
      <c r="B201" s="5" t="s">
        <v>752</v>
      </c>
      <c r="C201" s="5"/>
      <c r="D201" s="1">
        <f>IFERROR(INDEX([1]SamplingMethod!$A$2:$C$160,MATCH(B201,[1]SamplingMethod!$C$2:$C$160,FALSE),1),"")</f>
        <v>145</v>
      </c>
      <c r="E201" s="5" t="str">
        <f>IFERROR(INDEX([1]SamplingMethod!$A$2:$C$160,MATCH(B201,[1]SamplingMethod!$C$2:$C$160,FALSE),2),"")</f>
        <v>secm:sm047</v>
      </c>
      <c r="F201" t="str">
        <f>IFERROR(INDEX('collectionMethodDistinct'!$A$2:$A$646,MATCH(A201,'collectionMethodDistinct'!$A$2:$A$646,FALSE),1),"")</f>
        <v>Dietz grab</v>
      </c>
    </row>
    <row r="202" spans="1:6" x14ac:dyDescent="0.25">
      <c r="A202" s="5" t="s">
        <v>201</v>
      </c>
      <c r="B202" s="5" t="s">
        <v>520</v>
      </c>
      <c r="C202" s="5"/>
      <c r="D202" s="1">
        <f>IFERROR(INDEX([1]SamplingMethod!$A$2:$C$160,MATCH(B202,[1]SamplingMethod!$C$2:$C$160,FALSE),1),"")</f>
        <v>91</v>
      </c>
      <c r="E202" s="5" t="str">
        <f>IFERROR(INDEX([1]SamplingMethod!$A$2:$C$160,MATCH(B202,[1]SamplingMethod!$C$2:$C$160,FALSE),2),"")</f>
        <v>secm:ses230</v>
      </c>
      <c r="F202" t="str">
        <f>IFERROR(INDEX('collectionMethodDistinct'!$A$2:$A$646,MATCH(A202,'collectionMethodDistinct'!$A$2:$A$646,FALSE),1),"")</f>
        <v xml:space="preserve">dig from pit </v>
      </c>
    </row>
    <row r="203" spans="1:6" x14ac:dyDescent="0.25">
      <c r="A203" s="5" t="s">
        <v>202</v>
      </c>
      <c r="B203" s="5" t="s">
        <v>219</v>
      </c>
      <c r="C203" s="5"/>
      <c r="D203" s="1">
        <f>IFERROR(INDEX([1]SamplingMethod!$A$2:$C$160,MATCH(B203,[1]SamplingMethod!$C$2:$C$160,FALSE),1),"")</f>
        <v>38</v>
      </c>
      <c r="E203" s="5" t="str">
        <f>IFERROR(INDEX([1]SamplingMethod!$A$2:$C$160,MATCH(B203,[1]SamplingMethod!$C$2:$C$160,FALSE),2),"")</f>
        <v>secm:drilling</v>
      </c>
      <c r="F203" t="str">
        <f>IFERROR(INDEX('collectionMethodDistinct'!$A$2:$A$646,MATCH(A203,'collectionMethodDistinct'!$A$2:$A$646,FALSE),1),"")</f>
        <v>Dilling</v>
      </c>
    </row>
    <row r="204" spans="1:6" x14ac:dyDescent="0.25">
      <c r="A204" t="s">
        <v>953</v>
      </c>
      <c r="B204" s="5" t="s">
        <v>693</v>
      </c>
      <c r="D204" s="1">
        <f>IFERROR(INDEX([1]SamplingMethod!$A$2:$C$160,MATCH(B204,[1]SamplingMethod!$C$2:$C$160,FALSE),1),"")</f>
        <v>115</v>
      </c>
      <c r="E204" s="5" t="str">
        <f>IFERROR(INDEX([1]SamplingMethod!$A$2:$C$160,MATCH(B204,[1]SamplingMethod!$C$2:$C$160,FALSE),2),"")</f>
        <v>secm:sm016</v>
      </c>
      <c r="F204" t="str">
        <f>IFERROR(INDEX('collectionMethodDistinct'!$A$2:$A$646,MATCH(A204,'collectionMethodDistinct'!$A$2:$A$646,FALSE),1),"")</f>
        <v>direct from outcrop</v>
      </c>
    </row>
    <row r="205" spans="1:6" x14ac:dyDescent="0.25">
      <c r="A205" s="5" t="s">
        <v>203</v>
      </c>
      <c r="B205" s="5" t="s">
        <v>851</v>
      </c>
      <c r="C205" s="5"/>
      <c r="D205" s="1">
        <f>IFERROR(INDEX([1]SamplingMethod!$A$2:$C$160,MATCH(B205,[1]SamplingMethod!$C$2:$C$160,FALSE),1),"")</f>
        <v>148</v>
      </c>
      <c r="E205" s="5" t="str">
        <f>IFERROR(INDEX([1]SamplingMethod!$A$2:$C$160,MATCH(B205,[1]SamplingMethod!$C$2:$C$160,FALSE),2),"")</f>
        <v>secm:surface_material_sampling</v>
      </c>
      <c r="F205" t="str">
        <f>IFERROR(INDEX('collectionMethodDistinct'!$A$2:$A$646,MATCH(A205,'collectionMethodDistinct'!$A$2:$A$646,FALSE),1),"")</f>
        <v>Direct from tephra deposit</v>
      </c>
    </row>
    <row r="206" spans="1:6" x14ac:dyDescent="0.25">
      <c r="A206" s="5" t="s">
        <v>204</v>
      </c>
      <c r="B206" s="5" t="s">
        <v>219</v>
      </c>
      <c r="C206" s="5"/>
      <c r="D206" s="1">
        <f>IFERROR(INDEX([1]SamplingMethod!$A$2:$C$160,MATCH(B206,[1]SamplingMethod!$C$2:$C$160,FALSE),1),"")</f>
        <v>38</v>
      </c>
      <c r="E206" s="5" t="str">
        <f>IFERROR(INDEX([1]SamplingMethod!$A$2:$C$160,MATCH(B206,[1]SamplingMethod!$C$2:$C$160,FALSE),2),"")</f>
        <v>secm:drilling</v>
      </c>
      <c r="F206" t="str">
        <f>IFERROR(INDEX('collectionMethodDistinct'!$A$2:$A$646,MATCH(A206,'collectionMethodDistinct'!$A$2:$A$646,FALSE),1),"")</f>
        <v>Direct push drill</v>
      </c>
    </row>
    <row r="207" spans="1:6" x14ac:dyDescent="0.25">
      <c r="A207" s="5" t="s">
        <v>205</v>
      </c>
      <c r="B207" s="5" t="s">
        <v>876</v>
      </c>
      <c r="C207" s="5"/>
      <c r="D207" s="1">
        <f>IFERROR(INDEX([1]SamplingMethod!$A$2:$C$160,MATCH(B207,[1]SamplingMethod!$C$2:$C$160,FALSE),1),"")</f>
        <v>132</v>
      </c>
      <c r="E207" s="5" t="str">
        <f>IFERROR(INDEX([1]SamplingMethod!$A$2:$C$160,MATCH(B207,[1]SamplingMethod!$C$2:$C$160,FALSE),2),"")</f>
        <v>secm:sm033</v>
      </c>
      <c r="F207" t="str">
        <f>IFERROR(INDEX('collectionMethodDistinct'!$A$2:$A$646,MATCH(A207,'collectionMethodDistinct'!$A$2:$A$646,FALSE),1),"")</f>
        <v>dredge</v>
      </c>
    </row>
    <row r="208" spans="1:6" x14ac:dyDescent="0.25">
      <c r="A208" s="5" t="s">
        <v>206</v>
      </c>
      <c r="B208" s="5" t="s">
        <v>876</v>
      </c>
      <c r="C208" s="5"/>
      <c r="D208" s="1">
        <f>IFERROR(INDEX([1]SamplingMethod!$A$2:$C$160,MATCH(B208,[1]SamplingMethod!$C$2:$C$160,FALSE),1),"")</f>
        <v>132</v>
      </c>
      <c r="E208" s="5" t="str">
        <f>IFERROR(INDEX([1]SamplingMethod!$A$2:$C$160,MATCH(B208,[1]SamplingMethod!$C$2:$C$160,FALSE),2),"")</f>
        <v>secm:sm033</v>
      </c>
      <c r="F208" t="str">
        <f>IFERROR(INDEX('collectionMethodDistinct'!$A$2:$A$646,MATCH(A208,'collectionMethodDistinct'!$A$2:$A$646,FALSE),1),"")</f>
        <v>dredge</v>
      </c>
    </row>
    <row r="209" spans="1:6" x14ac:dyDescent="0.25">
      <c r="A209" t="s">
        <v>952</v>
      </c>
      <c r="B209" s="5" t="s">
        <v>876</v>
      </c>
      <c r="C209" s="5"/>
      <c r="D209" s="1">
        <f>IFERROR(INDEX([1]SamplingMethod!$A$2:$C$160,MATCH(B209,[1]SamplingMethod!$C$2:$C$160,FALSE),1),"")</f>
        <v>132</v>
      </c>
      <c r="E209" s="5" t="str">
        <f>IFERROR(INDEX([1]SamplingMethod!$A$2:$C$160,MATCH(B209,[1]SamplingMethod!$C$2:$C$160,FALSE),2),"")</f>
        <v>secm:sm033</v>
      </c>
      <c r="F209" t="str">
        <f>IFERROR(INDEX('collectionMethodDistinct'!$A$2:$A$646,MATCH(A209,'collectionMethodDistinct'!$A$2:$A$646,FALSE),1),"")</f>
        <v>Dredge/MAPR</v>
      </c>
    </row>
    <row r="210" spans="1:6" x14ac:dyDescent="0.25">
      <c r="A210" s="5" t="s">
        <v>207</v>
      </c>
      <c r="B210" s="5" t="s">
        <v>876</v>
      </c>
      <c r="C210" s="5"/>
      <c r="D210" s="1">
        <f>IFERROR(INDEX([1]SamplingMethod!$A$2:$C$160,MATCH(B210,[1]SamplingMethod!$C$2:$C$160,FALSE),1),"")</f>
        <v>132</v>
      </c>
      <c r="E210" s="5" t="str">
        <f>IFERROR(INDEX([1]SamplingMethod!$A$2:$C$160,MATCH(B210,[1]SamplingMethod!$C$2:$C$160,FALSE),2),"")</f>
        <v>secm:sm033</v>
      </c>
      <c r="F210" t="str">
        <f>IFERROR(INDEX('collectionMethodDistinct'!$A$2:$A$646,MATCH(A210,'collectionMethodDistinct'!$A$2:$A$646,FALSE),1),"")</f>
        <v>dredging</v>
      </c>
    </row>
    <row r="211" spans="1:6" x14ac:dyDescent="0.25">
      <c r="A211" s="5" t="s">
        <v>21</v>
      </c>
      <c r="B211" s="5" t="s">
        <v>876</v>
      </c>
      <c r="C211" s="5"/>
      <c r="D211" s="1">
        <f>IFERROR(INDEX([1]SamplingMethod!$A$2:$C$160,MATCH(B211,[1]SamplingMethod!$C$2:$C$160,FALSE),1),"")</f>
        <v>132</v>
      </c>
      <c r="E211" s="5" t="str">
        <f>IFERROR(INDEX([1]SamplingMethod!$A$2:$C$160,MATCH(B211,[1]SamplingMethod!$C$2:$C$160,FALSE),2),"")</f>
        <v>secm:sm033</v>
      </c>
      <c r="F211" t="str">
        <f>IFERROR(INDEX('collectionMethodDistinct'!$A$2:$A$646,MATCH(A211,'collectionMethodDistinct'!$A$2:$A$646,FALSE),1),"")</f>
        <v>dredging</v>
      </c>
    </row>
    <row r="212" spans="1:6" x14ac:dyDescent="0.25">
      <c r="A212" s="5" t="s">
        <v>208</v>
      </c>
      <c r="B212" s="5" t="s">
        <v>876</v>
      </c>
      <c r="C212" s="5"/>
      <c r="D212" s="1">
        <f>IFERROR(INDEX([1]SamplingMethod!$A$2:$C$160,MATCH(B212,[1]SamplingMethod!$C$2:$C$160,FALSE),1),"")</f>
        <v>132</v>
      </c>
      <c r="E212" s="5" t="str">
        <f>IFERROR(INDEX([1]SamplingMethod!$A$2:$C$160,MATCH(B212,[1]SamplingMethod!$C$2:$C$160,FALSE),2),"")</f>
        <v>secm:sm033</v>
      </c>
      <c r="F212" t="str">
        <f>IFERROR(INDEX('collectionMethodDistinct'!$A$2:$A$646,MATCH(A212,'collectionMethodDistinct'!$A$2:$A$646,FALSE),1),"")</f>
        <v>Dredging; Manual</v>
      </c>
    </row>
    <row r="213" spans="1:6" x14ac:dyDescent="0.25">
      <c r="A213" s="5" t="s">
        <v>209</v>
      </c>
      <c r="B213" s="5" t="s">
        <v>869</v>
      </c>
      <c r="C213" s="5"/>
      <c r="D213" s="1">
        <f>IFERROR(INDEX([1]SamplingMethod!$A$2:$C$160,MATCH(B213,[1]SamplingMethod!$C$2:$C$160,FALSE),1),"")</f>
        <v>104</v>
      </c>
      <c r="E213" s="5" t="str">
        <f>IFERROR(INDEX([1]SamplingMethod!$A$2:$C$160,MATCH(B213,[1]SamplingMethod!$C$2:$C$160,FALSE),2),"")</f>
        <v>secm:sm006</v>
      </c>
      <c r="F213" t="str">
        <f>IFERROR(INDEX('collectionMethodDistinct'!$A$2:$A$646,MATCH(A213,'collectionMethodDistinct'!$A$2:$A$646,FALSE),1),"")</f>
        <v>Dredging&gt;Chain Bag</v>
      </c>
    </row>
    <row r="214" spans="1:6" x14ac:dyDescent="0.25">
      <c r="A214" s="5" t="s">
        <v>210</v>
      </c>
      <c r="B214" s="5" t="s">
        <v>869</v>
      </c>
      <c r="C214" s="5"/>
      <c r="D214" s="1">
        <f>IFERROR(INDEX([1]SamplingMethod!$A$2:$C$160,MATCH(B214,[1]SamplingMethod!$C$2:$C$160,FALSE),1),"")</f>
        <v>104</v>
      </c>
      <c r="E214" s="5" t="str">
        <f>IFERROR(INDEX([1]SamplingMethod!$A$2:$C$160,MATCH(B214,[1]SamplingMethod!$C$2:$C$160,FALSE),2),"")</f>
        <v>secm:sm006</v>
      </c>
      <c r="F214" t="str">
        <f>IFERROR(INDEX('collectionMethodDistinct'!$A$2:$A$646,MATCH(A214,'collectionMethodDistinct'!$A$2:$A$646,FALSE),1),"")</f>
        <v>Dredging&gt;ChainBagDredge</v>
      </c>
    </row>
    <row r="215" spans="1:6" x14ac:dyDescent="0.25">
      <c r="A215" s="5" t="s">
        <v>211</v>
      </c>
      <c r="B215" s="5" t="s">
        <v>876</v>
      </c>
      <c r="C215" s="5"/>
      <c r="D215" s="1">
        <f>IFERROR(INDEX([1]SamplingMethod!$A$2:$C$160,MATCH(B215,[1]SamplingMethod!$C$2:$C$160,FALSE),1),"")</f>
        <v>132</v>
      </c>
      <c r="E215" s="5" t="str">
        <f>IFERROR(INDEX([1]SamplingMethod!$A$2:$C$160,MATCH(B215,[1]SamplingMethod!$C$2:$C$160,FALSE),2),"")</f>
        <v>secm:sm033</v>
      </c>
      <c r="F215" t="str">
        <f>IFERROR(INDEX('collectionMethodDistinct'!$A$2:$A$646,MATCH(A215,'collectionMethodDistinct'!$A$2:$A$646,FALSE),1),"")</f>
        <v>dregde</v>
      </c>
    </row>
    <row r="216" spans="1:6" x14ac:dyDescent="0.25">
      <c r="A216" s="5" t="s">
        <v>212</v>
      </c>
      <c r="B216" s="5" t="s">
        <v>219</v>
      </c>
      <c r="C216" s="5"/>
      <c r="D216" s="1">
        <f>IFERROR(INDEX([1]SamplingMethod!$A$2:$C$160,MATCH(B216,[1]SamplingMethod!$C$2:$C$160,FALSE),1),"")</f>
        <v>38</v>
      </c>
      <c r="E216" s="5" t="str">
        <f>IFERROR(INDEX([1]SamplingMethod!$A$2:$C$160,MATCH(B216,[1]SamplingMethod!$C$2:$C$160,FALSE),2),"")</f>
        <v>secm:drilling</v>
      </c>
      <c r="F216" t="str">
        <f>IFERROR(INDEX('collectionMethodDistinct'!$A$2:$A$646,MATCH(A216,'collectionMethodDistinct'!$A$2:$A$646,FALSE),1),"")</f>
        <v>Drill</v>
      </c>
    </row>
    <row r="217" spans="1:6" x14ac:dyDescent="0.25">
      <c r="A217" s="5" t="s">
        <v>213</v>
      </c>
      <c r="B217" s="5" t="s">
        <v>845</v>
      </c>
      <c r="C217" s="5"/>
      <c r="D217" s="1">
        <f>IFERROR(INDEX([1]SamplingMethod!$A$2:$C$160,MATCH(B217,[1]SamplingMethod!$C$2:$C$160,FALSE),1),"")</f>
        <v>26</v>
      </c>
      <c r="E217" s="5" t="str">
        <f>IFERROR(INDEX([1]SamplingMethod!$A$2:$C$160,MATCH(B217,[1]SamplingMethod!$C$2:$C$160,FALSE),2),"")</f>
        <v>secm:core_drilling_unspecified</v>
      </c>
      <c r="F217" t="str">
        <f>IFERROR(INDEX('collectionMethodDistinct'!$A$2:$A$646,MATCH(A217,'collectionMethodDistinct'!$A$2:$A$646,FALSE),1),"")</f>
        <v>drill core</v>
      </c>
    </row>
    <row r="218" spans="1:6" x14ac:dyDescent="0.25">
      <c r="A218" s="5" t="s">
        <v>214</v>
      </c>
      <c r="B218" s="5" t="s">
        <v>845</v>
      </c>
      <c r="C218" s="5"/>
      <c r="D218" s="1">
        <f>IFERROR(INDEX([1]SamplingMethod!$A$2:$C$160,MATCH(B218,[1]SamplingMethod!$C$2:$C$160,FALSE),1),"")</f>
        <v>26</v>
      </c>
      <c r="E218" s="5" t="str">
        <f>IFERROR(INDEX([1]SamplingMethod!$A$2:$C$160,MATCH(B218,[1]SamplingMethod!$C$2:$C$160,FALSE),2),"")</f>
        <v>secm:core_drilling_unspecified</v>
      </c>
      <c r="F218" t="str">
        <f>IFERROR(INDEX('collectionMethodDistinct'!$A$2:$A$646,MATCH(A218,'collectionMethodDistinct'!$A$2:$A$646,FALSE),1),"")</f>
        <v>drill core</v>
      </c>
    </row>
    <row r="219" spans="1:6" x14ac:dyDescent="0.25">
      <c r="A219" s="5" t="s">
        <v>215</v>
      </c>
      <c r="B219" s="5" t="s">
        <v>845</v>
      </c>
      <c r="C219" s="5"/>
      <c r="D219" s="1">
        <f>IFERROR(INDEX([1]SamplingMethod!$A$2:$C$160,MATCH(B219,[1]SamplingMethod!$C$2:$C$160,FALSE),1),"")</f>
        <v>26</v>
      </c>
      <c r="E219" s="5" t="str">
        <f>IFERROR(INDEX([1]SamplingMethod!$A$2:$C$160,MATCH(B219,[1]SamplingMethod!$C$2:$C$160,FALSE),2),"")</f>
        <v>secm:core_drilling_unspecified</v>
      </c>
      <c r="F219" t="str">
        <f>IFERROR(INDEX('collectionMethodDistinct'!$A$2:$A$646,MATCH(A219,'collectionMethodDistinct'!$A$2:$A$646,FALSE),1),"")</f>
        <v>drill core</v>
      </c>
    </row>
    <row r="220" spans="1:6" x14ac:dyDescent="0.25">
      <c r="A220" t="s">
        <v>951</v>
      </c>
      <c r="B220" s="5" t="s">
        <v>845</v>
      </c>
      <c r="C220" s="5"/>
      <c r="D220" s="1">
        <f>IFERROR(INDEX([1]SamplingMethod!$A$2:$C$160,MATCH(B220,[1]SamplingMethod!$C$2:$C$160,FALSE),1),"")</f>
        <v>26</v>
      </c>
      <c r="E220" s="5" t="str">
        <f>IFERROR(INDEX([1]SamplingMethod!$A$2:$C$160,MATCH(B220,[1]SamplingMethod!$C$2:$C$160,FALSE),2),"")</f>
        <v>secm:core_drilling_unspecified</v>
      </c>
      <c r="F220" t="str">
        <f>IFERROR(INDEX('collectionMethodDistinct'!$A$2:$A$646,MATCH(A220,'collectionMethodDistinct'!$A$2:$A$646,FALSE),1),"")</f>
        <v>drill core paleomag</v>
      </c>
    </row>
    <row r="221" spans="1:6" x14ac:dyDescent="0.25">
      <c r="A221" s="5" t="s">
        <v>216</v>
      </c>
      <c r="B221" s="5" t="s">
        <v>845</v>
      </c>
      <c r="C221" s="5"/>
      <c r="D221" s="1">
        <f>IFERROR(INDEX([1]SamplingMethod!$A$2:$C$160,MATCH(B221,[1]SamplingMethod!$C$2:$C$160,FALSE),1),"")</f>
        <v>26</v>
      </c>
      <c r="E221" s="5" t="str">
        <f>IFERROR(INDEX([1]SamplingMethod!$A$2:$C$160,MATCH(B221,[1]SamplingMethod!$C$2:$C$160,FALSE),2),"")</f>
        <v>secm:core_drilling_unspecified</v>
      </c>
      <c r="F221" t="str">
        <f>IFERROR(INDEX('collectionMethodDistinct'!$A$2:$A$646,MATCH(A221,'collectionMethodDistinct'!$A$2:$A$646,FALSE),1),"")</f>
        <v>drill corer</v>
      </c>
    </row>
    <row r="222" spans="1:6" x14ac:dyDescent="0.25">
      <c r="A222" s="5" t="s">
        <v>217</v>
      </c>
      <c r="B222" s="5" t="s">
        <v>845</v>
      </c>
      <c r="C222" s="5"/>
      <c r="D222" s="1">
        <f>IFERROR(INDEX([1]SamplingMethod!$A$2:$C$160,MATCH(B222,[1]SamplingMethod!$C$2:$C$160,FALSE),1),"")</f>
        <v>26</v>
      </c>
      <c r="E222" s="5" t="str">
        <f>IFERROR(INDEX([1]SamplingMethod!$A$2:$C$160,MATCH(B222,[1]SamplingMethod!$C$2:$C$160,FALSE),2),"")</f>
        <v>secm:core_drilling_unspecified</v>
      </c>
      <c r="F222" t="str">
        <f>IFERROR(INDEX('collectionMethodDistinct'!$A$2:$A$646,MATCH(A222,'collectionMethodDistinct'!$A$2:$A$646,FALSE),1),"")</f>
        <v>drill coring</v>
      </c>
    </row>
    <row r="223" spans="1:6" x14ac:dyDescent="0.25">
      <c r="A223" s="5" t="s">
        <v>218</v>
      </c>
      <c r="B223" s="5" t="s">
        <v>219</v>
      </c>
      <c r="C223" s="5"/>
      <c r="D223" s="1">
        <f>IFERROR(INDEX([1]SamplingMethod!$A$2:$C$160,MATCH(B223,[1]SamplingMethod!$C$2:$C$160,FALSE),1),"")</f>
        <v>38</v>
      </c>
      <c r="E223" s="5" t="str">
        <f>IFERROR(INDEX([1]SamplingMethod!$A$2:$C$160,MATCH(B223,[1]SamplingMethod!$C$2:$C$160,FALSE),2),"")</f>
        <v>secm:drilling</v>
      </c>
      <c r="F223" t="str">
        <f>IFERROR(INDEX('collectionMethodDistinct'!$A$2:$A$646,MATCH(A223,'collectionMethodDistinct'!$A$2:$A$646,FALSE),1),"")</f>
        <v>drilling</v>
      </c>
    </row>
    <row r="224" spans="1:6" x14ac:dyDescent="0.25">
      <c r="A224" s="5" t="s">
        <v>219</v>
      </c>
      <c r="B224" s="5" t="s">
        <v>219</v>
      </c>
      <c r="C224" s="5"/>
      <c r="D224" s="1">
        <f>IFERROR(INDEX([1]SamplingMethod!$A$2:$C$160,MATCH(B224,[1]SamplingMethod!$C$2:$C$160,FALSE),1),"")</f>
        <v>38</v>
      </c>
      <c r="E224" s="5" t="str">
        <f>IFERROR(INDEX([1]SamplingMethod!$A$2:$C$160,MATCH(B224,[1]SamplingMethod!$C$2:$C$160,FALSE),2),"")</f>
        <v>secm:drilling</v>
      </c>
      <c r="F224" t="str">
        <f>IFERROR(INDEX('collectionMethodDistinct'!$A$2:$A$646,MATCH(A224,'collectionMethodDistinct'!$A$2:$A$646,FALSE),1),"")</f>
        <v>drilling</v>
      </c>
    </row>
    <row r="225" spans="1:6" x14ac:dyDescent="0.25">
      <c r="A225" s="5" t="s">
        <v>220</v>
      </c>
      <c r="B225" s="5" t="s">
        <v>845</v>
      </c>
      <c r="C225" s="5"/>
      <c r="D225" s="1">
        <f>IFERROR(INDEX([1]SamplingMethod!$A$2:$C$160,MATCH(B225,[1]SamplingMethod!$C$2:$C$160,FALSE),1),"")</f>
        <v>26</v>
      </c>
      <c r="E225" s="5" t="str">
        <f>IFERROR(INDEX([1]SamplingMethod!$A$2:$C$160,MATCH(B225,[1]SamplingMethod!$C$2:$C$160,FALSE),2),"")</f>
        <v>secm:core_drilling_unspecified</v>
      </c>
      <c r="F225" t="str">
        <f>IFERROR(INDEX('collectionMethodDistinct'!$A$2:$A$646,MATCH(A225,'collectionMethodDistinct'!$A$2:$A$646,FALSE),1),"")</f>
        <v>Drilling - Extended Core Barrel</v>
      </c>
    </row>
    <row r="226" spans="1:6" x14ac:dyDescent="0.25">
      <c r="A226" s="5" t="s">
        <v>221</v>
      </c>
      <c r="B226" s="5" t="s">
        <v>852</v>
      </c>
      <c r="C226" s="5"/>
      <c r="D226" s="1">
        <f>IFERROR(INDEX([1]SamplingMethod!$A$2:$C$160,MATCH(B226,[1]SamplingMethod!$C$2:$C$160,FALSE),1),"")</f>
        <v>54</v>
      </c>
      <c r="E226" s="5" t="str">
        <f>IFERROR(INDEX([1]SamplingMethod!$A$2:$C$160,MATCH(B226,[1]SamplingMethod!$C$2:$C$160,FALSE),2),"")</f>
        <v>secm:percussion_drilling</v>
      </c>
      <c r="F226" t="str">
        <f>IFERROR(INDEX('collectionMethodDistinct'!$A$2:$A$646,MATCH(A226,'collectionMethodDistinct'!$A$2:$A$646,FALSE),1),"")</f>
        <v>drilling, hammer</v>
      </c>
    </row>
    <row r="227" spans="1:6" x14ac:dyDescent="0.25">
      <c r="A227" s="5" t="s">
        <v>222</v>
      </c>
      <c r="B227" s="5" t="s">
        <v>845</v>
      </c>
      <c r="C227" s="5" t="s">
        <v>849</v>
      </c>
      <c r="D227" s="1">
        <f>IFERROR(INDEX([1]SamplingMethod!$A$2:$C$160,MATCH(B227,[1]SamplingMethod!$C$2:$C$160,FALSE),1),"")</f>
        <v>26</v>
      </c>
      <c r="E227" s="5" t="str">
        <f>IFERROR(INDEX([1]SamplingMethod!$A$2:$C$160,MATCH(B227,[1]SamplingMethod!$C$2:$C$160,FALSE),2),"")</f>
        <v>secm:core_drilling_unspecified</v>
      </c>
      <c r="F227" t="str">
        <f>IFERROR(INDEX('collectionMethodDistinct'!$A$2:$A$646,MATCH(A227,'collectionMethodDistinct'!$A$2:$A$646,FALSE),1),"")</f>
        <v>drilling, saw</v>
      </c>
    </row>
    <row r="228" spans="1:6" x14ac:dyDescent="0.25">
      <c r="A228" s="5" t="s">
        <v>223</v>
      </c>
      <c r="B228" s="5" t="s">
        <v>219</v>
      </c>
      <c r="C228" s="5" t="s">
        <v>849</v>
      </c>
      <c r="D228" s="1">
        <f>IFERROR(INDEX([1]SamplingMethod!$A$2:$C$160,MATCH(B228,[1]SamplingMethod!$C$2:$C$160,FALSE),1),"")</f>
        <v>38</v>
      </c>
      <c r="E228" s="5" t="str">
        <f>IFERROR(INDEX([1]SamplingMethod!$A$2:$C$160,MATCH(B228,[1]SamplingMethod!$C$2:$C$160,FALSE),2),"")</f>
        <v>secm:drilling</v>
      </c>
      <c r="F228" t="str">
        <f>IFERROR(INDEX('collectionMethodDistinct'!$A$2:$A$646,MATCH(A228,'collectionMethodDistinct'!$A$2:$A$646,FALSE),1),"")</f>
        <v>drilling, spoon</v>
      </c>
    </row>
    <row r="229" spans="1:6" x14ac:dyDescent="0.25">
      <c r="A229" s="5" t="s">
        <v>224</v>
      </c>
      <c r="B229" s="5" t="s">
        <v>845</v>
      </c>
      <c r="C229" s="5"/>
      <c r="D229" s="1">
        <f>IFERROR(INDEX([1]SamplingMethod!$A$2:$C$160,MATCH(B229,[1]SamplingMethod!$C$2:$C$160,FALSE),1),"")</f>
        <v>26</v>
      </c>
      <c r="E229" s="5" t="str">
        <f>IFERROR(INDEX([1]SamplingMethod!$A$2:$C$160,MATCH(B229,[1]SamplingMethod!$C$2:$C$160,FALSE),2),"")</f>
        <v>secm:core_drilling_unspecified</v>
      </c>
      <c r="F229" t="str">
        <f>IFERROR(INDEX('collectionMethodDistinct'!$A$2:$A$646,MATCH(A229,'collectionMethodDistinct'!$A$2:$A$646,FALSE),1),"")</f>
        <v>Drilling-extended core barrel</v>
      </c>
    </row>
    <row r="230" spans="1:6" x14ac:dyDescent="0.25">
      <c r="A230" s="5" t="s">
        <v>225</v>
      </c>
      <c r="B230" s="5" t="s">
        <v>219</v>
      </c>
      <c r="C230" s="5"/>
      <c r="D230" s="1">
        <f>IFERROR(INDEX([1]SamplingMethod!$A$2:$C$160,MATCH(B230,[1]SamplingMethod!$C$2:$C$160,FALSE),1),"")</f>
        <v>38</v>
      </c>
      <c r="E230" s="5" t="str">
        <f>IFERROR(INDEX([1]SamplingMethod!$A$2:$C$160,MATCH(B230,[1]SamplingMethod!$C$2:$C$160,FALSE),2),"")</f>
        <v>secm:drilling</v>
      </c>
      <c r="F230" t="str">
        <f>IFERROR(INDEX('collectionMethodDistinct'!$A$2:$A$646,MATCH(A230,'collectionMethodDistinct'!$A$2:$A$646,FALSE),1),"")</f>
        <v>Dry Drill</v>
      </c>
    </row>
    <row r="231" spans="1:6" x14ac:dyDescent="0.25">
      <c r="A231" s="5" t="s">
        <v>226</v>
      </c>
      <c r="B231" s="5" t="s">
        <v>219</v>
      </c>
      <c r="C231" s="5"/>
      <c r="D231" s="1">
        <f>IFERROR(INDEX([1]SamplingMethod!$A$2:$C$160,MATCH(B231,[1]SamplingMethod!$C$2:$C$160,FALSE),1),"")</f>
        <v>38</v>
      </c>
      <c r="E231" s="5" t="str">
        <f>IFERROR(INDEX([1]SamplingMethod!$A$2:$C$160,MATCH(B231,[1]SamplingMethod!$C$2:$C$160,FALSE),2),"")</f>
        <v>secm:drilling</v>
      </c>
      <c r="F231" t="str">
        <f>IFERROR(INDEX('collectionMethodDistinct'!$A$2:$A$646,MATCH(A231,'collectionMethodDistinct'!$A$2:$A$646,FALSE),1),"")</f>
        <v xml:space="preserve">Dry Drill </v>
      </c>
    </row>
    <row r="232" spans="1:6" x14ac:dyDescent="0.25">
      <c r="A232" s="5" t="s">
        <v>227</v>
      </c>
      <c r="B232" s="5" t="s">
        <v>520</v>
      </c>
      <c r="C232" s="5"/>
      <c r="D232" s="1">
        <f>IFERROR(INDEX([1]SamplingMethod!$A$2:$C$160,MATCH(B232,[1]SamplingMethod!$C$2:$C$160,FALSE),1),"")</f>
        <v>91</v>
      </c>
      <c r="E232" s="5" t="str">
        <f>IFERROR(INDEX([1]SamplingMethod!$A$2:$C$160,MATCH(B232,[1]SamplingMethod!$C$2:$C$160,FALSE),2),"")</f>
        <v>secm:ses230</v>
      </c>
      <c r="F232" t="str">
        <f>IFERROR(INDEX('collectionMethodDistinct'!$A$2:$A$646,MATCH(A232,'collectionMethodDistinct'!$A$2:$A$646,FALSE),1),"")</f>
        <v>dug</v>
      </c>
    </row>
    <row r="233" spans="1:6" x14ac:dyDescent="0.25">
      <c r="A233" s="5" t="s">
        <v>228</v>
      </c>
      <c r="B233" s="5" t="s">
        <v>520</v>
      </c>
      <c r="C233" s="5"/>
      <c r="D233" s="1">
        <f>IFERROR(INDEX([1]SamplingMethod!$A$2:$C$160,MATCH(B233,[1]SamplingMethod!$C$2:$C$160,FALSE),1),"")</f>
        <v>91</v>
      </c>
      <c r="E233" s="5" t="str">
        <f>IFERROR(INDEX([1]SamplingMethod!$A$2:$C$160,MATCH(B233,[1]SamplingMethod!$C$2:$C$160,FALSE),2),"")</f>
        <v>secm:ses230</v>
      </c>
      <c r="F233" t="str">
        <f>IFERROR(INDEX('collectionMethodDistinct'!$A$2:$A$646,MATCH(A233,'collectionMethodDistinct'!$A$2:$A$646,FALSE),1),"")</f>
        <v/>
      </c>
    </row>
    <row r="234" spans="1:6" x14ac:dyDescent="0.25">
      <c r="A234" s="5" t="s">
        <v>229</v>
      </c>
      <c r="B234" s="5" t="s">
        <v>858</v>
      </c>
      <c r="C234" s="5"/>
      <c r="D234" s="1">
        <f>IFERROR(INDEX([1]SamplingMethod!$A$2:$C$160,MATCH(B234,[1]SamplingMethod!$C$2:$C$160,FALSE),1),"")</f>
        <v>151</v>
      </c>
      <c r="E234" s="5" t="str">
        <f>IFERROR(INDEX([1]SamplingMethod!$A$2:$C$160,MATCH(B234,[1]SamplingMethod!$C$2:$C$160,FALSE),2),"")</f>
        <v>secm:unknown</v>
      </c>
      <c r="F234" t="str">
        <f>IFERROR(INDEX('collectionMethodDistinct'!$A$2:$A$646,MATCH(A234,'collectionMethodDistinct'!$A$2:$A$646,FALSE),1),"")</f>
        <v>Engine Strainer</v>
      </c>
    </row>
    <row r="235" spans="1:6" x14ac:dyDescent="0.25">
      <c r="A235" s="5" t="s">
        <v>230</v>
      </c>
      <c r="B235" s="5" t="s">
        <v>853</v>
      </c>
      <c r="C235" s="5"/>
      <c r="D235" s="1">
        <f>IFERROR(INDEX([1]SamplingMethod!$A$2:$C$160,MATCH(B235,[1]SamplingMethod!$C$2:$C$160,FALSE),1),"")</f>
        <v>6</v>
      </c>
      <c r="E235" s="5" t="str">
        <f>IFERROR(INDEX([1]SamplingMethod!$A$2:$C$160,MATCH(B235,[1]SamplingMethod!$C$2:$C$160,FALSE),2),"")</f>
        <v>secm:benthic_trawl</v>
      </c>
      <c r="F235" t="str">
        <f>IFERROR(INDEX('collectionMethodDistinct'!$A$2:$A$646,MATCH(A235,'collectionMethodDistinct'!$A$2:$A$646,FALSE),1),"")</f>
        <v>Epi-Benthic</v>
      </c>
    </row>
    <row r="236" spans="1:6" x14ac:dyDescent="0.25">
      <c r="A236" s="5" t="s">
        <v>231</v>
      </c>
      <c r="B236" s="5" t="s">
        <v>866</v>
      </c>
      <c r="C236" s="5"/>
      <c r="D236" s="1">
        <f>IFERROR(INDEX([1]SamplingMethod!$A$2:$C$160,MATCH(B236,[1]SamplingMethod!$C$2:$C$160,FALSE),1),"")</f>
        <v>133</v>
      </c>
      <c r="E236" s="5" t="str">
        <f>IFERROR(INDEX([1]SamplingMethod!$A$2:$C$160,MATCH(B236,[1]SamplingMethod!$C$2:$C$160,FALSE),2),"")</f>
        <v>secm:sm034</v>
      </c>
      <c r="F236" t="str">
        <f>IFERROR(INDEX('collectionMethodDistinct'!$A$2:$A$646,MATCH(A236,'collectionMethodDistinct'!$A$2:$A$646,FALSE),1),"")</f>
        <v>excavation</v>
      </c>
    </row>
    <row r="237" spans="1:6" x14ac:dyDescent="0.25">
      <c r="A237" t="s">
        <v>950</v>
      </c>
      <c r="B237" s="5" t="s">
        <v>866</v>
      </c>
      <c r="C237" s="5"/>
      <c r="D237" s="1">
        <f>IFERROR(INDEX([1]SamplingMethod!$A$2:$C$160,MATCH(B237,[1]SamplingMethod!$C$2:$C$160,FALSE),1),"")</f>
        <v>133</v>
      </c>
      <c r="E237" s="5" t="str">
        <f>IFERROR(INDEX([1]SamplingMethod!$A$2:$C$160,MATCH(B237,[1]SamplingMethod!$C$2:$C$160,FALSE),2),"")</f>
        <v>secm:sm034</v>
      </c>
      <c r="F237" t="str">
        <f>IFERROR(INDEX('collectionMethodDistinct'!$A$2:$A$646,MATCH(A237,'collectionMethodDistinct'!$A$2:$A$646,FALSE),1),"")</f>
        <v>excavation of sub-aerial deposit</v>
      </c>
    </row>
    <row r="238" spans="1:6" x14ac:dyDescent="0.25">
      <c r="A238" s="5" t="s">
        <v>232</v>
      </c>
      <c r="B238" s="1" t="s">
        <v>901</v>
      </c>
      <c r="C238" s="5"/>
      <c r="D238" s="1">
        <f>IFERROR(INDEX([1]SamplingMethod!$A$2:$C$160,MATCH(B238,[1]SamplingMethod!$C$2:$C$160,FALSE),1),"")</f>
        <v>142</v>
      </c>
      <c r="E238" s="5" t="str">
        <f>IFERROR(INDEX([1]SamplingMethod!$A$2:$C$160,MATCH(B238,[1]SamplingMethod!$C$2:$C$160,FALSE),2),"")</f>
        <v>secm:sm044</v>
      </c>
      <c r="F238" t="str">
        <f>IFERROR(INDEX('collectionMethodDistinct'!$A$2:$A$646,MATCH(A238,'collectionMethodDistinct'!$A$2:$A$646,FALSE),1),"")</f>
        <v>Excised branch</v>
      </c>
    </row>
    <row r="239" spans="1:6" x14ac:dyDescent="0.25">
      <c r="A239" s="5" t="s">
        <v>233</v>
      </c>
      <c r="B239" s="1" t="s">
        <v>901</v>
      </c>
      <c r="C239" s="5"/>
      <c r="D239" s="1">
        <f>IFERROR(INDEX([1]SamplingMethod!$A$2:$C$160,MATCH(B239,[1]SamplingMethod!$C$2:$C$160,FALSE),1),"")</f>
        <v>142</v>
      </c>
      <c r="E239" s="5" t="str">
        <f>IFERROR(INDEX([1]SamplingMethod!$A$2:$C$160,MATCH(B239,[1]SamplingMethod!$C$2:$C$160,FALSE),2),"")</f>
        <v>secm:sm044</v>
      </c>
      <c r="F239" t="str">
        <f>IFERROR(INDEX('collectionMethodDistinct'!$A$2:$A$646,MATCH(A239,'collectionMethodDistinct'!$A$2:$A$646,FALSE),1),"")</f>
        <v>Experimental Apparatus</v>
      </c>
    </row>
    <row r="240" spans="1:6" x14ac:dyDescent="0.25">
      <c r="A240" s="5" t="s">
        <v>234</v>
      </c>
      <c r="B240" s="1" t="s">
        <v>901</v>
      </c>
      <c r="C240" s="5"/>
      <c r="D240" s="1">
        <f>IFERROR(INDEX([1]SamplingMethod!$A$2:$C$160,MATCH(B240,[1]SamplingMethod!$C$2:$C$160,FALSE),1),"")</f>
        <v>142</v>
      </c>
      <c r="E240" s="5" t="str">
        <f>IFERROR(INDEX([1]SamplingMethod!$A$2:$C$160,MATCH(B240,[1]SamplingMethod!$C$2:$C$160,FALSE),2),"")</f>
        <v>secm:sm044</v>
      </c>
      <c r="F240" t="str">
        <f>IFERROR(INDEX('collectionMethodDistinct'!$A$2:$A$646,MATCH(A240,'collectionMethodDistinct'!$A$2:$A$646,FALSE),1),"")</f>
        <v>External detector</v>
      </c>
    </row>
    <row r="241" spans="1:6" x14ac:dyDescent="0.25">
      <c r="A241" s="5" t="s">
        <v>966</v>
      </c>
      <c r="B241" s="5" t="s">
        <v>866</v>
      </c>
      <c r="C241" s="5"/>
      <c r="D241" s="1">
        <f>IFERROR(INDEX([1]SamplingMethod!$A$2:$C$160,MATCH(B241,[1]SamplingMethod!$C$2:$C$160,FALSE),1),"")</f>
        <v>133</v>
      </c>
      <c r="E241" s="5" t="str">
        <f>IFERROR(INDEX([1]SamplingMethod!$A$2:$C$160,MATCH(B241,[1]SamplingMethod!$C$2:$C$160,FALSE),2),"")</f>
        <v>secm:sm034</v>
      </c>
      <c r="F241" t="str">
        <f>IFERROR(INDEX('collectionMethodDistinct'!$A$2:$A$646,MATCH(A241,'collectionMethodDistinct'!$A$2:$A$646,FALSE),1),"")</f>
        <v/>
      </c>
    </row>
    <row r="242" spans="1:6" x14ac:dyDescent="0.25">
      <c r="A242" s="5" t="s">
        <v>235</v>
      </c>
      <c r="B242" s="5" t="s">
        <v>689</v>
      </c>
      <c r="C242" s="5"/>
      <c r="D242" s="1">
        <f>IFERROR(INDEX([1]SamplingMethod!$A$2:$C$160,MATCH(B242,[1]SamplingMethod!$C$2:$C$160,FALSE),1),"")</f>
        <v>134</v>
      </c>
      <c r="E242" s="5" t="str">
        <f>IFERROR(INDEX([1]SamplingMethod!$A$2:$C$160,MATCH(B242,[1]SamplingMethod!$C$2:$C$160,FALSE),2),"")</f>
        <v>secm:sm035</v>
      </c>
      <c r="F242" t="str">
        <f>IFERROR(INDEX('collectionMethodDistinct'!$A$2:$A$646,MATCH(A242,'collectionMethodDistinct'!$A$2:$A$646,FALSE),1),"")</f>
        <v>Field</v>
      </c>
    </row>
    <row r="243" spans="1:6" x14ac:dyDescent="0.25">
      <c r="A243" s="5" t="s">
        <v>236</v>
      </c>
      <c r="B243" s="5" t="s">
        <v>689</v>
      </c>
      <c r="C243" s="5"/>
      <c r="D243" s="1">
        <f>IFERROR(INDEX([1]SamplingMethod!$A$2:$C$160,MATCH(B243,[1]SamplingMethod!$C$2:$C$160,FALSE),1),"")</f>
        <v>134</v>
      </c>
      <c r="E243" s="5" t="str">
        <f>IFERROR(INDEX([1]SamplingMethod!$A$2:$C$160,MATCH(B243,[1]SamplingMethod!$C$2:$C$160,FALSE),2),"")</f>
        <v>secm:sm035</v>
      </c>
      <c r="F243" t="str">
        <f>IFERROR(INDEX('collectionMethodDistinct'!$A$2:$A$646,MATCH(A243,'collectionMethodDistinct'!$A$2:$A$646,FALSE),1),"")</f>
        <v>field collected</v>
      </c>
    </row>
    <row r="244" spans="1:6" x14ac:dyDescent="0.25">
      <c r="A244" s="5" t="s">
        <v>237</v>
      </c>
      <c r="B244" s="5" t="s">
        <v>689</v>
      </c>
      <c r="C244" s="5"/>
      <c r="D244" s="1">
        <f>IFERROR(INDEX([1]SamplingMethod!$A$2:$C$160,MATCH(B244,[1]SamplingMethod!$C$2:$C$160,FALSE),1),"")</f>
        <v>134</v>
      </c>
      <c r="E244" s="5" t="str">
        <f>IFERROR(INDEX([1]SamplingMethod!$A$2:$C$160,MATCH(B244,[1]SamplingMethod!$C$2:$C$160,FALSE),2),"")</f>
        <v>secm:sm035</v>
      </c>
      <c r="F244" t="str">
        <f>IFERROR(INDEX('collectionMethodDistinct'!$A$2:$A$646,MATCH(A244,'collectionMethodDistinct'!$A$2:$A$646,FALSE),1),"")</f>
        <v>field geoloogy</v>
      </c>
    </row>
    <row r="245" spans="1:6" x14ac:dyDescent="0.25">
      <c r="A245" s="5" t="s">
        <v>238</v>
      </c>
      <c r="B245" s="5" t="s">
        <v>689</v>
      </c>
      <c r="C245" s="5"/>
      <c r="D245" s="1">
        <f>IFERROR(INDEX([1]SamplingMethod!$A$2:$C$160,MATCH(B245,[1]SamplingMethod!$C$2:$C$160,FALSE),1),"")</f>
        <v>134</v>
      </c>
      <c r="E245" s="5" t="str">
        <f>IFERROR(INDEX([1]SamplingMethod!$A$2:$C$160,MATCH(B245,[1]SamplingMethod!$C$2:$C$160,FALSE),2),"")</f>
        <v>secm:sm035</v>
      </c>
      <c r="F245" t="str">
        <f>IFERROR(INDEX('collectionMethodDistinct'!$A$2:$A$646,MATCH(A245,'collectionMethodDistinct'!$A$2:$A$646,FALSE),1),"")</f>
        <v>field sampling</v>
      </c>
    </row>
    <row r="246" spans="1:6" x14ac:dyDescent="0.25">
      <c r="A246" s="5" t="s">
        <v>239</v>
      </c>
      <c r="B246" s="5" t="s">
        <v>689</v>
      </c>
      <c r="C246" s="5"/>
      <c r="D246" s="1">
        <f>IFERROR(INDEX([1]SamplingMethod!$A$2:$C$160,MATCH(B246,[1]SamplingMethod!$C$2:$C$160,FALSE),1),"")</f>
        <v>134</v>
      </c>
      <c r="E246" s="5" t="str">
        <f>IFERROR(INDEX([1]SamplingMethod!$A$2:$C$160,MATCH(B246,[1]SamplingMethod!$C$2:$C$160,FALSE),2),"")</f>
        <v>secm:sm035</v>
      </c>
      <c r="F246" t="str">
        <f>IFERROR(INDEX('collectionMethodDistinct'!$A$2:$A$646,MATCH(A246,'collectionMethodDistinct'!$A$2:$A$646,FALSE),1),"")</f>
        <v>field sampling</v>
      </c>
    </row>
    <row r="247" spans="1:6" x14ac:dyDescent="0.25">
      <c r="A247" s="5" t="s">
        <v>240</v>
      </c>
      <c r="B247" s="5" t="s">
        <v>858</v>
      </c>
      <c r="C247" s="5"/>
      <c r="D247" s="1">
        <f>IFERROR(INDEX([1]SamplingMethod!$A$2:$C$160,MATCH(B247,[1]SamplingMethod!$C$2:$C$160,FALSE),1),"")</f>
        <v>151</v>
      </c>
      <c r="E247" s="5" t="str">
        <f>IFERROR(INDEX([1]SamplingMethod!$A$2:$C$160,MATCH(B247,[1]SamplingMethod!$C$2:$C$160,FALSE),2),"")</f>
        <v>secm:unknown</v>
      </c>
      <c r="F247" t="str">
        <f>IFERROR(INDEX('collectionMethodDistinct'!$A$2:$A$646,MATCH(A247,'collectionMethodDistinct'!$A$2:$A$646,FALSE),1),"")</f>
        <v>Filled in laboratory</v>
      </c>
    </row>
    <row r="248" spans="1:6" ht="30" x14ac:dyDescent="0.25">
      <c r="A248" t="s">
        <v>949</v>
      </c>
      <c r="B248" s="1" t="s">
        <v>968</v>
      </c>
      <c r="D248" s="1">
        <f>IFERROR(INDEX([1]SamplingMethod!$A$2:$C$160,MATCH(B248,[1]SamplingMethod!$C$2:$C$160,FALSE),1),"")</f>
        <v>102</v>
      </c>
      <c r="E248" s="5" t="str">
        <f>IFERROR(INDEX([1]SamplingMethod!$A$2:$C$160,MATCH(B248,[1]SamplingMethod!$C$2:$C$160,FALSE),2),"")</f>
        <v>secm:sm003</v>
      </c>
      <c r="F248" t="str">
        <f>IFERROR(INDEX('collectionMethodDistinct'!$A$2:$A$646,MATCH(A248,'collectionMethodDistinct'!$A$2:$A$646,FALSE),1),"")</f>
        <v>Filtration + acidification</v>
      </c>
    </row>
    <row r="249" spans="1:6" x14ac:dyDescent="0.25">
      <c r="A249" t="s">
        <v>948</v>
      </c>
      <c r="B249" t="s">
        <v>697</v>
      </c>
      <c r="D249" s="1">
        <f>IFERROR(INDEX([1]SamplingMethod!$A$2:$C$160,MATCH(B249,[1]SamplingMethod!$C$2:$C$160,FALSE),1),"")</f>
        <v>116</v>
      </c>
      <c r="E249" s="5" t="str">
        <f>IFERROR(INDEX([1]SamplingMethod!$A$2:$C$160,MATCH(B249,[1]SamplingMethod!$C$2:$C$160,FALSE),2),"")</f>
        <v>secm:sm017</v>
      </c>
      <c r="F249" t="str">
        <f>IFERROR(INDEX('collectionMethodDistinct'!$A$2:$A$646,MATCH(A249,'collectionMethodDistinct'!$A$2:$A$646,FALSE),1),"")</f>
        <v>float sample from rock slide</v>
      </c>
    </row>
    <row r="250" spans="1:6" x14ac:dyDescent="0.25">
      <c r="A250" s="5" t="s">
        <v>241</v>
      </c>
      <c r="B250" s="5" t="s">
        <v>885</v>
      </c>
      <c r="C250" s="5"/>
      <c r="D250" s="1">
        <f>IFERROR(INDEX([1]SamplingMethod!$A$2:$C$160,MATCH(B250,[1]SamplingMethod!$C$2:$C$160,FALSE),1),"")</f>
        <v>112</v>
      </c>
      <c r="E250" s="5" t="str">
        <f>IFERROR(INDEX([1]SamplingMethod!$A$2:$C$160,MATCH(B250,[1]SamplingMethod!$C$2:$C$160,FALSE),2),"")</f>
        <v>secm:sm014</v>
      </c>
      <c r="F250" t="str">
        <f>IFERROR(INDEX('collectionMethodDistinct'!$A$2:$A$646,MATCH(A250,'collectionMethodDistinct'!$A$2:$A$646,FALSE),1),"")</f>
        <v>Fog wets plastic sheet</v>
      </c>
    </row>
    <row r="251" spans="1:6" x14ac:dyDescent="0.25">
      <c r="A251" s="5" t="s">
        <v>242</v>
      </c>
      <c r="B251" s="5" t="s">
        <v>885</v>
      </c>
      <c r="C251" s="5"/>
      <c r="D251" s="1">
        <f>IFERROR(INDEX([1]SamplingMethod!$A$2:$C$160,MATCH(B251,[1]SamplingMethod!$C$2:$C$160,FALSE),1),"")</f>
        <v>112</v>
      </c>
      <c r="E251" s="5" t="str">
        <f>IFERROR(INDEX([1]SamplingMethod!$A$2:$C$160,MATCH(B251,[1]SamplingMethod!$C$2:$C$160,FALSE),2),"")</f>
        <v>secm:sm014</v>
      </c>
      <c r="F251" t="str">
        <f>IFERROR(INDEX('collectionMethodDistinct'!$A$2:$A$646,MATCH(A251,'collectionMethodDistinct'!$A$2:$A$646,FALSE),1),"")</f>
        <v>Fog wets plastic web</v>
      </c>
    </row>
    <row r="252" spans="1:6" x14ac:dyDescent="0.25">
      <c r="A252" s="5" t="s">
        <v>243</v>
      </c>
      <c r="B252" s="5" t="s">
        <v>689</v>
      </c>
      <c r="C252" s="5"/>
      <c r="D252" s="1">
        <f>IFERROR(INDEX([1]SamplingMethod!$A$2:$C$160,MATCH(B252,[1]SamplingMethod!$C$2:$C$160,FALSE),1),"")</f>
        <v>134</v>
      </c>
      <c r="E252" s="5" t="str">
        <f>IFERROR(INDEX([1]SamplingMethod!$A$2:$C$160,MATCH(B252,[1]SamplingMethod!$C$2:$C$160,FALSE),2),"")</f>
        <v>secm:sm035</v>
      </c>
      <c r="F252" t="str">
        <f>IFERROR(INDEX('collectionMethodDistinct'!$A$2:$A$646,MATCH(A252,'collectionMethodDistinct'!$A$2:$A$646,FALSE),1),"")</f>
        <v>Fontainebleau quarry</v>
      </c>
    </row>
    <row r="253" spans="1:6" x14ac:dyDescent="0.25">
      <c r="A253" s="5" t="s">
        <v>244</v>
      </c>
      <c r="B253" s="5" t="s">
        <v>884</v>
      </c>
      <c r="C253" s="5"/>
      <c r="D253" s="1">
        <f>IFERROR(INDEX([1]SamplingMethod!$A$2:$C$160,MATCH(B253,[1]SamplingMethod!$C$2:$C$160,FALSE),1),"")</f>
        <v>58</v>
      </c>
      <c r="E253" s="5" t="str">
        <f>IFERROR(INDEX([1]SamplingMethod!$A$2:$C$160,MATCH(B253,[1]SamplingMethod!$C$2:$C$160,FALSE),2),"")</f>
        <v>secm:pumpsampling</v>
      </c>
      <c r="F253" t="str">
        <f>IFERROR(INDEX('collectionMethodDistinct'!$A$2:$A$646,MATCH(A253,'collectionMethodDistinct'!$A$2:$A$646,FALSE),1),"")</f>
        <v>From Handpump</v>
      </c>
    </row>
    <row r="254" spans="1:6" x14ac:dyDescent="0.25">
      <c r="A254" s="5" t="s">
        <v>245</v>
      </c>
      <c r="B254" s="5" t="s">
        <v>856</v>
      </c>
      <c r="C254" s="5"/>
      <c r="D254" s="1">
        <f>IFERROR(INDEX([1]SamplingMethod!$A$2:$C$160,MATCH(B254,[1]SamplingMethod!$C$2:$C$160,FALSE),1),"")</f>
        <v>141</v>
      </c>
      <c r="E254" s="5" t="str">
        <f>IFERROR(INDEX([1]SamplingMethod!$A$2:$C$160,MATCH(B254,[1]SamplingMethod!$C$2:$C$160,FALSE),2),"")</f>
        <v>secm:sm043</v>
      </c>
      <c r="F254" t="str">
        <f>IFERROR(INDEX('collectionMethodDistinct'!$A$2:$A$646,MATCH(A254,'collectionMethodDistinct'!$A$2:$A$646,FALSE),1),"")</f>
        <v>Fumarole, manual</v>
      </c>
    </row>
    <row r="255" spans="1:6" x14ac:dyDescent="0.25">
      <c r="A255" s="5" t="s">
        <v>246</v>
      </c>
      <c r="B255" s="5" t="s">
        <v>858</v>
      </c>
      <c r="C255" s="5"/>
      <c r="D255" s="1">
        <f>IFERROR(INDEX([1]SamplingMethod!$A$2:$C$160,MATCH(B255,[1]SamplingMethod!$C$2:$C$160,FALSE),1),"")</f>
        <v>151</v>
      </c>
      <c r="E255" s="5" t="str">
        <f>IFERROR(INDEX([1]SamplingMethod!$A$2:$C$160,MATCH(B255,[1]SamplingMethod!$C$2:$C$160,FALSE),2),"")</f>
        <v>secm:unknown</v>
      </c>
      <c r="F255" t="str">
        <f>IFERROR(INDEX('collectionMethodDistinct'!$A$2:$A$646,MATCH(A255,'collectionMethodDistinct'!$A$2:$A$646,FALSE),1),"")</f>
        <v>G</v>
      </c>
    </row>
    <row r="256" spans="1:6" x14ac:dyDescent="0.25">
      <c r="A256" s="5" t="s">
        <v>22</v>
      </c>
      <c r="B256" s="5" t="s">
        <v>881</v>
      </c>
      <c r="C256" s="5"/>
      <c r="D256" s="1">
        <f>IFERROR(INDEX([1]SamplingMethod!$A$2:$C$160,MATCH(B256,[1]SamplingMethod!$C$2:$C$160,FALSE),1),"")</f>
        <v>76</v>
      </c>
      <c r="E256" s="5" t="str">
        <f>IFERROR(INDEX([1]SamplingMethod!$A$2:$C$160,MATCH(B256,[1]SamplingMethod!$C$2:$C$160,FALSE),2),"")</f>
        <v>secm:ses214</v>
      </c>
      <c r="F256" t="str">
        <f>IFERROR(INDEX('collectionMethodDistinct'!$A$2:$A$646,MATCH(A256,'collectionMethodDistinct'!$A$2:$A$646,FALSE),1),"")</f>
        <v>gas tight bottle</v>
      </c>
    </row>
    <row r="257" spans="1:6" x14ac:dyDescent="0.25">
      <c r="A257" s="5" t="s">
        <v>247</v>
      </c>
      <c r="B257" s="5" t="s">
        <v>874</v>
      </c>
      <c r="C257" s="5"/>
      <c r="D257" s="1">
        <f>IFERROR(INDEX([1]SamplingMethod!$A$2:$C$160,MATCH(B257,[1]SamplingMethod!$C$2:$C$160,FALSE),1),"")</f>
        <v>15</v>
      </c>
      <c r="E257" s="5" t="str">
        <f>IFERROR(INDEX([1]SamplingMethod!$A$2:$C$160,MATCH(B257,[1]SamplingMethod!$C$2:$C$160,FALSE),2),"")</f>
        <v>secm:bottlesampling</v>
      </c>
      <c r="F257" t="str">
        <f>IFERROR(INDEX('collectionMethodDistinct'!$A$2:$A$646,MATCH(A257,'collectionMethodDistinct'!$A$2:$A$646,FALSE),1),"")</f>
        <v>Gas-tight Water Sampler</v>
      </c>
    </row>
    <row r="258" spans="1:6" x14ac:dyDescent="0.25">
      <c r="A258" s="5" t="s">
        <v>248</v>
      </c>
      <c r="B258" s="5" t="s">
        <v>607</v>
      </c>
      <c r="C258" s="5"/>
      <c r="D258" s="1">
        <f>IFERROR(INDEX([1]SamplingMethod!$A$2:$C$160,MATCH(B258,[1]SamplingMethod!$C$2:$C$160,FALSE),1),"")</f>
        <v>78</v>
      </c>
      <c r="E258" s="5" t="str">
        <f>IFERROR(INDEX([1]SamplingMethod!$A$2:$C$160,MATCH(B258,[1]SamplingMethod!$C$2:$C$160,FALSE),2),"")</f>
        <v>secm:ses216</v>
      </c>
      <c r="F258" t="str">
        <f>IFERROR(INDEX('collectionMethodDistinct'!$A$2:$A$646,MATCH(A258,'collectionMethodDistinct'!$A$2:$A$646,FALSE),1),"")</f>
        <v>Geological hammer</v>
      </c>
    </row>
    <row r="259" spans="1:6" x14ac:dyDescent="0.25">
      <c r="A259" t="s">
        <v>947</v>
      </c>
      <c r="B259" s="5" t="s">
        <v>860</v>
      </c>
      <c r="C259" s="5"/>
      <c r="D259" s="1">
        <f>IFERROR(INDEX([1]SamplingMethod!$A$2:$C$160,MATCH(B259,[1]SamplingMethod!$C$2:$C$160,FALSE),1),"")</f>
        <v>103</v>
      </c>
      <c r="E259" s="5" t="str">
        <f>IFERROR(INDEX([1]SamplingMethod!$A$2:$C$160,MATCH(B259,[1]SamplingMethod!$C$2:$C$160,FALSE),2),"")</f>
        <v>secm:sm005</v>
      </c>
      <c r="F259" t="str">
        <f>IFERROR(INDEX('collectionMethodDistinct'!$A$2:$A$646,MATCH(A259,'collectionMethodDistinct'!$A$2:$A$646,FALSE),1),"")</f>
        <v>Geoprobe 7822DT</v>
      </c>
    </row>
    <row r="260" spans="1:6" x14ac:dyDescent="0.25">
      <c r="A260" s="5" t="s">
        <v>249</v>
      </c>
      <c r="B260" s="5" t="s">
        <v>860</v>
      </c>
      <c r="C260" s="5"/>
      <c r="D260" s="1">
        <f>IFERROR(INDEX([1]SamplingMethod!$A$2:$C$160,MATCH(B260,[1]SamplingMethod!$C$2:$C$160,FALSE),1),"")</f>
        <v>103</v>
      </c>
      <c r="E260" s="5" t="str">
        <f>IFERROR(INDEX([1]SamplingMethod!$A$2:$C$160,MATCH(B260,[1]SamplingMethod!$C$2:$C$160,FALSE),2),"")</f>
        <v>secm:sm005</v>
      </c>
      <c r="F260" t="str">
        <f>IFERROR(INDEX('collectionMethodDistinct'!$A$2:$A$646,MATCH(A260,'collectionMethodDistinct'!$A$2:$A$646,FALSE),1),"")</f>
        <v>Geoprobe 8140 LS</v>
      </c>
    </row>
    <row r="261" spans="1:6" x14ac:dyDescent="0.25">
      <c r="A261" s="5" t="s">
        <v>250</v>
      </c>
      <c r="B261" s="5" t="s">
        <v>693</v>
      </c>
      <c r="C261" s="5"/>
      <c r="D261" s="1">
        <f>IFERROR(INDEX([1]SamplingMethod!$A$2:$C$160,MATCH(B261,[1]SamplingMethod!$C$2:$C$160,FALSE),1),"")</f>
        <v>115</v>
      </c>
      <c r="E261" s="5" t="str">
        <f>IFERROR(INDEX([1]SamplingMethod!$A$2:$C$160,MATCH(B261,[1]SamplingMethod!$C$2:$C$160,FALSE),2),"")</f>
        <v>secm:sm016</v>
      </c>
      <c r="F261" t="str">
        <f>IFERROR(INDEX('collectionMethodDistinct'!$A$2:$A$646,MATCH(A261,'collectionMethodDistinct'!$A$2:$A$646,FALSE),1),"")</f>
        <v>Gildehaus quarry</v>
      </c>
    </row>
    <row r="262" spans="1:6" x14ac:dyDescent="0.25">
      <c r="A262" s="5" t="s">
        <v>251</v>
      </c>
      <c r="B262" s="5" t="s">
        <v>752</v>
      </c>
      <c r="C262" s="5"/>
      <c r="D262" s="1">
        <f>IFERROR(INDEX([1]SamplingMethod!$A$2:$C$160,MATCH(B262,[1]SamplingMethod!$C$2:$C$160,FALSE),1),"")</f>
        <v>145</v>
      </c>
      <c r="E262" s="5" t="str">
        <f>IFERROR(INDEX([1]SamplingMethod!$A$2:$C$160,MATCH(B262,[1]SamplingMethod!$C$2:$C$160,FALSE),2),"")</f>
        <v>secm:sm047</v>
      </c>
      <c r="F262" t="str">
        <f>IFERROR(INDEX('collectionMethodDistinct'!$A$2:$A$646,MATCH(A262,'collectionMethodDistinct'!$A$2:$A$646,FALSE),1),"")</f>
        <v>grab</v>
      </c>
    </row>
    <row r="263" spans="1:6" x14ac:dyDescent="0.25">
      <c r="A263" s="5" t="s">
        <v>252</v>
      </c>
      <c r="B263" s="5" t="s">
        <v>752</v>
      </c>
      <c r="C263" s="5"/>
      <c r="D263" s="1">
        <f>IFERROR(INDEX([1]SamplingMethod!$A$2:$C$160,MATCH(B263,[1]SamplingMethod!$C$2:$C$160,FALSE),1),"")</f>
        <v>145</v>
      </c>
      <c r="E263" s="5" t="str">
        <f>IFERROR(INDEX([1]SamplingMethod!$A$2:$C$160,MATCH(B263,[1]SamplingMethod!$C$2:$C$160,FALSE),2),"")</f>
        <v>secm:sm047</v>
      </c>
      <c r="F263" t="str">
        <f>IFERROR(INDEX('collectionMethodDistinct'!$A$2:$A$646,MATCH(A263,'collectionMethodDistinct'!$A$2:$A$646,FALSE),1),"")</f>
        <v>grab</v>
      </c>
    </row>
    <row r="264" spans="1:6" x14ac:dyDescent="0.25">
      <c r="A264" s="5" t="s">
        <v>253</v>
      </c>
      <c r="B264" s="5" t="s">
        <v>752</v>
      </c>
      <c r="C264" s="5"/>
      <c r="D264" s="1">
        <f>IFERROR(INDEX([1]SamplingMethod!$A$2:$C$160,MATCH(B264,[1]SamplingMethod!$C$2:$C$160,FALSE),1),"")</f>
        <v>145</v>
      </c>
      <c r="E264" s="5" t="str">
        <f>IFERROR(INDEX([1]SamplingMethod!$A$2:$C$160,MATCH(B264,[1]SamplingMethod!$C$2:$C$160,FALSE),2),"")</f>
        <v>secm:sm047</v>
      </c>
      <c r="F264" t="str">
        <f>IFERROR(INDEX('collectionMethodDistinct'!$A$2:$A$646,MATCH(A264,'collectionMethodDistinct'!$A$2:$A$646,FALSE),1),"")</f>
        <v xml:space="preserve">Grab </v>
      </c>
    </row>
    <row r="265" spans="1:6" x14ac:dyDescent="0.25">
      <c r="A265" s="5" t="s">
        <v>254</v>
      </c>
      <c r="B265" s="5" t="s">
        <v>607</v>
      </c>
      <c r="C265" s="5"/>
      <c r="D265" s="1">
        <f>IFERROR(INDEX([1]SamplingMethod!$A$2:$C$160,MATCH(B265,[1]SamplingMethod!$C$2:$C$160,FALSE),1),"")</f>
        <v>78</v>
      </c>
      <c r="E265" s="5" t="str">
        <f>IFERROR(INDEX([1]SamplingMethod!$A$2:$C$160,MATCH(B265,[1]SamplingMethod!$C$2:$C$160,FALSE),2),"")</f>
        <v>secm:ses216</v>
      </c>
      <c r="F265" t="str">
        <f>IFERROR(INDEX('collectionMethodDistinct'!$A$2:$A$646,MATCH(A265,'collectionMethodDistinct'!$A$2:$A$646,FALSE),1),"")</f>
        <v>Grab or Hammering</v>
      </c>
    </row>
    <row r="266" spans="1:6" x14ac:dyDescent="0.25">
      <c r="A266" s="5" t="s">
        <v>255</v>
      </c>
      <c r="B266" s="5" t="s">
        <v>752</v>
      </c>
      <c r="C266" s="5"/>
      <c r="D266" s="1">
        <f>IFERROR(INDEX([1]SamplingMethod!$A$2:$C$160,MATCH(B266,[1]SamplingMethod!$C$2:$C$160,FALSE),1),"")</f>
        <v>145</v>
      </c>
      <c r="E266" s="5" t="str">
        <f>IFERROR(INDEX([1]SamplingMethod!$A$2:$C$160,MATCH(B266,[1]SamplingMethod!$C$2:$C$160,FALSE),2),"")</f>
        <v>secm:sm047</v>
      </c>
      <c r="F266" t="str">
        <f>IFERROR(INDEX('collectionMethodDistinct'!$A$2:$A$646,MATCH(A266,'collectionMethodDistinct'!$A$2:$A$646,FALSE),1),"")</f>
        <v>Grab sample</v>
      </c>
    </row>
    <row r="267" spans="1:6" x14ac:dyDescent="0.25">
      <c r="A267" s="5" t="s">
        <v>256</v>
      </c>
      <c r="B267" s="5" t="s">
        <v>761</v>
      </c>
      <c r="C267" s="5"/>
      <c r="D267" s="1">
        <f>IFERROR(INDEX([1]SamplingMethod!$A$2:$C$160,MATCH(B267,[1]SamplingMethod!$C$2:$C$160,FALSE),1),"")</f>
        <v>135</v>
      </c>
      <c r="E267" s="5" t="str">
        <f>IFERROR(INDEX([1]SamplingMethod!$A$2:$C$160,MATCH(B267,[1]SamplingMethod!$C$2:$C$160,FALSE),2),"")</f>
        <v>secm:sm036</v>
      </c>
      <c r="F267" t="str">
        <f>IFERROR(INDEX('collectionMethodDistinct'!$A$2:$A$646,MATCH(A267,'collectionMethodDistinct'!$A$2:$A$646,FALSE),1),"")</f>
        <v>grab sample of top few cm of sediment</v>
      </c>
    </row>
    <row r="268" spans="1:6" x14ac:dyDescent="0.25">
      <c r="A268" s="5" t="s">
        <v>257</v>
      </c>
      <c r="B268" s="5" t="s">
        <v>752</v>
      </c>
      <c r="C268" s="5"/>
      <c r="D268" s="1">
        <f>IFERROR(INDEX([1]SamplingMethod!$A$2:$C$160,MATCH(B268,[1]SamplingMethod!$C$2:$C$160,FALSE),1),"")</f>
        <v>145</v>
      </c>
      <c r="E268" s="5" t="str">
        <f>IFERROR(INDEX([1]SamplingMethod!$A$2:$C$160,MATCH(B268,[1]SamplingMethod!$C$2:$C$160,FALSE),2),"")</f>
        <v>secm:sm047</v>
      </c>
      <c r="F268" t="str">
        <f>IFERROR(INDEX('collectionMethodDistinct'!$A$2:$A$646,MATCH(A268,'collectionMethodDistinct'!$A$2:$A$646,FALSE),1),"")</f>
        <v>Grab sample&gt;MQ dispenser</v>
      </c>
    </row>
    <row r="269" spans="1:6" x14ac:dyDescent="0.25">
      <c r="A269" s="5" t="s">
        <v>258</v>
      </c>
      <c r="B269" s="5" t="s">
        <v>752</v>
      </c>
      <c r="C269" s="5"/>
      <c r="D269" s="1">
        <f>IFERROR(INDEX([1]SamplingMethod!$A$2:$C$160,MATCH(B269,[1]SamplingMethod!$C$2:$C$160,FALSE),1),"")</f>
        <v>145</v>
      </c>
      <c r="E269" s="5" t="str">
        <f>IFERROR(INDEX([1]SamplingMethod!$A$2:$C$160,MATCH(B269,[1]SamplingMethod!$C$2:$C$160,FALSE),2),"")</f>
        <v>secm:sm047</v>
      </c>
      <c r="F269" t="str">
        <f>IFERROR(INDEX('collectionMethodDistinct'!$A$2:$A$646,MATCH(A269,'collectionMethodDistinct'!$A$2:$A$646,FALSE),1),"")</f>
        <v>Grab sampler</v>
      </c>
    </row>
    <row r="270" spans="1:6" x14ac:dyDescent="0.25">
      <c r="A270" s="5" t="s">
        <v>259</v>
      </c>
      <c r="B270" s="5" t="s">
        <v>868</v>
      </c>
      <c r="C270" s="5"/>
      <c r="D270" s="1">
        <f>IFERROR(INDEX([1]SamplingMethod!$A$2:$C$160,MATCH(B270,[1]SamplingMethod!$C$2:$C$160,FALSE),1),"")</f>
        <v>122</v>
      </c>
      <c r="E270" s="5" t="str">
        <f>IFERROR(INDEX([1]SamplingMethod!$A$2:$C$160,MATCH(B270,[1]SamplingMethod!$C$2:$C$160,FALSE),2),"")</f>
        <v>secm:sm023</v>
      </c>
      <c r="F270" t="str">
        <f>IFERROR(INDEX('collectionMethodDistinct'!$A$2:$A$646,MATCH(A270,'collectionMethodDistinct'!$A$2:$A$646,FALSE),1),"")</f>
        <v>grab, 0.22 micron filtered</v>
      </c>
    </row>
    <row r="271" spans="1:6" x14ac:dyDescent="0.25">
      <c r="A271" s="5" t="s">
        <v>260</v>
      </c>
      <c r="B271" s="5" t="s">
        <v>868</v>
      </c>
      <c r="C271" s="5"/>
      <c r="D271" s="1">
        <f>IFERROR(INDEX([1]SamplingMethod!$A$2:$C$160,MATCH(B271,[1]SamplingMethod!$C$2:$C$160,FALSE),1),"")</f>
        <v>122</v>
      </c>
      <c r="E271" s="5" t="str">
        <f>IFERROR(INDEX([1]SamplingMethod!$A$2:$C$160,MATCH(B271,[1]SamplingMethod!$C$2:$C$160,FALSE),2),"")</f>
        <v>secm:sm023</v>
      </c>
      <c r="F271" t="str">
        <f>IFERROR(INDEX('collectionMethodDistinct'!$A$2:$A$646,MATCH(A271,'collectionMethodDistinct'!$A$2:$A$646,FALSE),1),"")</f>
        <v>grab, 0.8/0.2 micron filtered</v>
      </c>
    </row>
    <row r="272" spans="1:6" x14ac:dyDescent="0.25">
      <c r="A272" s="5" t="s">
        <v>261</v>
      </c>
      <c r="B272" s="5" t="s">
        <v>854</v>
      </c>
      <c r="C272" s="5"/>
      <c r="D272" s="1">
        <f>IFERROR(INDEX([1]SamplingMethod!$A$2:$C$160,MATCH(B272,[1]SamplingMethod!$C$2:$C$160,FALSE),1),"")</f>
        <v>65</v>
      </c>
      <c r="E272" s="5" t="str">
        <f>IFERROR(INDEX([1]SamplingMethod!$A$2:$C$160,MATCH(B272,[1]SamplingMethod!$C$2:$C$160,FALSE),2),"")</f>
        <v>secm:ses201</v>
      </c>
      <c r="F272" t="str">
        <f>IFERROR(INDEX('collectionMethodDistinct'!$A$2:$A$646,MATCH(A272,'collectionMethodDistinct'!$A$2:$A$646,FALSE),1),"")</f>
        <v>Grab&gt;HOV</v>
      </c>
    </row>
    <row r="273" spans="1:6" x14ac:dyDescent="0.25">
      <c r="A273" s="5" t="s">
        <v>262</v>
      </c>
      <c r="B273" s="5" t="s">
        <v>854</v>
      </c>
      <c r="C273" s="5"/>
      <c r="D273" s="1">
        <f>IFERROR(INDEX([1]SamplingMethod!$A$2:$C$160,MATCH(B273,[1]SamplingMethod!$C$2:$C$160,FALSE),1),"")</f>
        <v>65</v>
      </c>
      <c r="E273" s="5" t="str">
        <f>IFERROR(INDEX([1]SamplingMethod!$A$2:$C$160,MATCH(B273,[1]SamplingMethod!$C$2:$C$160,FALSE),2),"")</f>
        <v>secm:ses201</v>
      </c>
      <c r="F273" t="str">
        <f>IFERROR(INDEX('collectionMethodDistinct'!$A$2:$A$646,MATCH(A273,'collectionMethodDistinct'!$A$2:$A$646,FALSE),1),"")</f>
        <v>Grab&gt;Rov</v>
      </c>
    </row>
    <row r="274" spans="1:6" x14ac:dyDescent="0.25">
      <c r="A274" s="5" t="s">
        <v>263</v>
      </c>
      <c r="B274" s="5" t="s">
        <v>854</v>
      </c>
      <c r="C274" s="5"/>
      <c r="D274" s="1">
        <f>IFERROR(INDEX([1]SamplingMethod!$A$2:$C$160,MATCH(B274,[1]SamplingMethod!$C$2:$C$160,FALSE),1),"")</f>
        <v>65</v>
      </c>
      <c r="E274" s="5" t="str">
        <f>IFERROR(INDEX([1]SamplingMethod!$A$2:$C$160,MATCH(B274,[1]SamplingMethod!$C$2:$C$160,FALSE),2),"")</f>
        <v>secm:ses201</v>
      </c>
      <c r="F274" t="str">
        <f>IFERROR(INDEX('collectionMethodDistinct'!$A$2:$A$646,MATCH(A274,'collectionMethodDistinct'!$A$2:$A$646,FALSE),1),"")</f>
        <v>Grab&gt;Rov</v>
      </c>
    </row>
    <row r="275" spans="1:6" x14ac:dyDescent="0.25">
      <c r="A275" s="5" t="s">
        <v>264</v>
      </c>
      <c r="B275" s="5" t="s">
        <v>854</v>
      </c>
      <c r="C275" s="5"/>
      <c r="D275" s="1">
        <f>IFERROR(INDEX([1]SamplingMethod!$A$2:$C$160,MATCH(B275,[1]SamplingMethod!$C$2:$C$160,FALSE),1),"")</f>
        <v>65</v>
      </c>
      <c r="E275" s="5" t="str">
        <f>IFERROR(INDEX([1]SamplingMethod!$A$2:$C$160,MATCH(B275,[1]SamplingMethod!$C$2:$C$160,FALSE),2),"")</f>
        <v>secm:ses201</v>
      </c>
      <c r="F275" t="str">
        <f>IFERROR(INDEX('collectionMethodDistinct'!$A$2:$A$646,MATCH(A275,'collectionMethodDistinct'!$A$2:$A$646,FALSE),1),"")</f>
        <v xml:space="preserve">Grab&gt;ROV </v>
      </c>
    </row>
    <row r="276" spans="1:6" x14ac:dyDescent="0.25">
      <c r="A276" s="5" t="s">
        <v>265</v>
      </c>
      <c r="B276" s="5" t="s">
        <v>520</v>
      </c>
      <c r="C276" s="5"/>
      <c r="D276" s="1">
        <f>IFERROR(INDEX([1]SamplingMethod!$A$2:$C$160,MATCH(B276,[1]SamplingMethod!$C$2:$C$160,FALSE),1),"")</f>
        <v>91</v>
      </c>
      <c r="E276" s="5" t="str">
        <f>IFERROR(INDEX([1]SamplingMethod!$A$2:$C$160,MATCH(B276,[1]SamplingMethod!$C$2:$C$160,FALSE),2),"")</f>
        <v>secm:ses230</v>
      </c>
      <c r="F276" t="str">
        <f>IFERROR(INDEX('collectionMethodDistinct'!$A$2:$A$646,MATCH(A276,'collectionMethodDistinct'!$A$2:$A$646,FALSE),1),"")</f>
        <v>grab&gt;shovel</v>
      </c>
    </row>
    <row r="277" spans="1:6" x14ac:dyDescent="0.25">
      <c r="A277" s="5" t="s">
        <v>266</v>
      </c>
      <c r="B277" s="5" t="s">
        <v>886</v>
      </c>
      <c r="C277" s="5"/>
      <c r="D277" s="1">
        <f>IFERROR(INDEX([1]SamplingMethod!$A$2:$C$160,MATCH(B277,[1]SamplingMethod!$C$2:$C$160,FALSE),1),"")</f>
        <v>46</v>
      </c>
      <c r="E277" s="5" t="str">
        <f>IFERROR(INDEX([1]SamplingMethod!$A$2:$C$160,MATCH(B277,[1]SamplingMethod!$C$2:$C$160,FALSE),2),"")</f>
        <v>secm:grab_smith_mcintyre</v>
      </c>
      <c r="F277" t="str">
        <f>IFERROR(INDEX('collectionMethodDistinct'!$A$2:$A$646,MATCH(A277,'collectionMethodDistinct'!$A$2:$A$646,FALSE),1),"")</f>
        <v>Grab&gt;SMG</v>
      </c>
    </row>
    <row r="278" spans="1:6" x14ac:dyDescent="0.25">
      <c r="A278" s="5" t="s">
        <v>267</v>
      </c>
      <c r="B278" s="5" t="s">
        <v>846</v>
      </c>
      <c r="C278" s="5"/>
      <c r="D278" s="1">
        <f>IFERROR(INDEX([1]SamplingMethod!$A$2:$C$160,MATCH(B278,[1]SamplingMethod!$C$2:$C$160,FALSE),1),"")</f>
        <v>125</v>
      </c>
      <c r="E278" s="5" t="str">
        <f>IFERROR(INDEX([1]SamplingMethod!$A$2:$C$160,MATCH(B278,[1]SamplingMethod!$C$2:$C$160,FALSE),2),"")</f>
        <v>secm:sm026</v>
      </c>
      <c r="F278" t="str">
        <f>IFERROR(INDEX('collectionMethodDistinct'!$A$2:$A$646,MATCH(A278,'collectionMethodDistinct'!$A$2:$A$646,FALSE),1),"")</f>
        <v>Gravity Core</v>
      </c>
    </row>
    <row r="279" spans="1:6" x14ac:dyDescent="0.25">
      <c r="A279" s="5" t="s">
        <v>268</v>
      </c>
      <c r="B279" s="5" t="s">
        <v>846</v>
      </c>
      <c r="C279" s="5"/>
      <c r="D279" s="1">
        <f>IFERROR(INDEX([1]SamplingMethod!$A$2:$C$160,MATCH(B279,[1]SamplingMethod!$C$2:$C$160,FALSE),1),"")</f>
        <v>125</v>
      </c>
      <c r="E279" s="5" t="str">
        <f>IFERROR(INDEX([1]SamplingMethod!$A$2:$C$160,MATCH(B279,[1]SamplingMethod!$C$2:$C$160,FALSE),2),"")</f>
        <v>secm:sm026</v>
      </c>
      <c r="F279" t="str">
        <f>IFERROR(INDEX('collectionMethodDistinct'!$A$2:$A$646,MATCH(A279,'collectionMethodDistinct'!$A$2:$A$646,FALSE),1),"")</f>
        <v>gravity corer</v>
      </c>
    </row>
    <row r="280" spans="1:6" x14ac:dyDescent="0.25">
      <c r="A280" s="5" t="s">
        <v>269</v>
      </c>
      <c r="B280" s="5" t="s">
        <v>846</v>
      </c>
      <c r="C280" s="5"/>
      <c r="D280" s="1">
        <f>IFERROR(INDEX([1]SamplingMethod!$A$2:$C$160,MATCH(B280,[1]SamplingMethod!$C$2:$C$160,FALSE),1),"")</f>
        <v>125</v>
      </c>
      <c r="E280" s="5" t="str">
        <f>IFERROR(INDEX([1]SamplingMethod!$A$2:$C$160,MATCH(B280,[1]SamplingMethod!$C$2:$C$160,FALSE),2),"")</f>
        <v>secm:sm026</v>
      </c>
      <c r="F280" t="str">
        <f>IFERROR(INDEX('collectionMethodDistinct'!$A$2:$A$646,MATCH(A280,'collectionMethodDistinct'!$A$2:$A$646,FALSE),1),"")</f>
        <v>gravity corer</v>
      </c>
    </row>
    <row r="281" spans="1:6" x14ac:dyDescent="0.25">
      <c r="A281" s="5" t="s">
        <v>270</v>
      </c>
      <c r="B281" s="5" t="s">
        <v>846</v>
      </c>
      <c r="C281" s="5"/>
      <c r="D281" s="1">
        <f>IFERROR(INDEX([1]SamplingMethod!$A$2:$C$160,MATCH(B281,[1]SamplingMethod!$C$2:$C$160,FALSE),1),"")</f>
        <v>125</v>
      </c>
      <c r="E281" s="5" t="str">
        <f>IFERROR(INDEX([1]SamplingMethod!$A$2:$C$160,MATCH(B281,[1]SamplingMethod!$C$2:$C$160,FALSE),2),"")</f>
        <v>secm:sm026</v>
      </c>
      <c r="F281" t="str">
        <f>IFERROR(INDEX('collectionMethodDistinct'!$A$2:$A$646,MATCH(A281,'collectionMethodDistinct'!$A$2:$A$646,FALSE),1),"")</f>
        <v>gravity corer</v>
      </c>
    </row>
    <row r="282" spans="1:6" x14ac:dyDescent="0.25">
      <c r="A282" s="5" t="s">
        <v>271</v>
      </c>
      <c r="B282" s="5" t="s">
        <v>846</v>
      </c>
      <c r="C282" s="5"/>
      <c r="D282" s="1">
        <f>IFERROR(INDEX([1]SamplingMethod!$A$2:$C$160,MATCH(B282,[1]SamplingMethod!$C$2:$C$160,FALSE),1),"")</f>
        <v>125</v>
      </c>
      <c r="E282" s="5" t="str">
        <f>IFERROR(INDEX([1]SamplingMethod!$A$2:$C$160,MATCH(B282,[1]SamplingMethod!$C$2:$C$160,FALSE),2),"")</f>
        <v>secm:sm026</v>
      </c>
      <c r="F282" t="str">
        <f>IFERROR(INDEX('collectionMethodDistinct'!$A$2:$A$646,MATCH(A282,'collectionMethodDistinct'!$A$2:$A$646,FALSE),1),"")</f>
        <v>Gravity corer pilot</v>
      </c>
    </row>
    <row r="283" spans="1:6" x14ac:dyDescent="0.25">
      <c r="A283" s="5" t="s">
        <v>272</v>
      </c>
      <c r="B283" s="5" t="s">
        <v>219</v>
      </c>
      <c r="C283" s="5"/>
      <c r="D283" s="1">
        <f>IFERROR(INDEX([1]SamplingMethod!$A$2:$C$160,MATCH(B283,[1]SamplingMethod!$C$2:$C$160,FALSE),1),"")</f>
        <v>38</v>
      </c>
      <c r="E283" s="5" t="str">
        <f>IFERROR(INDEX([1]SamplingMethod!$A$2:$C$160,MATCH(B283,[1]SamplingMethod!$C$2:$C$160,FALSE),2),"")</f>
        <v>secm:drilling</v>
      </c>
      <c r="F283" t="str">
        <f>IFERROR(INDEX('collectionMethodDistinct'!$A$2:$A$646,MATCH(A283,'collectionMethodDistinct'!$A$2:$A$646,FALSE),1),"")</f>
        <v>Gravity drilling</v>
      </c>
    </row>
    <row r="284" spans="1:6" x14ac:dyDescent="0.25">
      <c r="A284" s="5" t="s">
        <v>273</v>
      </c>
      <c r="B284" s="5" t="s">
        <v>846</v>
      </c>
      <c r="C284" s="5"/>
      <c r="D284" s="1">
        <f>IFERROR(INDEX([1]SamplingMethod!$A$2:$C$160,MATCH(B284,[1]SamplingMethod!$C$2:$C$160,FALSE),1),"")</f>
        <v>125</v>
      </c>
      <c r="E284" s="5" t="str">
        <f>IFERROR(INDEX([1]SamplingMethod!$A$2:$C$160,MATCH(B284,[1]SamplingMethod!$C$2:$C$160,FALSE),2),"")</f>
        <v>secm:sm026</v>
      </c>
      <c r="F284" t="str">
        <f>IFERROR(INDEX('collectionMethodDistinct'!$A$2:$A$646,MATCH(A284,'collectionMethodDistinct'!$A$2:$A$646,FALSE),1),"")</f>
        <v>GravityCorer</v>
      </c>
    </row>
    <row r="285" spans="1:6" x14ac:dyDescent="0.25">
      <c r="A285" s="5" t="s">
        <v>274</v>
      </c>
      <c r="B285" s="5" t="s">
        <v>607</v>
      </c>
      <c r="C285" s="5"/>
      <c r="D285" s="1">
        <f>IFERROR(INDEX([1]SamplingMethod!$A$2:$C$160,MATCH(B285,[1]SamplingMethod!$C$2:$C$160,FALSE),1),"")</f>
        <v>78</v>
      </c>
      <c r="E285" s="5" t="str">
        <f>IFERROR(INDEX([1]SamplingMethod!$A$2:$C$160,MATCH(B285,[1]SamplingMethod!$C$2:$C$160,FALSE),2),"")</f>
        <v>secm:ses216</v>
      </c>
      <c r="F285" t="str">
        <f>IFERROR(INDEX('collectionMethodDistinct'!$A$2:$A$646,MATCH(A285,'collectionMethodDistinct'!$A$2:$A$646,FALSE),1),"")</f>
        <v>hammer</v>
      </c>
    </row>
    <row r="286" spans="1:6" x14ac:dyDescent="0.25">
      <c r="A286" s="5" t="s">
        <v>275</v>
      </c>
      <c r="B286" s="5" t="s">
        <v>607</v>
      </c>
      <c r="C286" s="5"/>
      <c r="D286" s="1">
        <f>IFERROR(INDEX([1]SamplingMethod!$A$2:$C$160,MATCH(B286,[1]SamplingMethod!$C$2:$C$160,FALSE),1),"")</f>
        <v>78</v>
      </c>
      <c r="E286" s="5" t="str">
        <f>IFERROR(INDEX([1]SamplingMethod!$A$2:$C$160,MATCH(B286,[1]SamplingMethod!$C$2:$C$160,FALSE),2),"")</f>
        <v>secm:ses216</v>
      </c>
      <c r="F286" t="str">
        <f>IFERROR(INDEX('collectionMethodDistinct'!$A$2:$A$646,MATCH(A286,'collectionMethodDistinct'!$A$2:$A$646,FALSE),1),"")</f>
        <v>hammer</v>
      </c>
    </row>
    <row r="287" spans="1:6" x14ac:dyDescent="0.25">
      <c r="A287" s="5" t="s">
        <v>276</v>
      </c>
      <c r="B287" s="5" t="s">
        <v>607</v>
      </c>
      <c r="C287" s="5"/>
      <c r="D287" s="1">
        <f>IFERROR(INDEX([1]SamplingMethod!$A$2:$C$160,MATCH(B287,[1]SamplingMethod!$C$2:$C$160,FALSE),1),"")</f>
        <v>78</v>
      </c>
      <c r="E287" s="5" t="str">
        <f>IFERROR(INDEX([1]SamplingMethod!$A$2:$C$160,MATCH(B287,[1]SamplingMethod!$C$2:$C$160,FALSE),2),"")</f>
        <v>secm:ses216</v>
      </c>
      <c r="F287" t="str">
        <f>IFERROR(INDEX('collectionMethodDistinct'!$A$2:$A$646,MATCH(A287,'collectionMethodDistinct'!$A$2:$A$646,FALSE),1),"")</f>
        <v>Hammer &amp; Chisel</v>
      </c>
    </row>
    <row r="288" spans="1:6" x14ac:dyDescent="0.25">
      <c r="A288" s="5" t="s">
        <v>277</v>
      </c>
      <c r="B288" s="5" t="s">
        <v>607</v>
      </c>
      <c r="C288" s="5"/>
      <c r="D288" s="1">
        <f>IFERROR(INDEX([1]SamplingMethod!$A$2:$C$160,MATCH(B288,[1]SamplingMethod!$C$2:$C$160,FALSE),1),"")</f>
        <v>78</v>
      </c>
      <c r="E288" s="5" t="str">
        <f>IFERROR(INDEX([1]SamplingMethod!$A$2:$C$160,MATCH(B288,[1]SamplingMethod!$C$2:$C$160,FALSE),2),"")</f>
        <v>secm:ses216</v>
      </c>
      <c r="F288" t="str">
        <f>IFERROR(INDEX('collectionMethodDistinct'!$A$2:$A$646,MATCH(A288,'collectionMethodDistinct'!$A$2:$A$646,FALSE),1),"")</f>
        <v>hammer and chisel</v>
      </c>
    </row>
    <row r="289" spans="1:6" x14ac:dyDescent="0.25">
      <c r="A289" s="5" t="s">
        <v>278</v>
      </c>
      <c r="B289" s="5" t="s">
        <v>607</v>
      </c>
      <c r="C289" s="5"/>
      <c r="D289" s="1">
        <f>IFERROR(INDEX([1]SamplingMethod!$A$2:$C$160,MATCH(B289,[1]SamplingMethod!$C$2:$C$160,FALSE),1),"")</f>
        <v>78</v>
      </c>
      <c r="E289" s="5" t="str">
        <f>IFERROR(INDEX([1]SamplingMethod!$A$2:$C$160,MATCH(B289,[1]SamplingMethod!$C$2:$C$160,FALSE),2),"")</f>
        <v>secm:ses216</v>
      </c>
      <c r="F289" t="str">
        <f>IFERROR(INDEX('collectionMethodDistinct'!$A$2:$A$646,MATCH(A289,'collectionMethodDistinct'!$A$2:$A$646,FALSE),1),"")</f>
        <v>hammer and chisel</v>
      </c>
    </row>
    <row r="290" spans="1:6" x14ac:dyDescent="0.25">
      <c r="A290" s="5" t="s">
        <v>279</v>
      </c>
      <c r="B290" s="5" t="s">
        <v>607</v>
      </c>
      <c r="C290" s="5"/>
      <c r="D290" s="1">
        <f>IFERROR(INDEX([1]SamplingMethod!$A$2:$C$160,MATCH(B290,[1]SamplingMethod!$C$2:$C$160,FALSE),1),"")</f>
        <v>78</v>
      </c>
      <c r="E290" s="5" t="str">
        <f>IFERROR(INDEX([1]SamplingMethod!$A$2:$C$160,MATCH(B290,[1]SamplingMethod!$C$2:$C$160,FALSE),2),"")</f>
        <v>secm:ses216</v>
      </c>
      <c r="F290" t="str">
        <f>IFERROR(INDEX('collectionMethodDistinct'!$A$2:$A$646,MATCH(A290,'collectionMethodDistinct'!$A$2:$A$646,FALSE),1),"")</f>
        <v>Hammering, hand</v>
      </c>
    </row>
    <row r="291" spans="1:6" x14ac:dyDescent="0.25">
      <c r="A291" s="5" t="s">
        <v>280</v>
      </c>
      <c r="B291" s="5" t="s">
        <v>609</v>
      </c>
      <c r="C291" s="5"/>
      <c r="D291" s="1">
        <f>IFERROR(INDEX([1]SamplingMethod!$A$2:$C$160,MATCH(B291,[1]SamplingMethod!$C$2:$C$160,FALSE),1),"")</f>
        <v>80</v>
      </c>
      <c r="E291" s="5" t="str">
        <f>IFERROR(INDEX([1]SamplingMethod!$A$2:$C$160,MATCH(B291,[1]SamplingMethod!$C$2:$C$160,FALSE),2),"")</f>
        <v>secm:ses218</v>
      </c>
      <c r="F291" t="str">
        <f>IFERROR(INDEX('collectionMethodDistinct'!$A$2:$A$646,MATCH(A291,'collectionMethodDistinct'!$A$2:$A$646,FALSE),1),"")</f>
        <v>hand</v>
      </c>
    </row>
    <row r="292" spans="1:6" x14ac:dyDescent="0.25">
      <c r="A292" s="5" t="s">
        <v>281</v>
      </c>
      <c r="B292" s="5" t="s">
        <v>609</v>
      </c>
      <c r="C292" s="5"/>
      <c r="D292" s="1">
        <f>IFERROR(INDEX([1]SamplingMethod!$A$2:$C$160,MATCH(B292,[1]SamplingMethod!$C$2:$C$160,FALSE),1),"")</f>
        <v>80</v>
      </c>
      <c r="E292" s="5" t="str">
        <f>IFERROR(INDEX([1]SamplingMethod!$A$2:$C$160,MATCH(B292,[1]SamplingMethod!$C$2:$C$160,FALSE),2),"")</f>
        <v>secm:ses218</v>
      </c>
      <c r="F292" t="str">
        <f>IFERROR(INDEX('collectionMethodDistinct'!$A$2:$A$646,MATCH(A292,'collectionMethodDistinct'!$A$2:$A$646,FALSE),1),"")</f>
        <v>hand</v>
      </c>
    </row>
    <row r="293" spans="1:6" x14ac:dyDescent="0.25">
      <c r="A293" s="5" t="s">
        <v>282</v>
      </c>
      <c r="B293" s="5" t="s">
        <v>282</v>
      </c>
      <c r="C293" s="5"/>
      <c r="D293" s="1">
        <f>IFERROR(INDEX([1]SamplingMethod!$A$2:$C$160,MATCH(B293,[1]SamplingMethod!$C$2:$C$160,FALSE),1),"")</f>
        <v>79</v>
      </c>
      <c r="E293" s="5" t="str">
        <f>IFERROR(INDEX([1]SamplingMethod!$A$2:$C$160,MATCH(B293,[1]SamplingMethod!$C$2:$C$160,FALSE),2),"")</f>
        <v>secm:ses217</v>
      </c>
      <c r="F293" t="str">
        <f>IFERROR(INDEX('collectionMethodDistinct'!$A$2:$A$646,MATCH(A293,'collectionMethodDistinct'!$A$2:$A$646,FALSE),1),"")</f>
        <v>Hand auger</v>
      </c>
    </row>
    <row r="294" spans="1:6" x14ac:dyDescent="0.25">
      <c r="A294" s="5" t="s">
        <v>283</v>
      </c>
      <c r="B294" s="5" t="s">
        <v>282</v>
      </c>
      <c r="C294" s="5"/>
      <c r="D294" s="1">
        <f>IFERROR(INDEX([1]SamplingMethod!$A$2:$C$160,MATCH(B294,[1]SamplingMethod!$C$2:$C$160,FALSE),1),"")</f>
        <v>79</v>
      </c>
      <c r="E294" s="5" t="str">
        <f>IFERROR(INDEX([1]SamplingMethod!$A$2:$C$160,MATCH(B294,[1]SamplingMethod!$C$2:$C$160,FALSE),2),"")</f>
        <v>secm:ses217</v>
      </c>
      <c r="F294" t="str">
        <f>IFERROR(INDEX('collectionMethodDistinct'!$A$2:$A$646,MATCH(A294,'collectionMethodDistinct'!$A$2:$A$646,FALSE),1),"")</f>
        <v>Hand auger</v>
      </c>
    </row>
    <row r="295" spans="1:6" x14ac:dyDescent="0.25">
      <c r="A295" s="5" t="s">
        <v>284</v>
      </c>
      <c r="B295" s="5" t="s">
        <v>282</v>
      </c>
      <c r="C295" s="5"/>
      <c r="D295" s="1">
        <f>IFERROR(INDEX([1]SamplingMethod!$A$2:$C$160,MATCH(B295,[1]SamplingMethod!$C$2:$C$160,FALSE),1),"")</f>
        <v>79</v>
      </c>
      <c r="E295" s="5" t="str">
        <f>IFERROR(INDEX([1]SamplingMethod!$A$2:$C$160,MATCH(B295,[1]SamplingMethod!$C$2:$C$160,FALSE),2),"")</f>
        <v>secm:ses217</v>
      </c>
      <c r="F295" t="str">
        <f>IFERROR(INDEX('collectionMethodDistinct'!$A$2:$A$646,MATCH(A295,'collectionMethodDistinct'!$A$2:$A$646,FALSE),1),"")</f>
        <v>Hand augering</v>
      </c>
    </row>
    <row r="296" spans="1:6" x14ac:dyDescent="0.25">
      <c r="A296" s="5" t="s">
        <v>285</v>
      </c>
      <c r="B296" s="5" t="s">
        <v>282</v>
      </c>
      <c r="C296" s="5"/>
      <c r="D296" s="1">
        <f>IFERROR(INDEX([1]SamplingMethod!$A$2:$C$160,MATCH(B296,[1]SamplingMethod!$C$2:$C$160,FALSE),1),"")</f>
        <v>79</v>
      </c>
      <c r="E296" s="5" t="str">
        <f>IFERROR(INDEX([1]SamplingMethod!$A$2:$C$160,MATCH(B296,[1]SamplingMethod!$C$2:$C$160,FALSE),2),"")</f>
        <v>secm:ses217</v>
      </c>
      <c r="F296" t="str">
        <f>IFERROR(INDEX('collectionMethodDistinct'!$A$2:$A$646,MATCH(A296,'collectionMethodDistinct'!$A$2:$A$646,FALSE),1),"")</f>
        <v>Hand augering</v>
      </c>
    </row>
    <row r="297" spans="1:6" x14ac:dyDescent="0.25">
      <c r="A297" s="5" t="s">
        <v>286</v>
      </c>
      <c r="B297" s="5" t="s">
        <v>282</v>
      </c>
      <c r="C297" s="5"/>
      <c r="D297" s="1">
        <f>IFERROR(INDEX([1]SamplingMethod!$A$2:$C$160,MATCH(B297,[1]SamplingMethod!$C$2:$C$160,FALSE),1),"")</f>
        <v>79</v>
      </c>
      <c r="E297" s="5" t="str">
        <f>IFERROR(INDEX([1]SamplingMethod!$A$2:$C$160,MATCH(B297,[1]SamplingMethod!$C$2:$C$160,FALSE),2),"")</f>
        <v>secm:ses217</v>
      </c>
      <c r="F297" t="str">
        <f>IFERROR(INDEX('collectionMethodDistinct'!$A$2:$A$646,MATCH(A297,'collectionMethodDistinct'!$A$2:$A$646,FALSE),1),"")</f>
        <v>Hand Auguring</v>
      </c>
    </row>
    <row r="298" spans="1:6" x14ac:dyDescent="0.25">
      <c r="A298" t="s">
        <v>942</v>
      </c>
      <c r="B298" s="5" t="s">
        <v>874</v>
      </c>
      <c r="D298" s="1">
        <f>IFERROR(INDEX([1]SamplingMethod!$A$2:$C$160,MATCH(B298,[1]SamplingMethod!$C$2:$C$160,FALSE),1),"")</f>
        <v>15</v>
      </c>
      <c r="E298" s="5" t="str">
        <f>IFERROR(INDEX([1]SamplingMethod!$A$2:$C$160,MATCH(B298,[1]SamplingMethod!$C$2:$C$160,FALSE),2),"")</f>
        <v>secm:bottlesampling</v>
      </c>
      <c r="F298" t="str">
        <f>IFERROR(INDEX('collectionMethodDistinct'!$A$2:$A$646,MATCH(A298,'collectionMethodDistinct'!$A$2:$A$646,FALSE),1),"")</f>
        <v>hand bottle fill</v>
      </c>
    </row>
    <row r="299" spans="1:6" x14ac:dyDescent="0.25">
      <c r="A299" s="5" t="s">
        <v>287</v>
      </c>
      <c r="B299" s="5" t="s">
        <v>656</v>
      </c>
      <c r="C299" s="5"/>
      <c r="D299" s="1">
        <f>IFERROR(INDEX([1]SamplingMethod!$A$2:$C$160,MATCH(B299,[1]SamplingMethod!$C$2:$C$160,FALSE),1),"")</f>
        <v>105</v>
      </c>
      <c r="E299" s="5" t="str">
        <f>IFERROR(INDEX([1]SamplingMethod!$A$2:$C$160,MATCH(B299,[1]SamplingMethod!$C$2:$C$160,FALSE),2),"")</f>
        <v>secm:sm007</v>
      </c>
      <c r="F299" t="str">
        <f>IFERROR(INDEX('collectionMethodDistinct'!$A$2:$A$646,MATCH(A299,'collectionMethodDistinct'!$A$2:$A$646,FALSE),1),"")</f>
        <v>hand core</v>
      </c>
    </row>
    <row r="300" spans="1:6" x14ac:dyDescent="0.25">
      <c r="A300" s="5" t="s">
        <v>288</v>
      </c>
      <c r="B300" s="5" t="s">
        <v>866</v>
      </c>
      <c r="C300" s="5"/>
      <c r="D300" s="1">
        <f>IFERROR(INDEX([1]SamplingMethod!$A$2:$C$160,MATCH(B300,[1]SamplingMethod!$C$2:$C$160,FALSE),1),"")</f>
        <v>133</v>
      </c>
      <c r="E300" s="5" t="str">
        <f>IFERROR(INDEX([1]SamplingMethod!$A$2:$C$160,MATCH(B300,[1]SamplingMethod!$C$2:$C$160,FALSE),2),"")</f>
        <v>secm:sm034</v>
      </c>
      <c r="F300" t="str">
        <f>IFERROR(INDEX('collectionMethodDistinct'!$A$2:$A$646,MATCH(A300,'collectionMethodDistinct'!$A$2:$A$646,FALSE),1),"")</f>
        <v>Hand dug soil pit</v>
      </c>
    </row>
    <row r="301" spans="1:6" x14ac:dyDescent="0.25">
      <c r="A301" s="5" t="s">
        <v>289</v>
      </c>
      <c r="B301" s="5" t="s">
        <v>609</v>
      </c>
      <c r="C301" s="5"/>
      <c r="D301" s="1">
        <f>IFERROR(INDEX([1]SamplingMethod!$A$2:$C$160,MATCH(B301,[1]SamplingMethod!$C$2:$C$160,FALSE),1),"")</f>
        <v>80</v>
      </c>
      <c r="E301" s="5" t="str">
        <f>IFERROR(INDEX([1]SamplingMethod!$A$2:$C$160,MATCH(B301,[1]SamplingMethod!$C$2:$C$160,FALSE),2),"")</f>
        <v>secm:ses218</v>
      </c>
      <c r="F301" t="str">
        <f>IFERROR(INDEX('collectionMethodDistinct'!$A$2:$A$646,MATCH(A301,'collectionMethodDistinct'!$A$2:$A$646,FALSE),1),"")</f>
        <v>Hand Intertidal</v>
      </c>
    </row>
    <row r="302" spans="1:6" x14ac:dyDescent="0.25">
      <c r="A302" s="5" t="s">
        <v>290</v>
      </c>
      <c r="B302" s="5" t="s">
        <v>609</v>
      </c>
      <c r="C302" s="5"/>
      <c r="D302" s="1">
        <f>IFERROR(INDEX([1]SamplingMethod!$A$2:$C$160,MATCH(B302,[1]SamplingMethod!$C$2:$C$160,FALSE),1),"")</f>
        <v>80</v>
      </c>
      <c r="E302" s="5" t="str">
        <f>IFERROR(INDEX([1]SamplingMethod!$A$2:$C$160,MATCH(B302,[1]SamplingMethod!$C$2:$C$160,FALSE),2),"")</f>
        <v>secm:ses218</v>
      </c>
      <c r="F302" t="str">
        <f>IFERROR(INDEX('collectionMethodDistinct'!$A$2:$A$646,MATCH(A302,'collectionMethodDistinct'!$A$2:$A$646,FALSE),1),"")</f>
        <v>hand sample</v>
      </c>
    </row>
    <row r="303" spans="1:6" x14ac:dyDescent="0.25">
      <c r="A303" s="5" t="s">
        <v>291</v>
      </c>
      <c r="B303" s="5" t="s">
        <v>609</v>
      </c>
      <c r="C303" s="5"/>
      <c r="D303" s="1">
        <f>IFERROR(INDEX([1]SamplingMethod!$A$2:$C$160,MATCH(B303,[1]SamplingMethod!$C$2:$C$160,FALSE),1),"")</f>
        <v>80</v>
      </c>
      <c r="E303" s="5" t="str">
        <f>IFERROR(INDEX([1]SamplingMethod!$A$2:$C$160,MATCH(B303,[1]SamplingMethod!$C$2:$C$160,FALSE),2),"")</f>
        <v>secm:ses218</v>
      </c>
      <c r="F303" t="str">
        <f>IFERROR(INDEX('collectionMethodDistinct'!$A$2:$A$646,MATCH(A303,'collectionMethodDistinct'!$A$2:$A$646,FALSE),1),"")</f>
        <v>hand sample</v>
      </c>
    </row>
    <row r="304" spans="1:6" x14ac:dyDescent="0.25">
      <c r="A304" s="5" t="s">
        <v>292</v>
      </c>
      <c r="B304" s="5" t="s">
        <v>609</v>
      </c>
      <c r="C304" s="5"/>
      <c r="D304" s="1">
        <f>IFERROR(INDEX([1]SamplingMethod!$A$2:$C$160,MATCH(B304,[1]SamplingMethod!$C$2:$C$160,FALSE),1),"")</f>
        <v>80</v>
      </c>
      <c r="E304" s="5" t="str">
        <f>IFERROR(INDEX([1]SamplingMethod!$A$2:$C$160,MATCH(B304,[1]SamplingMethod!$C$2:$C$160,FALSE),2),"")</f>
        <v>secm:ses218</v>
      </c>
      <c r="F304" t="str">
        <f>IFERROR(INDEX('collectionMethodDistinct'!$A$2:$A$646,MATCH(A304,'collectionMethodDistinct'!$A$2:$A$646,FALSE),1),"")</f>
        <v>hand sample</v>
      </c>
    </row>
    <row r="305" spans="1:6" x14ac:dyDescent="0.25">
      <c r="A305" s="5" t="s">
        <v>293</v>
      </c>
      <c r="B305" s="5" t="s">
        <v>693</v>
      </c>
      <c r="C305" s="5"/>
      <c r="D305" s="1">
        <f>IFERROR(INDEX([1]SamplingMethod!$A$2:$C$160,MATCH(B305,[1]SamplingMethod!$C$2:$C$160,FALSE),1),"")</f>
        <v>115</v>
      </c>
      <c r="E305" s="5" t="str">
        <f>IFERROR(INDEX([1]SamplingMethod!$A$2:$C$160,MATCH(B305,[1]SamplingMethod!$C$2:$C$160,FALSE),2),"")</f>
        <v>secm:sm016</v>
      </c>
      <c r="F305" t="str">
        <f>IFERROR(INDEX('collectionMethodDistinct'!$A$2:$A$646,MATCH(A305,'collectionMethodDistinct'!$A$2:$A$646,FALSE),1),"")</f>
        <v>Hand sample collected from outcrop</v>
      </c>
    </row>
    <row r="306" spans="1:6" x14ac:dyDescent="0.25">
      <c r="A306" s="5" t="s">
        <v>294</v>
      </c>
      <c r="B306" s="5" t="s">
        <v>693</v>
      </c>
      <c r="C306" s="5"/>
      <c r="D306" s="1">
        <f>IFERROR(INDEX([1]SamplingMethod!$A$2:$C$160,MATCH(B306,[1]SamplingMethod!$C$2:$C$160,FALSE),1),"")</f>
        <v>115</v>
      </c>
      <c r="E306" s="5" t="str">
        <f>IFERROR(INDEX([1]SamplingMethod!$A$2:$C$160,MATCH(B306,[1]SamplingMethod!$C$2:$C$160,FALSE),2),"")</f>
        <v>secm:sm016</v>
      </c>
      <c r="F306" t="str">
        <f>IFERROR(INDEX('collectionMethodDistinct'!$A$2:$A$646,MATCH(A306,'collectionMethodDistinct'!$A$2:$A$646,FALSE),1),"")</f>
        <v>hand sample from outcrop</v>
      </c>
    </row>
    <row r="307" spans="1:6" x14ac:dyDescent="0.25">
      <c r="A307" t="s">
        <v>941</v>
      </c>
      <c r="B307" s="5" t="s">
        <v>609</v>
      </c>
      <c r="D307" s="1">
        <f>IFERROR(INDEX([1]SamplingMethod!$A$2:$C$160,MATCH(B307,[1]SamplingMethod!$C$2:$C$160,FALSE),1),"")</f>
        <v>80</v>
      </c>
      <c r="E307" s="5" t="str">
        <f>IFERROR(INDEX([1]SamplingMethod!$A$2:$C$160,MATCH(B307,[1]SamplingMethod!$C$2:$C$160,FALSE),2),"")</f>
        <v>secm:ses218</v>
      </c>
      <c r="F307" t="str">
        <f>IFERROR(INDEX('collectionMethodDistinct'!$A$2:$A$646,MATCH(A307,'collectionMethodDistinct'!$A$2:$A$646,FALSE),1),"")</f>
        <v>hand sampling</v>
      </c>
    </row>
    <row r="308" spans="1:6" x14ac:dyDescent="0.25">
      <c r="A308" s="7" t="s">
        <v>295</v>
      </c>
      <c r="B308" s="5" t="s">
        <v>520</v>
      </c>
      <c r="C308" s="5"/>
      <c r="D308" s="1">
        <f>IFERROR(INDEX([1]SamplingMethod!$A$2:$C$160,MATCH(B308,[1]SamplingMethod!$C$2:$C$160,FALSE),1),"")</f>
        <v>91</v>
      </c>
      <c r="E308" s="5" t="str">
        <f>IFERROR(INDEX([1]SamplingMethod!$A$2:$C$160,MATCH(B308,[1]SamplingMethod!$C$2:$C$160,FALSE),2),"")</f>
        <v>secm:ses230</v>
      </c>
      <c r="F308" t="str">
        <f>IFERROR(INDEX('collectionMethodDistinct'!$A$2:$A$646,MATCH(A308,'collectionMethodDistinct'!$A$2:$A$646,FALSE),1),"")</f>
        <v>Hand shovel</v>
      </c>
    </row>
    <row r="309" spans="1:6" x14ac:dyDescent="0.25">
      <c r="A309" s="5" t="s">
        <v>296</v>
      </c>
      <c r="B309" s="5" t="s">
        <v>520</v>
      </c>
      <c r="C309" s="5"/>
      <c r="D309" s="1">
        <f>IFERROR(INDEX([1]SamplingMethod!$A$2:$C$160,MATCH(B309,[1]SamplingMethod!$C$2:$C$160,FALSE),1),"")</f>
        <v>91</v>
      </c>
      <c r="E309" s="5" t="str">
        <f>IFERROR(INDEX([1]SamplingMethod!$A$2:$C$160,MATCH(B309,[1]SamplingMethod!$C$2:$C$160,FALSE),2),"")</f>
        <v>secm:ses230</v>
      </c>
      <c r="F309" t="str">
        <f>IFERROR(INDEX('collectionMethodDistinct'!$A$2:$A$646,MATCH(A309,'collectionMethodDistinct'!$A$2:$A$646,FALSE),1),"")</f>
        <v>hand shovel, 0 - 4cm below land surface</v>
      </c>
    </row>
    <row r="310" spans="1:6" x14ac:dyDescent="0.25">
      <c r="A310" s="7" t="s">
        <v>297</v>
      </c>
      <c r="B310" s="5" t="s">
        <v>520</v>
      </c>
      <c r="C310" s="5"/>
      <c r="D310" s="1">
        <f>IFERROR(INDEX([1]SamplingMethod!$A$2:$C$160,MATCH(B310,[1]SamplingMethod!$C$2:$C$160,FALSE),1),"")</f>
        <v>91</v>
      </c>
      <c r="E310" s="5" t="str">
        <f>IFERROR(INDEX([1]SamplingMethod!$A$2:$C$160,MATCH(B310,[1]SamplingMethod!$C$2:$C$160,FALSE),2),"")</f>
        <v>secm:ses230</v>
      </c>
      <c r="F310" t="str">
        <f>IFERROR(INDEX('collectionMethodDistinct'!$A$2:$A$646,MATCH(A310,'collectionMethodDistinct'!$A$2:$A$646,FALSE),1),"")</f>
        <v>hand shovel, 0 - 7 cm below land surface</v>
      </c>
    </row>
    <row r="311" spans="1:6" x14ac:dyDescent="0.25">
      <c r="A311" s="5" t="s">
        <v>298</v>
      </c>
      <c r="B311" s="5" t="s">
        <v>282</v>
      </c>
      <c r="C311" s="5"/>
      <c r="D311" s="1">
        <f>IFERROR(INDEX([1]SamplingMethod!$A$2:$C$160,MATCH(B311,[1]SamplingMethod!$C$2:$C$160,FALSE),1),"")</f>
        <v>79</v>
      </c>
      <c r="E311" s="5" t="str">
        <f>IFERROR(INDEX([1]SamplingMethod!$A$2:$C$160,MATCH(B311,[1]SamplingMethod!$C$2:$C$160,FALSE),2),"")</f>
        <v>secm:ses217</v>
      </c>
      <c r="F311" t="str">
        <f>IFERROR(INDEX('collectionMethodDistinct'!$A$2:$A$646,MATCH(A311,'collectionMethodDistinct'!$A$2:$A$646,FALSE),1),"")</f>
        <v>hand-drill</v>
      </c>
    </row>
    <row r="312" spans="1:6" x14ac:dyDescent="0.25">
      <c r="A312" s="5" t="s">
        <v>299</v>
      </c>
      <c r="B312" s="5" t="s">
        <v>282</v>
      </c>
      <c r="C312" s="5"/>
      <c r="D312" s="1">
        <f>IFERROR(INDEX([1]SamplingMethod!$A$2:$C$160,MATCH(B312,[1]SamplingMethod!$C$2:$C$160,FALSE),1),"")</f>
        <v>79</v>
      </c>
      <c r="E312" s="5" t="str">
        <f>IFERROR(INDEX([1]SamplingMethod!$A$2:$C$160,MATCH(B312,[1]SamplingMethod!$C$2:$C$160,FALSE),2),"")</f>
        <v>secm:ses217</v>
      </c>
      <c r="F312" t="str">
        <f>IFERROR(INDEX('collectionMethodDistinct'!$A$2:$A$646,MATCH(A312,'collectionMethodDistinct'!$A$2:$A$646,FALSE),1),"")</f>
        <v>hand-drill</v>
      </c>
    </row>
    <row r="313" spans="1:6" x14ac:dyDescent="0.25">
      <c r="A313" s="5" t="s">
        <v>300</v>
      </c>
      <c r="B313" s="5" t="s">
        <v>656</v>
      </c>
      <c r="C313" s="5"/>
      <c r="D313" s="1">
        <f>IFERROR(INDEX([1]SamplingMethod!$A$2:$C$160,MATCH(B313,[1]SamplingMethod!$C$2:$C$160,FALSE),1),"")</f>
        <v>105</v>
      </c>
      <c r="E313" s="5" t="str">
        <f>IFERROR(INDEX([1]SamplingMethod!$A$2:$C$160,MATCH(B313,[1]SamplingMethod!$C$2:$C$160,FALSE),2),"")</f>
        <v>secm:sm007</v>
      </c>
      <c r="F313" t="str">
        <f>IFERROR(INDEX('collectionMethodDistinct'!$A$2:$A$646,MATCH(A313,'collectionMethodDistinct'!$A$2:$A$646,FALSE),1),"")</f>
        <v>HandHeldCorer</v>
      </c>
    </row>
    <row r="314" spans="1:6" x14ac:dyDescent="0.25">
      <c r="A314" s="5" t="s">
        <v>910</v>
      </c>
      <c r="B314" s="5" t="s">
        <v>857</v>
      </c>
      <c r="C314" s="5"/>
      <c r="D314" s="1">
        <f>IFERROR(INDEX([1]SamplingMethod!$A$2:$C$160,MATCH(B314,[1]SamplingMethod!$C$2:$C$160,FALSE),1),"")</f>
        <v>149</v>
      </c>
      <c r="E314" s="5" t="str">
        <f>IFERROR(INDEX([1]SamplingMethod!$A$2:$C$160,MATCH(B314,[1]SamplingMethod!$C$2:$C$160,FALSE),2),"")</f>
        <v>secm:trawlsampling</v>
      </c>
      <c r="F314" t="str">
        <f>IFERROR(INDEX('collectionMethodDistinct'!$A$2:$A$646,MATCH(A314,'collectionMethodDistinct'!$A$2:$A$646,FALSE),1),"")</f>
        <v>Hand-net (100 µm mesh size)</v>
      </c>
    </row>
    <row r="315" spans="1:6" x14ac:dyDescent="0.25">
      <c r="A315" t="s">
        <v>943</v>
      </c>
      <c r="B315" s="5" t="s">
        <v>609</v>
      </c>
      <c r="D315" s="1">
        <f>IFERROR(INDEX([1]SamplingMethod!$A$2:$C$160,MATCH(B315,[1]SamplingMethod!$C$2:$C$160,FALSE),1),"")</f>
        <v>80</v>
      </c>
      <c r="E315" s="5" t="str">
        <f>IFERROR(INDEX([1]SamplingMethod!$A$2:$C$160,MATCH(B315,[1]SamplingMethod!$C$2:$C$160,FALSE),2),"")</f>
        <v>secm:ses218</v>
      </c>
      <c r="F315" t="str">
        <f>IFERROR(INDEX('collectionMethodDistinct'!$A$2:$A$646,MATCH(A315,'collectionMethodDistinct'!$A$2:$A$646,FALSE),1),"")</f>
        <v>hand-picked clasts</v>
      </c>
    </row>
    <row r="316" spans="1:6" x14ac:dyDescent="0.25">
      <c r="A316" s="5" t="s">
        <v>301</v>
      </c>
      <c r="B316" s="5" t="s">
        <v>609</v>
      </c>
      <c r="C316" s="5"/>
      <c r="D316" s="1">
        <f>IFERROR(INDEX([1]SamplingMethod!$A$2:$C$160,MATCH(B316,[1]SamplingMethod!$C$2:$C$160,FALSE),1),"")</f>
        <v>80</v>
      </c>
      <c r="E316" s="5" t="str">
        <f>IFERROR(INDEX([1]SamplingMethod!$A$2:$C$160,MATCH(B316,[1]SamplingMethod!$C$2:$C$160,FALSE),2),"")</f>
        <v>secm:ses218</v>
      </c>
      <c r="F316" t="str">
        <f>IFERROR(INDEX('collectionMethodDistinct'!$A$2:$A$646,MATCH(A316,'collectionMethodDistinct'!$A$2:$A$646,FALSE),1),"")</f>
        <v>HandSpecimen</v>
      </c>
    </row>
    <row r="317" spans="1:6" x14ac:dyDescent="0.25">
      <c r="A317" s="5" t="s">
        <v>302</v>
      </c>
      <c r="B317" s="5" t="s">
        <v>855</v>
      </c>
      <c r="C317" s="5"/>
      <c r="D317" s="1">
        <f>IFERROR(INDEX([1]SamplingMethod!$A$2:$C$160,MATCH(B317,[1]SamplingMethod!$C$2:$C$160,FALSE),1),"")</f>
        <v>111</v>
      </c>
      <c r="E317" s="5" t="str">
        <f>IFERROR(INDEX([1]SamplingMethod!$A$2:$C$160,MATCH(B317,[1]SamplingMethod!$C$2:$C$160,FALSE),2),"")</f>
        <v>secm:sm013</v>
      </c>
      <c r="F317" t="str">
        <f>IFERROR(INDEX('collectionMethodDistinct'!$A$2:$A$646,MATCH(A317,'collectionMethodDistinct'!$A$2:$A$646,FALSE),1),"")</f>
        <v>Headspace equilibration method</v>
      </c>
    </row>
    <row r="318" spans="1:6" x14ac:dyDescent="0.25">
      <c r="A318" s="5" t="s">
        <v>303</v>
      </c>
      <c r="B318" s="5" t="s">
        <v>889</v>
      </c>
      <c r="C318" s="5"/>
      <c r="D318" s="1">
        <f>IFERROR(INDEX([1]SamplingMethod!$A$2:$C$160,MATCH(B318,[1]SamplingMethod!$C$2:$C$160,FALSE),1),"")</f>
        <v>36</v>
      </c>
      <c r="E318" s="5" t="str">
        <f>IFERROR(INDEX([1]SamplingMethod!$A$2:$C$160,MATCH(B318,[1]SamplingMethod!$C$2:$C$160,FALSE),2),"")</f>
        <v>secm:densityseparation</v>
      </c>
      <c r="F318" t="str">
        <f>IFERROR(INDEX('collectionMethodDistinct'!$A$2:$A$646,MATCH(A318,'collectionMethodDistinct'!$A$2:$A$646,FALSE),1),"")</f>
        <v>Heavy liquid separation</v>
      </c>
    </row>
    <row r="319" spans="1:6" x14ac:dyDescent="0.25">
      <c r="A319" s="5" t="s">
        <v>304</v>
      </c>
      <c r="B319" s="5" t="s">
        <v>866</v>
      </c>
      <c r="C319" s="5"/>
      <c r="D319" s="1">
        <f>IFERROR(INDEX([1]SamplingMethod!$A$2:$C$160,MATCH(B319,[1]SamplingMethod!$C$2:$C$160,FALSE),1),"")</f>
        <v>133</v>
      </c>
      <c r="E319" s="5" t="str">
        <f>IFERROR(INDEX([1]SamplingMethod!$A$2:$C$160,MATCH(B319,[1]SamplingMethod!$C$2:$C$160,FALSE),2),"")</f>
        <v>secm:sm034</v>
      </c>
      <c r="F319" t="str">
        <f>IFERROR(INDEX('collectionMethodDistinct'!$A$2:$A$646,MATCH(A319,'collectionMethodDistinct'!$A$2:$A$646,FALSE),1),"")</f>
        <v/>
      </c>
    </row>
    <row r="320" spans="1:6" x14ac:dyDescent="0.25">
      <c r="A320" s="5" t="s">
        <v>305</v>
      </c>
      <c r="B320" s="5" t="s">
        <v>858</v>
      </c>
      <c r="C320" s="5"/>
      <c r="D320" s="1">
        <f>IFERROR(INDEX([1]SamplingMethod!$A$2:$C$160,MATCH(B320,[1]SamplingMethod!$C$2:$C$160,FALSE),1),"")</f>
        <v>151</v>
      </c>
      <c r="E320" s="5" t="str">
        <f>IFERROR(INDEX([1]SamplingMethod!$A$2:$C$160,MATCH(B320,[1]SamplingMethod!$C$2:$C$160,FALSE),2),"")</f>
        <v>secm:unknown</v>
      </c>
      <c r="F320" t="str">
        <f>IFERROR(INDEX('collectionMethodDistinct'!$A$2:$A$646,MATCH(A320,'collectionMethodDistinct'!$A$2:$A$646,FALSE),1),"")</f>
        <v>hot pressed</v>
      </c>
    </row>
    <row r="321" spans="1:6" x14ac:dyDescent="0.25">
      <c r="A321" s="5" t="s">
        <v>306</v>
      </c>
      <c r="B321" s="5" t="s">
        <v>854</v>
      </c>
      <c r="C321" s="5"/>
      <c r="D321" s="1">
        <f>IFERROR(INDEX([1]SamplingMethod!$A$2:$C$160,MATCH(B321,[1]SamplingMethod!$C$2:$C$160,FALSE),1),"")</f>
        <v>65</v>
      </c>
      <c r="E321" s="5" t="str">
        <f>IFERROR(INDEX([1]SamplingMethod!$A$2:$C$160,MATCH(B321,[1]SamplingMethod!$C$2:$C$160,FALSE),2),"")</f>
        <v>secm:ses201</v>
      </c>
      <c r="F321" t="str">
        <f>IFERROR(INDEX('collectionMethodDistinct'!$A$2:$A$646,MATCH(A321,'collectionMethodDistinct'!$A$2:$A$646,FALSE),1),"")</f>
        <v>HOV</v>
      </c>
    </row>
    <row r="322" spans="1:6" x14ac:dyDescent="0.25">
      <c r="A322" s="5" t="s">
        <v>307</v>
      </c>
      <c r="B322" s="5" t="s">
        <v>858</v>
      </c>
      <c r="C322" s="5"/>
      <c r="D322" s="1">
        <f>IFERROR(INDEX([1]SamplingMethod!$A$2:$C$160,MATCH(B322,[1]SamplingMethod!$C$2:$C$160,FALSE),1),"")</f>
        <v>151</v>
      </c>
      <c r="E322" s="5" t="str">
        <f>IFERROR(INDEX([1]SamplingMethod!$A$2:$C$160,MATCH(B322,[1]SamplingMethod!$C$2:$C$160,FALSE),2),"")</f>
        <v>secm:unknown</v>
      </c>
      <c r="F322" t="str">
        <f>IFERROR(INDEX('collectionMethodDistinct'!$A$2:$A$646,MATCH(A322,'collectionMethodDistinct'!$A$2:$A$646,FALSE),1),"")</f>
        <v>hummering</v>
      </c>
    </row>
    <row r="323" spans="1:6" x14ac:dyDescent="0.25">
      <c r="A323" s="5" t="s">
        <v>308</v>
      </c>
      <c r="B323" s="5" t="s">
        <v>845</v>
      </c>
      <c r="C323" s="5"/>
      <c r="D323" s="1">
        <f>IFERROR(INDEX([1]SamplingMethod!$A$2:$C$160,MATCH(B323,[1]SamplingMethod!$C$2:$C$160,FALSE),1),"")</f>
        <v>26</v>
      </c>
      <c r="E323" s="5" t="str">
        <f>IFERROR(INDEX([1]SamplingMethod!$A$2:$C$160,MATCH(B323,[1]SamplingMethod!$C$2:$C$160,FALSE),2),"")</f>
        <v>secm:core_drilling_unspecified</v>
      </c>
      <c r="F323" t="str">
        <f>IFERROR(INDEX('collectionMethodDistinct'!$A$2:$A$646,MATCH(A323,'collectionMethodDistinct'!$A$2:$A$646,FALSE),1),"")</f>
        <v>Hydraulic drill, 5 cm marble coring bit</v>
      </c>
    </row>
    <row r="324" spans="1:6" x14ac:dyDescent="0.25">
      <c r="A324" s="5" t="s">
        <v>309</v>
      </c>
      <c r="B324" s="5" t="s">
        <v>858</v>
      </c>
      <c r="C324" s="5"/>
      <c r="D324" s="1">
        <f>IFERROR(INDEX([1]SamplingMethod!$A$2:$C$160,MATCH(B324,[1]SamplingMethod!$C$2:$C$160,FALSE),1),"")</f>
        <v>151</v>
      </c>
      <c r="E324" s="5" t="str">
        <f>IFERROR(INDEX([1]SamplingMethod!$A$2:$C$160,MATCH(B324,[1]SamplingMethod!$C$2:$C$160,FALSE),2),"")</f>
        <v>secm:unknown</v>
      </c>
      <c r="F324" t="str">
        <f>IFERROR(INDEX('collectionMethodDistinct'!$A$2:$A$646,MATCH(A324,'collectionMethodDistinct'!$A$2:$A$646,FALSE),1),"")</f>
        <v>IGTB</v>
      </c>
    </row>
    <row r="325" spans="1:6" x14ac:dyDescent="0.25">
      <c r="A325" s="5" t="s">
        <v>310</v>
      </c>
      <c r="B325" s="5" t="s">
        <v>858</v>
      </c>
      <c r="C325" s="5"/>
      <c r="D325" s="1">
        <f>IFERROR(INDEX([1]SamplingMethod!$A$2:$C$160,MATCH(B325,[1]SamplingMethod!$C$2:$C$160,FALSE),1),"")</f>
        <v>151</v>
      </c>
      <c r="E325" s="5" t="str">
        <f>IFERROR(INDEX([1]SamplingMethod!$A$2:$C$160,MATCH(B325,[1]SamplingMethod!$C$2:$C$160,FALSE),2),"")</f>
        <v>secm:unknown</v>
      </c>
      <c r="F325" t="str">
        <f>IFERROR(INDEX('collectionMethodDistinct'!$A$2:$A$646,MATCH(A325,'collectionMethodDistinct'!$A$2:$A$646,FALSE),1),"")</f>
        <v>IHPV</v>
      </c>
    </row>
    <row r="326" spans="1:6" x14ac:dyDescent="0.25">
      <c r="A326" s="5" t="s">
        <v>311</v>
      </c>
      <c r="B326" s="5" t="s">
        <v>845</v>
      </c>
      <c r="C326" s="5"/>
      <c r="D326" s="1">
        <f>IFERROR(INDEX([1]SamplingMethod!$A$2:$C$160,MATCH(B326,[1]SamplingMethod!$C$2:$C$160,FALSE),1),"")</f>
        <v>26</v>
      </c>
      <c r="E326" s="5" t="str">
        <f>IFERROR(INDEX([1]SamplingMethod!$A$2:$C$160,MATCH(B326,[1]SamplingMethod!$C$2:$C$160,FALSE),2),"")</f>
        <v>secm:core_drilling_unspecified</v>
      </c>
      <c r="F326" t="str">
        <f>IFERROR(INDEX('collectionMethodDistinct'!$A$2:$A$646,MATCH(A326,'collectionMethodDistinct'!$A$2:$A$646,FALSE),1),"")</f>
        <v>Impact Coring</v>
      </c>
    </row>
    <row r="327" spans="1:6" x14ac:dyDescent="0.25">
      <c r="A327" s="8" t="s">
        <v>312</v>
      </c>
      <c r="B327" s="5" t="s">
        <v>877</v>
      </c>
      <c r="C327" s="5"/>
      <c r="D327" s="1">
        <f>IFERROR(INDEX([1]SamplingMethod!$A$2:$C$160,MATCH(B327,[1]SamplingMethod!$C$2:$C$160,FALSE),1),"")</f>
        <v>155</v>
      </c>
      <c r="E327" s="5" t="str">
        <f>IFERROR(INDEX([1]SamplingMethod!$A$2:$C$160,MATCH(B327,[1]SamplingMethod!$C$2:$C$160,FALSE),2),"")</f>
        <v>secm:waxcoring</v>
      </c>
      <c r="F327" t="str">
        <f>IFERROR(INDEX('collectionMethodDistinct'!$A$2:$A$646,MATCH(A327,'collectionMethodDistinct'!$A$2:$A$646,FALSE),1),"")</f>
        <v>In situ&gt;WaxCore</v>
      </c>
    </row>
    <row r="328" spans="1:6" x14ac:dyDescent="0.25">
      <c r="A328" t="s">
        <v>940</v>
      </c>
      <c r="B328" s="5" t="s">
        <v>858</v>
      </c>
      <c r="D328" s="1">
        <f>IFERROR(INDEX([1]SamplingMethod!$A$2:$C$160,MATCH(B328,[1]SamplingMethod!$C$2:$C$160,FALSE),1),"")</f>
        <v>151</v>
      </c>
      <c r="E328" s="5" t="str">
        <f>IFERROR(INDEX([1]SamplingMethod!$A$2:$C$160,MATCH(B328,[1]SamplingMethod!$C$2:$C$160,FALSE),2),"")</f>
        <v>secm:unknown</v>
      </c>
      <c r="F328" t="str">
        <f>IFERROR(INDEX('collectionMethodDistinct'!$A$2:$A$646,MATCH(A328,'collectionMethodDistinct'!$A$2:$A$646,FALSE),1),"")</f>
        <v>Individual Sample</v>
      </c>
    </row>
    <row r="329" spans="1:6" x14ac:dyDescent="0.25">
      <c r="A329" s="5" t="s">
        <v>313</v>
      </c>
      <c r="B329" s="5" t="s">
        <v>856</v>
      </c>
      <c r="C329" s="5"/>
      <c r="D329" s="1">
        <f>IFERROR(INDEX([1]SamplingMethod!$A$2:$C$160,MATCH(B329,[1]SamplingMethod!$C$2:$C$160,FALSE),1),"")</f>
        <v>141</v>
      </c>
      <c r="E329" s="5" t="str">
        <f>IFERROR(INDEX([1]SamplingMethod!$A$2:$C$160,MATCH(B329,[1]SamplingMethod!$C$2:$C$160,FALSE),2),"")</f>
        <v>secm:sm043</v>
      </c>
      <c r="F329" t="str">
        <f>IFERROR(INDEX('collectionMethodDistinct'!$A$2:$A$646,MATCH(A329,'collectionMethodDistinct'!$A$2:$A$646,FALSE),1),"")</f>
        <v>In-drain autosampler</v>
      </c>
    </row>
    <row r="330" spans="1:6" x14ac:dyDescent="0.25">
      <c r="A330" s="9" t="s">
        <v>939</v>
      </c>
      <c r="B330" s="5" t="s">
        <v>858</v>
      </c>
      <c r="C330" s="5"/>
      <c r="D330" s="1">
        <f>IFERROR(INDEX([1]SamplingMethod!$A$2:$C$160,MATCH(B330,[1]SamplingMethod!$C$2:$C$160,FALSE),1),"")</f>
        <v>151</v>
      </c>
      <c r="E330" s="5" t="str">
        <f>IFERROR(INDEX([1]SamplingMethod!$A$2:$C$160,MATCH(B330,[1]SamplingMethod!$C$2:$C$160,FALSE),2),"")</f>
        <v>secm:unknown</v>
      </c>
      <c r="F330" t="str">
        <f>IFERROR(INDEX('collectionMethodDistinct'!$A$2:$A$646,MATCH(A330,'collectionMethodDistinct'!$A$2:$A$646,FALSE),1),"")</f>
        <v xml:space="preserve">Infrared heaters and  static chambers technique </v>
      </c>
    </row>
    <row r="331" spans="1:6" x14ac:dyDescent="0.25">
      <c r="A331" s="5" t="s">
        <v>314</v>
      </c>
      <c r="B331" s="5" t="s">
        <v>858</v>
      </c>
      <c r="C331" s="5"/>
      <c r="D331" s="1">
        <f>IFERROR(INDEX([1]SamplingMethod!$A$2:$C$160,MATCH(B331,[1]SamplingMethod!$C$2:$C$160,FALSE),1),"")</f>
        <v>151</v>
      </c>
      <c r="E331" s="5" t="str">
        <f>IFERROR(INDEX([1]SamplingMethod!$A$2:$C$160,MATCH(B331,[1]SamplingMethod!$C$2:$C$160,FALSE),2),"")</f>
        <v>secm:unknown</v>
      </c>
      <c r="F331" t="str">
        <f>IFERROR(INDEX('collectionMethodDistinct'!$A$2:$A$646,MATCH(A331,'collectionMethodDistinct'!$A$2:$A$646,FALSE),1),"")</f>
        <v>In-situ</v>
      </c>
    </row>
    <row r="332" spans="1:6" x14ac:dyDescent="0.25">
      <c r="A332" t="s">
        <v>938</v>
      </c>
      <c r="B332" s="5" t="s">
        <v>858</v>
      </c>
      <c r="C332" s="5"/>
      <c r="D332" s="1">
        <f>IFERROR(INDEX([1]SamplingMethod!$A$2:$C$160,MATCH(B332,[1]SamplingMethod!$C$2:$C$160,FALSE),1),"")</f>
        <v>151</v>
      </c>
      <c r="E332" s="5" t="str">
        <f>IFERROR(INDEX([1]SamplingMethod!$A$2:$C$160,MATCH(B332,[1]SamplingMethod!$C$2:$C$160,FALSE),2),"")</f>
        <v>secm:unknown</v>
      </c>
      <c r="F332" t="str">
        <f>IFERROR(INDEX('collectionMethodDistinct'!$A$2:$A$646,MATCH(A332,'collectionMethodDistinct'!$A$2:$A$646,FALSE),1),"")</f>
        <v>installed via soil auger according to Lawrence “Gas well instructions”</v>
      </c>
    </row>
    <row r="333" spans="1:6" x14ac:dyDescent="0.25">
      <c r="A333" s="5" t="s">
        <v>315</v>
      </c>
      <c r="B333" s="5" t="s">
        <v>856</v>
      </c>
      <c r="C333" s="5"/>
      <c r="D333" s="1">
        <f>IFERROR(INDEX([1]SamplingMethod!$A$2:$C$160,MATCH(B333,[1]SamplingMethod!$C$2:$C$160,FALSE),1),"")</f>
        <v>141</v>
      </c>
      <c r="E333" s="5" t="str">
        <f>IFERROR(INDEX([1]SamplingMethod!$A$2:$C$160,MATCH(B333,[1]SamplingMethod!$C$2:$C$160,FALSE),2),"")</f>
        <v>secm:sm043</v>
      </c>
      <c r="F333" t="str">
        <f>IFERROR(INDEX('collectionMethodDistinct'!$A$2:$A$646,MATCH(A333,'collectionMethodDistinct'!$A$2:$A$646,FALSE),1),"")</f>
        <v>In-stream autosampler</v>
      </c>
    </row>
    <row r="334" spans="1:6" x14ac:dyDescent="0.25">
      <c r="A334" s="5" t="s">
        <v>316</v>
      </c>
      <c r="B334" s="5" t="s">
        <v>845</v>
      </c>
      <c r="C334" s="5"/>
      <c r="D334" s="1">
        <f>IFERROR(INDEX([1]SamplingMethod!$A$2:$C$160,MATCH(B334,[1]SamplingMethod!$C$2:$C$160,FALSE),1),"")</f>
        <v>26</v>
      </c>
      <c r="E334" s="5" t="str">
        <f>IFERROR(INDEX([1]SamplingMethod!$A$2:$C$160,MATCH(B334,[1]SamplingMethod!$C$2:$C$160,FALSE),2),"")</f>
        <v>secm:core_drilling_unspecified</v>
      </c>
      <c r="F334" t="str">
        <f>IFERROR(INDEX('collectionMethodDistinct'!$A$2:$A$646,MATCH(A334,'collectionMethodDistinct'!$A$2:$A$646,FALSE),1),"")</f>
        <v>IODP core</v>
      </c>
    </row>
    <row r="335" spans="1:6" x14ac:dyDescent="0.25">
      <c r="A335" s="5" t="s">
        <v>317</v>
      </c>
      <c r="B335" s="5" t="s">
        <v>857</v>
      </c>
      <c r="C335" s="5"/>
      <c r="D335" s="1">
        <f>IFERROR(INDEX([1]SamplingMethod!$A$2:$C$160,MATCH(B335,[1]SamplingMethod!$C$2:$C$160,FALSE),1),"")</f>
        <v>149</v>
      </c>
      <c r="E335" s="5" t="str">
        <f>IFERROR(INDEX([1]SamplingMethod!$A$2:$C$160,MATCH(B335,[1]SamplingMethod!$C$2:$C$160,FALSE),2),"")</f>
        <v>secm:trawlsampling</v>
      </c>
      <c r="F335" t="str">
        <f>IFERROR(INDEX('collectionMethodDistinct'!$A$2:$A$646,MATCH(A335,'collectionMethodDistinct'!$A$2:$A$646,FALSE),1),"")</f>
        <v>Isaacs Kidd Mid Water Trawl</v>
      </c>
    </row>
    <row r="336" spans="1:6" x14ac:dyDescent="0.25">
      <c r="A336" s="5" t="s">
        <v>318</v>
      </c>
      <c r="B336" s="5" t="s">
        <v>856</v>
      </c>
      <c r="C336" s="5"/>
      <c r="D336" s="1">
        <f>IFERROR(INDEX([1]SamplingMethod!$A$2:$C$160,MATCH(B336,[1]SamplingMethod!$C$2:$C$160,FALSE),1),"")</f>
        <v>141</v>
      </c>
      <c r="E336" s="5" t="str">
        <f>IFERROR(INDEX([1]SamplingMethod!$A$2:$C$160,MATCH(B336,[1]SamplingMethod!$C$2:$C$160,FALSE),2),"")</f>
        <v>secm:sm043</v>
      </c>
      <c r="F336" t="str">
        <f>IFERROR(INDEX('collectionMethodDistinct'!$A$2:$A$646,MATCH(A336,'collectionMethodDistinct'!$A$2:$A$646,FALSE),1),"")</f>
        <v>ISCO autosampler</v>
      </c>
    </row>
    <row r="337" spans="1:6" x14ac:dyDescent="0.25">
      <c r="A337" s="5" t="s">
        <v>319</v>
      </c>
      <c r="B337" s="5" t="s">
        <v>839</v>
      </c>
      <c r="C337" s="5"/>
      <c r="D337" s="1">
        <f>IFERROR(INDEX([1]SamplingMethod!$A$2:$C$160,MATCH(B337,[1]SamplingMethod!$C$2:$C$160,FALSE),1),"")</f>
        <v>128</v>
      </c>
      <c r="E337" s="5" t="str">
        <f>IFERROR(INDEX([1]SamplingMethod!$A$2:$C$160,MATCH(B337,[1]SamplingMethod!$C$2:$C$160,FALSE),2),"")</f>
        <v>secm:sm029</v>
      </c>
      <c r="F337" t="str">
        <f>IFERROR(INDEX('collectionMethodDistinct'!$A$2:$A$646,MATCH(A337,'collectionMethodDistinct'!$A$2:$A$646,FALSE),1),"")</f>
        <v>Jumbo Piston Core</v>
      </c>
    </row>
    <row r="338" spans="1:6" x14ac:dyDescent="0.25">
      <c r="A338" s="5" t="s">
        <v>320</v>
      </c>
      <c r="B338" s="5" t="s">
        <v>854</v>
      </c>
      <c r="C338" s="5"/>
      <c r="D338" s="1">
        <f>IFERROR(INDEX([1]SamplingMethod!$A$2:$C$160,MATCH(B338,[1]SamplingMethod!$C$2:$C$160,FALSE),1),"")</f>
        <v>65</v>
      </c>
      <c r="E338" s="5" t="str">
        <f>IFERROR(INDEX([1]SamplingMethod!$A$2:$C$160,MATCH(B338,[1]SamplingMethod!$C$2:$C$160,FALSE),2),"")</f>
        <v>secm:ses201</v>
      </c>
      <c r="F338" t="str">
        <f>IFERROR(INDEX('collectionMethodDistinct'!$A$2:$A$646,MATCH(A338,'collectionMethodDistinct'!$A$2:$A$646,FALSE),1),"")</f>
        <v>Kaiko dive</v>
      </c>
    </row>
    <row r="339" spans="1:6" x14ac:dyDescent="0.25">
      <c r="A339" s="5" t="s">
        <v>321</v>
      </c>
      <c r="B339" s="5" t="s">
        <v>848</v>
      </c>
      <c r="C339" s="5"/>
      <c r="D339" s="1">
        <f>IFERROR(INDEX([1]SamplingMethod!$A$2:$C$160,MATCH(B339,[1]SamplingMethod!$C$2:$C$160,FALSE),1),"")</f>
        <v>82</v>
      </c>
      <c r="E339" s="5" t="str">
        <f>IFERROR(INDEX([1]SamplingMethod!$A$2:$C$160,MATCH(B339,[1]SamplingMethod!$C$2:$C$160,FALSE),2),"")</f>
        <v>secm:ses221</v>
      </c>
      <c r="F339" t="str">
        <f>IFERROR(INDEX('collectionMethodDistinct'!$A$2:$A$646,MATCH(A339,'collectionMethodDistinct'!$A$2:$A$646,FALSE),1),"")</f>
        <v>Kasten Core</v>
      </c>
    </row>
    <row r="340" spans="1:6" x14ac:dyDescent="0.25">
      <c r="A340" s="5" t="s">
        <v>322</v>
      </c>
      <c r="B340" s="5" t="s">
        <v>858</v>
      </c>
      <c r="C340" s="5"/>
      <c r="D340" s="1">
        <f>IFERROR(INDEX([1]SamplingMethod!$A$2:$C$160,MATCH(B340,[1]SamplingMethod!$C$2:$C$160,FALSE),1),"")</f>
        <v>151</v>
      </c>
      <c r="E340" s="5" t="str">
        <f>IFERROR(INDEX([1]SamplingMethod!$A$2:$C$160,MATCH(B340,[1]SamplingMethod!$C$2:$C$160,FALSE),2),"")</f>
        <v>secm:unknown</v>
      </c>
      <c r="F340" t="str">
        <f>IFERROR(INDEX('collectionMethodDistinct'!$A$2:$A$646,MATCH(A340,'collectionMethodDistinct'!$A$2:$A$646,FALSE),1),"")</f>
        <v>Knife</v>
      </c>
    </row>
    <row r="341" spans="1:6" x14ac:dyDescent="0.25">
      <c r="A341" s="5" t="s">
        <v>323</v>
      </c>
      <c r="B341" s="5" t="s">
        <v>858</v>
      </c>
      <c r="C341" s="5"/>
      <c r="D341" s="1">
        <f>IFERROR(INDEX([1]SamplingMethod!$A$2:$C$160,MATCH(B341,[1]SamplingMethod!$C$2:$C$160,FALSE),1),"")</f>
        <v>151</v>
      </c>
      <c r="E341" s="5" t="str">
        <f>IFERROR(INDEX([1]SamplingMethod!$A$2:$C$160,MATCH(B341,[1]SamplingMethod!$C$2:$C$160,FALSE),2),"")</f>
        <v>secm:unknown</v>
      </c>
      <c r="F341" t="str">
        <f>IFERROR(INDEX('collectionMethodDistinct'!$A$2:$A$646,MATCH(A341,'collectionMethodDistinct'!$A$2:$A$646,FALSE),1),"")</f>
        <v>Lab made</v>
      </c>
    </row>
    <row r="342" spans="1:6" x14ac:dyDescent="0.25">
      <c r="A342" s="5" t="s">
        <v>324</v>
      </c>
      <c r="B342" s="1" t="s">
        <v>901</v>
      </c>
      <c r="C342" s="5"/>
      <c r="D342" s="1">
        <f>IFERROR(INDEX([1]SamplingMethod!$A$2:$C$160,MATCH(B342,[1]SamplingMethod!$C$2:$C$160,FALSE),1),"")</f>
        <v>142</v>
      </c>
      <c r="E342" s="5" t="str">
        <f>IFERROR(INDEX([1]SamplingMethod!$A$2:$C$160,MATCH(B342,[1]SamplingMethod!$C$2:$C$160,FALSE),2),"")</f>
        <v>secm:sm044</v>
      </c>
      <c r="F342" t="str">
        <f>IFERROR(INDEX('collectionMethodDistinct'!$A$2:$A$646,MATCH(A342,'collectionMethodDistinct'!$A$2:$A$646,FALSE),1),"")</f>
        <v>LA-ICPMS</v>
      </c>
    </row>
    <row r="343" spans="1:6" x14ac:dyDescent="0.25">
      <c r="A343" s="5" t="s">
        <v>325</v>
      </c>
      <c r="B343" s="5" t="s">
        <v>851</v>
      </c>
      <c r="C343" s="5"/>
      <c r="D343" s="1">
        <f>IFERROR(INDEX([1]SamplingMethod!$A$2:$C$160,MATCH(B343,[1]SamplingMethod!$C$2:$C$160,FALSE),1),"")</f>
        <v>148</v>
      </c>
      <c r="E343" s="5" t="str">
        <f>IFERROR(INDEX([1]SamplingMethod!$A$2:$C$160,MATCH(B343,[1]SamplingMethod!$C$2:$C$160,FALSE),2),"")</f>
        <v>secm:surface_material_sampling</v>
      </c>
      <c r="F343" t="str">
        <f>IFERROR(INDEX('collectionMethodDistinct'!$A$2:$A$646,MATCH(A343,'collectionMethodDistinct'!$A$2:$A$646,FALSE),1),"")</f>
        <v>Layer below grass</v>
      </c>
    </row>
    <row r="344" spans="1:6" x14ac:dyDescent="0.25">
      <c r="A344" s="5" t="s">
        <v>326</v>
      </c>
      <c r="B344" s="5" t="s">
        <v>859</v>
      </c>
      <c r="C344" s="5" t="s">
        <v>860</v>
      </c>
      <c r="D344" s="1">
        <f>IFERROR(INDEX([1]SamplingMethod!$A$2:$C$160,MATCH(B344,[1]SamplingMethod!$C$2:$C$160,FALSE),1),"")</f>
        <v>20</v>
      </c>
      <c r="E344" s="5" t="str">
        <f>IFERROR(INDEX([1]SamplingMethod!$A$2:$C$160,MATCH(B344,[1]SamplingMethod!$C$2:$C$160,FALSE),2),"")</f>
        <v>secm:chemicalseparation</v>
      </c>
      <c r="F344" t="str">
        <f>IFERROR(INDEX('collectionMethodDistinct'!$A$2:$A$646,MATCH(A344,'collectionMethodDistinct'!$A$2:$A$646,FALSE),1),"")</f>
        <v>Lechate from soil core</v>
      </c>
    </row>
    <row r="345" spans="1:6" x14ac:dyDescent="0.25">
      <c r="A345" s="5" t="s">
        <v>327</v>
      </c>
      <c r="B345" s="5" t="s">
        <v>859</v>
      </c>
      <c r="C345" s="5" t="s">
        <v>860</v>
      </c>
      <c r="D345" s="1">
        <f>IFERROR(INDEX([1]SamplingMethod!$A$2:$C$160,MATCH(B345,[1]SamplingMethod!$C$2:$C$160,FALSE),1),"")</f>
        <v>20</v>
      </c>
      <c r="E345" s="5" t="str">
        <f>IFERROR(INDEX([1]SamplingMethod!$A$2:$C$160,MATCH(B345,[1]SamplingMethod!$C$2:$C$160,FALSE),2),"")</f>
        <v>secm:chemicalseparation</v>
      </c>
      <c r="F345" t="str">
        <f>IFERROR(INDEX('collectionMethodDistinct'!$A$2:$A$646,MATCH(A345,'collectionMethodDistinct'!$A$2:$A$646,FALSE),1),"")</f>
        <v>Lechatefrom soil core</v>
      </c>
    </row>
    <row r="346" spans="1:6" x14ac:dyDescent="0.25">
      <c r="A346" s="5" t="s">
        <v>328</v>
      </c>
      <c r="B346" s="5" t="s">
        <v>82</v>
      </c>
      <c r="C346" s="5"/>
      <c r="D346" s="1">
        <f>IFERROR(INDEX([1]SamplingMethod!$A$2:$C$160,MATCH(B346,[1]SamplingMethod!$C$2:$C$160,FALSE),1),"")</f>
        <v>140</v>
      </c>
      <c r="E346" s="5" t="str">
        <f>IFERROR(INDEX([1]SamplingMethod!$A$2:$C$160,MATCH(B346,[1]SamplingMethod!$C$2:$C$160,FALSE),2),"")</f>
        <v>secm:sm041</v>
      </c>
      <c r="F346" t="str">
        <f>IFERROR(INDEX('collectionMethodDistinct'!$A$2:$A$646,MATCH(A346,'collectionMethodDistinct'!$A$2:$A$646,FALSE),1),"")</f>
        <v>livingstone corer</v>
      </c>
    </row>
    <row r="347" spans="1:6" x14ac:dyDescent="0.25">
      <c r="A347" s="5" t="s">
        <v>329</v>
      </c>
      <c r="B347" s="5" t="s">
        <v>858</v>
      </c>
      <c r="C347" s="5"/>
      <c r="D347" s="1">
        <f>IFERROR(INDEX([1]SamplingMethod!$A$2:$C$160,MATCH(B347,[1]SamplingMethod!$C$2:$C$160,FALSE),1),"")</f>
        <v>151</v>
      </c>
      <c r="E347" s="5" t="str">
        <f>IFERROR(INDEX([1]SamplingMethod!$A$2:$C$160,MATCH(B347,[1]SamplingMethod!$C$2:$C$160,FALSE),2),"")</f>
        <v>secm:unknown</v>
      </c>
      <c r="F347" t="str">
        <f>IFERROR(INDEX('collectionMethodDistinct'!$A$2:$A$646,MATCH(A347,'collectionMethodDistinct'!$A$2:$A$646,FALSE),1),"")</f>
        <v>Local natural rock dealer</v>
      </c>
    </row>
    <row r="348" spans="1:6" x14ac:dyDescent="0.25">
      <c r="A348" s="5" t="s">
        <v>330</v>
      </c>
      <c r="B348" s="5" t="s">
        <v>858</v>
      </c>
      <c r="C348" s="5"/>
      <c r="D348" s="1">
        <f>IFERROR(INDEX([1]SamplingMethod!$A$2:$C$160,MATCH(B348,[1]SamplingMethod!$C$2:$C$160,FALSE),1),"")</f>
        <v>151</v>
      </c>
      <c r="E348" s="5" t="str">
        <f>IFERROR(INDEX([1]SamplingMethod!$A$2:$C$160,MATCH(B348,[1]SamplingMethod!$C$2:$C$160,FALSE),2),"")</f>
        <v>secm:unknown</v>
      </c>
      <c r="F348" t="str">
        <f>IFERROR(INDEX('collectionMethodDistinct'!$A$2:$A$646,MATCH(A348,'collectionMethodDistinct'!$A$2:$A$646,FALSE),1),"")</f>
        <v>Long Line</v>
      </c>
    </row>
    <row r="349" spans="1:6" x14ac:dyDescent="0.25">
      <c r="A349" s="5" t="s">
        <v>331</v>
      </c>
      <c r="B349" s="5" t="s">
        <v>839</v>
      </c>
      <c r="C349" s="5"/>
      <c r="D349" s="1">
        <f>IFERROR(INDEX([1]SamplingMethod!$A$2:$C$160,MATCH(B349,[1]SamplingMethod!$C$2:$C$160,FALSE),1),"")</f>
        <v>128</v>
      </c>
      <c r="E349" s="5" t="str">
        <f>IFERROR(INDEX([1]SamplingMethod!$A$2:$C$160,MATCH(B349,[1]SamplingMethod!$C$2:$C$160,FALSE),2),"")</f>
        <v>secm:sm029</v>
      </c>
      <c r="F349" t="str">
        <f>IFERROR(INDEX('collectionMethodDistinct'!$A$2:$A$646,MATCH(A349,'collectionMethodDistinct'!$A$2:$A$646,FALSE),1),"")</f>
        <v>Long Piston Core</v>
      </c>
    </row>
    <row r="350" spans="1:6" x14ac:dyDescent="0.25">
      <c r="A350" s="5" t="s">
        <v>332</v>
      </c>
      <c r="B350" s="5" t="s">
        <v>697</v>
      </c>
      <c r="C350" s="5"/>
      <c r="D350" s="1">
        <f>IFERROR(INDEX([1]SamplingMethod!$A$2:$C$160,MATCH(B350,[1]SamplingMethod!$C$2:$C$160,FALSE),1),"")</f>
        <v>116</v>
      </c>
      <c r="E350" s="5" t="str">
        <f>IFERROR(INDEX([1]SamplingMethod!$A$2:$C$160,MATCH(B350,[1]SamplingMethod!$C$2:$C$160,FALSE),2),"")</f>
        <v>secm:sm017</v>
      </c>
      <c r="F350" t="str">
        <f>IFERROR(INDEX('collectionMethodDistinct'!$A$2:$A$646,MATCH(A350,'collectionMethodDistinct'!$A$2:$A$646,FALSE),1),"")</f>
        <v>lose block</v>
      </c>
    </row>
    <row r="351" spans="1:6" x14ac:dyDescent="0.25">
      <c r="A351" s="5" t="s">
        <v>333</v>
      </c>
      <c r="B351" s="5" t="s">
        <v>858</v>
      </c>
      <c r="C351" s="5"/>
      <c r="D351" s="1">
        <f>IFERROR(INDEX([1]SamplingMethod!$A$2:$C$160,MATCH(B351,[1]SamplingMethod!$C$2:$C$160,FALSE),1),"")</f>
        <v>151</v>
      </c>
      <c r="E351" s="5" t="str">
        <f>IFERROR(INDEX([1]SamplingMethod!$A$2:$C$160,MATCH(B351,[1]SamplingMethod!$C$2:$C$160,FALSE),2),"")</f>
        <v>secm:unknown</v>
      </c>
      <c r="F351" t="str">
        <f>IFERROR(INDEX('collectionMethodDistinct'!$A$2:$A$646,MATCH(A351,'collectionMethodDistinct'!$A$2:$A$646,FALSE),1),"")</f>
        <v>LVT</v>
      </c>
    </row>
    <row r="352" spans="1:6" x14ac:dyDescent="0.25">
      <c r="A352" s="5" t="s">
        <v>334</v>
      </c>
      <c r="B352" s="5" t="s">
        <v>610</v>
      </c>
      <c r="C352" s="5"/>
      <c r="D352" s="1">
        <f>IFERROR(INDEX([1]SamplingMethod!$A$2:$C$160,MATCH(B352,[1]SamplingMethod!$C$2:$C$160,FALSE),1),"")</f>
        <v>83</v>
      </c>
      <c r="E352" s="5" t="str">
        <f>IFERROR(INDEX([1]SamplingMethod!$A$2:$C$160,MATCH(B352,[1]SamplingMethod!$C$2:$C$160,FALSE),2),"")</f>
        <v>secm:ses222</v>
      </c>
      <c r="F352" t="str">
        <f>IFERROR(INDEX('collectionMethodDistinct'!$A$2:$A$646,MATCH(A352,'collectionMethodDistinct'!$A$2:$A$646,FALSE),1),"")</f>
        <v>manipulator</v>
      </c>
    </row>
    <row r="353" spans="1:6" x14ac:dyDescent="0.25">
      <c r="A353" s="5" t="s">
        <v>335</v>
      </c>
      <c r="B353" s="5" t="s">
        <v>610</v>
      </c>
      <c r="C353" s="5"/>
      <c r="D353" s="1">
        <f>IFERROR(INDEX([1]SamplingMethod!$A$2:$C$160,MATCH(B353,[1]SamplingMethod!$C$2:$C$160,FALSE),1),"")</f>
        <v>83</v>
      </c>
      <c r="E353" s="5" t="str">
        <f>IFERROR(INDEX([1]SamplingMethod!$A$2:$C$160,MATCH(B353,[1]SamplingMethod!$C$2:$C$160,FALSE),2),"")</f>
        <v>secm:ses222</v>
      </c>
      <c r="F353" t="str">
        <f>IFERROR(INDEX('collectionMethodDistinct'!$A$2:$A$646,MATCH(A353,'collectionMethodDistinct'!$A$2:$A$646,FALSE),1),"")</f>
        <v>manipulator</v>
      </c>
    </row>
    <row r="354" spans="1:6" x14ac:dyDescent="0.25">
      <c r="A354" s="5" t="s">
        <v>336</v>
      </c>
      <c r="B354" s="5" t="s">
        <v>610</v>
      </c>
      <c r="C354" s="5"/>
      <c r="D354" s="1">
        <f>IFERROR(INDEX([1]SamplingMethod!$A$2:$C$160,MATCH(B354,[1]SamplingMethod!$C$2:$C$160,FALSE),1),"")</f>
        <v>83</v>
      </c>
      <c r="E354" s="5" t="str">
        <f>IFERROR(INDEX([1]SamplingMethod!$A$2:$C$160,MATCH(B354,[1]SamplingMethod!$C$2:$C$160,FALSE),2),"")</f>
        <v>secm:ses222</v>
      </c>
      <c r="F354" t="str">
        <f>IFERROR(INDEX('collectionMethodDistinct'!$A$2:$A$646,MATCH(A354,'collectionMethodDistinct'!$A$2:$A$646,FALSE),1),"")</f>
        <v>Manipulator, ThermocoupleArray</v>
      </c>
    </row>
    <row r="355" spans="1:6" x14ac:dyDescent="0.25">
      <c r="A355" s="5" t="s">
        <v>337</v>
      </c>
      <c r="B355" s="5" t="s">
        <v>689</v>
      </c>
      <c r="C355" s="5"/>
      <c r="D355" s="1">
        <f>IFERROR(INDEX([1]SamplingMethod!$A$2:$C$160,MATCH(B355,[1]SamplingMethod!$C$2:$C$160,FALSE),1),"")</f>
        <v>134</v>
      </c>
      <c r="E355" s="5" t="str">
        <f>IFERROR(INDEX([1]SamplingMethod!$A$2:$C$160,MATCH(B355,[1]SamplingMethod!$C$2:$C$160,FALSE),2),"")</f>
        <v>secm:sm035</v>
      </c>
      <c r="F355" t="str">
        <f>IFERROR(INDEX('collectionMethodDistinct'!$A$2:$A$646,MATCH(A355,'collectionMethodDistinct'!$A$2:$A$646,FALSE),1),"")</f>
        <v>manual</v>
      </c>
    </row>
    <row r="356" spans="1:6" x14ac:dyDescent="0.25">
      <c r="A356" s="5" t="s">
        <v>338</v>
      </c>
      <c r="B356" s="5" t="s">
        <v>689</v>
      </c>
      <c r="C356" s="5"/>
      <c r="D356" s="1">
        <f>IFERROR(INDEX([1]SamplingMethod!$A$2:$C$160,MATCH(B356,[1]SamplingMethod!$C$2:$C$160,FALSE),1),"")</f>
        <v>134</v>
      </c>
      <c r="E356" s="5" t="str">
        <f>IFERROR(INDEX([1]SamplingMethod!$A$2:$C$160,MATCH(B356,[1]SamplingMethod!$C$2:$C$160,FALSE),2),"")</f>
        <v>secm:sm035</v>
      </c>
      <c r="F356" t="str">
        <f>IFERROR(INDEX('collectionMethodDistinct'!$A$2:$A$646,MATCH(A356,'collectionMethodDistinct'!$A$2:$A$646,FALSE),1),"")</f>
        <v>manual</v>
      </c>
    </row>
    <row r="357" spans="1:6" x14ac:dyDescent="0.25">
      <c r="A357" s="5" t="s">
        <v>339</v>
      </c>
      <c r="B357" s="5" t="s">
        <v>689</v>
      </c>
      <c r="C357" s="5"/>
      <c r="D357" s="1">
        <f>IFERROR(INDEX([1]SamplingMethod!$A$2:$C$160,MATCH(B357,[1]SamplingMethod!$C$2:$C$160,FALSE),1),"")</f>
        <v>134</v>
      </c>
      <c r="E357" s="5" t="str">
        <f>IFERROR(INDEX([1]SamplingMethod!$A$2:$C$160,MATCH(B357,[1]SamplingMethod!$C$2:$C$160,FALSE),2),"")</f>
        <v>secm:sm035</v>
      </c>
      <c r="F357" t="str">
        <f>IFERROR(INDEX('collectionMethodDistinct'!$A$2:$A$646,MATCH(A357,'collectionMethodDistinct'!$A$2:$A$646,FALSE),1),"")</f>
        <v>manual</v>
      </c>
    </row>
    <row r="358" spans="1:6" x14ac:dyDescent="0.25">
      <c r="A358" s="5" t="s">
        <v>340</v>
      </c>
      <c r="B358" s="5" t="s">
        <v>689</v>
      </c>
      <c r="C358" s="5"/>
      <c r="D358" s="1">
        <f>IFERROR(INDEX([1]SamplingMethod!$A$2:$C$160,MATCH(B358,[1]SamplingMethod!$C$2:$C$160,FALSE),1),"")</f>
        <v>134</v>
      </c>
      <c r="E358" s="5" t="str">
        <f>IFERROR(INDEX([1]SamplingMethod!$A$2:$C$160,MATCH(B358,[1]SamplingMethod!$C$2:$C$160,FALSE),2),"")</f>
        <v>secm:sm035</v>
      </c>
      <c r="F358" t="str">
        <f>IFERROR(INDEX('collectionMethodDistinct'!$A$2:$A$646,MATCH(A358,'collectionMethodDistinct'!$A$2:$A$646,FALSE),1),"")</f>
        <v xml:space="preserve">manual </v>
      </c>
    </row>
    <row r="359" spans="1:6" x14ac:dyDescent="0.25">
      <c r="A359" s="5" t="s">
        <v>341</v>
      </c>
      <c r="B359" s="5" t="s">
        <v>689</v>
      </c>
      <c r="C359" s="5"/>
      <c r="D359" s="1">
        <f>IFERROR(INDEX([1]SamplingMethod!$A$2:$C$160,MATCH(B359,[1]SamplingMethod!$C$2:$C$160,FALSE),1),"")</f>
        <v>134</v>
      </c>
      <c r="E359" s="5" t="str">
        <f>IFERROR(INDEX([1]SamplingMethod!$A$2:$C$160,MATCH(B359,[1]SamplingMethod!$C$2:$C$160,FALSE),2),"")</f>
        <v>secm:sm035</v>
      </c>
      <c r="F359" t="str">
        <f>IFERROR(INDEX('collectionMethodDistinct'!$A$2:$A$646,MATCH(A359,'collectionMethodDistinct'!$A$2:$A$646,FALSE),1),"")</f>
        <v xml:space="preserve">manual </v>
      </c>
    </row>
    <row r="360" spans="1:6" x14ac:dyDescent="0.25">
      <c r="A360" s="5" t="s">
        <v>342</v>
      </c>
      <c r="B360" s="5" t="s">
        <v>607</v>
      </c>
      <c r="C360" s="5"/>
      <c r="D360" s="1">
        <f>IFERROR(INDEX([1]SamplingMethod!$A$2:$C$160,MATCH(B360,[1]SamplingMethod!$C$2:$C$160,FALSE),1),"")</f>
        <v>78</v>
      </c>
      <c r="E360" s="5" t="str">
        <f>IFERROR(INDEX([1]SamplingMethod!$A$2:$C$160,MATCH(B360,[1]SamplingMethod!$C$2:$C$160,FALSE),2),"")</f>
        <v>secm:ses216</v>
      </c>
      <c r="F360" t="str">
        <f>IFERROR(INDEX('collectionMethodDistinct'!$A$2:$A$646,MATCH(A360,'collectionMethodDistinct'!$A$2:$A$646,FALSE),1),"")</f>
        <v>Manual - Hammer</v>
      </c>
    </row>
    <row r="361" spans="1:6" x14ac:dyDescent="0.25">
      <c r="A361" s="5" t="s">
        <v>343</v>
      </c>
      <c r="B361" s="5" t="s">
        <v>858</v>
      </c>
      <c r="C361" s="5"/>
      <c r="D361" s="1">
        <f>IFERROR(INDEX([1]SamplingMethod!$A$2:$C$160,MATCH(B361,[1]SamplingMethod!$C$2:$C$160,FALSE),1),"")</f>
        <v>151</v>
      </c>
      <c r="E361" s="5" t="str">
        <f>IFERROR(INDEX([1]SamplingMethod!$A$2:$C$160,MATCH(B361,[1]SamplingMethod!$C$2:$C$160,FALSE),2),"")</f>
        <v>secm:unknown</v>
      </c>
      <c r="F361" t="str">
        <f>IFERROR(INDEX('collectionMethodDistinct'!$A$2:$A$646,MATCH(A361,'collectionMethodDistinct'!$A$2:$A$646,FALSE),1),"")</f>
        <v>Manual extraction</v>
      </c>
    </row>
    <row r="362" spans="1:6" x14ac:dyDescent="0.25">
      <c r="A362" s="5" t="s">
        <v>344</v>
      </c>
      <c r="B362" s="5" t="s">
        <v>861</v>
      </c>
      <c r="C362" s="5"/>
      <c r="D362" s="1">
        <f>IFERROR(INDEX([1]SamplingMethod!$A$2:$C$160,MATCH(B362,[1]SamplingMethod!$C$2:$C$160,FALSE),1),"")</f>
        <v>154</v>
      </c>
      <c r="E362" s="5" t="str">
        <f>IFERROR(INDEX([1]SamplingMethod!$A$2:$C$160,MATCH(B362,[1]SamplingMethod!$C$2:$C$160,FALSE),2),"")</f>
        <v>secm:waterbodywatersampling</v>
      </c>
      <c r="F362" t="str">
        <f>IFERROR(INDEX('collectionMethodDistinct'!$A$2:$A$646,MATCH(A362,'collectionMethodDistinct'!$A$2:$A$646,FALSE),1),"")</f>
        <v>Manual surface water sampling</v>
      </c>
    </row>
    <row r="363" spans="1:6" x14ac:dyDescent="0.25">
      <c r="A363" t="s">
        <v>937</v>
      </c>
      <c r="B363" s="5" t="s">
        <v>607</v>
      </c>
      <c r="D363" s="1">
        <f>IFERROR(INDEX([1]SamplingMethod!$A$2:$C$160,MATCH(B363,[1]SamplingMethod!$C$2:$C$160,FALSE),1),"")</f>
        <v>78</v>
      </c>
      <c r="E363" s="5" t="str">
        <f>IFERROR(INDEX([1]SamplingMethod!$A$2:$C$160,MATCH(B363,[1]SamplingMethod!$C$2:$C$160,FALSE),2),"")</f>
        <v>secm:ses216</v>
      </c>
      <c r="F363" t="str">
        <f>IFERROR(INDEX('collectionMethodDistinct'!$A$2:$A$646,MATCH(A363,'collectionMethodDistinct'!$A$2:$A$646,FALSE),1),"")</f>
        <v>Manual; rock hammer</v>
      </c>
    </row>
    <row r="364" spans="1:6" x14ac:dyDescent="0.25">
      <c r="A364" s="5" t="s">
        <v>345</v>
      </c>
      <c r="B364" s="5" t="s">
        <v>856</v>
      </c>
      <c r="C364" s="5"/>
      <c r="D364" s="1">
        <f>IFERROR(INDEX([1]SamplingMethod!$A$2:$C$160,MATCH(B364,[1]SamplingMethod!$C$2:$C$160,FALSE),1),"")</f>
        <v>141</v>
      </c>
      <c r="E364" s="5" t="str">
        <f>IFERROR(INDEX([1]SamplingMethod!$A$2:$C$160,MATCH(B364,[1]SamplingMethod!$C$2:$C$160,FALSE),2),"")</f>
        <v>secm:sm043</v>
      </c>
      <c r="F364" t="str">
        <f>IFERROR(INDEX('collectionMethodDistinct'!$A$2:$A$646,MATCH(A364,'collectionMethodDistinct'!$A$2:$A$646,FALSE),1),"")</f>
        <v>Manual; tube collection</v>
      </c>
    </row>
    <row r="365" spans="1:6" x14ac:dyDescent="0.25">
      <c r="A365" s="5" t="s">
        <v>346</v>
      </c>
      <c r="B365" s="5" t="s">
        <v>607</v>
      </c>
      <c r="C365" s="5"/>
      <c r="D365" s="1">
        <f>IFERROR(INDEX([1]SamplingMethod!$A$2:$C$160,MATCH(B365,[1]SamplingMethod!$C$2:$C$160,FALSE),1),"")</f>
        <v>78</v>
      </c>
      <c r="E365" s="5" t="str">
        <f>IFERROR(INDEX([1]SamplingMethod!$A$2:$C$160,MATCH(B365,[1]SamplingMethod!$C$2:$C$160,FALSE),2),"")</f>
        <v>secm:ses216</v>
      </c>
      <c r="F365" t="str">
        <f>IFERROR(INDEX('collectionMethodDistinct'!$A$2:$A$646,MATCH(A365,'collectionMethodDistinct'!$A$2:$A$646,FALSE),1),"")</f>
        <v>Manual&gt; hammer</v>
      </c>
    </row>
    <row r="366" spans="1:6" x14ac:dyDescent="0.25">
      <c r="A366" s="5" t="s">
        <v>347</v>
      </c>
      <c r="B366" s="5" t="s">
        <v>689</v>
      </c>
      <c r="C366" s="5"/>
      <c r="D366" s="1">
        <f>IFERROR(INDEX([1]SamplingMethod!$A$2:$C$160,MATCH(B366,[1]SamplingMethod!$C$2:$C$160,FALSE),1),"")</f>
        <v>134</v>
      </c>
      <c r="E366" s="5" t="str">
        <f>IFERROR(INDEX([1]SamplingMethod!$A$2:$C$160,MATCH(B366,[1]SamplingMethod!$C$2:$C$160,FALSE),2),"")</f>
        <v>secm:sm035</v>
      </c>
      <c r="F366" t="str">
        <f>IFERROR(INDEX('collectionMethodDistinct'!$A$2:$A$646,MATCH(A366,'collectionMethodDistinct'!$A$2:$A$646,FALSE),1),"")</f>
        <v>Manual&gt; nylon spatula</v>
      </c>
    </row>
    <row r="367" spans="1:6" x14ac:dyDescent="0.25">
      <c r="A367" s="5" t="s">
        <v>348</v>
      </c>
      <c r="B367" s="5" t="s">
        <v>607</v>
      </c>
      <c r="C367" s="5"/>
      <c r="D367" s="1">
        <f>IFERROR(INDEX([1]SamplingMethod!$A$2:$C$160,MATCH(B367,[1]SamplingMethod!$C$2:$C$160,FALSE),1),"")</f>
        <v>78</v>
      </c>
      <c r="E367" s="5" t="str">
        <f>IFERROR(INDEX([1]SamplingMethod!$A$2:$C$160,MATCH(B367,[1]SamplingMethod!$C$2:$C$160,FALSE),2),"")</f>
        <v>secm:ses216</v>
      </c>
      <c r="F367" t="str">
        <f>IFERROR(INDEX('collectionMethodDistinct'!$A$2:$A$646,MATCH(A367,'collectionMethodDistinct'!$A$2:$A$646,FALSE),1),"")</f>
        <v>Manual&gt;block and hammer</v>
      </c>
    </row>
    <row r="368" spans="1:6" x14ac:dyDescent="0.25">
      <c r="A368" s="5" t="s">
        <v>349</v>
      </c>
      <c r="B368" s="5" t="s">
        <v>607</v>
      </c>
      <c r="C368" s="5"/>
      <c r="D368" s="1">
        <f>IFERROR(INDEX([1]SamplingMethod!$A$2:$C$160,MATCH(B368,[1]SamplingMethod!$C$2:$C$160,FALSE),1),"")</f>
        <v>78</v>
      </c>
      <c r="E368" s="5" t="str">
        <f>IFERROR(INDEX([1]SamplingMethod!$A$2:$C$160,MATCH(B368,[1]SamplingMethod!$C$2:$C$160,FALSE),2),"")</f>
        <v>secm:ses216</v>
      </c>
      <c r="F368" t="str">
        <f>IFERROR(INDEX('collectionMethodDistinct'!$A$2:$A$646,MATCH(A368,'collectionMethodDistinct'!$A$2:$A$646,FALSE),1),"")</f>
        <v>Manual&gt;Hamer</v>
      </c>
    </row>
    <row r="369" spans="1:6" x14ac:dyDescent="0.25">
      <c r="A369" s="5" t="s">
        <v>350</v>
      </c>
      <c r="B369" s="5" t="s">
        <v>607</v>
      </c>
      <c r="C369" s="5"/>
      <c r="D369" s="1">
        <f>IFERROR(INDEX([1]SamplingMethod!$A$2:$C$160,MATCH(B369,[1]SamplingMethod!$C$2:$C$160,FALSE),1),"")</f>
        <v>78</v>
      </c>
      <c r="E369" s="5" t="str">
        <f>IFERROR(INDEX([1]SamplingMethod!$A$2:$C$160,MATCH(B369,[1]SamplingMethod!$C$2:$C$160,FALSE),2),"")</f>
        <v>secm:ses216</v>
      </c>
      <c r="F369" t="str">
        <f>IFERROR(INDEX('collectionMethodDistinct'!$A$2:$A$646,MATCH(A369,'collectionMethodDistinct'!$A$2:$A$646,FALSE),1),"")</f>
        <v>manual&gt;hammer</v>
      </c>
    </row>
    <row r="370" spans="1:6" x14ac:dyDescent="0.25">
      <c r="A370" s="5" t="s">
        <v>351</v>
      </c>
      <c r="B370" s="5" t="s">
        <v>607</v>
      </c>
      <c r="C370" s="5"/>
      <c r="D370" s="1">
        <f>IFERROR(INDEX([1]SamplingMethod!$A$2:$C$160,MATCH(B370,[1]SamplingMethod!$C$2:$C$160,FALSE),1),"")</f>
        <v>78</v>
      </c>
      <c r="E370" s="5" t="str">
        <f>IFERROR(INDEX([1]SamplingMethod!$A$2:$C$160,MATCH(B370,[1]SamplingMethod!$C$2:$C$160,FALSE),2),"")</f>
        <v>secm:ses216</v>
      </c>
      <c r="F370" t="str">
        <f>IFERROR(INDEX('collectionMethodDistinct'!$A$2:$A$646,MATCH(A370,'collectionMethodDistinct'!$A$2:$A$646,FALSE),1),"")</f>
        <v>manual&gt;hammer</v>
      </c>
    </row>
    <row r="371" spans="1:6" x14ac:dyDescent="0.25">
      <c r="A371" s="5" t="s">
        <v>352</v>
      </c>
      <c r="B371" s="5" t="s">
        <v>607</v>
      </c>
      <c r="C371" s="5"/>
      <c r="D371" s="1">
        <f>IFERROR(INDEX([1]SamplingMethod!$A$2:$C$160,MATCH(B371,[1]SamplingMethod!$C$2:$C$160,FALSE),1),"")</f>
        <v>78</v>
      </c>
      <c r="E371" s="5" t="str">
        <f>IFERROR(INDEX([1]SamplingMethod!$A$2:$C$160,MATCH(B371,[1]SamplingMethod!$C$2:$C$160,FALSE),2),"")</f>
        <v>secm:ses216</v>
      </c>
      <c r="F371" t="str">
        <f>IFERROR(INDEX('collectionMethodDistinct'!$A$2:$A$646,MATCH(A371,'collectionMethodDistinct'!$A$2:$A$646,FALSE),1),"")</f>
        <v>manual&gt;hammer</v>
      </c>
    </row>
    <row r="372" spans="1:6" x14ac:dyDescent="0.25">
      <c r="A372" t="s">
        <v>936</v>
      </c>
      <c r="B372" s="5" t="s">
        <v>607</v>
      </c>
      <c r="D372" s="1">
        <f>IFERROR(INDEX([1]SamplingMethod!$A$2:$C$160,MATCH(B372,[1]SamplingMethod!$C$2:$C$160,FALSE),1),"")</f>
        <v>78</v>
      </c>
      <c r="E372" s="5" t="str">
        <f>IFERROR(INDEX([1]SamplingMethod!$A$2:$C$160,MATCH(B372,[1]SamplingMethod!$C$2:$C$160,FALSE),2),"")</f>
        <v>secm:ses216</v>
      </c>
      <c r="F372" t="str">
        <f>IFERROR(INDEX('collectionMethodDistinct'!$A$2:$A$646,MATCH(A372,'collectionMethodDistinct'!$A$2:$A$646,FALSE),1),"")</f>
        <v>manual&gt;hammer&gt; oriented</v>
      </c>
    </row>
    <row r="373" spans="1:6" x14ac:dyDescent="0.25">
      <c r="A373" s="5" t="s">
        <v>353</v>
      </c>
      <c r="B373" s="5" t="s">
        <v>656</v>
      </c>
      <c r="C373" s="5"/>
      <c r="D373" s="1">
        <f>IFERROR(INDEX([1]SamplingMethod!$A$2:$C$160,MATCH(B373,[1]SamplingMethod!$C$2:$C$160,FALSE),1),"")</f>
        <v>105</v>
      </c>
      <c r="E373" s="5" t="str">
        <f>IFERROR(INDEX([1]SamplingMethod!$A$2:$C$160,MATCH(B373,[1]SamplingMethod!$C$2:$C$160,FALSE),2),"")</f>
        <v>secm:sm007</v>
      </c>
      <c r="F373" t="str">
        <f>IFERROR(INDEX('collectionMethodDistinct'!$A$2:$A$646,MATCH(A373,'collectionMethodDistinct'!$A$2:$A$646,FALSE),1),"")</f>
        <v>Manual&gt;HandCorer</v>
      </c>
    </row>
    <row r="374" spans="1:6" x14ac:dyDescent="0.25">
      <c r="A374" s="5" t="s">
        <v>896</v>
      </c>
      <c r="B374" s="5" t="s">
        <v>689</v>
      </c>
      <c r="C374" s="5"/>
      <c r="D374" s="1">
        <f>IFERROR(INDEX([1]SamplingMethod!$A$2:$C$160,MATCH(B374,[1]SamplingMethod!$C$2:$C$160,FALSE),1),"")</f>
        <v>134</v>
      </c>
      <c r="E374" s="5" t="str">
        <f>IFERROR(INDEX([1]SamplingMethod!$A$2:$C$160,MATCH(B374,[1]SamplingMethod!$C$2:$C$160,FALSE),2),"")</f>
        <v>secm:sm035</v>
      </c>
      <c r="F374" t="str">
        <f>IFERROR(INDEX('collectionMethodDistinct'!$A$2:$A$646,MATCH(A374,'collectionMethodDistinct'!$A$2:$A$646,FALSE),1),"")</f>
        <v>Manual&gt;in situ</v>
      </c>
    </row>
    <row r="375" spans="1:6" x14ac:dyDescent="0.25">
      <c r="A375" s="5" t="s">
        <v>354</v>
      </c>
      <c r="B375" s="5" t="s">
        <v>520</v>
      </c>
      <c r="C375" s="5"/>
      <c r="D375" s="1">
        <f>IFERROR(INDEX([1]SamplingMethod!$A$2:$C$160,MATCH(B375,[1]SamplingMethod!$C$2:$C$160,FALSE),1),"")</f>
        <v>91</v>
      </c>
      <c r="E375" s="5" t="str">
        <f>IFERROR(INDEX([1]SamplingMethod!$A$2:$C$160,MATCH(B375,[1]SamplingMethod!$C$2:$C$160,FALSE),2),"")</f>
        <v>secm:ses230</v>
      </c>
      <c r="F375" t="str">
        <f>IFERROR(INDEX('collectionMethodDistinct'!$A$2:$A$646,MATCH(A375,'collectionMethodDistinct'!$A$2:$A$646,FALSE),1),"")</f>
        <v>Manual&gt;Shovel</v>
      </c>
    </row>
    <row r="376" spans="1:6" x14ac:dyDescent="0.25">
      <c r="A376" s="5" t="s">
        <v>355</v>
      </c>
      <c r="B376" s="5" t="s">
        <v>282</v>
      </c>
      <c r="C376" s="5"/>
      <c r="D376" s="1">
        <f>IFERROR(INDEX([1]SamplingMethod!$A$2:$C$160,MATCH(B376,[1]SamplingMethod!$C$2:$C$160,FALSE),1),"")</f>
        <v>79</v>
      </c>
      <c r="E376" s="5" t="str">
        <f>IFERROR(INDEX([1]SamplingMethod!$A$2:$C$160,MATCH(B376,[1]SamplingMethod!$C$2:$C$160,FALSE),2),"")</f>
        <v>secm:ses217</v>
      </c>
      <c r="F376" t="str">
        <f>IFERROR(INDEX('collectionMethodDistinct'!$A$2:$A$646,MATCH(A376,'collectionMethodDistinct'!$A$2:$A$646,FALSE),1),"")</f>
        <v>manualAugering&gt;AMSauger</v>
      </c>
    </row>
    <row r="377" spans="1:6" x14ac:dyDescent="0.25">
      <c r="A377" s="5" t="s">
        <v>913</v>
      </c>
      <c r="B377" s="5" t="s">
        <v>607</v>
      </c>
      <c r="C377" s="5"/>
      <c r="D377" s="1">
        <f>IFERROR(INDEX([1]SamplingMethod!$A$2:$C$160,MATCH(B377,[1]SamplingMethod!$C$2:$C$160,FALSE),1),"")</f>
        <v>78</v>
      </c>
      <c r="E377" s="5" t="str">
        <f>IFERROR(INDEX([1]SamplingMethod!$A$2:$C$160,MATCH(B377,[1]SamplingMethod!$C$2:$C$160,FALSE),2),"")</f>
        <v>secm:ses216</v>
      </c>
      <c r="F377" t="str">
        <f>IFERROR(INDEX('collectionMethodDistinct'!$A$2:$A$646,MATCH(A377,'collectionMethodDistinct'!$A$2:$A$646,FALSE),1),"")</f>
        <v>manual-hammer</v>
      </c>
    </row>
    <row r="378" spans="1:6" x14ac:dyDescent="0.25">
      <c r="A378" s="5" t="s">
        <v>356</v>
      </c>
      <c r="B378" s="5" t="s">
        <v>607</v>
      </c>
      <c r="C378" s="5"/>
      <c r="D378" s="1">
        <f>IFERROR(INDEX([1]SamplingMethod!$A$2:$C$160,MATCH(B378,[1]SamplingMethod!$C$2:$C$160,FALSE),1),"")</f>
        <v>78</v>
      </c>
      <c r="E378" s="5" t="str">
        <f>IFERROR(INDEX([1]SamplingMethod!$A$2:$C$160,MATCH(B378,[1]SamplingMethod!$C$2:$C$160,FALSE),2),"")</f>
        <v>secm:ses216</v>
      </c>
      <c r="F378" t="str">
        <f>IFERROR(INDEX('collectionMethodDistinct'!$A$2:$A$646,MATCH(A378,'collectionMethodDistinct'!$A$2:$A$646,FALSE),1),"")</f>
        <v>manual-hammer</v>
      </c>
    </row>
    <row r="379" spans="1:6" x14ac:dyDescent="0.25">
      <c r="A379" t="s">
        <v>935</v>
      </c>
      <c r="B379" s="5" t="s">
        <v>607</v>
      </c>
      <c r="D379" s="1">
        <f>IFERROR(INDEX([1]SamplingMethod!$A$2:$C$160,MATCH(B379,[1]SamplingMethod!$C$2:$C$160,FALSE),1),"")</f>
        <v>78</v>
      </c>
      <c r="E379" s="5" t="str">
        <f>IFERROR(INDEX([1]SamplingMethod!$A$2:$C$160,MATCH(B379,[1]SamplingMethod!$C$2:$C$160,FALSE),2),"")</f>
        <v>secm:ses216</v>
      </c>
      <c r="F379" t="str">
        <f>IFERROR(INDEX('collectionMethodDistinct'!$A$2:$A$646,MATCH(A379,'collectionMethodDistinct'!$A$2:$A$646,FALSE),1),"")</f>
        <v>Manuel&gt;Hammer</v>
      </c>
    </row>
    <row r="380" spans="1:6" x14ac:dyDescent="0.25">
      <c r="A380" s="5" t="s">
        <v>357</v>
      </c>
      <c r="B380" s="5" t="s">
        <v>845</v>
      </c>
      <c r="C380" s="5"/>
      <c r="D380" s="1">
        <f>IFERROR(INDEX([1]SamplingMethod!$A$2:$C$160,MATCH(B380,[1]SamplingMethod!$C$2:$C$160,FALSE),1),"")</f>
        <v>26</v>
      </c>
      <c r="E380" s="5" t="str">
        <f>IFERROR(INDEX([1]SamplingMethod!$A$2:$C$160,MATCH(B380,[1]SamplingMethod!$C$2:$C$160,FALSE),2),"")</f>
        <v>secm:core_drilling_unspecified</v>
      </c>
      <c r="F380" t="str">
        <f>IFERROR(INDEX('collectionMethodDistinct'!$A$2:$A$646,MATCH(A380,'collectionMethodDistinct'!$A$2:$A$646,FALSE),1),"")</f>
        <v>Mars 2020 abrasion bit</v>
      </c>
    </row>
    <row r="381" spans="1:6" x14ac:dyDescent="0.25">
      <c r="A381" s="5" t="s">
        <v>358</v>
      </c>
      <c r="B381" s="5" t="s">
        <v>845</v>
      </c>
      <c r="C381" s="5"/>
      <c r="D381" s="1">
        <f>IFERROR(INDEX([1]SamplingMethod!$A$2:$C$160,MATCH(B381,[1]SamplingMethod!$C$2:$C$160,FALSE),1),"")</f>
        <v>26</v>
      </c>
      <c r="E381" s="5" t="str">
        <f>IFERROR(INDEX([1]SamplingMethod!$A$2:$C$160,MATCH(B381,[1]SamplingMethod!$C$2:$C$160,FALSE),2),"")</f>
        <v>secm:core_drilling_unspecified</v>
      </c>
      <c r="F381" t="str">
        <f>IFERROR(INDEX('collectionMethodDistinct'!$A$2:$A$646,MATCH(A381,'collectionMethodDistinct'!$A$2:$A$646,FALSE),1),"")</f>
        <v>Mars 2020 coring bit</v>
      </c>
    </row>
    <row r="382" spans="1:6" x14ac:dyDescent="0.25">
      <c r="A382" s="5" t="s">
        <v>359</v>
      </c>
      <c r="B382" s="5" t="s">
        <v>858</v>
      </c>
      <c r="C382" s="5"/>
      <c r="D382" s="1">
        <f>IFERROR(INDEX([1]SamplingMethod!$A$2:$C$160,MATCH(B382,[1]SamplingMethod!$C$2:$C$160,FALSE),1),"")</f>
        <v>151</v>
      </c>
      <c r="E382" s="5" t="str">
        <f>IFERROR(INDEX([1]SamplingMethod!$A$2:$C$160,MATCH(B382,[1]SamplingMethod!$C$2:$C$160,FALSE),2),"")</f>
        <v>secm:unknown</v>
      </c>
      <c r="F382" t="str">
        <f>IFERROR(INDEX('collectionMethodDistinct'!$A$2:$A$646,MATCH(A382,'collectionMethodDistinct'!$A$2:$A$646,FALSE),1),"")</f>
        <v>melting</v>
      </c>
    </row>
    <row r="383" spans="1:6" x14ac:dyDescent="0.25">
      <c r="A383" s="5" t="s">
        <v>360</v>
      </c>
      <c r="B383" s="5" t="s">
        <v>894</v>
      </c>
      <c r="C383" s="5"/>
      <c r="D383" s="1">
        <f>IFERROR(INDEX([1]SamplingMethod!$A$2:$C$160,MATCH(B383,[1]SamplingMethod!$C$2:$C$160,FALSE),1),"")</f>
        <v>84</v>
      </c>
      <c r="E383" s="5" t="str">
        <f>IFERROR(INDEX([1]SamplingMethod!$A$2:$C$160,MATCH(B383,[1]SamplingMethod!$C$2:$C$160,FALSE),2),"")</f>
        <v>secm:ses223</v>
      </c>
      <c r="F383" t="str">
        <f>IFERROR(INDEX('collectionMethodDistinct'!$A$2:$A$646,MATCH(A383,'collectionMethodDistinct'!$A$2:$A$646,FALSE),1),"")</f>
        <v>Menzies Trawl</v>
      </c>
    </row>
    <row r="384" spans="1:6" x14ac:dyDescent="0.25">
      <c r="A384" s="5" t="s">
        <v>361</v>
      </c>
      <c r="B384" s="5" t="s">
        <v>508</v>
      </c>
      <c r="C384" s="5"/>
      <c r="D384" s="1">
        <f>IFERROR(INDEX([1]SamplingMethod!$A$2:$C$160,MATCH(B384,[1]SamplingMethod!$C$2:$C$160,FALSE),1),"")</f>
        <v>88</v>
      </c>
      <c r="E384" s="5" t="str">
        <f>IFERROR(INDEX([1]SamplingMethod!$A$2:$C$160,MATCH(B384,[1]SamplingMethod!$C$2:$C$160,FALSE),2),"")</f>
        <v>secm:ses227</v>
      </c>
      <c r="F384" t="str">
        <f>IFERROR(INDEX('collectionMethodDistinct'!$A$2:$A$646,MATCH(A384,'collectionMethodDistinct'!$A$2:$A$646,FALSE),1),"")</f>
        <v>metal scoop</v>
      </c>
    </row>
    <row r="385" spans="1:6" x14ac:dyDescent="0.25">
      <c r="A385" s="5" t="s">
        <v>362</v>
      </c>
      <c r="B385" s="5" t="s">
        <v>219</v>
      </c>
      <c r="C385" s="5"/>
      <c r="D385" s="1">
        <f>IFERROR(INDEX([1]SamplingMethod!$A$2:$C$160,MATCH(B385,[1]SamplingMethod!$C$2:$C$160,FALSE),1),"")</f>
        <v>38</v>
      </c>
      <c r="E385" s="5" t="str">
        <f>IFERROR(INDEX([1]SamplingMethod!$A$2:$C$160,MATCH(B385,[1]SamplingMethod!$C$2:$C$160,FALSE),2),"")</f>
        <v>secm:drilling</v>
      </c>
      <c r="F385" t="str">
        <f>IFERROR(INDEX('collectionMethodDistinct'!$A$2:$A$646,MATCH(A385,'collectionMethodDistinct'!$A$2:$A$646,FALSE),1),"")</f>
        <v>microdrilling</v>
      </c>
    </row>
    <row r="386" spans="1:6" x14ac:dyDescent="0.25">
      <c r="A386" s="5" t="s">
        <v>35</v>
      </c>
      <c r="B386" s="5" t="s">
        <v>862</v>
      </c>
      <c r="C386" s="5"/>
      <c r="D386" s="1">
        <f>IFERROR(INDEX([1]SamplingMethod!$A$2:$C$160,MATCH(B386,[1]SamplingMethod!$C$2:$C$160,FALSE),1),"")</f>
        <v>85</v>
      </c>
      <c r="E386" s="5" t="str">
        <f>IFERROR(INDEX([1]SamplingMethod!$A$2:$C$160,MATCH(B386,[1]SamplingMethod!$C$2:$C$160,FALSE),2),"")</f>
        <v>secm:ses224</v>
      </c>
      <c r="F386" t="str">
        <f>IFERROR(INDEX('collectionMethodDistinct'!$A$2:$A$646,MATCH(A386,'collectionMethodDistinct'!$A$2:$A$646,FALSE),1),"")</f>
        <v>Micropillar Compression</v>
      </c>
    </row>
    <row r="387" spans="1:6" x14ac:dyDescent="0.25">
      <c r="A387" s="5" t="s">
        <v>363</v>
      </c>
      <c r="B387" s="5" t="s">
        <v>862</v>
      </c>
      <c r="C387" s="5"/>
      <c r="D387" s="1">
        <f>IFERROR(INDEX([1]SamplingMethod!$A$2:$C$160,MATCH(B387,[1]SamplingMethod!$C$2:$C$160,FALSE),1),"")</f>
        <v>85</v>
      </c>
      <c r="E387" s="5" t="str">
        <f>IFERROR(INDEX([1]SamplingMethod!$A$2:$C$160,MATCH(B387,[1]SamplingMethod!$C$2:$C$160,FALSE),2),"")</f>
        <v>secm:ses224</v>
      </c>
      <c r="F387" t="str">
        <f>IFERROR(INDEX('collectionMethodDistinct'!$A$2:$A$646,MATCH(A387,'collectionMethodDistinct'!$A$2:$A$646,FALSE),1),"")</f>
        <v>Micropillar Deformation</v>
      </c>
    </row>
    <row r="388" spans="1:6" x14ac:dyDescent="0.25">
      <c r="A388" s="5" t="s">
        <v>364</v>
      </c>
      <c r="B388" s="5" t="s">
        <v>689</v>
      </c>
      <c r="C388" s="5"/>
      <c r="D388" s="1">
        <f>IFERROR(INDEX([1]SamplingMethod!$A$2:$C$160,MATCH(B388,[1]SamplingMethod!$C$2:$C$160,FALSE),1),"")</f>
        <v>134</v>
      </c>
      <c r="E388" s="5" t="str">
        <f>IFERROR(INDEX([1]SamplingMethod!$A$2:$C$160,MATCH(B388,[1]SamplingMethod!$C$2:$C$160,FALSE),2),"")</f>
        <v>secm:sm035</v>
      </c>
      <c r="F388" t="str">
        <f>IFERROR(INDEX('collectionMethodDistinct'!$A$2:$A$646,MATCH(A388,'collectionMethodDistinct'!$A$2:$A$646,FALSE),1),"")</f>
        <v>Mined</v>
      </c>
    </row>
    <row r="389" spans="1:6" x14ac:dyDescent="0.25">
      <c r="A389" s="5" t="s">
        <v>365</v>
      </c>
      <c r="B389" s="5" t="s">
        <v>858</v>
      </c>
      <c r="C389" s="5"/>
      <c r="D389" s="1">
        <f>IFERROR(INDEX([1]SamplingMethod!$A$2:$C$160,MATCH(B389,[1]SamplingMethod!$C$2:$C$160,FALSE),1),"")</f>
        <v>151</v>
      </c>
      <c r="E389" s="5" t="str">
        <f>IFERROR(INDEX([1]SamplingMethod!$A$2:$C$160,MATCH(B389,[1]SamplingMethod!$C$2:$C$160,FALSE),2),"")</f>
        <v>secm:unknown</v>
      </c>
      <c r="F389" t="str">
        <f>IFERROR(INDEX('collectionMethodDistinct'!$A$2:$A$646,MATCH(A389,'collectionMethodDistinct'!$A$2:$A$646,FALSE),1),"")</f>
        <v>mixed left, right, center, 0.45 micron filtered</v>
      </c>
    </row>
    <row r="390" spans="1:6" x14ac:dyDescent="0.25">
      <c r="A390" s="5" t="s">
        <v>366</v>
      </c>
      <c r="B390" s="5" t="s">
        <v>842</v>
      </c>
      <c r="C390" s="5"/>
      <c r="D390" s="1">
        <f>IFERROR(INDEX([1]SamplingMethod!$A$2:$C$160,MATCH(B390,[1]SamplingMethod!$C$2:$C$160,FALSE),1),"")</f>
        <v>127</v>
      </c>
      <c r="E390" s="5" t="str">
        <f>IFERROR(INDEX([1]SamplingMethod!$A$2:$C$160,MATCH(B390,[1]SamplingMethod!$C$2:$C$160,FALSE),2),"")</f>
        <v>secm:sm028</v>
      </c>
      <c r="F390" t="str">
        <f>IFERROR(INDEX('collectionMethodDistinct'!$A$2:$A$646,MATCH(A390,'collectionMethodDistinct'!$A$2:$A$646,FALSE),1),"")</f>
        <v>Multicore</v>
      </c>
    </row>
    <row r="391" spans="1:6" x14ac:dyDescent="0.25">
      <c r="A391" s="5" t="s">
        <v>367</v>
      </c>
      <c r="B391" s="5" t="s">
        <v>858</v>
      </c>
      <c r="C391" s="5"/>
      <c r="D391" s="1">
        <f>IFERROR(INDEX([1]SamplingMethod!$A$2:$C$160,MATCH(B391,[1]SamplingMethod!$C$2:$C$160,FALSE),1),"")</f>
        <v>151</v>
      </c>
      <c r="E391" s="5" t="str">
        <f>IFERROR(INDEX([1]SamplingMethod!$A$2:$C$160,MATCH(B391,[1]SamplingMethod!$C$2:$C$160,FALSE),2),"")</f>
        <v>secm:unknown</v>
      </c>
      <c r="F391" t="str">
        <f>IFERROR(INDEX('collectionMethodDistinct'!$A$2:$A$646,MATCH(A391,'collectionMethodDistinct'!$A$2:$A$646,FALSE),1),"")</f>
        <v>Museum specimen</v>
      </c>
    </row>
    <row r="392" spans="1:6" x14ac:dyDescent="0.25">
      <c r="A392" s="5" t="s">
        <v>368</v>
      </c>
      <c r="B392" s="5" t="s">
        <v>863</v>
      </c>
      <c r="C392" s="5"/>
      <c r="D392" s="1">
        <f>IFERROR(INDEX([1]SamplingMethod!$A$2:$C$160,MATCH(B392,[1]SamplingMethod!$C$2:$C$160,FALSE),1),"")</f>
        <v>52</v>
      </c>
      <c r="E392" s="5" t="str">
        <f>IFERROR(INDEX([1]SamplingMethod!$A$2:$C$160,MATCH(B392,[1]SamplingMethod!$C$2:$C$160,FALSE),2),"")</f>
        <v>secm:microanalyticsampling</v>
      </c>
      <c r="F392" t="str">
        <f>IFERROR(INDEX('collectionMethodDistinct'!$A$2:$A$646,MATCH(A392,'collectionMethodDistinct'!$A$2:$A$646,FALSE),1),"")</f>
        <v>Nanoindentation</v>
      </c>
    </row>
    <row r="393" spans="1:6" x14ac:dyDescent="0.25">
      <c r="A393" s="5" t="s">
        <v>369</v>
      </c>
      <c r="B393" s="5" t="s">
        <v>864</v>
      </c>
      <c r="C393" s="5"/>
      <c r="D393" s="1">
        <f>IFERROR(INDEX([1]SamplingMethod!$A$2:$C$160,MATCH(B393,[1]SamplingMethod!$C$2:$C$160,FALSE),1),"")</f>
        <v>86</v>
      </c>
      <c r="E393" s="5" t="str">
        <f>IFERROR(INDEX([1]SamplingMethod!$A$2:$C$160,MATCH(B393,[1]SamplingMethod!$C$2:$C$160,FALSE),2),"")</f>
        <v>secm:ses225</v>
      </c>
      <c r="F393" t="str">
        <f>IFERROR(INDEX('collectionMethodDistinct'!$A$2:$A$646,MATCH(A393,'collectionMethodDistinct'!$A$2:$A$646,FALSE),1),"")</f>
        <v>Niskin</v>
      </c>
    </row>
    <row r="394" spans="1:6" x14ac:dyDescent="0.25">
      <c r="A394" s="5" t="s">
        <v>37</v>
      </c>
      <c r="B394" s="5" t="s">
        <v>864</v>
      </c>
      <c r="C394" s="5"/>
      <c r="D394" s="1">
        <f>IFERROR(INDEX([1]SamplingMethod!$A$2:$C$160,MATCH(B394,[1]SamplingMethod!$C$2:$C$160,FALSE),1),"")</f>
        <v>86</v>
      </c>
      <c r="E394" s="5" t="str">
        <f>IFERROR(INDEX([1]SamplingMethod!$A$2:$C$160,MATCH(B394,[1]SamplingMethod!$C$2:$C$160,FALSE),2),"")</f>
        <v>secm:ses225</v>
      </c>
      <c r="F394" t="str">
        <f>IFERROR(INDEX('collectionMethodDistinct'!$A$2:$A$646,MATCH(A394,'collectionMethodDistinct'!$A$2:$A$646,FALSE),1),"")</f>
        <v>Niskin Water Sampler</v>
      </c>
    </row>
    <row r="395" spans="1:6" x14ac:dyDescent="0.25">
      <c r="A395" t="s">
        <v>934</v>
      </c>
      <c r="B395" s="5" t="s">
        <v>607</v>
      </c>
      <c r="D395" s="1">
        <f>IFERROR(INDEX([1]SamplingMethod!$A$2:$C$160,MATCH(B395,[1]SamplingMethod!$C$2:$C$160,FALSE),1),"")</f>
        <v>78</v>
      </c>
      <c r="E395" s="5" t="str">
        <f>IFERROR(INDEX([1]SamplingMethod!$A$2:$C$160,MATCH(B395,[1]SamplingMethod!$C$2:$C$160,FALSE),2),"")</f>
        <v>secm:ses216</v>
      </c>
      <c r="F395" t="str">
        <f>IFERROR(INDEX('collectionMethodDistinct'!$A$2:$A$646,MATCH(A395,'collectionMethodDistinct'!$A$2:$A$646,FALSE),1),"")</f>
        <v>Non Oriented  sample, collected with hammer, chisel.</v>
      </c>
    </row>
    <row r="396" spans="1:6" x14ac:dyDescent="0.25">
      <c r="A396" s="5" t="s">
        <v>370</v>
      </c>
      <c r="B396" s="5" t="s">
        <v>902</v>
      </c>
      <c r="C396" s="5"/>
      <c r="D396" s="1">
        <f>IFERROR(INDEX([1]SamplingMethod!$A$2:$C$160,MATCH(B396,[1]SamplingMethod!$C$2:$C$160,FALSE),1),"")</f>
        <v>157</v>
      </c>
      <c r="E396" s="5"/>
      <c r="F396" t="str">
        <f>IFERROR(INDEX('collectionMethodDistinct'!$A$2:$A$646,MATCH(A396,'collectionMethodDistinct'!$A$2:$A$646,FALSE),1),"")</f>
        <v>NULL</v>
      </c>
    </row>
    <row r="397" spans="1:6" x14ac:dyDescent="0.25">
      <c r="A397" s="5" t="s">
        <v>371</v>
      </c>
      <c r="B397" s="5" t="s">
        <v>850</v>
      </c>
      <c r="C397" s="5"/>
      <c r="D397" s="1">
        <f>IFERROR(INDEX([1]SamplingMethod!$A$2:$C$160,MATCH(B397,[1]SamplingMethod!$C$2:$C$160,FALSE),1),"")</f>
        <v>25</v>
      </c>
      <c r="E397" s="5" t="str">
        <f>IFERROR(INDEX([1]SamplingMethod!$A$2:$C$160,MATCH(B397,[1]SamplingMethod!$C$2:$C$160,FALSE),2),"")</f>
        <v>secm:core_diamond</v>
      </c>
      <c r="F397" t="str">
        <f>IFERROR(INDEX('collectionMethodDistinct'!$A$2:$A$646,MATCH(A397,'collectionMethodDistinct'!$A$2:$A$646,FALSE),1),"")</f>
        <v>ODP drilling</v>
      </c>
    </row>
    <row r="398" spans="1:6" x14ac:dyDescent="0.25">
      <c r="A398" s="5" t="s">
        <v>372</v>
      </c>
      <c r="B398" s="5" t="s">
        <v>850</v>
      </c>
      <c r="C398" s="5"/>
      <c r="D398" s="1">
        <f>IFERROR(INDEX([1]SamplingMethod!$A$2:$C$160,MATCH(B398,[1]SamplingMethod!$C$2:$C$160,FALSE),1),"")</f>
        <v>25</v>
      </c>
      <c r="E398" s="5" t="str">
        <f>IFERROR(INDEX([1]SamplingMethod!$A$2:$C$160,MATCH(B398,[1]SamplingMethod!$C$2:$C$160,FALSE),2),"")</f>
        <v>secm:core_diamond</v>
      </c>
      <c r="F398" t="str">
        <f>IFERROR(INDEX('collectionMethodDistinct'!$A$2:$A$646,MATCH(A398,'collectionMethodDistinct'!$A$2:$A$646,FALSE),1),"")</f>
        <v>Oil and Gas Exploration</v>
      </c>
    </row>
    <row r="399" spans="1:6" x14ac:dyDescent="0.25">
      <c r="A399" s="5" t="s">
        <v>373</v>
      </c>
      <c r="B399" s="5" t="s">
        <v>219</v>
      </c>
      <c r="C399" s="5"/>
      <c r="D399" s="1">
        <f>IFERROR(INDEX([1]SamplingMethod!$A$2:$C$160,MATCH(B399,[1]SamplingMethod!$C$2:$C$160,FALSE),1),"")</f>
        <v>38</v>
      </c>
      <c r="E399" s="5" t="str">
        <f>IFERROR(INDEX([1]SamplingMethod!$A$2:$C$160,MATCH(B399,[1]SamplingMethod!$C$2:$C$160,FALSE),2),"")</f>
        <v>secm:drilling</v>
      </c>
      <c r="F399" t="str">
        <f>IFERROR(INDEX('collectionMethodDistinct'!$A$2:$A$646,MATCH(A399,'collectionMethodDistinct'!$A$2:$A$646,FALSE),1),"")</f>
        <v>open-hole drilling</v>
      </c>
    </row>
    <row r="400" spans="1:6" x14ac:dyDescent="0.25">
      <c r="A400" s="5" t="s">
        <v>374</v>
      </c>
      <c r="B400" s="5" t="s">
        <v>689</v>
      </c>
      <c r="C400" s="5"/>
      <c r="D400" s="1">
        <f>IFERROR(INDEX([1]SamplingMethod!$A$2:$C$160,MATCH(B400,[1]SamplingMethod!$C$2:$C$160,FALSE),1),"")</f>
        <v>134</v>
      </c>
      <c r="E400" s="5" t="str">
        <f>IFERROR(INDEX([1]SamplingMethod!$A$2:$C$160,MATCH(B400,[1]SamplingMethod!$C$2:$C$160,FALSE),2),"")</f>
        <v>secm:sm035</v>
      </c>
      <c r="F400" t="str">
        <f>IFERROR(INDEX('collectionMethodDistinct'!$A$2:$A$646,MATCH(A400,'collectionMethodDistinct'!$A$2:$A$646,FALSE),1),"")</f>
        <v>Oriented hand sample</v>
      </c>
    </row>
    <row r="401" spans="1:6" x14ac:dyDescent="0.25">
      <c r="A401" t="s">
        <v>933</v>
      </c>
      <c r="B401" s="5" t="s">
        <v>607</v>
      </c>
      <c r="D401" s="1">
        <f>IFERROR(INDEX([1]SamplingMethod!$A$2:$C$160,MATCH(B401,[1]SamplingMethod!$C$2:$C$160,FALSE),1),"")</f>
        <v>78</v>
      </c>
      <c r="E401" s="5" t="str">
        <f>IFERROR(INDEX([1]SamplingMethod!$A$2:$C$160,MATCH(B401,[1]SamplingMethod!$C$2:$C$160,FALSE),2),"")</f>
        <v>secm:ses216</v>
      </c>
      <c r="F401" t="str">
        <f>IFERROR(INDEX('collectionMethodDistinct'!$A$2:$A$646,MATCH(A401,'collectionMethodDistinct'!$A$2:$A$646,FALSE),1),"")</f>
        <v>Oriented sample, collected with hammer, chisel.</v>
      </c>
    </row>
    <row r="402" spans="1:6" x14ac:dyDescent="0.25">
      <c r="A402" s="5" t="s">
        <v>375</v>
      </c>
      <c r="B402" s="5" t="s">
        <v>858</v>
      </c>
      <c r="C402" s="5"/>
      <c r="D402" s="1">
        <f>IFERROR(INDEX([1]SamplingMethod!$A$2:$C$160,MATCH(B402,[1]SamplingMethod!$C$2:$C$160,FALSE),1),"")</f>
        <v>151</v>
      </c>
      <c r="E402" s="5" t="str">
        <f>IFERROR(INDEX([1]SamplingMethod!$A$2:$C$160,MATCH(B402,[1]SamplingMethod!$C$2:$C$160,FALSE),2),"")</f>
        <v>secm:unknown</v>
      </c>
      <c r="F402" t="str">
        <f>IFERROR(INDEX('collectionMethodDistinct'!$A$2:$A$646,MATCH(A402,'collectionMethodDistinct'!$A$2:$A$646,FALSE),1),"")</f>
        <v>Other</v>
      </c>
    </row>
    <row r="403" spans="1:6" x14ac:dyDescent="0.25">
      <c r="A403" s="7" t="s">
        <v>376</v>
      </c>
      <c r="B403" s="5" t="s">
        <v>857</v>
      </c>
      <c r="C403" s="5"/>
      <c r="D403" s="1">
        <f>IFERROR(INDEX([1]SamplingMethod!$A$2:$C$160,MATCH(B403,[1]SamplingMethod!$C$2:$C$160,FALSE),1),"")</f>
        <v>149</v>
      </c>
      <c r="E403" s="5" t="str">
        <f>IFERROR(INDEX([1]SamplingMethod!$A$2:$C$160,MATCH(B403,[1]SamplingMethod!$C$2:$C$160,FALSE),2),"")</f>
        <v>secm:trawlsampling</v>
      </c>
      <c r="F403" t="str">
        <f>IFERROR(INDEX('collectionMethodDistinct'!$A$2:$A$646,MATCH(A403,'collectionMethodDistinct'!$A$2:$A$646,FALSE),1),"")</f>
        <v>Otter Trawl</v>
      </c>
    </row>
    <row r="404" spans="1:6" x14ac:dyDescent="0.25">
      <c r="A404" s="5" t="s">
        <v>377</v>
      </c>
      <c r="B404" s="5" t="s">
        <v>857</v>
      </c>
      <c r="C404" s="5"/>
      <c r="D404" s="1">
        <f>IFERROR(INDEX([1]SamplingMethod!$A$2:$C$160,MATCH(B404,[1]SamplingMethod!$C$2:$C$160,FALSE),1),"")</f>
        <v>149</v>
      </c>
      <c r="E404" s="5" t="str">
        <f>IFERROR(INDEX([1]SamplingMethod!$A$2:$C$160,MATCH(B404,[1]SamplingMethod!$C$2:$C$160,FALSE),2),"")</f>
        <v>secm:trawlsampling</v>
      </c>
      <c r="F404" t="str">
        <f>IFERROR(INDEX('collectionMethodDistinct'!$A$2:$A$646,MATCH(A404,'collectionMethodDistinct'!$A$2:$A$646,FALSE),1),"")</f>
        <v>Otter Trawl/IK Net</v>
      </c>
    </row>
    <row r="405" spans="1:6" x14ac:dyDescent="0.25">
      <c r="A405" s="5" t="s">
        <v>378</v>
      </c>
      <c r="B405" s="5" t="s">
        <v>693</v>
      </c>
      <c r="C405" s="5"/>
      <c r="D405" s="1">
        <f>IFERROR(INDEX([1]SamplingMethod!$A$2:$C$160,MATCH(B405,[1]SamplingMethod!$C$2:$C$160,FALSE),1),"")</f>
        <v>115</v>
      </c>
      <c r="E405" s="5" t="str">
        <f>IFERROR(INDEX([1]SamplingMethod!$A$2:$C$160,MATCH(B405,[1]SamplingMethod!$C$2:$C$160,FALSE),2),"")</f>
        <v>secm:sm016</v>
      </c>
      <c r="F405" t="str">
        <f>IFERROR(INDEX('collectionMethodDistinct'!$A$2:$A$646,MATCH(A405,'collectionMethodDistinct'!$A$2:$A$646,FALSE),1),"")</f>
        <v>outcrop</v>
      </c>
    </row>
    <row r="406" spans="1:6" x14ac:dyDescent="0.25">
      <c r="A406" s="5" t="s">
        <v>379</v>
      </c>
      <c r="B406" s="5" t="s">
        <v>693</v>
      </c>
      <c r="C406" s="5"/>
      <c r="D406" s="1">
        <f>IFERROR(INDEX([1]SamplingMethod!$A$2:$C$160,MATCH(B406,[1]SamplingMethod!$C$2:$C$160,FALSE),1),"")</f>
        <v>115</v>
      </c>
      <c r="E406" s="5" t="str">
        <f>IFERROR(INDEX([1]SamplingMethod!$A$2:$C$160,MATCH(B406,[1]SamplingMethod!$C$2:$C$160,FALSE),2),"")</f>
        <v>secm:sm016</v>
      </c>
      <c r="F406" t="str">
        <f>IFERROR(INDEX('collectionMethodDistinct'!$A$2:$A$646,MATCH(A406,'collectionMethodDistinct'!$A$2:$A$646,FALSE),1),"")</f>
        <v>outcrop</v>
      </c>
    </row>
    <row r="407" spans="1:6" x14ac:dyDescent="0.25">
      <c r="A407" s="5" t="s">
        <v>380</v>
      </c>
      <c r="B407" s="5" t="s">
        <v>607</v>
      </c>
      <c r="C407" s="5"/>
      <c r="D407" s="1">
        <f>IFERROR(INDEX([1]SamplingMethod!$A$2:$C$160,MATCH(B407,[1]SamplingMethod!$C$2:$C$160,FALSE),1),"")</f>
        <v>78</v>
      </c>
      <c r="E407" s="5" t="str">
        <f>IFERROR(INDEX([1]SamplingMethod!$A$2:$C$160,MATCH(B407,[1]SamplingMethod!$C$2:$C$160,FALSE),2),"")</f>
        <v>secm:ses216</v>
      </c>
      <c r="F407" t="str">
        <f>IFERROR(INDEX('collectionMethodDistinct'!$A$2:$A$646,MATCH(A407,'collectionMethodDistinct'!$A$2:$A$646,FALSE),1),"")</f>
        <v>outcrop hand sample</v>
      </c>
    </row>
    <row r="408" spans="1:6" s="10" customFormat="1" x14ac:dyDescent="0.25">
      <c r="A408" s="10" t="s">
        <v>381</v>
      </c>
      <c r="B408" s="10" t="s">
        <v>607</v>
      </c>
      <c r="D408" s="11">
        <f>IFERROR(INDEX([1]SamplingMethod!$A$2:$C$160,MATCH(B408,[1]SamplingMethod!$C$2:$C$160,FALSE),1),"")</f>
        <v>78</v>
      </c>
      <c r="E408" s="10" t="str">
        <f>IFERROR(INDEX([1]SamplingMethod!$A$2:$C$160,MATCH(B408,[1]SamplingMethod!$C$2:$C$160,FALSE),2),"")</f>
        <v>secm:ses216</v>
      </c>
      <c r="F408" s="10" t="str">
        <f>IFERROR(INDEX('collectionMethodDistinct'!$A$2:$A$646,MATCH(A408,'collectionMethodDistinct'!$A$2:$A$646,FALSE),1),"")</f>
        <v>outcrop hand sample</v>
      </c>
    </row>
    <row r="409" spans="1:6" x14ac:dyDescent="0.25">
      <c r="A409" s="5" t="s">
        <v>382</v>
      </c>
      <c r="B409" s="5" t="s">
        <v>693</v>
      </c>
      <c r="C409" s="5"/>
      <c r="D409" s="1">
        <f>IFERROR(INDEX([1]SamplingMethod!$A$2:$C$160,MATCH(B409,[1]SamplingMethod!$C$2:$C$160,FALSE),1),"")</f>
        <v>115</v>
      </c>
      <c r="E409" s="5" t="str">
        <f>IFERROR(INDEX([1]SamplingMethod!$A$2:$C$160,MATCH(B409,[1]SamplingMethod!$C$2:$C$160,FALSE),2),"")</f>
        <v>secm:sm016</v>
      </c>
      <c r="F409" t="str">
        <f>IFERROR(INDEX('collectionMethodDistinct'!$A$2:$A$646,MATCH(A409,'collectionMethodDistinct'!$A$2:$A$646,FALSE),1),"")</f>
        <v>Outcrop sampling</v>
      </c>
    </row>
    <row r="410" spans="1:6" x14ac:dyDescent="0.25">
      <c r="A410" s="5" t="s">
        <v>383</v>
      </c>
      <c r="B410" s="5" t="s">
        <v>850</v>
      </c>
      <c r="C410" s="5"/>
      <c r="D410" s="1">
        <f>IFERROR(INDEX([1]SamplingMethod!$A$2:$C$160,MATCH(B410,[1]SamplingMethod!$C$2:$C$160,FALSE),1),"")</f>
        <v>25</v>
      </c>
      <c r="E410" s="5" t="str">
        <f>IFERROR(INDEX([1]SamplingMethod!$A$2:$C$160,MATCH(B410,[1]SamplingMethod!$C$2:$C$160,FALSE),2),"")</f>
        <v>secm:core_diamond</v>
      </c>
      <c r="F410" t="str">
        <f>IFERROR(INDEX('collectionMethodDistinct'!$A$2:$A$646,MATCH(A410,'collectionMethodDistinct'!$A$2:$A$646,FALSE),1),"")</f>
        <v>Paleomagnetic drilling</v>
      </c>
    </row>
    <row r="411" spans="1:6" x14ac:dyDescent="0.25">
      <c r="A411" t="s">
        <v>932</v>
      </c>
      <c r="B411" t="s">
        <v>969</v>
      </c>
      <c r="D411" s="1">
        <f>IFERROR(INDEX([1]SamplingMethod!$A$2:$C$160,MATCH(B411,[1]SamplingMethod!$C$2:$C$160,FALSE),1),"")</f>
        <v>101</v>
      </c>
      <c r="E411" s="5" t="str">
        <f>IFERROR(INDEX([1]SamplingMethod!$A$2:$C$160,MATCH(B411,[1]SamplingMethod!$C$2:$C$160,FALSE),2),"")</f>
        <v>secm:sm002</v>
      </c>
      <c r="F411" t="str">
        <f>IFERROR(INDEX('collectionMethodDistinct'!$A$2:$A$646,MATCH(A411,'collectionMethodDistinct'!$A$2:$A$646,FALSE),1),"")</f>
        <v>Passive Filtration</v>
      </c>
    </row>
    <row r="412" spans="1:6" x14ac:dyDescent="0.25">
      <c r="A412" s="5" t="s">
        <v>384</v>
      </c>
      <c r="B412" s="5" t="s">
        <v>860</v>
      </c>
      <c r="C412" s="5"/>
      <c r="D412" s="1">
        <f>IFERROR(INDEX([1]SamplingMethod!$A$2:$C$160,MATCH(B412,[1]SamplingMethod!$C$2:$C$160,FALSE),1),"")</f>
        <v>103</v>
      </c>
      <c r="E412" s="5" t="str">
        <f>IFERROR(INDEX([1]SamplingMethod!$A$2:$C$160,MATCH(B412,[1]SamplingMethod!$C$2:$C$160,FALSE),2),"")</f>
        <v>secm:sm005</v>
      </c>
      <c r="F412" t="str">
        <f>IFERROR(INDEX('collectionMethodDistinct'!$A$2:$A$646,MATCH(A412,'collectionMethodDistinct'!$A$2:$A$646,FALSE),1),"")</f>
        <v>percussion corer and Livingston corer</v>
      </c>
    </row>
    <row r="413" spans="1:6" x14ac:dyDescent="0.25">
      <c r="A413" s="5" t="s">
        <v>385</v>
      </c>
      <c r="B413" s="5" t="s">
        <v>868</v>
      </c>
      <c r="C413" s="5"/>
      <c r="D413" s="1">
        <f>IFERROR(INDEX([1]SamplingMethod!$A$2:$C$160,MATCH(B413,[1]SamplingMethod!$C$2:$C$160,FALSE),1),"")</f>
        <v>122</v>
      </c>
      <c r="E413" s="5" t="str">
        <f>IFERROR(INDEX([1]SamplingMethod!$A$2:$C$160,MATCH(B413,[1]SamplingMethod!$C$2:$C$160,FALSE),2),"")</f>
        <v>secm:sm023</v>
      </c>
      <c r="F413" t="str">
        <f>IFERROR(INDEX('collectionMethodDistinct'!$A$2:$A$646,MATCH(A413,'collectionMethodDistinct'!$A$2:$A$646,FALSE),1),"")</f>
        <v>PES membrane filtered</v>
      </c>
    </row>
    <row r="414" spans="1:6" x14ac:dyDescent="0.25">
      <c r="A414" s="5" t="s">
        <v>386</v>
      </c>
      <c r="B414" s="5" t="s">
        <v>865</v>
      </c>
      <c r="C414" s="5"/>
      <c r="D414" s="1">
        <f>IFERROR(INDEX([1]SamplingMethod!$A$2:$C$160,MATCH(B414,[1]SamplingMethod!$C$2:$C$160,FALSE),1),"")</f>
        <v>138</v>
      </c>
      <c r="E414" s="5" t="str">
        <f>IFERROR(INDEX([1]SamplingMethod!$A$2:$C$160,MATCH(B414,[1]SamplingMethod!$C$2:$C$160,FALSE),2),"")</f>
        <v>secm:sm039</v>
      </c>
      <c r="F414" t="str">
        <f>IFERROR(INDEX('collectionMethodDistinct'!$A$2:$A$646,MATCH(A414,'collectionMethodDistinct'!$A$2:$A$646,FALSE),1),"")</f>
        <v>Peterson Grab</v>
      </c>
    </row>
    <row r="415" spans="1:6" x14ac:dyDescent="0.25">
      <c r="A415" s="5" t="s">
        <v>387</v>
      </c>
      <c r="B415" s="5" t="s">
        <v>838</v>
      </c>
      <c r="C415" s="5"/>
      <c r="D415" s="1">
        <f>IFERROR(INDEX([1]SamplingMethod!$A$2:$C$160,MATCH(B415,[1]SamplingMethod!$C$2:$C$160,FALSE),1),"")</f>
        <v>55</v>
      </c>
      <c r="E415" s="5" t="str">
        <f>IFERROR(INDEX([1]SamplingMethod!$A$2:$C$160,MATCH(B415,[1]SamplingMethod!$C$2:$C$160,FALSE),2),"")</f>
        <v>secm:phlegercoring</v>
      </c>
      <c r="F415" t="str">
        <f>IFERROR(INDEX('collectionMethodDistinct'!$A$2:$A$646,MATCH(A415,'collectionMethodDistinct'!$A$2:$A$646,FALSE),1),"")</f>
        <v>Phleger Core</v>
      </c>
    </row>
    <row r="416" spans="1:6" x14ac:dyDescent="0.25">
      <c r="A416" s="5" t="s">
        <v>388</v>
      </c>
      <c r="B416" s="1" t="s">
        <v>901</v>
      </c>
      <c r="C416" s="5"/>
      <c r="D416" s="1">
        <f>IFERROR(INDEX([1]SamplingMethod!$A$2:$C$160,MATCH(B416,[1]SamplingMethod!$C$2:$C$160,FALSE),1),"")</f>
        <v>142</v>
      </c>
      <c r="E416" s="5" t="str">
        <f>IFERROR(INDEX([1]SamplingMethod!$A$2:$C$160,MATCH(B416,[1]SamplingMethod!$C$2:$C$160,FALSE),2),"")</f>
        <v>secm:sm044</v>
      </c>
      <c r="F416" t="str">
        <f>IFERROR(INDEX('collectionMethodDistinct'!$A$2:$A$646,MATCH(A416,'collectionMethodDistinct'!$A$2:$A$646,FALSE),1),"")</f>
        <v>Photomicrograph</v>
      </c>
    </row>
    <row r="417" spans="1:6" x14ac:dyDescent="0.25">
      <c r="A417" t="s">
        <v>931</v>
      </c>
      <c r="B417" t="s">
        <v>689</v>
      </c>
      <c r="D417" s="1">
        <f>IFERROR(INDEX([1]SamplingMethod!$A$2:$C$160,MATCH(B417,[1]SamplingMethod!$C$2:$C$160,FALSE),1),"")</f>
        <v>134</v>
      </c>
      <c r="E417" s="5" t="str">
        <f>IFERROR(INDEX([1]SamplingMethod!$A$2:$C$160,MATCH(B417,[1]SamplingMethod!$C$2:$C$160,FALSE),2),"")</f>
        <v>secm:sm035</v>
      </c>
      <c r="F417" t="str">
        <f>IFERROR(INDEX('collectionMethodDistinct'!$A$2:$A$646,MATCH(A417,'collectionMethodDistinct'!$A$2:$A$646,FALSE),1),"")</f>
        <v>Pick</v>
      </c>
    </row>
    <row r="418" spans="1:6" x14ac:dyDescent="0.25">
      <c r="A418" s="5" t="s">
        <v>389</v>
      </c>
      <c r="B418" s="5" t="s">
        <v>689</v>
      </c>
      <c r="C418" s="5"/>
      <c r="D418" s="1">
        <f>IFERROR(INDEX([1]SamplingMethod!$A$2:$C$160,MATCH(B418,[1]SamplingMethod!$C$2:$C$160,FALSE),1),"")</f>
        <v>134</v>
      </c>
      <c r="E418" s="5" t="str">
        <f>IFERROR(INDEX([1]SamplingMethod!$A$2:$C$160,MATCH(B418,[1]SamplingMethod!$C$2:$C$160,FALSE),2),"")</f>
        <v>secm:sm035</v>
      </c>
      <c r="F418" t="str">
        <f>IFERROR(INDEX('collectionMethodDistinct'!$A$2:$A$646,MATCH(A418,'collectionMethodDistinct'!$A$2:$A$646,FALSE),1),"")</f>
        <v>Pick up by hand</v>
      </c>
    </row>
    <row r="419" spans="1:6" x14ac:dyDescent="0.25">
      <c r="A419" s="5" t="s">
        <v>390</v>
      </c>
      <c r="B419" s="5" t="s">
        <v>839</v>
      </c>
      <c r="C419" s="5"/>
      <c r="D419" s="1">
        <f>IFERROR(INDEX([1]SamplingMethod!$A$2:$C$160,MATCH(B419,[1]SamplingMethod!$C$2:$C$160,FALSE),1),"")</f>
        <v>128</v>
      </c>
      <c r="E419" s="5" t="str">
        <f>IFERROR(INDEX([1]SamplingMethod!$A$2:$C$160,MATCH(B419,[1]SamplingMethod!$C$2:$C$160,FALSE),2),"")</f>
        <v>secm:sm029</v>
      </c>
      <c r="F419" t="str">
        <f>IFERROR(INDEX('collectionMethodDistinct'!$A$2:$A$646,MATCH(A419,'collectionMethodDistinct'!$A$2:$A$646,FALSE),1),"")</f>
        <v>piston core</v>
      </c>
    </row>
    <row r="420" spans="1:6" x14ac:dyDescent="0.25">
      <c r="A420" s="5" t="s">
        <v>391</v>
      </c>
      <c r="B420" s="5" t="s">
        <v>839</v>
      </c>
      <c r="C420" s="5"/>
      <c r="D420" s="1">
        <f>IFERROR(INDEX([1]SamplingMethod!$A$2:$C$160,MATCH(B420,[1]SamplingMethod!$C$2:$C$160,FALSE),1),"")</f>
        <v>128</v>
      </c>
      <c r="E420" s="5" t="str">
        <f>IFERROR(INDEX([1]SamplingMethod!$A$2:$C$160,MATCH(B420,[1]SamplingMethod!$C$2:$C$160,FALSE),2),"")</f>
        <v>secm:sm029</v>
      </c>
      <c r="F420" t="str">
        <f>IFERROR(INDEX('collectionMethodDistinct'!$A$2:$A$646,MATCH(A420,'collectionMethodDistinct'!$A$2:$A$646,FALSE),1),"")</f>
        <v>piston core</v>
      </c>
    </row>
    <row r="421" spans="1:6" x14ac:dyDescent="0.25">
      <c r="A421" s="5" t="s">
        <v>392</v>
      </c>
      <c r="B421" s="5" t="s">
        <v>839</v>
      </c>
      <c r="C421" s="5"/>
      <c r="D421" s="1">
        <f>IFERROR(INDEX([1]SamplingMethod!$A$2:$C$160,MATCH(B421,[1]SamplingMethod!$C$2:$C$160,FALSE),1),"")</f>
        <v>128</v>
      </c>
      <c r="E421" s="5" t="str">
        <f>IFERROR(INDEX([1]SamplingMethod!$A$2:$C$160,MATCH(B421,[1]SamplingMethod!$C$2:$C$160,FALSE),2),"")</f>
        <v>secm:sm029</v>
      </c>
      <c r="F421" t="str">
        <f>IFERROR(INDEX('collectionMethodDistinct'!$A$2:$A$646,MATCH(A421,'collectionMethodDistinct'!$A$2:$A$646,FALSE),1),"")</f>
        <v>Piston Cylinder</v>
      </c>
    </row>
    <row r="422" spans="1:6" x14ac:dyDescent="0.25">
      <c r="A422" s="5" t="s">
        <v>393</v>
      </c>
      <c r="B422" s="5" t="s">
        <v>839</v>
      </c>
      <c r="C422" s="5"/>
      <c r="D422" s="1">
        <f>IFERROR(INDEX([1]SamplingMethod!$A$2:$C$160,MATCH(B422,[1]SamplingMethod!$C$2:$C$160,FALSE),1),"")</f>
        <v>128</v>
      </c>
      <c r="E422" s="5" t="str">
        <f>IFERROR(INDEX([1]SamplingMethod!$A$2:$C$160,MATCH(B422,[1]SamplingMethod!$C$2:$C$160,FALSE),2),"")</f>
        <v>secm:sm029</v>
      </c>
      <c r="F422" t="str">
        <f>IFERROR(INDEX('collectionMethodDistinct'!$A$2:$A$646,MATCH(A422,'collectionMethodDistinct'!$A$2:$A$646,FALSE),1),"")</f>
        <v>PistonCorer</v>
      </c>
    </row>
    <row r="423" spans="1:6" x14ac:dyDescent="0.25">
      <c r="A423" s="5" t="s">
        <v>394</v>
      </c>
      <c r="B423" s="5" t="s">
        <v>866</v>
      </c>
      <c r="C423" s="5"/>
      <c r="D423" s="1">
        <f>IFERROR(INDEX([1]SamplingMethod!$A$2:$C$160,MATCH(B423,[1]SamplingMethod!$C$2:$C$160,FALSE),1),"")</f>
        <v>133</v>
      </c>
      <c r="E423" s="5" t="str">
        <f>IFERROR(INDEX([1]SamplingMethod!$A$2:$C$160,MATCH(B423,[1]SamplingMethod!$C$2:$C$160,FALSE),2),"")</f>
        <v>secm:sm034</v>
      </c>
      <c r="F423" t="str">
        <f>IFERROR(INDEX('collectionMethodDistinct'!$A$2:$A$646,MATCH(A423,'collectionMethodDistinct'!$A$2:$A$646,FALSE),1),"")</f>
        <v>pit</v>
      </c>
    </row>
    <row r="424" spans="1:6" x14ac:dyDescent="0.25">
      <c r="A424" s="5" t="s">
        <v>395</v>
      </c>
      <c r="B424" s="5" t="s">
        <v>866</v>
      </c>
      <c r="C424" s="5"/>
      <c r="D424" s="1">
        <f>IFERROR(INDEX([1]SamplingMethod!$A$2:$C$160,MATCH(B424,[1]SamplingMethod!$C$2:$C$160,FALSE),1),"")</f>
        <v>133</v>
      </c>
      <c r="E424" s="5" t="str">
        <f>IFERROR(INDEX([1]SamplingMethod!$A$2:$C$160,MATCH(B424,[1]SamplingMethod!$C$2:$C$160,FALSE),2),"")</f>
        <v>secm:sm034</v>
      </c>
      <c r="F424" t="str">
        <f>IFERROR(INDEX('collectionMethodDistinct'!$A$2:$A$646,MATCH(A424,'collectionMethodDistinct'!$A$2:$A$646,FALSE),1),"")</f>
        <v>pit</v>
      </c>
    </row>
    <row r="425" spans="1:6" x14ac:dyDescent="0.25">
      <c r="A425" s="5" t="s">
        <v>396</v>
      </c>
      <c r="B425" s="5" t="s">
        <v>693</v>
      </c>
      <c r="C425" s="5"/>
      <c r="D425" s="1">
        <f>IFERROR(INDEX([1]SamplingMethod!$A$2:$C$160,MATCH(B425,[1]SamplingMethod!$C$2:$C$160,FALSE),1),"")</f>
        <v>115</v>
      </c>
      <c r="E425" s="5" t="str">
        <f>IFERROR(INDEX([1]SamplingMethod!$A$2:$C$160,MATCH(B425,[1]SamplingMethod!$C$2:$C$160,FALSE),2),"")</f>
        <v>secm:sm016</v>
      </c>
      <c r="F425" t="str">
        <f>IFERROR(INDEX('collectionMethodDistinct'!$A$2:$A$646,MATCH(A425,'collectionMethodDistinct'!$A$2:$A$646,FALSE),1),"")</f>
        <v>pit in cliff</v>
      </c>
    </row>
    <row r="426" spans="1:6" x14ac:dyDescent="0.25">
      <c r="A426" s="5" t="s">
        <v>397</v>
      </c>
      <c r="B426" s="5" t="s">
        <v>866</v>
      </c>
      <c r="C426" s="5"/>
      <c r="D426" s="1">
        <f>IFERROR(INDEX([1]SamplingMethod!$A$2:$C$160,MATCH(B426,[1]SamplingMethod!$C$2:$C$160,FALSE),1),"")</f>
        <v>133</v>
      </c>
      <c r="E426" s="5" t="str">
        <f>IFERROR(INDEX([1]SamplingMethod!$A$2:$C$160,MATCH(B426,[1]SamplingMethod!$C$2:$C$160,FALSE),2),"")</f>
        <v>secm:sm034</v>
      </c>
      <c r="F426" t="str">
        <f>IFERROR(INDEX('collectionMethodDistinct'!$A$2:$A$646,MATCH(A426,'collectionMethodDistinct'!$A$2:$A$646,FALSE),1),"")</f>
        <v>pit sampling</v>
      </c>
    </row>
    <row r="427" spans="1:6" x14ac:dyDescent="0.25">
      <c r="A427" s="5" t="s">
        <v>398</v>
      </c>
      <c r="B427" s="5" t="s">
        <v>882</v>
      </c>
      <c r="C427" s="5"/>
      <c r="D427" s="1">
        <f>IFERROR(INDEX([1]SamplingMethod!$A$2:$C$160,MATCH(B427,[1]SamplingMethod!$C$2:$C$160,FALSE),1),"")</f>
        <v>63</v>
      </c>
      <c r="E427" s="5" t="str">
        <f>IFERROR(INDEX([1]SamplingMethod!$A$2:$C$160,MATCH(B427,[1]SamplingMethod!$C$2:$C$160,FALSE),2),"")</f>
        <v>secm:rotary_hammer_drilling</v>
      </c>
      <c r="F427" t="str">
        <f>IFERROR(INDEX('collectionMethodDistinct'!$A$2:$A$646,MATCH(A427,'collectionMethodDistinct'!$A$2:$A$646,FALSE),1),"")</f>
        <v>Pneumatic drill</v>
      </c>
    </row>
    <row r="428" spans="1:6" x14ac:dyDescent="0.25">
      <c r="A428" s="5" t="s">
        <v>399</v>
      </c>
      <c r="B428" s="5" t="s">
        <v>882</v>
      </c>
      <c r="C428" s="5"/>
      <c r="D428" s="1">
        <f>IFERROR(INDEX([1]SamplingMethod!$A$2:$C$160,MATCH(B428,[1]SamplingMethod!$C$2:$C$160,FALSE),1),"")</f>
        <v>63</v>
      </c>
      <c r="E428" s="5" t="str">
        <f>IFERROR(INDEX([1]SamplingMethod!$A$2:$C$160,MATCH(B428,[1]SamplingMethod!$C$2:$C$160,FALSE),2),"")</f>
        <v>secm:rotary_hammer_drilling</v>
      </c>
      <c r="F428" t="str">
        <f>IFERROR(INDEX('collectionMethodDistinct'!$A$2:$A$646,MATCH(A428,'collectionMethodDistinct'!$A$2:$A$646,FALSE),1),"")</f>
        <v>Pneumatic drill</v>
      </c>
    </row>
    <row r="429" spans="1:6" x14ac:dyDescent="0.25">
      <c r="A429" s="5" t="s">
        <v>400</v>
      </c>
      <c r="B429" s="5" t="s">
        <v>882</v>
      </c>
      <c r="C429" s="5"/>
      <c r="D429" s="1">
        <f>IFERROR(INDEX([1]SamplingMethod!$A$2:$C$160,MATCH(B429,[1]SamplingMethod!$C$2:$C$160,FALSE),1),"")</f>
        <v>63</v>
      </c>
      <c r="E429" s="5" t="str">
        <f>IFERROR(INDEX([1]SamplingMethod!$A$2:$C$160,MATCH(B429,[1]SamplingMethod!$C$2:$C$160,FALSE),2),"")</f>
        <v>secm:rotary_hammer_drilling</v>
      </c>
      <c r="F429" t="str">
        <f>IFERROR(INDEX('collectionMethodDistinct'!$A$2:$A$646,MATCH(A429,'collectionMethodDistinct'!$A$2:$A$646,FALSE),1),"")</f>
        <v>pneumatic drill, 4cm diameter</v>
      </c>
    </row>
    <row r="430" spans="1:6" x14ac:dyDescent="0.25">
      <c r="A430" s="8" t="s">
        <v>401</v>
      </c>
      <c r="B430" s="5" t="s">
        <v>882</v>
      </c>
      <c r="C430" s="5"/>
      <c r="D430" s="1">
        <f>IFERROR(INDEX([1]SamplingMethod!$A$2:$C$160,MATCH(B430,[1]SamplingMethod!$C$2:$C$160,FALSE),1),"")</f>
        <v>63</v>
      </c>
      <c r="E430" s="5" t="str">
        <f>IFERROR(INDEX([1]SamplingMethod!$A$2:$C$160,MATCH(B430,[1]SamplingMethod!$C$2:$C$160,FALSE),2),"")</f>
        <v>secm:rotary_hammer_drilling</v>
      </c>
      <c r="F430" t="str">
        <f>IFERROR(INDEX('collectionMethodDistinct'!$A$2:$A$646,MATCH(A430,'collectionMethodDistinct'!$A$2:$A$646,FALSE),1),"")</f>
        <v>Pnumatic drill, 3.5 cm marble coring bit</v>
      </c>
    </row>
    <row r="431" spans="1:6" x14ac:dyDescent="0.25">
      <c r="A431" s="5" t="s">
        <v>402</v>
      </c>
      <c r="B431" s="5" t="s">
        <v>850</v>
      </c>
      <c r="C431" s="5"/>
      <c r="D431" s="1">
        <f>IFERROR(INDEX([1]SamplingMethod!$A$2:$C$160,MATCH(B431,[1]SamplingMethod!$C$2:$C$160,FALSE),1),"")</f>
        <v>25</v>
      </c>
      <c r="E431" s="5" t="str">
        <f>IFERROR(INDEX([1]SamplingMethod!$A$2:$C$160,MATCH(B431,[1]SamplingMethod!$C$2:$C$160,FALSE),2),"")</f>
        <v>secm:core_diamond</v>
      </c>
      <c r="F431" t="str">
        <f>IFERROR(INDEX('collectionMethodDistinct'!$A$2:$A$646,MATCH(A431,'collectionMethodDistinct'!$A$2:$A$646,FALSE),1),"")</f>
        <v>Pomerory Rock Drill</v>
      </c>
    </row>
    <row r="432" spans="1:6" x14ac:dyDescent="0.25">
      <c r="A432" t="s">
        <v>403</v>
      </c>
      <c r="B432" s="5" t="s">
        <v>867</v>
      </c>
      <c r="C432" s="5"/>
      <c r="D432" s="1">
        <f>IFERROR(INDEX([1]SamplingMethod!$A$2:$C$160,MATCH(B432,[1]SamplingMethod!$C$2:$C$160,FALSE),1),"")</f>
        <v>152</v>
      </c>
      <c r="E432" s="5" t="str">
        <f>IFERROR(INDEX([1]SamplingMethod!$A$2:$C$160,MATCH(B432,[1]SamplingMethod!$C$2:$C$160,FALSE),2),"")</f>
        <v>secm:vacuumporewatersampling</v>
      </c>
      <c r="F432" t="str">
        <f>IFERROR(INDEX('collectionMethodDistinct'!$A$2:$A$646,MATCH(A432,'collectionMethodDistinct'!$A$2:$A$646,FALSE),1),"")</f>
        <v/>
      </c>
    </row>
    <row r="433" spans="1:6" x14ac:dyDescent="0.25">
      <c r="A433" s="5" t="s">
        <v>404</v>
      </c>
      <c r="B433" s="5" t="s">
        <v>219</v>
      </c>
      <c r="C433" s="5"/>
      <c r="D433" s="1">
        <f>IFERROR(INDEX([1]SamplingMethod!$A$2:$C$160,MATCH(B433,[1]SamplingMethod!$C$2:$C$160,FALSE),1),"")</f>
        <v>38</v>
      </c>
      <c r="E433" s="5" t="str">
        <f>IFERROR(INDEX([1]SamplingMethod!$A$2:$C$160,MATCH(B433,[1]SamplingMethod!$C$2:$C$160,FALSE),2),"")</f>
        <v>secm:drilling</v>
      </c>
      <c r="F433" t="str">
        <f>IFERROR(INDEX('collectionMethodDistinct'!$A$2:$A$646,MATCH(A433,'collectionMethodDistinct'!$A$2:$A$646,FALSE),1),"")</f>
        <v>Power Drilling</v>
      </c>
    </row>
    <row r="434" spans="1:6" x14ac:dyDescent="0.25">
      <c r="A434" s="5" t="s">
        <v>405</v>
      </c>
      <c r="B434" s="5" t="s">
        <v>26</v>
      </c>
      <c r="C434" s="5"/>
      <c r="D434" s="1">
        <f>IFERROR(INDEX([1]SamplingMethod!$A$2:$C$160,MATCH(B434,[1]SamplingMethod!$C$2:$C$160,FALSE),1),"")</f>
        <v>4</v>
      </c>
      <c r="E434" s="5" t="str">
        <f>IFERROR(INDEX([1]SamplingMethod!$A$2:$C$160,MATCH(B434,[1]SamplingMethod!$C$2:$C$160,FALSE),2),"")</f>
        <v>secm:auger</v>
      </c>
      <c r="F434" t="str">
        <f>IFERROR(INDEX('collectionMethodDistinct'!$A$2:$A$646,MATCH(A434,'collectionMethodDistinct'!$A$2:$A$646,FALSE),1),"")</f>
        <v>powered auger</v>
      </c>
    </row>
    <row r="435" spans="1:6" x14ac:dyDescent="0.25">
      <c r="A435" s="5" t="s">
        <v>406</v>
      </c>
      <c r="B435" s="1" t="s">
        <v>879</v>
      </c>
      <c r="C435" s="5"/>
      <c r="D435" s="1">
        <f>IFERROR(INDEX([1]SamplingMethod!$A$2:$C$160,MATCH(B435,[1]SamplingMethod!$C$2:$C$160,FALSE),1),"")</f>
        <v>123</v>
      </c>
      <c r="E435" s="5" t="str">
        <f>IFERROR(INDEX([1]SamplingMethod!$A$2:$C$160,MATCH(B435,[1]SamplingMethod!$C$2:$C$160,FALSE),2),"")</f>
        <v>secm:sm024</v>
      </c>
      <c r="F435" t="str">
        <f>IFERROR(INDEX('collectionMethodDistinct'!$A$2:$A$646,MATCH(A435,'collectionMethodDistinct'!$A$2:$A$646,FALSE),1),"")</f>
        <v>pre-combusted amber glass bottle, 0.8/0.2 micron cartridge filter (AcroPak), HCl preservative</v>
      </c>
    </row>
    <row r="436" spans="1:6" x14ac:dyDescent="0.25">
      <c r="A436" s="5" t="s">
        <v>407</v>
      </c>
      <c r="B436" s="5" t="s">
        <v>868</v>
      </c>
      <c r="C436" s="5"/>
      <c r="D436" s="1">
        <f>IFERROR(INDEX([1]SamplingMethod!$A$2:$C$160,MATCH(B436,[1]SamplingMethod!$C$2:$C$160,FALSE),1),"")</f>
        <v>122</v>
      </c>
      <c r="E436" s="5" t="str">
        <f>IFERROR(INDEX([1]SamplingMethod!$A$2:$C$160,MATCH(B436,[1]SamplingMethod!$C$2:$C$160,FALSE),2),"")</f>
        <v>secm:sm023</v>
      </c>
      <c r="F436" t="str">
        <f>IFERROR(INDEX('collectionMethodDistinct'!$A$2:$A$646,MATCH(A436,'collectionMethodDistinct'!$A$2:$A$646,FALSE),1),"")</f>
        <v>precombusted glass fiber filter (GFF) filtered</v>
      </c>
    </row>
    <row r="437" spans="1:6" x14ac:dyDescent="0.25">
      <c r="A437" s="5" t="s">
        <v>408</v>
      </c>
      <c r="B437" s="5" t="s">
        <v>867</v>
      </c>
      <c r="C437" s="5"/>
      <c r="D437" s="1">
        <f>IFERROR(INDEX([1]SamplingMethod!$A$2:$C$160,MATCH(B437,[1]SamplingMethod!$C$2:$C$160,FALSE),1),"")</f>
        <v>152</v>
      </c>
      <c r="E437" s="5" t="str">
        <f>IFERROR(INDEX([1]SamplingMethod!$A$2:$C$160,MATCH(B437,[1]SamplingMethod!$C$2:$C$160,FALSE),2),"")</f>
        <v>secm:vacuumporewatersampling</v>
      </c>
      <c r="F437" t="str">
        <f>IFERROR(INDEX('collectionMethodDistinct'!$A$2:$A$646,MATCH(A437,'collectionMethodDistinct'!$A$2:$A$646,FALSE),1),"")</f>
        <v>Prenart</v>
      </c>
    </row>
    <row r="438" spans="1:6" x14ac:dyDescent="0.25">
      <c r="A438" s="5" t="s">
        <v>409</v>
      </c>
      <c r="B438" s="5" t="s">
        <v>867</v>
      </c>
      <c r="C438" s="5"/>
      <c r="D438" s="1">
        <f>IFERROR(INDEX([1]SamplingMethod!$A$2:$C$160,MATCH(B438,[1]SamplingMethod!$C$2:$C$160,FALSE),1),"")</f>
        <v>152</v>
      </c>
      <c r="E438" s="5" t="str">
        <f>IFERROR(INDEX([1]SamplingMethod!$A$2:$C$160,MATCH(B438,[1]SamplingMethod!$C$2:$C$160,FALSE),2),"")</f>
        <v>secm:vacuumporewatersampling</v>
      </c>
      <c r="F438" t="str">
        <f>IFERROR(INDEX('collectionMethodDistinct'!$A$2:$A$646,MATCH(A438,'collectionMethodDistinct'!$A$2:$A$646,FALSE),1),"")</f>
        <v xml:space="preserve">Prenart </v>
      </c>
    </row>
    <row r="439" spans="1:6" x14ac:dyDescent="0.25">
      <c r="A439" s="5" t="s">
        <v>410</v>
      </c>
      <c r="B439" s="5" t="s">
        <v>884</v>
      </c>
      <c r="C439" s="5"/>
      <c r="D439" s="1">
        <f>IFERROR(INDEX([1]SamplingMethod!$A$2:$C$160,MATCH(B439,[1]SamplingMethod!$C$2:$C$160,FALSE),1),"")</f>
        <v>58</v>
      </c>
      <c r="E439" s="5" t="str">
        <f>IFERROR(INDEX([1]SamplingMethod!$A$2:$C$160,MATCH(B439,[1]SamplingMethod!$C$2:$C$160,FALSE),2),"")</f>
        <v>secm:pumpsampling</v>
      </c>
      <c r="F439" t="str">
        <f>IFERROR(INDEX('collectionMethodDistinct'!$A$2:$A$646,MATCH(A439,'collectionMethodDistinct'!$A$2:$A$646,FALSE),1),"")</f>
        <v>Pump</v>
      </c>
    </row>
    <row r="440" spans="1:6" x14ac:dyDescent="0.25">
      <c r="A440" s="5" t="s">
        <v>411</v>
      </c>
      <c r="B440" s="5" t="s">
        <v>884</v>
      </c>
      <c r="C440" s="5"/>
      <c r="D440" s="1">
        <f>IFERROR(INDEX([1]SamplingMethod!$A$2:$C$160,MATCH(B440,[1]SamplingMethod!$C$2:$C$160,FALSE),1),"")</f>
        <v>58</v>
      </c>
      <c r="E440" s="5" t="str">
        <f>IFERROR(INDEX([1]SamplingMethod!$A$2:$C$160,MATCH(B440,[1]SamplingMethod!$C$2:$C$160,FALSE),2),"")</f>
        <v>secm:pumpsampling</v>
      </c>
      <c r="F440" t="str">
        <f>IFERROR(INDEX('collectionMethodDistinct'!$A$2:$A$646,MATCH(A440,'collectionMethodDistinct'!$A$2:$A$646,FALSE),1),"")</f>
        <v>Pumping</v>
      </c>
    </row>
    <row r="441" spans="1:6" x14ac:dyDescent="0.25">
      <c r="A441" s="5" t="s">
        <v>412</v>
      </c>
      <c r="B441" s="5" t="s">
        <v>858</v>
      </c>
      <c r="C441" s="5"/>
      <c r="D441" s="1">
        <f>IFERROR(INDEX([1]SamplingMethod!$A$2:$C$160,MATCH(B441,[1]SamplingMethod!$C$2:$C$160,FALSE),1),"")</f>
        <v>151</v>
      </c>
      <c r="E441" s="5" t="str">
        <f>IFERROR(INDEX([1]SamplingMethod!$A$2:$C$160,MATCH(B441,[1]SamplingMethod!$C$2:$C$160,FALSE),2),"")</f>
        <v>secm:unknown</v>
      </c>
      <c r="F441" t="str">
        <f>IFERROR(INDEX('collectionMethodDistinct'!$A$2:$A$646,MATCH(A441,'collectionMethodDistinct'!$A$2:$A$646,FALSE),1),"")</f>
        <v>purchasing on-site</v>
      </c>
    </row>
    <row r="442" spans="1:6" x14ac:dyDescent="0.25">
      <c r="A442" s="5" t="s">
        <v>413</v>
      </c>
      <c r="B442" s="5" t="s">
        <v>840</v>
      </c>
      <c r="C442" s="5"/>
      <c r="D442" s="1">
        <f>IFERROR(INDEX([1]SamplingMethod!$A$2:$C$160,MATCH(B442,[1]SamplingMethod!$C$2:$C$160,FALSE),1),"")</f>
        <v>32</v>
      </c>
      <c r="E442" s="5" t="str">
        <f>IFERROR(INDEX([1]SamplingMethod!$A$2:$C$160,MATCH(B442,[1]SamplingMethod!$C$2:$C$160,FALSE),2),"")</f>
        <v>secm:core_push</v>
      </c>
      <c r="F442" t="str">
        <f>IFERROR(INDEX('collectionMethodDistinct'!$A$2:$A$646,MATCH(A442,'collectionMethodDistinct'!$A$2:$A$646,FALSE),1),"")</f>
        <v>push core</v>
      </c>
    </row>
    <row r="443" spans="1:6" x14ac:dyDescent="0.25">
      <c r="A443" s="5" t="s">
        <v>414</v>
      </c>
      <c r="B443" s="5" t="s">
        <v>656</v>
      </c>
      <c r="C443" s="5"/>
      <c r="D443" s="1">
        <f>IFERROR(INDEX([1]SamplingMethod!$A$2:$C$160,MATCH(B443,[1]SamplingMethod!$C$2:$C$160,FALSE),1),"")</f>
        <v>105</v>
      </c>
      <c r="E443" s="5" t="str">
        <f>IFERROR(INDEX([1]SamplingMethod!$A$2:$C$160,MATCH(B443,[1]SamplingMethod!$C$2:$C$160,FALSE),2),"")</f>
        <v>secm:sm007</v>
      </c>
      <c r="F443" t="str">
        <f>IFERROR(INDEX('collectionMethodDistinct'!$A$2:$A$646,MATCH(A443,'collectionMethodDistinct'!$A$2:$A$646,FALSE),1),"")</f>
        <v>quantitative pit/ hand coring</v>
      </c>
    </row>
    <row r="444" spans="1:6" x14ac:dyDescent="0.25">
      <c r="A444" s="5" t="s">
        <v>415</v>
      </c>
      <c r="B444" s="5" t="s">
        <v>689</v>
      </c>
      <c r="C444" s="5"/>
      <c r="D444" s="1">
        <f>IFERROR(INDEX([1]SamplingMethod!$A$2:$C$160,MATCH(B444,[1]SamplingMethod!$C$2:$C$160,FALSE),1),"")</f>
        <v>134</v>
      </c>
      <c r="E444" s="5" t="str">
        <f>IFERROR(INDEX([1]SamplingMethod!$A$2:$C$160,MATCH(B444,[1]SamplingMethod!$C$2:$C$160,FALSE),2),"")</f>
        <v>secm:sm035</v>
      </c>
      <c r="F444" t="str">
        <f>IFERROR(INDEX('collectionMethodDistinct'!$A$2:$A$646,MATCH(A444,'collectionMethodDistinct'!$A$2:$A$646,FALSE),1),"")</f>
        <v>random grab</v>
      </c>
    </row>
    <row r="445" spans="1:6" x14ac:dyDescent="0.25">
      <c r="A445" s="5" t="s">
        <v>416</v>
      </c>
      <c r="B445" s="1" t="s">
        <v>901</v>
      </c>
      <c r="C445" s="5"/>
      <c r="D445" s="1">
        <f>IFERROR(INDEX([1]SamplingMethod!$A$2:$C$160,MATCH(B445,[1]SamplingMethod!$C$2:$C$160,FALSE),1),"")</f>
        <v>142</v>
      </c>
      <c r="E445" s="5" t="str">
        <f>IFERROR(INDEX([1]SamplingMethod!$A$2:$C$160,MATCH(B445,[1]SamplingMethod!$C$2:$C$160,FALSE),2),"")</f>
        <v>secm:sm044</v>
      </c>
      <c r="F445" t="str">
        <f>IFERROR(INDEX('collectionMethodDistinct'!$A$2:$A$646,MATCH(A445,'collectionMethodDistinct'!$A$2:$A$646,FALSE),1),"")</f>
        <v>random number generator</v>
      </c>
    </row>
    <row r="446" spans="1:6" x14ac:dyDescent="0.25">
      <c r="A446" s="5" t="s">
        <v>417</v>
      </c>
      <c r="B446" s="5" t="s">
        <v>858</v>
      </c>
      <c r="C446" s="5"/>
      <c r="D446" s="1">
        <f>IFERROR(INDEX([1]SamplingMethod!$A$2:$C$160,MATCH(B446,[1]SamplingMethod!$C$2:$C$160,FALSE),1),"")</f>
        <v>151</v>
      </c>
      <c r="E446" s="5" t="str">
        <f>IFERROR(INDEX([1]SamplingMethod!$A$2:$C$160,MATCH(B446,[1]SamplingMethod!$C$2:$C$160,FALSE),2),"")</f>
        <v>secm:unknown</v>
      </c>
      <c r="F446" t="str">
        <f>IFERROR(INDEX('collectionMethodDistinct'!$A$2:$A$646,MATCH(A446,'collectionMethodDistinct'!$A$2:$A$646,FALSE),1),"")</f>
        <v>random sample</v>
      </c>
    </row>
    <row r="447" spans="1:6" x14ac:dyDescent="0.25">
      <c r="A447" s="5" t="s">
        <v>418</v>
      </c>
      <c r="B447" s="5" t="s">
        <v>858</v>
      </c>
      <c r="C447" s="5"/>
      <c r="D447" s="1">
        <f>IFERROR(INDEX([1]SamplingMethod!$A$2:$C$160,MATCH(B447,[1]SamplingMethod!$C$2:$C$160,FALSE),1),"")</f>
        <v>151</v>
      </c>
      <c r="E447" s="5" t="str">
        <f>IFERROR(INDEX([1]SamplingMethod!$A$2:$C$160,MATCH(B447,[1]SamplingMethod!$C$2:$C$160,FALSE),2),"")</f>
        <v>secm:unknown</v>
      </c>
      <c r="F447" t="str">
        <f>IFERROR(INDEX('collectionMethodDistinct'!$A$2:$A$646,MATCH(A447,'collectionMethodDistinct'!$A$2:$A$646,FALSE),1),"")</f>
        <v xml:space="preserve">Received </v>
      </c>
    </row>
    <row r="448" spans="1:6" x14ac:dyDescent="0.25">
      <c r="A448" t="s">
        <v>930</v>
      </c>
      <c r="B448" t="s">
        <v>689</v>
      </c>
      <c r="D448" s="1">
        <f>IFERROR(INDEX([1]SamplingMethod!$A$2:$C$160,MATCH(B448,[1]SamplingMethod!$C$2:$C$160,FALSE),1),"")</f>
        <v>134</v>
      </c>
      <c r="E448" s="5" t="str">
        <f>IFERROR(INDEX([1]SamplingMethod!$A$2:$C$160,MATCH(B448,[1]SamplingMethod!$C$2:$C$160,FALSE),2),"")</f>
        <v>secm:sm035</v>
      </c>
      <c r="F448" t="str">
        <f>IFERROR(INDEX('collectionMethodDistinct'!$A$2:$A$646,MATCH(A448,'collectionMethodDistinct'!$A$2:$A$646,FALSE),1),"")</f>
        <v>Retrieved in field and dried at 70 C before shipping to ORNL</v>
      </c>
    </row>
    <row r="449" spans="1:6" x14ac:dyDescent="0.25">
      <c r="A449" s="5" t="s">
        <v>419</v>
      </c>
      <c r="B449" s="5" t="s">
        <v>869</v>
      </c>
      <c r="C449" s="5"/>
      <c r="D449" s="1">
        <f>IFERROR(INDEX([1]SamplingMethod!$A$2:$C$160,MATCH(B449,[1]SamplingMethod!$C$2:$C$160,FALSE),1),"")</f>
        <v>104</v>
      </c>
      <c r="E449" s="5" t="str">
        <f>IFERROR(INDEX([1]SamplingMethod!$A$2:$C$160,MATCH(B449,[1]SamplingMethod!$C$2:$C$160,FALSE),2),"")</f>
        <v>secm:sm006</v>
      </c>
      <c r="F449" t="str">
        <f>IFERROR(INDEX('collectionMethodDistinct'!$A$2:$A$646,MATCH(A449,'collectionMethodDistinct'!$A$2:$A$646,FALSE),1),"")</f>
        <v>Rock dredge</v>
      </c>
    </row>
    <row r="450" spans="1:6" x14ac:dyDescent="0.25">
      <c r="A450" s="5" t="s">
        <v>420</v>
      </c>
      <c r="B450" s="5" t="s">
        <v>869</v>
      </c>
      <c r="C450" s="5"/>
      <c r="D450" s="1">
        <f>IFERROR(INDEX([1]SamplingMethod!$A$2:$C$160,MATCH(B450,[1]SamplingMethod!$C$2:$C$160,FALSE),1),"")</f>
        <v>104</v>
      </c>
      <c r="E450" s="5" t="str">
        <f>IFERROR(INDEX([1]SamplingMethod!$A$2:$C$160,MATCH(B450,[1]SamplingMethod!$C$2:$C$160,FALSE),2),"")</f>
        <v>secm:sm006</v>
      </c>
      <c r="F450" t="str">
        <f>IFERROR(INDEX('collectionMethodDistinct'!$A$2:$A$646,MATCH(A450,'collectionMethodDistinct'!$A$2:$A$646,FALSE),1),"")</f>
        <v>Rock dredge</v>
      </c>
    </row>
    <row r="451" spans="1:6" x14ac:dyDescent="0.25">
      <c r="A451" s="5" t="s">
        <v>421</v>
      </c>
      <c r="B451" s="5" t="s">
        <v>607</v>
      </c>
      <c r="C451" s="5"/>
      <c r="D451" s="1">
        <f>IFERROR(INDEX([1]SamplingMethod!$A$2:$C$160,MATCH(B451,[1]SamplingMethod!$C$2:$C$160,FALSE),1),"")</f>
        <v>78</v>
      </c>
      <c r="E451" s="5" t="str">
        <f>IFERROR(INDEX([1]SamplingMethod!$A$2:$C$160,MATCH(B451,[1]SamplingMethod!$C$2:$C$160,FALSE),2),"")</f>
        <v>secm:ses216</v>
      </c>
      <c r="F451" t="str">
        <f>IFERROR(INDEX('collectionMethodDistinct'!$A$2:$A$646,MATCH(A451,'collectionMethodDistinct'!$A$2:$A$646,FALSE),1),"")</f>
        <v>rock hammer</v>
      </c>
    </row>
    <row r="452" spans="1:6" x14ac:dyDescent="0.25">
      <c r="A452" s="5" t="s">
        <v>422</v>
      </c>
      <c r="B452" s="5" t="s">
        <v>607</v>
      </c>
      <c r="C452" s="5"/>
      <c r="D452" s="1">
        <f>IFERROR(INDEX([1]SamplingMethod!$A$2:$C$160,MATCH(B452,[1]SamplingMethod!$C$2:$C$160,FALSE),1),"")</f>
        <v>78</v>
      </c>
      <c r="E452" s="5" t="str">
        <f>IFERROR(INDEX([1]SamplingMethod!$A$2:$C$160,MATCH(B452,[1]SamplingMethod!$C$2:$C$160,FALSE),2),"")</f>
        <v>secm:ses216</v>
      </c>
      <c r="F452" t="str">
        <f>IFERROR(INDEX('collectionMethodDistinct'!$A$2:$A$646,MATCH(A452,'collectionMethodDistinct'!$A$2:$A$646,FALSE),1),"")</f>
        <v>rock hammer</v>
      </c>
    </row>
    <row r="453" spans="1:6" x14ac:dyDescent="0.25">
      <c r="A453" s="5" t="s">
        <v>423</v>
      </c>
      <c r="B453" s="5" t="s">
        <v>607</v>
      </c>
      <c r="C453" s="5"/>
      <c r="D453" s="1">
        <f>IFERROR(INDEX([1]SamplingMethod!$A$2:$C$160,MATCH(B453,[1]SamplingMethod!$C$2:$C$160,FALSE),1),"")</f>
        <v>78</v>
      </c>
      <c r="E453" s="5" t="str">
        <f>IFERROR(INDEX([1]SamplingMethod!$A$2:$C$160,MATCH(B453,[1]SamplingMethod!$C$2:$C$160,FALSE),2),"")</f>
        <v>secm:ses216</v>
      </c>
      <c r="F453" t="str">
        <f>IFERROR(INDEX('collectionMethodDistinct'!$A$2:$A$646,MATCH(A453,'collectionMethodDistinct'!$A$2:$A$646,FALSE),1),"")</f>
        <v>rock hammer</v>
      </c>
    </row>
    <row r="454" spans="1:6" x14ac:dyDescent="0.25">
      <c r="A454" s="5" t="s">
        <v>424</v>
      </c>
      <c r="B454" s="5" t="s">
        <v>607</v>
      </c>
      <c r="C454" s="5"/>
      <c r="D454" s="1">
        <f>IFERROR(INDEX([1]SamplingMethod!$A$2:$C$160,MATCH(B454,[1]SamplingMethod!$C$2:$C$160,FALSE),1),"")</f>
        <v>78</v>
      </c>
      <c r="E454" s="5" t="str">
        <f>IFERROR(INDEX([1]SamplingMethod!$A$2:$C$160,MATCH(B454,[1]SamplingMethod!$C$2:$C$160,FALSE),2),"")</f>
        <v>secm:ses216</v>
      </c>
      <c r="F454" t="str">
        <f>IFERROR(INDEX('collectionMethodDistinct'!$A$2:$A$646,MATCH(A454,'collectionMethodDistinct'!$A$2:$A$646,FALSE),1),"")</f>
        <v>rock hammer / sledge</v>
      </c>
    </row>
    <row r="455" spans="1:6" x14ac:dyDescent="0.25">
      <c r="A455" t="s">
        <v>929</v>
      </c>
      <c r="B455" t="s">
        <v>600</v>
      </c>
      <c r="D455" s="1">
        <f>IFERROR(INDEX([1]SamplingMethod!$A$2:$C$160,MATCH(B455,[1]SamplingMethod!$C$2:$C$160,FALSE),1),"")</f>
        <v>87</v>
      </c>
      <c r="E455" s="5" t="str">
        <f>IFERROR(INDEX([1]SamplingMethod!$A$2:$C$160,MATCH(B455,[1]SamplingMethod!$C$2:$C$160,FALSE),2),"")</f>
        <v>secm:ses226</v>
      </c>
      <c r="F455" t="str">
        <f>IFERROR(INDEX('collectionMethodDistinct'!$A$2:$A$646,MATCH(A455,'collectionMethodDistinct'!$A$2:$A$646,FALSE),1),"")</f>
        <v>Rock Powder</v>
      </c>
    </row>
    <row r="456" spans="1:6" x14ac:dyDescent="0.25">
      <c r="A456" s="5" t="s">
        <v>425</v>
      </c>
      <c r="B456" s="5" t="s">
        <v>845</v>
      </c>
      <c r="C456" s="5"/>
      <c r="D456" s="1">
        <f>IFERROR(INDEX([1]SamplingMethod!$A$2:$C$160,MATCH(B456,[1]SamplingMethod!$C$2:$C$160,FALSE),1),"")</f>
        <v>26</v>
      </c>
      <c r="E456" s="5" t="str">
        <f>IFERROR(INDEX([1]SamplingMethod!$A$2:$C$160,MATCH(B456,[1]SamplingMethod!$C$2:$C$160,FALSE),2),"")</f>
        <v>secm:core_drilling_unspecified</v>
      </c>
      <c r="F456" t="str">
        <f>IFERROR(INDEX('collectionMethodDistinct'!$A$2:$A$646,MATCH(A456,'collectionMethodDistinct'!$A$2:$A$646,FALSE),1),"")</f>
        <v>RockCorer</v>
      </c>
    </row>
    <row r="457" spans="1:6" x14ac:dyDescent="0.25">
      <c r="A457" s="5" t="s">
        <v>426</v>
      </c>
      <c r="B457" s="1" t="s">
        <v>901</v>
      </c>
      <c r="C457" s="5"/>
      <c r="D457" s="1">
        <f>IFERROR(INDEX([1]SamplingMethod!$A$2:$C$160,MATCH(B457,[1]SamplingMethod!$C$2:$C$160,FALSE),1),"")</f>
        <v>142</v>
      </c>
      <c r="E457" s="5" t="str">
        <f>IFERROR(INDEX([1]SamplingMethod!$A$2:$C$160,MATCH(B457,[1]SamplingMethod!$C$2:$C$160,FALSE),2),"")</f>
        <v>secm:sm044</v>
      </c>
      <c r="F457" t="str">
        <f>IFERROR(INDEX('collectionMethodDistinct'!$A$2:$A$646,MATCH(A457,'collectionMethodDistinct'!$A$2:$A$646,FALSE),1),"")</f>
        <v>rock-crusher</v>
      </c>
    </row>
    <row r="458" spans="1:6" x14ac:dyDescent="0.25">
      <c r="A458" s="5" t="s">
        <v>427</v>
      </c>
      <c r="B458" s="5" t="s">
        <v>874</v>
      </c>
      <c r="C458" s="5"/>
      <c r="D458" s="1">
        <f>IFERROR(INDEX([1]SamplingMethod!$A$2:$C$160,MATCH(B458,[1]SamplingMethod!$C$2:$C$160,FALSE),1),"")</f>
        <v>15</v>
      </c>
      <c r="E458" s="5" t="str">
        <f>IFERROR(INDEX([1]SamplingMethod!$A$2:$C$160,MATCH(B458,[1]SamplingMethod!$C$2:$C$160,FALSE),2),"")</f>
        <v>secm:bottlesampling</v>
      </c>
      <c r="F458" t="str">
        <f>IFERROR(INDEX('collectionMethodDistinct'!$A$2:$A$646,MATCH(A458,'collectionMethodDistinct'!$A$2:$A$646,FALSE),1),"")</f>
        <v>Rosette</v>
      </c>
    </row>
    <row r="459" spans="1:6" x14ac:dyDescent="0.25">
      <c r="A459" s="5" t="s">
        <v>428</v>
      </c>
      <c r="B459" s="5" t="s">
        <v>82</v>
      </c>
      <c r="C459" s="5"/>
      <c r="D459" s="1">
        <f>IFERROR(INDEX([1]SamplingMethod!$A$2:$C$160,MATCH(B459,[1]SamplingMethod!$C$2:$C$160,FALSE),1),"")</f>
        <v>140</v>
      </c>
      <c r="E459" s="5" t="str">
        <f>IFERROR(INDEX([1]SamplingMethod!$A$2:$C$160,MATCH(B459,[1]SamplingMethod!$C$2:$C$160,FALSE),2),"")</f>
        <v>secm:sm041</v>
      </c>
      <c r="F459" t="str">
        <f>IFERROR(INDEX('collectionMethodDistinct'!$A$2:$A$646,MATCH(A459,'collectionMethodDistinct'!$A$2:$A$646,FALSE),1),"")</f>
        <v>Rotary core barrel</v>
      </c>
    </row>
    <row r="460" spans="1:6" x14ac:dyDescent="0.25">
      <c r="A460" s="5" t="s">
        <v>429</v>
      </c>
      <c r="B460" s="5" t="s">
        <v>219</v>
      </c>
      <c r="C460" s="5"/>
      <c r="D460" s="1">
        <f>IFERROR(INDEX([1]SamplingMethod!$A$2:$C$160,MATCH(B460,[1]SamplingMethod!$C$2:$C$160,FALSE),1),"")</f>
        <v>38</v>
      </c>
      <c r="E460" s="5" t="str">
        <f>IFERROR(INDEX([1]SamplingMethod!$A$2:$C$160,MATCH(B460,[1]SamplingMethod!$C$2:$C$160,FALSE),2),"")</f>
        <v>secm:drilling</v>
      </c>
      <c r="F460" t="str">
        <f>IFERROR(INDEX('collectionMethodDistinct'!$A$2:$A$646,MATCH(A460,'collectionMethodDistinct'!$A$2:$A$646,FALSE),1),"")</f>
        <v>Rotary drill</v>
      </c>
    </row>
    <row r="461" spans="1:6" x14ac:dyDescent="0.25">
      <c r="A461" s="5" t="s">
        <v>430</v>
      </c>
      <c r="B461" s="5" t="s">
        <v>870</v>
      </c>
      <c r="C461" s="5"/>
      <c r="D461" s="1">
        <f>IFERROR(INDEX([1]SamplingMethod!$A$2:$C$160,MATCH(B461,[1]SamplingMethod!$C$2:$C$160,FALSE),1),"")</f>
        <v>34</v>
      </c>
      <c r="E461" s="5" t="str">
        <f>IFERROR(INDEX([1]SamplingMethod!$A$2:$C$160,MATCH(B461,[1]SamplingMethod!$C$2:$C$160,FALSE),2),"")</f>
        <v>secm:core_sonic</v>
      </c>
      <c r="F461" t="str">
        <f>IFERROR(INDEX('collectionMethodDistinct'!$A$2:$A$646,MATCH(A461,'collectionMethodDistinct'!$A$2:$A$646,FALSE),1),"")</f>
        <v xml:space="preserve">rotasonic </v>
      </c>
    </row>
    <row r="462" spans="1:6" x14ac:dyDescent="0.25">
      <c r="A462" s="5" t="s">
        <v>431</v>
      </c>
      <c r="B462" s="5" t="s">
        <v>854</v>
      </c>
      <c r="C462" s="5"/>
      <c r="D462" s="1">
        <f>IFERROR(INDEX([1]SamplingMethod!$A$2:$C$160,MATCH(B462,[1]SamplingMethod!$C$2:$C$160,FALSE),1),"")</f>
        <v>65</v>
      </c>
      <c r="E462" s="5" t="str">
        <f>IFERROR(INDEX([1]SamplingMethod!$A$2:$C$160,MATCH(B462,[1]SamplingMethod!$C$2:$C$160,FALSE),2),"")</f>
        <v>secm:ses201</v>
      </c>
      <c r="F462" t="str">
        <f>IFERROR(INDEX('collectionMethodDistinct'!$A$2:$A$646,MATCH(A462,'collectionMethodDistinct'!$A$2:$A$646,FALSE),1),"")</f>
        <v>rov</v>
      </c>
    </row>
    <row r="463" spans="1:6" x14ac:dyDescent="0.25">
      <c r="A463" s="5" t="s">
        <v>432</v>
      </c>
      <c r="B463" s="5" t="s">
        <v>854</v>
      </c>
      <c r="C463" s="5"/>
      <c r="D463" s="1">
        <f>IFERROR(INDEX([1]SamplingMethod!$A$2:$C$160,MATCH(B463,[1]SamplingMethod!$C$2:$C$160,FALSE),1),"")</f>
        <v>65</v>
      </c>
      <c r="E463" s="5" t="str">
        <f>IFERROR(INDEX([1]SamplingMethod!$A$2:$C$160,MATCH(B463,[1]SamplingMethod!$C$2:$C$160,FALSE),2),"")</f>
        <v>secm:ses201</v>
      </c>
      <c r="F463" t="str">
        <f>IFERROR(INDEX('collectionMethodDistinct'!$A$2:$A$646,MATCH(A463,'collectionMethodDistinct'!$A$2:$A$646,FALSE),1),"")</f>
        <v>rov</v>
      </c>
    </row>
    <row r="464" spans="1:6" x14ac:dyDescent="0.25">
      <c r="A464" s="5" t="s">
        <v>433</v>
      </c>
      <c r="B464" s="5" t="s">
        <v>854</v>
      </c>
      <c r="C464" s="5"/>
      <c r="D464" s="1">
        <f>IFERROR(INDEX([1]SamplingMethod!$A$2:$C$160,MATCH(B464,[1]SamplingMethod!$C$2:$C$160,FALSE),1),"")</f>
        <v>65</v>
      </c>
      <c r="E464" s="5" t="str">
        <f>IFERROR(INDEX([1]SamplingMethod!$A$2:$C$160,MATCH(B464,[1]SamplingMethod!$C$2:$C$160,FALSE),2),"")</f>
        <v>secm:ses201</v>
      </c>
      <c r="F464" t="str">
        <f>IFERROR(INDEX('collectionMethodDistinct'!$A$2:$A$646,MATCH(A464,'collectionMethodDistinct'!$A$2:$A$646,FALSE),1),"")</f>
        <v>ROV Grab Sample</v>
      </c>
    </row>
    <row r="465" spans="1:6" x14ac:dyDescent="0.25">
      <c r="A465" s="5" t="s">
        <v>434</v>
      </c>
      <c r="B465" s="5" t="s">
        <v>854</v>
      </c>
      <c r="C465" s="5"/>
      <c r="D465" s="1">
        <f>IFERROR(INDEX([1]SamplingMethod!$A$2:$C$160,MATCH(B465,[1]SamplingMethod!$C$2:$C$160,FALSE),1),"")</f>
        <v>65</v>
      </c>
      <c r="E465" s="5" t="str">
        <f>IFERROR(INDEX([1]SamplingMethod!$A$2:$C$160,MATCH(B465,[1]SamplingMethod!$C$2:$C$160,FALSE),2),"")</f>
        <v>secm:ses201</v>
      </c>
      <c r="F465" t="str">
        <f>IFERROR(INDEX('collectionMethodDistinct'!$A$2:$A$646,MATCH(A465,'collectionMethodDistinct'!$A$2:$A$646,FALSE),1),"")</f>
        <v>ROV Hercules</v>
      </c>
    </row>
    <row r="466" spans="1:6" x14ac:dyDescent="0.25">
      <c r="A466" s="5" t="s">
        <v>435</v>
      </c>
      <c r="B466" s="5" t="s">
        <v>82</v>
      </c>
      <c r="C466" s="5"/>
      <c r="D466" s="1">
        <f>IFERROR(INDEX([1]SamplingMethod!$A$2:$C$160,MATCH(B466,[1]SamplingMethod!$C$2:$C$160,FALSE),1),"")</f>
        <v>140</v>
      </c>
      <c r="E466" s="5" t="str">
        <f>IFERROR(INDEX([1]SamplingMethod!$A$2:$C$160,MATCH(B466,[1]SamplingMethod!$C$2:$C$160,FALSE),2),"")</f>
        <v>secm:sm041</v>
      </c>
      <c r="F466" t="str">
        <f>IFERROR(INDEX('collectionMethodDistinct'!$A$2:$A$646,MATCH(A466,'collectionMethodDistinct'!$A$2:$A$646,FALSE),1),"")</f>
        <v>Russian corer</v>
      </c>
    </row>
    <row r="467" spans="1:6" x14ac:dyDescent="0.25">
      <c r="A467" s="5" t="s">
        <v>436</v>
      </c>
      <c r="B467" s="5" t="s">
        <v>693</v>
      </c>
      <c r="C467" s="5"/>
      <c r="D467" s="1">
        <f>IFERROR(INDEX([1]SamplingMethod!$A$2:$C$160,MATCH(B467,[1]SamplingMethod!$C$2:$C$160,FALSE),1),"")</f>
        <v>115</v>
      </c>
      <c r="E467" s="5" t="str">
        <f>IFERROR(INDEX([1]SamplingMethod!$A$2:$C$160,MATCH(B467,[1]SamplingMethod!$C$2:$C$160,FALSE),2),"")</f>
        <v>secm:sm016</v>
      </c>
      <c r="F467" t="str">
        <f>IFERROR(INDEX('collectionMethodDistinct'!$A$2:$A$646,MATCH(A467,'collectionMethodDistinct'!$A$2:$A$646,FALSE),1),"")</f>
        <v>sample from outcrop</v>
      </c>
    </row>
    <row r="468" spans="1:6" x14ac:dyDescent="0.25">
      <c r="A468" s="5" t="s">
        <v>437</v>
      </c>
      <c r="B468" s="5" t="s">
        <v>693</v>
      </c>
      <c r="C468" s="5"/>
      <c r="D468" s="1">
        <f>IFERROR(INDEX([1]SamplingMethod!$A$2:$C$160,MATCH(B468,[1]SamplingMethod!$C$2:$C$160,FALSE),1),"")</f>
        <v>115</v>
      </c>
      <c r="E468" s="5" t="str">
        <f>IFERROR(INDEX([1]SamplingMethod!$A$2:$C$160,MATCH(B468,[1]SamplingMethod!$C$2:$C$160,FALSE),2),"")</f>
        <v>secm:sm016</v>
      </c>
      <c r="F468" t="str">
        <f>IFERROR(INDEX('collectionMethodDistinct'!$A$2:$A$646,MATCH(A468,'collectionMethodDistinct'!$A$2:$A$646,FALSE),1),"")</f>
        <v>sample from outcrop</v>
      </c>
    </row>
    <row r="469" spans="1:6" x14ac:dyDescent="0.25">
      <c r="A469" s="5" t="s">
        <v>438</v>
      </c>
      <c r="B469" s="5" t="s">
        <v>858</v>
      </c>
      <c r="C469" s="5"/>
      <c r="D469" s="1">
        <f>IFERROR(INDEX([1]SamplingMethod!$A$2:$C$160,MATCH(B469,[1]SamplingMethod!$C$2:$C$160,FALSE),1),"")</f>
        <v>151</v>
      </c>
      <c r="E469" s="5" t="str">
        <f>IFERROR(INDEX([1]SamplingMethod!$A$2:$C$160,MATCH(B469,[1]SamplingMethod!$C$2:$C$160,FALSE),2),"")</f>
        <v>secm:unknown</v>
      </c>
      <c r="F469" t="str">
        <f>IFERROR(INDEX('collectionMethodDistinct'!$A$2:$A$646,MATCH(A469,'collectionMethodDistinct'!$A$2:$A$646,FALSE),1),"")</f>
        <v>Sample plug</v>
      </c>
    </row>
    <row r="470" spans="1:6" x14ac:dyDescent="0.25">
      <c r="A470" s="5" t="s">
        <v>439</v>
      </c>
      <c r="B470" s="5" t="s">
        <v>607</v>
      </c>
      <c r="C470" s="5"/>
      <c r="D470" s="1">
        <f>IFERROR(INDEX([1]SamplingMethod!$A$2:$C$160,MATCH(B470,[1]SamplingMethod!$C$2:$C$160,FALSE),1),"")</f>
        <v>78</v>
      </c>
      <c r="E470" s="5" t="str">
        <f>IFERROR(INDEX([1]SamplingMethod!$A$2:$C$160,MATCH(B470,[1]SamplingMethod!$C$2:$C$160,FALSE),2),"")</f>
        <v>secm:ses216</v>
      </c>
      <c r="F470" t="str">
        <f>IFERROR(INDEX('collectionMethodDistinct'!$A$2:$A$646,MATCH(A470,'collectionMethodDistinct'!$A$2:$A$646,FALSE),1),"")</f>
        <v>sampled by rock hammer</v>
      </c>
    </row>
    <row r="471" spans="1:6" x14ac:dyDescent="0.25">
      <c r="A471" s="5" t="s">
        <v>440</v>
      </c>
      <c r="B471" s="5" t="s">
        <v>689</v>
      </c>
      <c r="C471" s="5"/>
      <c r="D471" s="1">
        <f>IFERROR(INDEX([1]SamplingMethod!$A$2:$C$160,MATCH(B471,[1]SamplingMethod!$C$2:$C$160,FALSE),1),"")</f>
        <v>134</v>
      </c>
      <c r="E471" s="5" t="str">
        <f>IFERROR(INDEX([1]SamplingMethod!$A$2:$C$160,MATCH(B471,[1]SamplingMethod!$C$2:$C$160,FALSE),2),"")</f>
        <v>secm:sm035</v>
      </c>
      <c r="F471" t="str">
        <f>IFERROR(INDEX('collectionMethodDistinct'!$A$2:$A$646,MATCH(A471,'collectionMethodDistinct'!$A$2:$A$646,FALSE),1),"")</f>
        <v>sampled from NYBG herbarium sheet</v>
      </c>
    </row>
    <row r="472" spans="1:6" x14ac:dyDescent="0.25">
      <c r="A472" s="5" t="s">
        <v>441</v>
      </c>
      <c r="B472" s="5" t="s">
        <v>858</v>
      </c>
      <c r="C472" s="5"/>
      <c r="D472" s="1">
        <f>IFERROR(INDEX([1]SamplingMethod!$A$2:$C$160,MATCH(B472,[1]SamplingMethod!$C$2:$C$160,FALSE),1),"")</f>
        <v>151</v>
      </c>
      <c r="E472" s="5" t="str">
        <f>IFERROR(INDEX([1]SamplingMethod!$A$2:$C$160,MATCH(B472,[1]SamplingMethod!$C$2:$C$160,FALSE),2),"")</f>
        <v>secm:unknown</v>
      </c>
      <c r="F472" t="str">
        <f>IFERROR(INDEX('collectionMethodDistinct'!$A$2:$A$646,MATCH(A472,'collectionMethodDistinct'!$A$2:$A$646,FALSE),1),"")</f>
        <v>Sampler</v>
      </c>
    </row>
    <row r="473" spans="1:6" x14ac:dyDescent="0.25">
      <c r="A473" s="5" t="s">
        <v>442</v>
      </c>
      <c r="B473" s="5" t="s">
        <v>871</v>
      </c>
      <c r="C473" s="5"/>
      <c r="D473" s="1">
        <f>IFERROR(INDEX([1]SamplingMethod!$A$2:$C$160,MATCH(B473,[1]SamplingMethod!$C$2:$C$160,FALSE),1),"")</f>
        <v>75</v>
      </c>
      <c r="E473" s="5" t="str">
        <f>IFERROR(INDEX([1]SamplingMethod!$A$2:$C$160,MATCH(B473,[1]SamplingMethod!$C$2:$C$160,FALSE),2),"")</f>
        <v>secm:ses213</v>
      </c>
      <c r="F473" t="str">
        <f>IFERROR(INDEX('collectionMethodDistinct'!$A$2:$A$646,MATCH(A473,'collectionMethodDistinct'!$A$2:$A$646,FALSE),1),"")</f>
        <v>Sampler:Bacteria</v>
      </c>
    </row>
    <row r="474" spans="1:6" x14ac:dyDescent="0.25">
      <c r="A474" s="5" t="s">
        <v>443</v>
      </c>
      <c r="B474" s="5" t="s">
        <v>858</v>
      </c>
      <c r="C474" s="5"/>
      <c r="D474" s="1">
        <f>IFERROR(INDEX([1]SamplingMethod!$A$2:$C$160,MATCH(B474,[1]SamplingMethod!$C$2:$C$160,FALSE),1),"")</f>
        <v>151</v>
      </c>
      <c r="E474" s="5" t="str">
        <f>IFERROR(INDEX([1]SamplingMethod!$A$2:$C$160,MATCH(B474,[1]SamplingMethod!$C$2:$C$160,FALSE),2),"")</f>
        <v>secm:unknown</v>
      </c>
      <c r="F474" t="str">
        <f>IFERROR(INDEX('collectionMethodDistinct'!$A$2:$A$646,MATCH(A474,'collectionMethodDistinct'!$A$2:$A$646,FALSE),1),"")</f>
        <v>Sampler:Biology</v>
      </c>
    </row>
    <row r="475" spans="1:6" x14ac:dyDescent="0.25">
      <c r="A475" s="5" t="s">
        <v>444</v>
      </c>
      <c r="B475" s="5" t="s">
        <v>883</v>
      </c>
      <c r="C475" s="5"/>
      <c r="D475" s="1">
        <f>IFERROR(INDEX([1]SamplingMethod!$A$2:$C$160,MATCH(B475,[1]SamplingMethod!$C$2:$C$160,FALSE),1),"")</f>
        <v>89</v>
      </c>
      <c r="E475" s="5" t="str">
        <f>IFERROR(INDEX([1]SamplingMethod!$A$2:$C$160,MATCH(B475,[1]SamplingMethod!$C$2:$C$160,FALSE),2),"")</f>
        <v>secm:ses228</v>
      </c>
      <c r="F475" t="str">
        <f>IFERROR(INDEX('collectionMethodDistinct'!$A$2:$A$646,MATCH(A475,'collectionMethodDistinct'!$A$2:$A$646,FALSE),1),"")</f>
        <v>Sampler:Biology:ColonizationSubstrate</v>
      </c>
    </row>
    <row r="476" spans="1:6" x14ac:dyDescent="0.25">
      <c r="A476" s="5" t="s">
        <v>445</v>
      </c>
      <c r="B476" s="5" t="s">
        <v>871</v>
      </c>
      <c r="C476" s="5"/>
      <c r="D476" s="1">
        <f>IFERROR(INDEX([1]SamplingMethod!$A$2:$C$160,MATCH(B476,[1]SamplingMethod!$C$2:$C$160,FALSE),1),"")</f>
        <v>75</v>
      </c>
      <c r="E476" s="5" t="str">
        <f>IFERROR(INDEX([1]SamplingMethod!$A$2:$C$160,MATCH(B476,[1]SamplingMethod!$C$2:$C$160,FALSE),2),"")</f>
        <v>secm:ses213</v>
      </c>
      <c r="F476" t="str">
        <f>IFERROR(INDEX('collectionMethodDistinct'!$A$2:$A$646,MATCH(A476,'collectionMethodDistinct'!$A$2:$A$646,FALSE),1),"")</f>
        <v>Sampler:Biology:CrabTrap</v>
      </c>
    </row>
    <row r="477" spans="1:6" x14ac:dyDescent="0.25">
      <c r="A477" s="5" t="s">
        <v>446</v>
      </c>
      <c r="B477" s="5" t="s">
        <v>872</v>
      </c>
      <c r="C477" s="5"/>
      <c r="D477" s="1">
        <f>IFERROR(INDEX([1]SamplingMethod!$A$2:$C$160,MATCH(B477,[1]SamplingMethod!$C$2:$C$160,FALSE),1),"")</f>
        <v>17</v>
      </c>
      <c r="E477" s="5" t="str">
        <f>IFERROR(INDEX([1]SamplingMethod!$A$2:$C$160,MATCH(B477,[1]SamplingMethod!$C$2:$C$160,FALSE),2),"")</f>
        <v>secm:chamber_incubation</v>
      </c>
      <c r="F477" t="str">
        <f>IFERROR(INDEX('collectionMethodDistinct'!$A$2:$A$646,MATCH(A477,'collectionMethodDistinct'!$A$2:$A$646,FALSE),1),"")</f>
        <v>Sampler:Biology:IncubationChamber</v>
      </c>
    </row>
    <row r="478" spans="1:6" x14ac:dyDescent="0.25">
      <c r="A478" s="5" t="s">
        <v>447</v>
      </c>
      <c r="B478" s="5" t="s">
        <v>857</v>
      </c>
      <c r="C478" s="5"/>
      <c r="D478" s="1">
        <f>IFERROR(INDEX([1]SamplingMethod!$A$2:$C$160,MATCH(B478,[1]SamplingMethod!$C$2:$C$160,FALSE),1),"")</f>
        <v>149</v>
      </c>
      <c r="E478" s="5" t="str">
        <f>IFERROR(INDEX([1]SamplingMethod!$A$2:$C$160,MATCH(B478,[1]SamplingMethod!$C$2:$C$160,FALSE),2),"")</f>
        <v>secm:trawlsampling</v>
      </c>
      <c r="F478" t="str">
        <f>IFERROR(INDEX('collectionMethodDistinct'!$A$2:$A$646,MATCH(A478,'collectionMethodDistinct'!$A$2:$A$646,FALSE),1),"")</f>
        <v>Sampler:Biology:MOCNESS</v>
      </c>
    </row>
    <row r="479" spans="1:6" x14ac:dyDescent="0.25">
      <c r="A479" s="5" t="s">
        <v>448</v>
      </c>
      <c r="B479" s="5" t="s">
        <v>871</v>
      </c>
      <c r="C479" s="5"/>
      <c r="D479" s="1">
        <f>IFERROR(INDEX([1]SamplingMethod!$A$2:$C$160,MATCH(B479,[1]SamplingMethod!$C$2:$C$160,FALSE),1),"")</f>
        <v>75</v>
      </c>
      <c r="E479" s="5" t="str">
        <f>IFERROR(INDEX([1]SamplingMethod!$A$2:$C$160,MATCH(B479,[1]SamplingMethod!$C$2:$C$160,FALSE),2),"")</f>
        <v>secm:ses213</v>
      </c>
      <c r="F479" t="str">
        <f>IFERROR(INDEX('collectionMethodDistinct'!$A$2:$A$646,MATCH(A479,'collectionMethodDistinct'!$A$2:$A$646,FALSE),1),"")</f>
        <v>Sampler:Biology:MusselPot</v>
      </c>
    </row>
    <row r="480" spans="1:6" x14ac:dyDescent="0.25">
      <c r="A480" s="5" t="s">
        <v>449</v>
      </c>
      <c r="B480" s="5" t="s">
        <v>857</v>
      </c>
      <c r="C480" s="5"/>
      <c r="D480" s="1">
        <f>IFERROR(INDEX([1]SamplingMethod!$A$2:$C$160,MATCH(B480,[1]SamplingMethod!$C$2:$C$160,FALSE),1),"")</f>
        <v>149</v>
      </c>
      <c r="E480" s="5" t="str">
        <f>IFERROR(INDEX([1]SamplingMethod!$A$2:$C$160,MATCH(B480,[1]SamplingMethod!$C$2:$C$160,FALSE),2),"")</f>
        <v>secm:trawlsampling</v>
      </c>
      <c r="F480" t="str">
        <f>IFERROR(INDEX('collectionMethodDistinct'!$A$2:$A$646,MATCH(A480,'collectionMethodDistinct'!$A$2:$A$646,FALSE),1),"")</f>
        <v>Sampler:Biology:Net</v>
      </c>
    </row>
    <row r="481" spans="1:6" x14ac:dyDescent="0.25">
      <c r="A481" s="5" t="s">
        <v>450</v>
      </c>
      <c r="B481" s="5" t="s">
        <v>884</v>
      </c>
      <c r="C481" s="5"/>
      <c r="D481" s="1">
        <f>IFERROR(INDEX([1]SamplingMethod!$A$2:$C$160,MATCH(B481,[1]SamplingMethod!$C$2:$C$160,FALSE),1),"")</f>
        <v>58</v>
      </c>
      <c r="E481" s="5" t="str">
        <f>IFERROR(INDEX([1]SamplingMethod!$A$2:$C$160,MATCH(B481,[1]SamplingMethod!$C$2:$C$160,FALSE),2),"")</f>
        <v>secm:pumpsampling</v>
      </c>
      <c r="F481" t="str">
        <f>IFERROR(INDEX('collectionMethodDistinct'!$A$2:$A$646,MATCH(A481,'collectionMethodDistinct'!$A$2:$A$646,FALSE),1),"")</f>
        <v>Sampler:Biology:Pump</v>
      </c>
    </row>
    <row r="482" spans="1:6" x14ac:dyDescent="0.25">
      <c r="A482" s="5" t="s">
        <v>451</v>
      </c>
      <c r="B482" s="5" t="s">
        <v>840</v>
      </c>
      <c r="C482" s="5"/>
      <c r="D482" s="1">
        <f>IFERROR(INDEX([1]SamplingMethod!$A$2:$C$160,MATCH(B482,[1]SamplingMethod!$C$2:$C$160,FALSE),1),"")</f>
        <v>32</v>
      </c>
      <c r="E482" s="5" t="str">
        <f>IFERROR(INDEX([1]SamplingMethod!$A$2:$C$160,MATCH(B482,[1]SamplingMethod!$C$2:$C$160,FALSE),2),"")</f>
        <v>secm:core_push</v>
      </c>
      <c r="F482" t="str">
        <f>IFERROR(INDEX('collectionMethodDistinct'!$A$2:$A$646,MATCH(A482,'collectionMethodDistinct'!$A$2:$A$646,FALSE),1),"")</f>
        <v>Sampler:Biology:PushCore</v>
      </c>
    </row>
    <row r="483" spans="1:6" x14ac:dyDescent="0.25">
      <c r="A483" s="5" t="s">
        <v>452</v>
      </c>
      <c r="B483" s="5" t="s">
        <v>508</v>
      </c>
      <c r="C483" s="5"/>
      <c r="D483" s="1">
        <f>IFERROR(INDEX([1]SamplingMethod!$A$2:$C$160,MATCH(B483,[1]SamplingMethod!$C$2:$C$160,FALSE),1),"")</f>
        <v>88</v>
      </c>
      <c r="E483" s="5" t="str">
        <f>IFERROR(INDEX([1]SamplingMethod!$A$2:$C$160,MATCH(B483,[1]SamplingMethod!$C$2:$C$160,FALSE),2),"")</f>
        <v>secm:ses227</v>
      </c>
      <c r="F483" t="str">
        <f>IFERROR(INDEX('collectionMethodDistinct'!$A$2:$A$646,MATCH(A483,'collectionMethodDistinct'!$A$2:$A$646,FALSE),1),"")</f>
        <v>Sampler:Biology:Scoop</v>
      </c>
    </row>
    <row r="484" spans="1:6" x14ac:dyDescent="0.25">
      <c r="A484" s="5" t="s">
        <v>453</v>
      </c>
      <c r="B484" s="5" t="s">
        <v>873</v>
      </c>
      <c r="C484" s="5"/>
      <c r="D484" s="1">
        <f>IFERROR(INDEX([1]SamplingMethod!$A$2:$C$160,MATCH(B484,[1]SamplingMethod!$C$2:$C$160,FALSE),1),"")</f>
        <v>99</v>
      </c>
      <c r="E484" s="5" t="str">
        <f>IFERROR(INDEX([1]SamplingMethod!$A$2:$C$160,MATCH(B484,[1]SamplingMethod!$C$2:$C$160,FALSE),2),"")</f>
        <v>secm:slurpsampling</v>
      </c>
      <c r="F484" t="str">
        <f>IFERROR(INDEX('collectionMethodDistinct'!$A$2:$A$646,MATCH(A484,'collectionMethodDistinct'!$A$2:$A$646,FALSE),1),"")</f>
        <v>Sampler:Biology:Scoop, Sampler:Biology:Slurp</v>
      </c>
    </row>
    <row r="485" spans="1:6" x14ac:dyDescent="0.25">
      <c r="A485" s="5" t="s">
        <v>454</v>
      </c>
      <c r="B485" s="5" t="s">
        <v>883</v>
      </c>
      <c r="C485" s="5"/>
      <c r="D485" s="1">
        <f>IFERROR(INDEX([1]SamplingMethod!$A$2:$C$160,MATCH(B485,[1]SamplingMethod!$C$2:$C$160,FALSE),1),"")</f>
        <v>89</v>
      </c>
      <c r="E485" s="5" t="str">
        <f>IFERROR(INDEX([1]SamplingMethod!$A$2:$C$160,MATCH(B485,[1]SamplingMethod!$C$2:$C$160,FALSE),2),"")</f>
        <v>secm:ses228</v>
      </c>
      <c r="F485" t="str">
        <f>IFERROR(INDEX('collectionMethodDistinct'!$A$2:$A$646,MATCH(A485,'collectionMethodDistinct'!$A$2:$A$646,FALSE),1),"")</f>
        <v>Sampler:Biology:SettlementPlate</v>
      </c>
    </row>
    <row r="486" spans="1:6" x14ac:dyDescent="0.25">
      <c r="A486" s="5" t="s">
        <v>455</v>
      </c>
      <c r="B486" s="5" t="s">
        <v>871</v>
      </c>
      <c r="C486" s="5"/>
      <c r="D486" s="1">
        <f>IFERROR(INDEX([1]SamplingMethod!$A$2:$C$160,MATCH(B486,[1]SamplingMethod!$C$2:$C$160,FALSE),1),"")</f>
        <v>75</v>
      </c>
      <c r="E486" s="5" t="str">
        <f>IFERROR(INDEX([1]SamplingMethod!$A$2:$C$160,MATCH(B486,[1]SamplingMethod!$C$2:$C$160,FALSE),2),"")</f>
        <v>secm:ses213</v>
      </c>
      <c r="F486" t="str">
        <f>IFERROR(INDEX('collectionMethodDistinct'!$A$2:$A$646,MATCH(A486,'collectionMethodDistinct'!$A$2:$A$646,FALSE),1),"")</f>
        <v>Sampler:Biology:ShrimpTrap</v>
      </c>
    </row>
    <row r="487" spans="1:6" x14ac:dyDescent="0.25">
      <c r="A487" s="5" t="s">
        <v>456</v>
      </c>
      <c r="B487" s="5" t="s">
        <v>873</v>
      </c>
      <c r="C487" s="5"/>
      <c r="D487" s="1">
        <f>IFERROR(INDEX([1]SamplingMethod!$A$2:$C$160,MATCH(B487,[1]SamplingMethod!$C$2:$C$160,FALSE),1),"")</f>
        <v>99</v>
      </c>
      <c r="E487" s="5" t="str">
        <f>IFERROR(INDEX([1]SamplingMethod!$A$2:$C$160,MATCH(B487,[1]SamplingMethod!$C$2:$C$160,FALSE),2),"")</f>
        <v>secm:slurpsampling</v>
      </c>
      <c r="F487" t="str">
        <f>IFERROR(INDEX('collectionMethodDistinct'!$A$2:$A$646,MATCH(A487,'collectionMethodDistinct'!$A$2:$A$646,FALSE),1),"")</f>
        <v>Sampler:Biology:Slurp</v>
      </c>
    </row>
    <row r="488" spans="1:6" x14ac:dyDescent="0.25">
      <c r="A488" s="5" t="s">
        <v>457</v>
      </c>
      <c r="B488" s="5" t="s">
        <v>895</v>
      </c>
      <c r="C488" s="5"/>
      <c r="D488" s="1">
        <f>IFERROR(INDEX([1]SamplingMethod!$A$2:$C$160,MATCH(B488,[1]SamplingMethod!$C$2:$C$160,FALSE),1),"")</f>
        <v>94</v>
      </c>
      <c r="E488" s="5" t="str">
        <f>IFERROR(INDEX([1]SamplingMethod!$A$2:$C$160,MATCH(B488,[1]SamplingMethod!$C$2:$C$160,FALSE),2),"")</f>
        <v>secm:ses233</v>
      </c>
      <c r="F488" t="str">
        <f>IFERROR(INDEX('collectionMethodDistinct'!$A$2:$A$646,MATCH(A488,'collectionMethodDistinct'!$A$2:$A$646,FALSE),1),"")</f>
        <v>Sampler:Biology:Suction</v>
      </c>
    </row>
    <row r="489" spans="1:6" x14ac:dyDescent="0.25">
      <c r="A489" s="5" t="s">
        <v>458</v>
      </c>
      <c r="B489" s="5" t="s">
        <v>836</v>
      </c>
      <c r="C489" s="5"/>
      <c r="D489" s="1">
        <f>IFERROR(INDEX([1]SamplingMethod!$A$2:$C$160,MATCH(B489,[1]SamplingMethod!$C$2:$C$160,FALSE),1),"")</f>
        <v>74</v>
      </c>
      <c r="E489" s="5" t="str">
        <f>IFERROR(INDEX([1]SamplingMethod!$A$2:$C$160,MATCH(B489,[1]SamplingMethod!$C$2:$C$160,FALSE),2),"")</f>
        <v>secm:ses212</v>
      </c>
      <c r="F489" t="str">
        <f>IFERROR(INDEX('collectionMethodDistinct'!$A$2:$A$646,MATCH(A489,'collectionMethodDistinct'!$A$2:$A$646,FALSE),1),"")</f>
        <v>Sampler:Biology:Syringe</v>
      </c>
    </row>
    <row r="490" spans="1:6" x14ac:dyDescent="0.25">
      <c r="A490" s="5" t="s">
        <v>459</v>
      </c>
      <c r="B490" s="5" t="s">
        <v>871</v>
      </c>
      <c r="C490" s="5"/>
      <c r="D490" s="1">
        <f>IFERROR(INDEX([1]SamplingMethod!$A$2:$C$160,MATCH(B490,[1]SamplingMethod!$C$2:$C$160,FALSE),1),"")</f>
        <v>75</v>
      </c>
      <c r="E490" s="5" t="str">
        <f>IFERROR(INDEX([1]SamplingMethod!$A$2:$C$160,MATCH(B490,[1]SamplingMethod!$C$2:$C$160,FALSE),2),"")</f>
        <v>secm:ses213</v>
      </c>
      <c r="F490" t="str">
        <f>IFERROR(INDEX('collectionMethodDistinct'!$A$2:$A$646,MATCH(A490,'collectionMethodDistinct'!$A$2:$A$646,FALSE),1),"")</f>
        <v>Sampler:Biology:Trap</v>
      </c>
    </row>
    <row r="491" spans="1:6" x14ac:dyDescent="0.25">
      <c r="A491" s="5" t="s">
        <v>460</v>
      </c>
      <c r="B491" s="5" t="s">
        <v>858</v>
      </c>
      <c r="C491" s="5"/>
      <c r="D491" s="1">
        <f>IFERROR(INDEX([1]SamplingMethod!$A$2:$C$160,MATCH(B491,[1]SamplingMethod!$C$2:$C$160,FALSE),1),"")</f>
        <v>151</v>
      </c>
      <c r="E491" s="5" t="str">
        <f>IFERROR(INDEX([1]SamplingMethod!$A$2:$C$160,MATCH(B491,[1]SamplingMethod!$C$2:$C$160,FALSE),2),"")</f>
        <v>secm:unknown</v>
      </c>
      <c r="F491" t="str">
        <f>IFERROR(INDEX('collectionMethodDistinct'!$A$2:$A$646,MATCH(A491,'collectionMethodDistinct'!$A$2:$A$646,FALSE),1),"")</f>
        <v>Sampler:Biology:WormWok</v>
      </c>
    </row>
    <row r="492" spans="1:6" x14ac:dyDescent="0.25">
      <c r="A492" s="5" t="s">
        <v>461</v>
      </c>
      <c r="B492" s="5" t="s">
        <v>856</v>
      </c>
      <c r="C492" s="5"/>
      <c r="D492" s="1">
        <f>IFERROR(INDEX([1]SamplingMethod!$A$2:$C$160,MATCH(B492,[1]SamplingMethod!$C$2:$C$160,FALSE),1),"")</f>
        <v>141</v>
      </c>
      <c r="E492" s="5" t="str">
        <f>IFERROR(INDEX([1]SamplingMethod!$A$2:$C$160,MATCH(B492,[1]SamplingMethod!$C$2:$C$160,FALSE),2),"")</f>
        <v>secm:sm043</v>
      </c>
      <c r="F492" t="str">
        <f>IFERROR(INDEX('collectionMethodDistinct'!$A$2:$A$646,MATCH(A492,'collectionMethodDistinct'!$A$2:$A$646,FALSE),1),"")</f>
        <v>Sampler:Fluid</v>
      </c>
    </row>
    <row r="493" spans="1:6" x14ac:dyDescent="0.25">
      <c r="A493" s="5" t="s">
        <v>462</v>
      </c>
      <c r="B493" s="5" t="s">
        <v>874</v>
      </c>
      <c r="C493" s="5"/>
      <c r="D493" s="1">
        <f>IFERROR(INDEX([1]SamplingMethod!$A$2:$C$160,MATCH(B493,[1]SamplingMethod!$C$2:$C$160,FALSE),1),"")</f>
        <v>15</v>
      </c>
      <c r="E493" s="5" t="str">
        <f>IFERROR(INDEX([1]SamplingMethod!$A$2:$C$160,MATCH(B493,[1]SamplingMethod!$C$2:$C$160,FALSE),2),"")</f>
        <v>secm:bottlesampling</v>
      </c>
      <c r="F493" t="str">
        <f>IFERROR(INDEX('collectionMethodDistinct'!$A$2:$A$646,MATCH(A493,'collectionMethodDistinct'!$A$2:$A$646,FALSE),1),"")</f>
        <v>Sampler:Fluid:Bottle</v>
      </c>
    </row>
    <row r="494" spans="1:6" x14ac:dyDescent="0.25">
      <c r="A494" s="5" t="s">
        <v>463</v>
      </c>
      <c r="B494" s="5" t="s">
        <v>881</v>
      </c>
      <c r="C494" s="5"/>
      <c r="D494" s="1">
        <f>IFERROR(INDEX([1]SamplingMethod!$A$2:$C$160,MATCH(B494,[1]SamplingMethod!$C$2:$C$160,FALSE),1),"")</f>
        <v>76</v>
      </c>
      <c r="E494" s="5" t="str">
        <f>IFERROR(INDEX([1]SamplingMethod!$A$2:$C$160,MATCH(B494,[1]SamplingMethod!$C$2:$C$160,FALSE),2),"")</f>
        <v>secm:ses214</v>
      </c>
      <c r="F494" t="str">
        <f>IFERROR(INDEX('collectionMethodDistinct'!$A$2:$A$646,MATCH(A494,'collectionMethodDistinct'!$A$2:$A$646,FALSE),1),"")</f>
        <v>Sampler:Fluid:GasTight</v>
      </c>
    </row>
    <row r="495" spans="1:6" x14ac:dyDescent="0.25">
      <c r="A495" s="5" t="s">
        <v>464</v>
      </c>
      <c r="B495" s="5" t="s">
        <v>881</v>
      </c>
      <c r="C495" s="5"/>
      <c r="D495" s="1">
        <f>IFERROR(INDEX([1]SamplingMethod!$A$2:$C$160,MATCH(B495,[1]SamplingMethod!$C$2:$C$160,FALSE),1),"")</f>
        <v>76</v>
      </c>
      <c r="E495" s="5" t="str">
        <f>IFERROR(INDEX([1]SamplingMethod!$A$2:$C$160,MATCH(B495,[1]SamplingMethod!$C$2:$C$160,FALSE),2),"")</f>
        <v>secm:ses214</v>
      </c>
      <c r="F495" t="str">
        <f>IFERROR(INDEX('collectionMethodDistinct'!$A$2:$A$646,MATCH(A495,'collectionMethodDistinct'!$A$2:$A$646,FALSE),1),"")</f>
        <v>Sampler:Fluid:GasTight:IGT</v>
      </c>
    </row>
    <row r="496" spans="1:6" x14ac:dyDescent="0.25">
      <c r="A496" s="5" t="s">
        <v>465</v>
      </c>
      <c r="B496" s="5" t="s">
        <v>856</v>
      </c>
      <c r="C496" s="5"/>
      <c r="D496" s="1">
        <f>IFERROR(INDEX([1]SamplingMethod!$A$2:$C$160,MATCH(B496,[1]SamplingMethod!$C$2:$C$160,FALSE),1),"")</f>
        <v>141</v>
      </c>
      <c r="E496" s="5" t="str">
        <f>IFERROR(INDEX([1]SamplingMethod!$A$2:$C$160,MATCH(B496,[1]SamplingMethod!$C$2:$C$160,FALSE),2),"")</f>
        <v>secm:sm043</v>
      </c>
      <c r="F496" t="str">
        <f>IFERROR(INDEX('collectionMethodDistinct'!$A$2:$A$646,MATCH(A496,'collectionMethodDistinct'!$A$2:$A$646,FALSE),1),"")</f>
        <v>Sampler:Fluid:Ghostbuster</v>
      </c>
    </row>
    <row r="497" spans="1:6" x14ac:dyDescent="0.25">
      <c r="A497" s="5" t="s">
        <v>466</v>
      </c>
      <c r="B497" s="5" t="s">
        <v>856</v>
      </c>
      <c r="C497" s="5"/>
      <c r="D497" s="1">
        <f>IFERROR(INDEX([1]SamplingMethod!$A$2:$C$160,MATCH(B497,[1]SamplingMethod!$C$2:$C$160,FALSE),1),"")</f>
        <v>141</v>
      </c>
      <c r="E497" s="5" t="str">
        <f>IFERROR(INDEX([1]SamplingMethod!$A$2:$C$160,MATCH(B497,[1]SamplingMethod!$C$2:$C$160,FALSE),2),"")</f>
        <v>secm:sm043</v>
      </c>
      <c r="F497" t="str">
        <f>IFERROR(INDEX('collectionMethodDistinct'!$A$2:$A$646,MATCH(A497,'collectionMethodDistinct'!$A$2:$A$646,FALSE),1),"")</f>
        <v>Sampler:Fluid:GTHFS</v>
      </c>
    </row>
    <row r="498" spans="1:6" x14ac:dyDescent="0.25">
      <c r="A498" s="5" t="s">
        <v>467</v>
      </c>
      <c r="B498" s="5" t="s">
        <v>874</v>
      </c>
      <c r="C498" s="5"/>
      <c r="D498" s="1">
        <f>IFERROR(INDEX([1]SamplingMethod!$A$2:$C$160,MATCH(B498,[1]SamplingMethod!$C$2:$C$160,FALSE),1),"")</f>
        <v>15</v>
      </c>
      <c r="E498" s="5" t="str">
        <f>IFERROR(INDEX([1]SamplingMethod!$A$2:$C$160,MATCH(B498,[1]SamplingMethod!$C$2:$C$160,FALSE),2),"")</f>
        <v>secm:bottlesampling</v>
      </c>
      <c r="F498" t="str">
        <f>IFERROR(INDEX('collectionMethodDistinct'!$A$2:$A$646,MATCH(A498,'collectionMethodDistinct'!$A$2:$A$646,FALSE),1),"")</f>
        <v>Sampler:Fluid:HFPS</v>
      </c>
    </row>
    <row r="499" spans="1:6" x14ac:dyDescent="0.25">
      <c r="A499" s="5" t="s">
        <v>468</v>
      </c>
      <c r="B499" s="5" t="s">
        <v>868</v>
      </c>
      <c r="C499" s="5"/>
      <c r="D499" s="1">
        <f>IFERROR(INDEX([1]SamplingMethod!$A$2:$C$160,MATCH(B499,[1]SamplingMethod!$C$2:$C$160,FALSE),1),"")</f>
        <v>122</v>
      </c>
      <c r="E499" s="5" t="str">
        <f>IFERROR(INDEX([1]SamplingMethod!$A$2:$C$160,MATCH(B499,[1]SamplingMethod!$C$2:$C$160,FALSE),2),"")</f>
        <v>secm:sm023</v>
      </c>
      <c r="F499" t="str">
        <f>IFERROR(INDEX('collectionMethodDistinct'!$A$2:$A$646,MATCH(A499,'collectionMethodDistinct'!$A$2:$A$646,FALSE),1),"")</f>
        <v>Sampler:Fluid:HFS</v>
      </c>
    </row>
    <row r="500" spans="1:6" x14ac:dyDescent="0.25">
      <c r="A500" s="5" t="s">
        <v>469</v>
      </c>
      <c r="B500" s="5" t="s">
        <v>868</v>
      </c>
      <c r="C500" s="5"/>
      <c r="D500" s="1">
        <f>IFERROR(INDEX([1]SamplingMethod!$A$2:$C$160,MATCH(B500,[1]SamplingMethod!$C$2:$C$160,FALSE),1),"")</f>
        <v>122</v>
      </c>
      <c r="E500" s="5" t="str">
        <f>IFERROR(INDEX([1]SamplingMethod!$A$2:$C$160,MATCH(B500,[1]SamplingMethod!$C$2:$C$160,FALSE),2),"")</f>
        <v>secm:sm023</v>
      </c>
      <c r="F500" t="str">
        <f>IFERROR(INDEX('collectionMethodDistinct'!$A$2:$A$646,MATCH(A500,'collectionMethodDistinct'!$A$2:$A$646,FALSE),1),"")</f>
        <v xml:space="preserve">Sampler:Fluid:HFS </v>
      </c>
    </row>
    <row r="501" spans="1:6" x14ac:dyDescent="0.25">
      <c r="A501" s="5" t="s">
        <v>470</v>
      </c>
      <c r="B501" s="5" t="s">
        <v>868</v>
      </c>
      <c r="C501" s="5"/>
      <c r="D501" s="1">
        <f>IFERROR(INDEX([1]SamplingMethod!$A$2:$C$160,MATCH(B501,[1]SamplingMethod!$C$2:$C$160,FALSE),1),"")</f>
        <v>122</v>
      </c>
      <c r="E501" s="5" t="str">
        <f>IFERROR(INDEX([1]SamplingMethod!$A$2:$C$160,MATCH(B501,[1]SamplingMethod!$C$2:$C$160,FALSE),2),"")</f>
        <v>secm:sm023</v>
      </c>
      <c r="F501" t="str">
        <f>IFERROR(INDEX('collectionMethodDistinct'!$A$2:$A$646,MATCH(A501,'collectionMethodDistinct'!$A$2:$A$646,FALSE),1),"")</f>
        <v>Sampler:Fluid:HotFluid</v>
      </c>
    </row>
    <row r="502" spans="1:6" x14ac:dyDescent="0.25">
      <c r="A502" s="5" t="s">
        <v>471</v>
      </c>
      <c r="B502" s="5" t="s">
        <v>874</v>
      </c>
      <c r="C502" s="5"/>
      <c r="D502" s="1">
        <f>IFERROR(INDEX([1]SamplingMethod!$A$2:$C$160,MATCH(B502,[1]SamplingMethod!$C$2:$C$160,FALSE),1),"")</f>
        <v>15</v>
      </c>
      <c r="E502" s="5" t="str">
        <f>IFERROR(INDEX([1]SamplingMethod!$A$2:$C$160,MATCH(B502,[1]SamplingMethod!$C$2:$C$160,FALSE),2),"")</f>
        <v>secm:bottlesampling</v>
      </c>
      <c r="F502" t="str">
        <f>IFERROR(INDEX('collectionMethodDistinct'!$A$2:$A$646,MATCH(A502,'collectionMethodDistinct'!$A$2:$A$646,FALSE),1),"")</f>
        <v>Sampler:Fluid:major</v>
      </c>
    </row>
    <row r="503" spans="1:6" x14ac:dyDescent="0.25">
      <c r="A503" s="5" t="s">
        <v>472</v>
      </c>
      <c r="B503" s="5" t="s">
        <v>874</v>
      </c>
      <c r="C503" s="5"/>
      <c r="D503" s="1">
        <f>IFERROR(INDEX([1]SamplingMethod!$A$2:$C$160,MATCH(B503,[1]SamplingMethod!$C$2:$C$160,FALSE),1),"")</f>
        <v>15</v>
      </c>
      <c r="E503" s="5" t="str">
        <f>IFERROR(INDEX([1]SamplingMethod!$A$2:$C$160,MATCH(B503,[1]SamplingMethod!$C$2:$C$160,FALSE),2),"")</f>
        <v>secm:bottlesampling</v>
      </c>
      <c r="F503" t="str">
        <f>IFERROR(INDEX('collectionMethodDistinct'!$A$2:$A$646,MATCH(A503,'collectionMethodDistinct'!$A$2:$A$646,FALSE),1),"")</f>
        <v>Sampler:Fluid:major</v>
      </c>
    </row>
    <row r="504" spans="1:6" x14ac:dyDescent="0.25">
      <c r="A504" s="5" t="s">
        <v>473</v>
      </c>
      <c r="B504" s="5" t="s">
        <v>861</v>
      </c>
      <c r="C504" s="5"/>
      <c r="D504" s="1">
        <f>IFERROR(INDEX([1]SamplingMethod!$A$2:$C$160,MATCH(B504,[1]SamplingMethod!$C$2:$C$160,FALSE),1),"")</f>
        <v>154</v>
      </c>
      <c r="E504" s="5" t="str">
        <f>IFERROR(INDEX([1]SamplingMethod!$A$2:$C$160,MATCH(B504,[1]SamplingMethod!$C$2:$C$160,FALSE),2),"")</f>
        <v>secm:waterbodywatersampling</v>
      </c>
      <c r="F504" t="str">
        <f>IFERROR(INDEX('collectionMethodDistinct'!$A$2:$A$646,MATCH(A504,'collectionMethodDistinct'!$A$2:$A$646,FALSE),1),"")</f>
        <v>Sampler:Fluid:Manifold</v>
      </c>
    </row>
    <row r="505" spans="1:6" x14ac:dyDescent="0.25">
      <c r="A505" s="5" t="s">
        <v>474</v>
      </c>
      <c r="B505" s="5" t="s">
        <v>864</v>
      </c>
      <c r="C505" s="5"/>
      <c r="D505" s="1">
        <f>IFERROR(INDEX([1]SamplingMethod!$A$2:$C$160,MATCH(B505,[1]SamplingMethod!$C$2:$C$160,FALSE),1),"")</f>
        <v>86</v>
      </c>
      <c r="E505" s="5" t="str">
        <f>IFERROR(INDEX([1]SamplingMethod!$A$2:$C$160,MATCH(B505,[1]SamplingMethod!$C$2:$C$160,FALSE),2),"")</f>
        <v>secm:ses225</v>
      </c>
      <c r="F505" t="str">
        <f>IFERROR(INDEX('collectionMethodDistinct'!$A$2:$A$646,MATCH(A505,'collectionMethodDistinct'!$A$2:$A$646,FALSE),1),"")</f>
        <v>Sampler:Fluid:Niskin</v>
      </c>
    </row>
    <row r="506" spans="1:6" x14ac:dyDescent="0.25">
      <c r="A506" s="5" t="s">
        <v>475</v>
      </c>
      <c r="B506" s="5" t="s">
        <v>873</v>
      </c>
      <c r="C506" s="5"/>
      <c r="D506" s="1">
        <f>IFERROR(INDEX([1]SamplingMethod!$A$2:$C$160,MATCH(B506,[1]SamplingMethod!$C$2:$C$160,FALSE),1),"")</f>
        <v>99</v>
      </c>
      <c r="E506" s="5" t="str">
        <f>IFERROR(INDEX([1]SamplingMethod!$A$2:$C$160,MATCH(B506,[1]SamplingMethod!$C$2:$C$160,FALSE),2),"")</f>
        <v>secm:slurpsampling</v>
      </c>
      <c r="F506" t="str">
        <f>IFERROR(INDEX('collectionMethodDistinct'!$A$2:$A$646,MATCH(A506,'collectionMethodDistinct'!$A$2:$A$646,FALSE),1),"")</f>
        <v>Sampler:Fluid:Slurp</v>
      </c>
    </row>
    <row r="507" spans="1:6" x14ac:dyDescent="0.25">
      <c r="A507" s="5" t="s">
        <v>476</v>
      </c>
      <c r="B507" s="5" t="s">
        <v>856</v>
      </c>
      <c r="C507" s="5"/>
      <c r="D507" s="1">
        <f>IFERROR(INDEX([1]SamplingMethod!$A$2:$C$160,MATCH(B507,[1]SamplingMethod!$C$2:$C$160,FALSE),1),"")</f>
        <v>141</v>
      </c>
      <c r="E507" s="5" t="str">
        <f>IFERROR(INDEX([1]SamplingMethod!$A$2:$C$160,MATCH(B507,[1]SamplingMethod!$C$2:$C$160,FALSE),2),"")</f>
        <v>secm:sm043</v>
      </c>
      <c r="F507" t="str">
        <f>IFERROR(INDEX('collectionMethodDistinct'!$A$2:$A$646,MATCH(A507,'collectionMethodDistinct'!$A$2:$A$646,FALSE),1),"")</f>
        <v>Sampler:Fluid:Squeeze</v>
      </c>
    </row>
    <row r="508" spans="1:6" x14ac:dyDescent="0.25">
      <c r="A508" s="5" t="s">
        <v>477</v>
      </c>
      <c r="B508" s="5" t="s">
        <v>856</v>
      </c>
      <c r="C508" s="5"/>
      <c r="D508" s="1">
        <f>IFERROR(INDEX([1]SamplingMethod!$A$2:$C$160,MATCH(B508,[1]SamplingMethod!$C$2:$C$160,FALSE),1),"")</f>
        <v>141</v>
      </c>
      <c r="E508" s="5" t="str">
        <f>IFERROR(INDEX([1]SamplingMethod!$A$2:$C$160,MATCH(B508,[1]SamplingMethod!$C$2:$C$160,FALSE),2),"")</f>
        <v>secm:sm043</v>
      </c>
      <c r="F508" t="str">
        <f>IFERROR(INDEX('collectionMethodDistinct'!$A$2:$A$646,MATCH(A508,'collectionMethodDistinct'!$A$2:$A$646,FALSE),1),"")</f>
        <v>Sampler:Fluid:SuPR</v>
      </c>
    </row>
    <row r="509" spans="1:6" x14ac:dyDescent="0.25">
      <c r="A509" s="5" t="s">
        <v>478</v>
      </c>
      <c r="B509" s="5" t="s">
        <v>856</v>
      </c>
      <c r="C509" s="5"/>
      <c r="D509" s="1">
        <f>IFERROR(INDEX([1]SamplingMethod!$A$2:$C$160,MATCH(B509,[1]SamplingMethod!$C$2:$C$160,FALSE),1),"")</f>
        <v>141</v>
      </c>
      <c r="E509" s="5" t="str">
        <f>IFERROR(INDEX([1]SamplingMethod!$A$2:$C$160,MATCH(B509,[1]SamplingMethod!$C$2:$C$160,FALSE),2),"")</f>
        <v>secm:sm043</v>
      </c>
      <c r="F509" t="str">
        <f>IFERROR(INDEX('collectionMethodDistinct'!$A$2:$A$646,MATCH(A509,'collectionMethodDistinct'!$A$2:$A$646,FALSE),1),"")</f>
        <v>Sampler:Fluid:Toaster</v>
      </c>
    </row>
    <row r="510" spans="1:6" x14ac:dyDescent="0.25">
      <c r="A510" s="5" t="s">
        <v>479</v>
      </c>
      <c r="B510" s="5" t="s">
        <v>881</v>
      </c>
      <c r="C510" s="5"/>
      <c r="D510" s="1">
        <f>IFERROR(INDEX([1]SamplingMethod!$A$2:$C$160,MATCH(B510,[1]SamplingMethod!$C$2:$C$160,FALSE),1),"")</f>
        <v>76</v>
      </c>
      <c r="E510" s="5" t="str">
        <f>IFERROR(INDEX([1]SamplingMethod!$A$2:$C$160,MATCH(B510,[1]SamplingMethod!$C$2:$C$160,FALSE),2),"")</f>
        <v>secm:ses214</v>
      </c>
      <c r="F510" t="str">
        <f>IFERROR(INDEX('collectionMethodDistinct'!$A$2:$A$646,MATCH(A510,'collectionMethodDistinct'!$A$2:$A$646,FALSE),1),"")</f>
        <v>Sampler:Gas:bottle</v>
      </c>
    </row>
    <row r="511" spans="1:6" x14ac:dyDescent="0.25">
      <c r="A511" s="5" t="s">
        <v>480</v>
      </c>
      <c r="B511" s="5" t="s">
        <v>881</v>
      </c>
      <c r="C511" s="5"/>
      <c r="D511" s="1">
        <f>IFERROR(INDEX([1]SamplingMethod!$A$2:$C$160,MATCH(B511,[1]SamplingMethod!$C$2:$C$160,FALSE),1),"")</f>
        <v>76</v>
      </c>
      <c r="E511" s="5" t="str">
        <f>IFERROR(INDEX([1]SamplingMethod!$A$2:$C$160,MATCH(B511,[1]SamplingMethod!$C$2:$C$160,FALSE),2),"")</f>
        <v>secm:ses214</v>
      </c>
      <c r="F511" t="str">
        <f>IFERROR(INDEX('collectionMethodDistinct'!$A$2:$A$646,MATCH(A511,'collectionMethodDistinct'!$A$2:$A$646,FALSE),1),"")</f>
        <v>Sampler:Gas:bottle</v>
      </c>
    </row>
    <row r="512" spans="1:6" x14ac:dyDescent="0.25">
      <c r="A512" s="5" t="s">
        <v>481</v>
      </c>
      <c r="B512" s="5" t="s">
        <v>855</v>
      </c>
      <c r="C512" s="5"/>
      <c r="D512" s="1">
        <f>IFERROR(INDEX([1]SamplingMethod!$A$2:$C$160,MATCH(B512,[1]SamplingMethod!$C$2:$C$160,FALSE),1),"")</f>
        <v>111</v>
      </c>
      <c r="E512" s="5" t="str">
        <f>IFERROR(INDEX([1]SamplingMethod!$A$2:$C$160,MATCH(B512,[1]SamplingMethod!$C$2:$C$160,FALSE),2),"")</f>
        <v>secm:sm013</v>
      </c>
      <c r="F512" t="str">
        <f>IFERROR(INDEX('collectionMethodDistinct'!$A$2:$A$646,MATCH(A512,'collectionMethodDistinct'!$A$2:$A$646,FALSE),1),"")</f>
        <v>Sampler:Gas:HFS</v>
      </c>
    </row>
    <row r="513" spans="1:6" x14ac:dyDescent="0.25">
      <c r="A513" s="5" t="s">
        <v>482</v>
      </c>
      <c r="B513" s="5" t="s">
        <v>855</v>
      </c>
      <c r="C513" s="5"/>
      <c r="D513" s="1">
        <f>IFERROR(INDEX([1]SamplingMethod!$A$2:$C$160,MATCH(B513,[1]SamplingMethod!$C$2:$C$160,FALSE),1),"")</f>
        <v>111</v>
      </c>
      <c r="E513" s="5" t="str">
        <f>IFERROR(INDEX([1]SamplingMethod!$A$2:$C$160,MATCH(B513,[1]SamplingMethod!$C$2:$C$160,FALSE),2),"")</f>
        <v>secm:sm013</v>
      </c>
      <c r="F513" t="str">
        <f>IFERROR(INDEX('collectionMethodDistinct'!$A$2:$A$646,MATCH(A513,'collectionMethodDistinct'!$A$2:$A$646,FALSE),1),"")</f>
        <v>Sampler:Gas:HFS</v>
      </c>
    </row>
    <row r="514" spans="1:6" x14ac:dyDescent="0.25">
      <c r="A514" s="5" t="s">
        <v>483</v>
      </c>
      <c r="B514" s="5" t="s">
        <v>508</v>
      </c>
      <c r="C514" s="5"/>
      <c r="D514" s="1">
        <f>IFERROR(INDEX([1]SamplingMethod!$A$2:$C$160,MATCH(B514,[1]SamplingMethod!$C$2:$C$160,FALSE),1),"")</f>
        <v>88</v>
      </c>
      <c r="E514" s="5" t="str">
        <f>IFERROR(INDEX([1]SamplingMethod!$A$2:$C$160,MATCH(B514,[1]SamplingMethod!$C$2:$C$160,FALSE),2),"")</f>
        <v>secm:ses227</v>
      </c>
      <c r="F514" t="str">
        <f>IFERROR(INDEX('collectionMethodDistinct'!$A$2:$A$646,MATCH(A514,'collectionMethodDistinct'!$A$2:$A$646,FALSE),1),"")</f>
        <v>Sampler:Geology:Scoop</v>
      </c>
    </row>
    <row r="515" spans="1:6" x14ac:dyDescent="0.25">
      <c r="A515" s="5" t="s">
        <v>484</v>
      </c>
      <c r="B515" s="5" t="s">
        <v>855</v>
      </c>
      <c r="C515" s="5"/>
      <c r="D515" s="1">
        <f>IFERROR(INDEX([1]SamplingMethod!$A$2:$C$160,MATCH(B515,[1]SamplingMethod!$C$2:$C$160,FALSE),1),"")</f>
        <v>111</v>
      </c>
      <c r="E515" s="5" t="str">
        <f>IFERROR(INDEX([1]SamplingMethod!$A$2:$C$160,MATCH(B515,[1]SamplingMethod!$C$2:$C$160,FALSE),2),"")</f>
        <v>secm:sm013</v>
      </c>
      <c r="F515" t="str">
        <f>IFERROR(INDEX('collectionMethodDistinct'!$A$2:$A$646,MATCH(A515,'collectionMethodDistinct'!$A$2:$A$646,FALSE),1),"")</f>
        <v>Sampler:HFS:Gas</v>
      </c>
    </row>
    <row r="516" spans="1:6" x14ac:dyDescent="0.25">
      <c r="A516" s="5" t="s">
        <v>485</v>
      </c>
      <c r="B516" s="5" t="s">
        <v>840</v>
      </c>
      <c r="C516" s="5"/>
      <c r="D516" s="1">
        <f>IFERROR(INDEX([1]SamplingMethod!$A$2:$C$160,MATCH(B516,[1]SamplingMethod!$C$2:$C$160,FALSE),1),"")</f>
        <v>32</v>
      </c>
      <c r="E516" s="5" t="str">
        <f>IFERROR(INDEX([1]SamplingMethod!$A$2:$C$160,MATCH(B516,[1]SamplingMethod!$C$2:$C$160,FALSE),2),"")</f>
        <v>secm:core_push</v>
      </c>
      <c r="F516" t="str">
        <f>IFERROR(INDEX('collectionMethodDistinct'!$A$2:$A$646,MATCH(A516,'collectionMethodDistinct'!$A$2:$A$646,FALSE),1),"")</f>
        <v>Sampler:PushCore</v>
      </c>
    </row>
    <row r="517" spans="1:6" x14ac:dyDescent="0.25">
      <c r="A517" s="5" t="s">
        <v>486</v>
      </c>
      <c r="B517" s="5" t="s">
        <v>850</v>
      </c>
      <c r="C517" s="5"/>
      <c r="D517" s="1">
        <f>IFERROR(INDEX([1]SamplingMethod!$A$2:$C$160,MATCH(B517,[1]SamplingMethod!$C$2:$C$160,FALSE),1),"")</f>
        <v>25</v>
      </c>
      <c r="E517" s="5" t="str">
        <f>IFERROR(INDEX([1]SamplingMethod!$A$2:$C$160,MATCH(B517,[1]SamplingMethod!$C$2:$C$160,FALSE),2),"")</f>
        <v>secm:core_diamond</v>
      </c>
      <c r="F517" t="str">
        <f>IFERROR(INDEX('collectionMethodDistinct'!$A$2:$A$646,MATCH(A517,'collectionMethodDistinct'!$A$2:$A$646,FALSE),1),"")</f>
        <v>Sampler:Rock:Core</v>
      </c>
    </row>
    <row r="518" spans="1:6" x14ac:dyDescent="0.25">
      <c r="A518" s="5" t="s">
        <v>487</v>
      </c>
      <c r="B518" s="5" t="s">
        <v>869</v>
      </c>
      <c r="C518" s="5"/>
      <c r="D518" s="1">
        <f>IFERROR(INDEX([1]SamplingMethod!$A$2:$C$160,MATCH(B518,[1]SamplingMethod!$C$2:$C$160,FALSE),1),"")</f>
        <v>104</v>
      </c>
      <c r="E518" s="5" t="str">
        <f>IFERROR(INDEX([1]SamplingMethod!$A$2:$C$160,MATCH(B518,[1]SamplingMethod!$C$2:$C$160,FALSE),2),"")</f>
        <v>secm:sm006</v>
      </c>
      <c r="F518" t="str">
        <f>IFERROR(INDEX('collectionMethodDistinct'!$A$2:$A$646,MATCH(A518,'collectionMethodDistinct'!$A$2:$A$646,FALSE),1),"")</f>
        <v>Sampler:Rock:Dredge</v>
      </c>
    </row>
    <row r="519" spans="1:6" x14ac:dyDescent="0.25">
      <c r="A519" s="5" t="s">
        <v>488</v>
      </c>
      <c r="B519" s="5" t="s">
        <v>219</v>
      </c>
      <c r="C519" s="5"/>
      <c r="D519" s="1">
        <f>IFERROR(INDEX([1]SamplingMethod!$A$2:$C$160,MATCH(B519,[1]SamplingMethod!$C$2:$C$160,FALSE),1),"")</f>
        <v>38</v>
      </c>
      <c r="E519" s="5" t="str">
        <f>IFERROR(INDEX([1]SamplingMethod!$A$2:$C$160,MATCH(B519,[1]SamplingMethod!$C$2:$C$160,FALSE),2),"")</f>
        <v>secm:drilling</v>
      </c>
      <c r="F519" t="str">
        <f>IFERROR(INDEX('collectionMethodDistinct'!$A$2:$A$646,MATCH(A519,'collectionMethodDistinct'!$A$2:$A$646,FALSE),1),"")</f>
        <v>Sampler:Rock:Drill</v>
      </c>
    </row>
    <row r="520" spans="1:6" x14ac:dyDescent="0.25">
      <c r="A520" s="7" t="s">
        <v>489</v>
      </c>
      <c r="B520" s="5" t="s">
        <v>844</v>
      </c>
      <c r="C520" s="5"/>
      <c r="D520" s="1">
        <f>IFERROR(INDEX([1]SamplingMethod!$A$2:$C$160,MATCH(B520,[1]SamplingMethod!$C$2:$C$160,FALSE),1),"")</f>
        <v>124</v>
      </c>
      <c r="E520" s="5" t="str">
        <f>IFERROR(INDEX([1]SamplingMethod!$A$2:$C$160,MATCH(B520,[1]SamplingMethod!$C$2:$C$160,FALSE),2),"")</f>
        <v>secm:sm025</v>
      </c>
      <c r="F520" t="str">
        <f>IFERROR(INDEX('collectionMethodDistinct'!$A$2:$A$646,MATCH(A520,'collectionMethodDistinct'!$A$2:$A$646,FALSE),1),"")</f>
        <v>Sampler:Sediment:BoxCore</v>
      </c>
    </row>
    <row r="521" spans="1:6" x14ac:dyDescent="0.25">
      <c r="A521" s="5" t="s">
        <v>490</v>
      </c>
      <c r="B521" s="5" t="s">
        <v>860</v>
      </c>
      <c r="C521" s="5"/>
      <c r="D521" s="1">
        <f>IFERROR(INDEX([1]SamplingMethod!$A$2:$C$160,MATCH(B521,[1]SamplingMethod!$C$2:$C$160,FALSE),1),"")</f>
        <v>103</v>
      </c>
      <c r="E521" s="5" t="str">
        <f>IFERROR(INDEX([1]SamplingMethod!$A$2:$C$160,MATCH(B521,[1]SamplingMethod!$C$2:$C$160,FALSE),2),"")</f>
        <v>secm:sm005</v>
      </c>
      <c r="F521" t="str">
        <f>IFERROR(INDEX('collectionMethodDistinct'!$A$2:$A$646,MATCH(A521,'collectionMethodDistinct'!$A$2:$A$646,FALSE),1),"")</f>
        <v>Sampler:Sediment:GougeCore</v>
      </c>
    </row>
    <row r="522" spans="1:6" x14ac:dyDescent="0.25">
      <c r="A522" s="5" t="s">
        <v>491</v>
      </c>
      <c r="B522" s="5" t="s">
        <v>865</v>
      </c>
      <c r="C522" s="5"/>
      <c r="D522" s="1">
        <f>IFERROR(INDEX([1]SamplingMethod!$A$2:$C$160,MATCH(B522,[1]SamplingMethod!$C$2:$C$160,FALSE),1),"")</f>
        <v>138</v>
      </c>
      <c r="E522" s="5" t="str">
        <f>IFERROR(INDEX([1]SamplingMethod!$A$2:$C$160,MATCH(B522,[1]SamplingMethod!$C$2:$C$160,FALSE),2),"")</f>
        <v>secm:sm039</v>
      </c>
      <c r="F522" t="str">
        <f>IFERROR(INDEX('collectionMethodDistinct'!$A$2:$A$646,MATCH(A522,'collectionMethodDistinct'!$A$2:$A$646,FALSE),1),"")</f>
        <v>Sampler:Sediment:Grab</v>
      </c>
    </row>
    <row r="523" spans="1:6" x14ac:dyDescent="0.25">
      <c r="A523" s="5" t="s">
        <v>492</v>
      </c>
      <c r="B523" s="5" t="s">
        <v>846</v>
      </c>
      <c r="C523" s="5"/>
      <c r="D523" s="1">
        <f>IFERROR(INDEX([1]SamplingMethod!$A$2:$C$160,MATCH(B523,[1]SamplingMethod!$C$2:$C$160,FALSE),1),"")</f>
        <v>125</v>
      </c>
      <c r="E523" s="5" t="str">
        <f>IFERROR(INDEX([1]SamplingMethod!$A$2:$C$160,MATCH(B523,[1]SamplingMethod!$C$2:$C$160,FALSE),2),"")</f>
        <v>secm:sm026</v>
      </c>
      <c r="F523" t="str">
        <f>IFERROR(INDEX('collectionMethodDistinct'!$A$2:$A$646,MATCH(A523,'collectionMethodDistinct'!$A$2:$A$646,FALSE),1),"")</f>
        <v>Sampler:Sediment:GravityCore</v>
      </c>
    </row>
    <row r="524" spans="1:6" x14ac:dyDescent="0.25">
      <c r="A524" s="5" t="s">
        <v>493</v>
      </c>
      <c r="B524" s="5" t="s">
        <v>839</v>
      </c>
      <c r="C524" s="5"/>
      <c r="D524" s="1">
        <f>IFERROR(INDEX([1]SamplingMethod!$A$2:$C$160,MATCH(B524,[1]SamplingMethod!$C$2:$C$160,FALSE),1),"")</f>
        <v>128</v>
      </c>
      <c r="E524" s="5" t="str">
        <f>IFERROR(INDEX([1]SamplingMethod!$A$2:$C$160,MATCH(B524,[1]SamplingMethod!$C$2:$C$160,FALSE),2),"")</f>
        <v>secm:sm029</v>
      </c>
      <c r="F524" t="str">
        <f>IFERROR(INDEX('collectionMethodDistinct'!$A$2:$A$646,MATCH(A524,'collectionMethodDistinct'!$A$2:$A$646,FALSE),1),"")</f>
        <v>Sampler:Sediment:JumboPistonCore</v>
      </c>
    </row>
    <row r="525" spans="1:6" x14ac:dyDescent="0.25">
      <c r="A525" s="5" t="s">
        <v>494</v>
      </c>
      <c r="B525" s="5" t="s">
        <v>848</v>
      </c>
      <c r="C525" s="5"/>
      <c r="D525" s="1">
        <f>IFERROR(INDEX([1]SamplingMethod!$A$2:$C$160,MATCH(B525,[1]SamplingMethod!$C$2:$C$160,FALSE),1),"")</f>
        <v>82</v>
      </c>
      <c r="E525" s="5" t="str">
        <f>IFERROR(INDEX([1]SamplingMethod!$A$2:$C$160,MATCH(B525,[1]SamplingMethod!$C$2:$C$160,FALSE),2),"")</f>
        <v>secm:ses221</v>
      </c>
      <c r="F525" t="str">
        <f>IFERROR(INDEX('collectionMethodDistinct'!$A$2:$A$646,MATCH(A525,'collectionMethodDistinct'!$A$2:$A$646,FALSE),1),"")</f>
        <v>Sampler:Sediment:KastenCore</v>
      </c>
    </row>
    <row r="526" spans="1:6" x14ac:dyDescent="0.25">
      <c r="A526" s="5" t="s">
        <v>495</v>
      </c>
      <c r="B526" s="5" t="s">
        <v>842</v>
      </c>
      <c r="C526" s="5"/>
      <c r="D526" s="1">
        <f>IFERROR(INDEX([1]SamplingMethod!$A$2:$C$160,MATCH(B526,[1]SamplingMethod!$C$2:$C$160,FALSE),1),"")</f>
        <v>127</v>
      </c>
      <c r="E526" s="5" t="str">
        <f>IFERROR(INDEX([1]SamplingMethod!$A$2:$C$160,MATCH(B526,[1]SamplingMethod!$C$2:$C$160,FALSE),2),"")</f>
        <v>secm:sm028</v>
      </c>
      <c r="F526" t="str">
        <f>IFERROR(INDEX('collectionMethodDistinct'!$A$2:$A$646,MATCH(A526,'collectionMethodDistinct'!$A$2:$A$646,FALSE),1),"")</f>
        <v>Sampler:Sediment:MultiCore</v>
      </c>
    </row>
    <row r="527" spans="1:6" x14ac:dyDescent="0.25">
      <c r="A527" s="5" t="s">
        <v>496</v>
      </c>
      <c r="B527" s="5" t="s">
        <v>839</v>
      </c>
      <c r="C527" s="5"/>
      <c r="D527" s="1">
        <f>IFERROR(INDEX([1]SamplingMethod!$A$2:$C$160,MATCH(B527,[1]SamplingMethod!$C$2:$C$160,FALSE),1),"")</f>
        <v>128</v>
      </c>
      <c r="E527" s="5" t="str">
        <f>IFERROR(INDEX([1]SamplingMethod!$A$2:$C$160,MATCH(B527,[1]SamplingMethod!$C$2:$C$160,FALSE),2),"")</f>
        <v>secm:sm029</v>
      </c>
      <c r="F527" t="str">
        <f>IFERROR(INDEX('collectionMethodDistinct'!$A$2:$A$646,MATCH(A527,'collectionMethodDistinct'!$A$2:$A$646,FALSE),1),"")</f>
        <v>Sampler:Sediment:PistonCore</v>
      </c>
    </row>
    <row r="528" spans="1:6" x14ac:dyDescent="0.25">
      <c r="A528" s="5" t="s">
        <v>497</v>
      </c>
      <c r="B528" s="5" t="s">
        <v>82</v>
      </c>
      <c r="C528" s="5"/>
      <c r="D528" s="1">
        <f>IFERROR(INDEX([1]SamplingMethod!$A$2:$C$160,MATCH(B528,[1]SamplingMethod!$C$2:$C$160,FALSE),1),"")</f>
        <v>140</v>
      </c>
      <c r="E528" s="5" t="str">
        <f>IFERROR(INDEX([1]SamplingMethod!$A$2:$C$160,MATCH(B528,[1]SamplingMethod!$C$2:$C$160,FALSE),2),"")</f>
        <v>secm:sm041</v>
      </c>
      <c r="F528" t="str">
        <f>IFERROR(INDEX('collectionMethodDistinct'!$A$2:$A$646,MATCH(A528,'collectionMethodDistinct'!$A$2:$A$646,FALSE),1),"")</f>
        <v>Sampler:Sediment:RussianCore</v>
      </c>
    </row>
    <row r="529" spans="1:6" x14ac:dyDescent="0.25">
      <c r="A529" s="5" t="s">
        <v>498</v>
      </c>
      <c r="B529" s="5" t="s">
        <v>39</v>
      </c>
      <c r="C529" s="5"/>
      <c r="D529" s="1">
        <f>IFERROR(INDEX([1]SamplingMethod!$A$2:$C$160,MATCH(B529,[1]SamplingMethod!$C$2:$C$160,FALSE),1),"")</f>
        <v>88</v>
      </c>
      <c r="E529" s="5" t="str">
        <f>IFERROR(INDEX([1]SamplingMethod!$A$2:$C$160,MATCH(B529,[1]SamplingMethod!$C$2:$C$160,FALSE),2),"")</f>
        <v>secm:ses227</v>
      </c>
      <c r="F529" t="str">
        <f>IFERROR(INDEX('collectionMethodDistinct'!$A$2:$A$646,MATCH(A529,'collectionMethodDistinct'!$A$2:$A$646,FALSE),1),"")</f>
        <v>Sampler:Sediment:Scoop</v>
      </c>
    </row>
    <row r="530" spans="1:6" x14ac:dyDescent="0.25">
      <c r="A530" s="5" t="s">
        <v>499</v>
      </c>
      <c r="B530" s="5" t="s">
        <v>873</v>
      </c>
      <c r="C530" s="5"/>
      <c r="D530" s="1">
        <f>IFERROR(INDEX([1]SamplingMethod!$A$2:$C$160,MATCH(B530,[1]SamplingMethod!$C$2:$C$160,FALSE),1),"")</f>
        <v>99</v>
      </c>
      <c r="E530" s="5" t="str">
        <f>IFERROR(INDEX([1]SamplingMethod!$A$2:$C$160,MATCH(B530,[1]SamplingMethod!$C$2:$C$160,FALSE),2),"")</f>
        <v>secm:slurpsampling</v>
      </c>
      <c r="F530" t="str">
        <f>IFERROR(INDEX('collectionMethodDistinct'!$A$2:$A$646,MATCH(A530,'collectionMethodDistinct'!$A$2:$A$646,FALSE),1),"")</f>
        <v>Sampler:Sediment:Slurp</v>
      </c>
    </row>
    <row r="531" spans="1:6" x14ac:dyDescent="0.25">
      <c r="A531" s="5" t="s">
        <v>500</v>
      </c>
      <c r="B531" s="5" t="s">
        <v>841</v>
      </c>
      <c r="C531" s="5"/>
      <c r="D531" s="1">
        <f>IFERROR(INDEX([1]SamplingMethod!$A$2:$C$160,MATCH(B531,[1]SamplingMethod!$C$2:$C$160,FALSE),1),"")</f>
        <v>81</v>
      </c>
      <c r="E531" s="5" t="str">
        <f>IFERROR(INDEX([1]SamplingMethod!$A$2:$C$160,MATCH(B531,[1]SamplingMethod!$C$2:$C$160,FALSE),2),"")</f>
        <v>secm:ses220</v>
      </c>
      <c r="F531" t="str">
        <f>IFERROR(INDEX('collectionMethodDistinct'!$A$2:$A$646,MATCH(A531,'collectionMethodDistinct'!$A$2:$A$646,FALSE),1),"")</f>
        <v>Sampler:Sediment:TriggerCore</v>
      </c>
    </row>
    <row r="532" spans="1:6" x14ac:dyDescent="0.25">
      <c r="A532" s="5" t="s">
        <v>501</v>
      </c>
      <c r="B532" s="5" t="s">
        <v>892</v>
      </c>
      <c r="C532" s="5"/>
      <c r="D532" s="1">
        <f>IFERROR(INDEX([1]SamplingMethod!$A$2:$C$160,MATCH(B532,[1]SamplingMethod!$C$2:$C$160,FALSE),1),"")</f>
        <v>130</v>
      </c>
      <c r="E532" s="5" t="str">
        <f>IFERROR(INDEX([1]SamplingMethod!$A$2:$C$160,MATCH(B532,[1]SamplingMethod!$C$2:$C$160,FALSE),2),"")</f>
        <v>secm:sm031</v>
      </c>
      <c r="F532" t="str">
        <f>IFERROR(INDEX('collectionMethodDistinct'!$A$2:$A$646,MATCH(A532,'collectionMethodDistinct'!$A$2:$A$646,FALSE),1),"")</f>
        <v>Sampler:Sediment:VibraCore</v>
      </c>
    </row>
    <row r="533" spans="1:6" x14ac:dyDescent="0.25">
      <c r="A533" s="5" t="s">
        <v>502</v>
      </c>
      <c r="B533" s="5" t="s">
        <v>860</v>
      </c>
      <c r="C533" s="5"/>
      <c r="D533" s="1">
        <f>IFERROR(INDEX([1]SamplingMethod!$A$2:$C$160,MATCH(B533,[1]SamplingMethod!$C$2:$C$160,FALSE),1),"")</f>
        <v>103</v>
      </c>
      <c r="E533" s="5" t="str">
        <f>IFERROR(INDEX([1]SamplingMethod!$A$2:$C$160,MATCH(B533,[1]SamplingMethod!$C$2:$C$160,FALSE),2),"")</f>
        <v>secm:sm005</v>
      </c>
      <c r="F533" t="str">
        <f>IFERROR(INDEX('collectionMethodDistinct'!$A$2:$A$646,MATCH(A533,'collectionMethodDistinct'!$A$2:$A$646,FALSE),1),"")</f>
        <v>Sampler:SedimentCore</v>
      </c>
    </row>
    <row r="534" spans="1:6" x14ac:dyDescent="0.25">
      <c r="A534" s="5" t="s">
        <v>503</v>
      </c>
      <c r="B534" s="5" t="s">
        <v>514</v>
      </c>
      <c r="C534" s="5"/>
      <c r="D534" s="1">
        <f>IFERROR(INDEX([1]SamplingMethod!$A$2:$C$160,MATCH(B534,[1]SamplingMethod!$C$2:$C$160,FALSE),1),"")</f>
        <v>117</v>
      </c>
      <c r="E534" s="5" t="str">
        <f>IFERROR(INDEX([1]SamplingMethod!$A$2:$C$160,MATCH(B534,[1]SamplingMethod!$C$2:$C$160,FALSE),2),"")</f>
        <v>secm:sm018</v>
      </c>
      <c r="F534" t="str">
        <f>IFERROR(INDEX('collectionMethodDistinct'!$A$2:$A$646,MATCH(A534,'collectionMethodDistinct'!$A$2:$A$646,FALSE),1),"")</f>
        <v>Sampler:SedimentTrap</v>
      </c>
    </row>
    <row r="535" spans="1:6" x14ac:dyDescent="0.25">
      <c r="A535" s="5" t="s">
        <v>504</v>
      </c>
      <c r="B535" s="5" t="s">
        <v>903</v>
      </c>
      <c r="C535" s="5"/>
      <c r="D535" s="1">
        <f>IFERROR(INDEX([1]SamplingMethod!$A$2:$C$160,MATCH(B535,[1]SamplingMethod!$C$2:$C$160,FALSE),1),"")</f>
        <v>158</v>
      </c>
      <c r="E535" s="5" t="str">
        <f>IFERROR(INDEX([1]SamplingMethod!$A$2:$C$160,MATCH(B535,[1]SamplingMethod!$C$2:$C$160,FALSE),2),"")</f>
        <v>secm:spme</v>
      </c>
      <c r="F535" t="str">
        <f>IFERROR(INDEX('collectionMethodDistinct'!$A$2:$A$646,MATCH(A535,'collectionMethodDistinct'!$A$2:$A$646,FALSE),1),"")</f>
        <v xml:space="preserve">Sampler:SPME </v>
      </c>
    </row>
    <row r="536" spans="1:6" x14ac:dyDescent="0.25">
      <c r="A536" s="5" t="s">
        <v>505</v>
      </c>
      <c r="B536" s="5" t="s">
        <v>895</v>
      </c>
      <c r="C536" s="5"/>
      <c r="D536" s="1">
        <f>IFERROR(INDEX([1]SamplingMethod!$A$2:$C$160,MATCH(B536,[1]SamplingMethod!$C$2:$C$160,FALSE),1),"")</f>
        <v>94</v>
      </c>
      <c r="E536" s="5" t="str">
        <f>IFERROR(INDEX([1]SamplingMethod!$A$2:$C$160,MATCH(B536,[1]SamplingMethod!$C$2:$C$160,FALSE),2),"")</f>
        <v>secm:ses233</v>
      </c>
      <c r="F536" t="str">
        <f>IFERROR(INDEX('collectionMethodDistinct'!$A$2:$A$646,MATCH(A536,'collectionMethodDistinct'!$A$2:$A$646,FALSE),1),"")</f>
        <v>Sampler:Suction</v>
      </c>
    </row>
    <row r="537" spans="1:6" x14ac:dyDescent="0.25">
      <c r="A537" s="5" t="s">
        <v>506</v>
      </c>
      <c r="B537" s="5" t="s">
        <v>858</v>
      </c>
      <c r="C537" s="5"/>
      <c r="D537" s="1">
        <f>IFERROR(INDEX([1]SamplingMethod!$A$2:$C$160,MATCH(B537,[1]SamplingMethod!$C$2:$C$160,FALSE),1),"")</f>
        <v>151</v>
      </c>
      <c r="E537" s="5" t="str">
        <f>IFERROR(INDEX([1]SamplingMethod!$A$2:$C$160,MATCH(B537,[1]SamplingMethod!$C$2:$C$160,FALSE),2),"")</f>
        <v>secm:unknown</v>
      </c>
      <c r="F537" t="str">
        <f>IFERROR(INDEX('collectionMethodDistinct'!$A$2:$A$646,MATCH(A537,'collectionMethodDistinct'!$A$2:$A$646,FALSE),1),"")</f>
        <v>sampling</v>
      </c>
    </row>
    <row r="538" spans="1:6" x14ac:dyDescent="0.25">
      <c r="A538" s="5" t="s">
        <v>507</v>
      </c>
      <c r="B538" s="5" t="s">
        <v>858</v>
      </c>
      <c r="C538" s="5"/>
      <c r="D538" s="1">
        <f>IFERROR(INDEX([1]SamplingMethod!$A$2:$C$160,MATCH(B538,[1]SamplingMethod!$C$2:$C$160,FALSE),1),"")</f>
        <v>151</v>
      </c>
      <c r="E538" s="5" t="str">
        <f>IFERROR(INDEX([1]SamplingMethod!$A$2:$C$160,MATCH(B538,[1]SamplingMethod!$C$2:$C$160,FALSE),2),"")</f>
        <v>secm:unknown</v>
      </c>
      <c r="F538" t="str">
        <f>IFERROR(INDEX('collectionMethodDistinct'!$A$2:$A$646,MATCH(A538,'collectionMethodDistinct'!$A$2:$A$646,FALSE),1),"")</f>
        <v>Sampling protocol Global Rivers Project</v>
      </c>
    </row>
    <row r="539" spans="1:6" x14ac:dyDescent="0.25">
      <c r="A539" t="s">
        <v>928</v>
      </c>
      <c r="B539" t="s">
        <v>849</v>
      </c>
      <c r="D539" s="1">
        <f>IFERROR(INDEX([1]SamplingMethod!$A$2:$C$160,MATCH(B539,[1]SamplingMethod!$C$2:$C$160,FALSE),1),"")</f>
        <v>144</v>
      </c>
      <c r="E539" s="5" t="str">
        <f>IFERROR(INDEX([1]SamplingMethod!$A$2:$C$160,MATCH(B539,[1]SamplingMethod!$C$2:$C$160,FALSE),2),"")</f>
        <v>secm:sm046</v>
      </c>
      <c r="F539" t="str">
        <f>IFERROR(INDEX('collectionMethodDistinct'!$A$2:$A$646,MATCH(A539,'collectionMethodDistinct'!$A$2:$A$646,FALSE),1),"")</f>
        <v>saw</v>
      </c>
    </row>
    <row r="540" spans="1:6" x14ac:dyDescent="0.25">
      <c r="A540" s="5" t="s">
        <v>39</v>
      </c>
      <c r="B540" s="5" t="s">
        <v>508</v>
      </c>
      <c r="C540" s="5"/>
      <c r="D540" s="1">
        <f>IFERROR(INDEX([1]SamplingMethod!$A$2:$C$160,MATCH(B540,[1]SamplingMethod!$C$2:$C$160,FALSE),1),"")</f>
        <v>88</v>
      </c>
      <c r="E540" s="5" t="str">
        <f>IFERROR(INDEX([1]SamplingMethod!$A$2:$C$160,MATCH(B540,[1]SamplingMethod!$C$2:$C$160,FALSE),2),"")</f>
        <v>secm:ses227</v>
      </c>
      <c r="F540" t="str">
        <f>IFERROR(INDEX('collectionMethodDistinct'!$A$2:$A$646,MATCH(A540,'collectionMethodDistinct'!$A$2:$A$646,FALSE),1),"")</f>
        <v>scoop</v>
      </c>
    </row>
    <row r="541" spans="1:6" x14ac:dyDescent="0.25">
      <c r="A541" s="5" t="s">
        <v>508</v>
      </c>
      <c r="B541" s="5" t="s">
        <v>508</v>
      </c>
      <c r="C541" s="5"/>
      <c r="D541" s="1">
        <f>IFERROR(INDEX([1]SamplingMethod!$A$2:$C$160,MATCH(B541,[1]SamplingMethod!$C$2:$C$160,FALSE),1),"")</f>
        <v>88</v>
      </c>
      <c r="E541" s="5" t="str">
        <f>IFERROR(INDEX([1]SamplingMethod!$A$2:$C$160,MATCH(B541,[1]SamplingMethod!$C$2:$C$160,FALSE),2),"")</f>
        <v>secm:ses227</v>
      </c>
      <c r="F541" t="str">
        <f>IFERROR(INDEX('collectionMethodDistinct'!$A$2:$A$646,MATCH(A541,'collectionMethodDistinct'!$A$2:$A$646,FALSE),1),"")</f>
        <v>scoop</v>
      </c>
    </row>
    <row r="542" spans="1:6" x14ac:dyDescent="0.25">
      <c r="A542" s="5" t="s">
        <v>509</v>
      </c>
      <c r="B542" s="5" t="s">
        <v>854</v>
      </c>
      <c r="C542" s="5"/>
      <c r="D542" s="1">
        <f>IFERROR(INDEX([1]SamplingMethod!$A$2:$C$160,MATCH(B542,[1]SamplingMethod!$C$2:$C$160,FALSE),1),"")</f>
        <v>65</v>
      </c>
      <c r="E542" s="5" t="str">
        <f>IFERROR(INDEX([1]SamplingMethod!$A$2:$C$160,MATCH(B542,[1]SamplingMethod!$C$2:$C$160,FALSE),2),"")</f>
        <v>secm:ses201</v>
      </c>
      <c r="F542" t="str">
        <f>IFERROR(INDEX('collectionMethodDistinct'!$A$2:$A$646,MATCH(A542,'collectionMethodDistinct'!$A$2:$A$646,FALSE),1),"")</f>
        <v>Scoop&gt;ROV</v>
      </c>
    </row>
    <row r="543" spans="1:6" x14ac:dyDescent="0.25">
      <c r="A543" s="5" t="s">
        <v>510</v>
      </c>
      <c r="B543" s="5" t="s">
        <v>697</v>
      </c>
      <c r="C543" s="5"/>
      <c r="D543" s="1">
        <f>IFERROR(INDEX([1]SamplingMethod!$A$2:$C$160,MATCH(B543,[1]SamplingMethod!$C$2:$C$160,FALSE),1),"")</f>
        <v>116</v>
      </c>
      <c r="E543" s="5" t="str">
        <f>IFERROR(INDEX([1]SamplingMethod!$A$2:$C$160,MATCH(B543,[1]SamplingMethod!$C$2:$C$160,FALSE),2),"")</f>
        <v>secm:sm017</v>
      </c>
      <c r="F543" t="str">
        <f>IFERROR(INDEX('collectionMethodDistinct'!$A$2:$A$646,MATCH(A543,'collectionMethodDistinct'!$A$2:$A$646,FALSE),1),"")</f>
        <v>Scooped up from scree slope</v>
      </c>
    </row>
    <row r="544" spans="1:6" x14ac:dyDescent="0.25">
      <c r="A544" s="5" t="s">
        <v>511</v>
      </c>
      <c r="B544" s="5" t="s">
        <v>866</v>
      </c>
      <c r="C544" s="5"/>
      <c r="D544" s="1">
        <f>IFERROR(INDEX([1]SamplingMethod!$A$2:$C$160,MATCH(B544,[1]SamplingMethod!$C$2:$C$160,FALSE),1),"")</f>
        <v>133</v>
      </c>
      <c r="E544" s="5" t="str">
        <f>IFERROR(INDEX([1]SamplingMethod!$A$2:$C$160,MATCH(B544,[1]SamplingMethod!$C$2:$C$160,FALSE),2),"")</f>
        <v>secm:sm034</v>
      </c>
      <c r="F544" t="str">
        <f>IFERROR(INDEX('collectionMethodDistinct'!$A$2:$A$646,MATCH(A544,'collectionMethodDistinct'!$A$2:$A$646,FALSE),1),"")</f>
        <v>Scraping layers with trowel</v>
      </c>
    </row>
    <row r="545" spans="1:6" x14ac:dyDescent="0.25">
      <c r="A545" s="5" t="s">
        <v>512</v>
      </c>
      <c r="B545" s="5" t="s">
        <v>689</v>
      </c>
      <c r="C545" s="5"/>
      <c r="D545" s="1">
        <f>IFERROR(INDEX([1]SamplingMethod!$A$2:$C$160,MATCH(B545,[1]SamplingMethod!$C$2:$C$160,FALSE),1),"")</f>
        <v>134</v>
      </c>
      <c r="E545" s="5" t="str">
        <f>IFERROR(INDEX([1]SamplingMethod!$A$2:$C$160,MATCH(B545,[1]SamplingMethod!$C$2:$C$160,FALSE),2),"")</f>
        <v>secm:sm035</v>
      </c>
      <c r="F545" t="str">
        <f>IFERROR(INDEX('collectionMethodDistinct'!$A$2:$A$646,MATCH(A545,'collectionMethodDistinct'!$A$2:$A$646,FALSE),1),"")</f>
        <v>SCUBA diving</v>
      </c>
    </row>
    <row r="546" spans="1:6" x14ac:dyDescent="0.25">
      <c r="A546" s="5" t="s">
        <v>513</v>
      </c>
      <c r="B546" s="5" t="s">
        <v>865</v>
      </c>
      <c r="C546" s="5"/>
      <c r="D546" s="1">
        <f>IFERROR(INDEX([1]SamplingMethod!$A$2:$C$160,MATCH(B546,[1]SamplingMethod!$C$2:$C$160,FALSE),1),"")</f>
        <v>138</v>
      </c>
      <c r="E546" s="5" t="str">
        <f>IFERROR(INDEX([1]SamplingMethod!$A$2:$C$160,MATCH(B546,[1]SamplingMethod!$C$2:$C$160,FALSE),2),"")</f>
        <v>secm:sm039</v>
      </c>
      <c r="F546" t="str">
        <f>IFERROR(INDEX('collectionMethodDistinct'!$A$2:$A$646,MATCH(A546,'collectionMethodDistinct'!$A$2:$A$646,FALSE),1),"")</f>
        <v>sediment grab sampler</v>
      </c>
    </row>
    <row r="547" spans="1:6" x14ac:dyDescent="0.25">
      <c r="A547" s="5" t="s">
        <v>514</v>
      </c>
      <c r="B547" s="5" t="s">
        <v>514</v>
      </c>
      <c r="C547" s="5"/>
      <c r="D547" s="1">
        <f>IFERROR(INDEX([1]SamplingMethod!$A$2:$C$160,MATCH(B547,[1]SamplingMethod!$C$2:$C$160,FALSE),1),"")</f>
        <v>117</v>
      </c>
      <c r="E547" s="5" t="str">
        <f>IFERROR(INDEX([1]SamplingMethod!$A$2:$C$160,MATCH(B547,[1]SamplingMethod!$C$2:$C$160,FALSE),2),"")</f>
        <v>secm:sm018</v>
      </c>
      <c r="F547" t="str">
        <f>IFERROR(INDEX('collectionMethodDistinct'!$A$2:$A$646,MATCH(A547,'collectionMethodDistinct'!$A$2:$A$646,FALSE),1),"")</f>
        <v>Sediment trap</v>
      </c>
    </row>
    <row r="548" spans="1:6" x14ac:dyDescent="0.25">
      <c r="A548" s="5" t="s">
        <v>515</v>
      </c>
      <c r="B548" s="5" t="s">
        <v>858</v>
      </c>
      <c r="C548" s="5"/>
      <c r="D548" s="1">
        <f>IFERROR(INDEX([1]SamplingMethod!$A$2:$C$160,MATCH(B548,[1]SamplingMethod!$C$2:$C$160,FALSE),1),"")</f>
        <v>151</v>
      </c>
      <c r="E548" s="5" t="str">
        <f>IFERROR(INDEX([1]SamplingMethod!$A$2:$C$160,MATCH(B548,[1]SamplingMethod!$C$2:$C$160,FALSE),2),"")</f>
        <v>secm:unknown</v>
      </c>
      <c r="F548" t="str">
        <f>IFERROR(INDEX('collectionMethodDistinct'!$A$2:$A$646,MATCH(A548,'collectionMethodDistinct'!$A$2:$A$646,FALSE),1),"")</f>
        <v>SedPoint insertion tool</v>
      </c>
    </row>
    <row r="549" spans="1:6" x14ac:dyDescent="0.25">
      <c r="A549" s="5" t="s">
        <v>516</v>
      </c>
      <c r="B549" s="5" t="s">
        <v>858</v>
      </c>
      <c r="C549" s="5"/>
      <c r="D549" s="1">
        <f>IFERROR(INDEX([1]SamplingMethod!$A$2:$C$160,MATCH(B549,[1]SamplingMethod!$C$2:$C$160,FALSE),1),"")</f>
        <v>151</v>
      </c>
      <c r="E549" s="5" t="str">
        <f>IFERROR(INDEX([1]SamplingMethod!$A$2:$C$160,MATCH(B549,[1]SamplingMethod!$C$2:$C$160,FALSE),2),"")</f>
        <v>secm:unknown</v>
      </c>
      <c r="F549" t="str">
        <f>IFERROR(INDEX('collectionMethodDistinct'!$A$2:$A$646,MATCH(A549,'collectionMethodDistinct'!$A$2:$A$646,FALSE),1),"")</f>
        <v>SG</v>
      </c>
    </row>
    <row r="550" spans="1:6" x14ac:dyDescent="0.25">
      <c r="A550" s="5" t="s">
        <v>42</v>
      </c>
      <c r="B550" s="5" t="s">
        <v>42</v>
      </c>
      <c r="C550" s="5"/>
      <c r="D550" s="1">
        <f>IFERROR(INDEX([1]SamplingMethod!$A$2:$C$160,MATCH(B550,[1]SamplingMethod!$C$2:$C$160,FALSE),1),"")</f>
        <v>90</v>
      </c>
      <c r="E550" s="5" t="str">
        <f>IFERROR(INDEX([1]SamplingMethod!$A$2:$C$160,MATCH(B550,[1]SamplingMethod!$C$2:$C$160,FALSE),2),"")</f>
        <v>secm:ses229</v>
      </c>
      <c r="F550" t="str">
        <f>IFERROR(INDEX('collectionMethodDistinct'!$A$2:$A$646,MATCH(A550,'collectionMethodDistinct'!$A$2:$A$646,FALSE),1),"")</f>
        <v>Shaker table</v>
      </c>
    </row>
    <row r="551" spans="1:6" x14ac:dyDescent="0.25">
      <c r="A551" s="8" t="s">
        <v>517</v>
      </c>
      <c r="B551" s="5" t="s">
        <v>854</v>
      </c>
      <c r="C551" s="5"/>
      <c r="D551" s="1">
        <f>IFERROR(INDEX([1]SamplingMethod!$A$2:$C$160,MATCH(B551,[1]SamplingMethod!$C$2:$C$160,FALSE),1),"")</f>
        <v>65</v>
      </c>
      <c r="E551" s="5" t="str">
        <f>IFERROR(INDEX([1]SamplingMethod!$A$2:$C$160,MATCH(B551,[1]SamplingMethod!$C$2:$C$160,FALSE),2),"")</f>
        <v>secm:ses201</v>
      </c>
      <c r="F551" t="str">
        <f>IFERROR(INDEX('collectionMethodDistinct'!$A$2:$A$646,MATCH(A551,'collectionMethodDistinct'!$A$2:$A$646,FALSE),1),"")</f>
        <v>Shinkai 6500</v>
      </c>
    </row>
    <row r="552" spans="1:6" x14ac:dyDescent="0.25">
      <c r="A552" s="5" t="s">
        <v>518</v>
      </c>
      <c r="B552" s="5" t="s">
        <v>854</v>
      </c>
      <c r="C552" s="5"/>
      <c r="D552" s="1">
        <f>IFERROR(INDEX([1]SamplingMethod!$A$2:$C$160,MATCH(B552,[1]SamplingMethod!$C$2:$C$160,FALSE),1),"")</f>
        <v>65</v>
      </c>
      <c r="E552" s="5" t="str">
        <f>IFERROR(INDEX([1]SamplingMethod!$A$2:$C$160,MATCH(B552,[1]SamplingMethod!$C$2:$C$160,FALSE),2),"")</f>
        <v>secm:ses201</v>
      </c>
      <c r="F552" t="str">
        <f>IFERROR(INDEX('collectionMethodDistinct'!$A$2:$A$646,MATCH(A552,'collectionMethodDistinct'!$A$2:$A$646,FALSE),1),"")</f>
        <v>Shinkai 6500 dive</v>
      </c>
    </row>
    <row r="553" spans="1:6" x14ac:dyDescent="0.25">
      <c r="A553" s="5" t="s">
        <v>519</v>
      </c>
      <c r="B553" s="5" t="s">
        <v>858</v>
      </c>
      <c r="C553" s="5"/>
      <c r="D553" s="1">
        <f>IFERROR(INDEX([1]SamplingMethod!$A$2:$C$160,MATCH(B553,[1]SamplingMethod!$C$2:$C$160,FALSE),1),"")</f>
        <v>151</v>
      </c>
      <c r="E553" s="5" t="str">
        <f>IFERROR(INDEX([1]SamplingMethod!$A$2:$C$160,MATCH(B553,[1]SamplingMethod!$C$2:$C$160,FALSE),2),"")</f>
        <v>secm:unknown</v>
      </c>
      <c r="F553" t="str">
        <f>IFERROR(INDEX('collectionMethodDistinct'!$A$2:$A$646,MATCH(A553,'collectionMethodDistinct'!$A$2:$A$646,FALSE),1),"")</f>
        <v>Shop bought</v>
      </c>
    </row>
    <row r="554" spans="1:6" x14ac:dyDescent="0.25">
      <c r="A554" t="s">
        <v>927</v>
      </c>
      <c r="B554" s="5" t="s">
        <v>860</v>
      </c>
      <c r="D554" s="1">
        <f>IFERROR(INDEX([1]SamplingMethod!$A$2:$C$160,MATCH(B554,[1]SamplingMethod!$C$2:$C$160,FALSE),1),"")</f>
        <v>103</v>
      </c>
      <c r="E554" s="5" t="str">
        <f>IFERROR(INDEX([1]SamplingMethod!$A$2:$C$160,MATCH(B554,[1]SamplingMethod!$C$2:$C$160,FALSE),2),"")</f>
        <v>secm:sm005</v>
      </c>
      <c r="F554" t="str">
        <f>IFERROR(INDEX('collectionMethodDistinct'!$A$2:$A$646,MATCH(A554,'collectionMethodDistinct'!$A$2:$A$646,FALSE),1),"")</f>
        <v>short (30 cm) lake core using Universal Corer</v>
      </c>
    </row>
    <row r="555" spans="1:6" x14ac:dyDescent="0.25">
      <c r="A555" s="5" t="s">
        <v>44</v>
      </c>
      <c r="B555" s="5" t="s">
        <v>44</v>
      </c>
      <c r="C555" s="5"/>
      <c r="D555" s="1">
        <f>IFERROR(INDEX([1]SamplingMethod!$A$2:$C$160,MATCH(B555,[1]SamplingMethod!$C$2:$C$160,FALSE),1),"")</f>
        <v>91</v>
      </c>
      <c r="E555" s="5" t="str">
        <f>IFERROR(INDEX([1]SamplingMethod!$A$2:$C$160,MATCH(B555,[1]SamplingMethod!$C$2:$C$160,FALSE),2),"")</f>
        <v>secm:ses230</v>
      </c>
      <c r="F555" t="str">
        <f>IFERROR(INDEX('collectionMethodDistinct'!$A$2:$A$646,MATCH(A555,'collectionMethodDistinct'!$A$2:$A$646,FALSE),1),"")</f>
        <v>shovel</v>
      </c>
    </row>
    <row r="556" spans="1:6" x14ac:dyDescent="0.25">
      <c r="A556" s="5" t="s">
        <v>520</v>
      </c>
      <c r="B556" s="5" t="s">
        <v>44</v>
      </c>
      <c r="C556" s="5"/>
      <c r="D556" s="1">
        <f>IFERROR(INDEX([1]SamplingMethod!$A$2:$C$160,MATCH(B556,[1]SamplingMethod!$C$2:$C$160,FALSE),1),"")</f>
        <v>91</v>
      </c>
      <c r="E556" s="5" t="str">
        <f>IFERROR(INDEX([1]SamplingMethod!$A$2:$C$160,MATCH(B556,[1]SamplingMethod!$C$2:$C$160,FALSE),2),"")</f>
        <v>secm:ses230</v>
      </c>
      <c r="F556" t="str">
        <f>IFERROR(INDEX('collectionMethodDistinct'!$A$2:$A$646,MATCH(A556,'collectionMethodDistinct'!$A$2:$A$646,FALSE),1),"")</f>
        <v>shovel</v>
      </c>
    </row>
    <row r="557" spans="1:6" x14ac:dyDescent="0.25">
      <c r="A557" s="5" t="s">
        <v>521</v>
      </c>
      <c r="B557" s="5" t="s">
        <v>26</v>
      </c>
      <c r="C557" s="5"/>
      <c r="D557" s="1">
        <f>IFERROR(INDEX([1]SamplingMethod!$A$2:$C$160,MATCH(B557,[1]SamplingMethod!$C$2:$C$160,FALSE),1),"")</f>
        <v>4</v>
      </c>
      <c r="E557" s="5" t="str">
        <f>IFERROR(INDEX([1]SamplingMethod!$A$2:$C$160,MATCH(B557,[1]SamplingMethod!$C$2:$C$160,FALSE),2),"")</f>
        <v>secm:auger</v>
      </c>
      <c r="F557" t="str">
        <f>IFERROR(INDEX('collectionMethodDistinct'!$A$2:$A$646,MATCH(A557,'collectionMethodDistinct'!$A$2:$A$646,FALSE),1),"")</f>
        <v>Shovel; auger</v>
      </c>
    </row>
    <row r="558" spans="1:6" x14ac:dyDescent="0.25">
      <c r="A558" s="5" t="s">
        <v>522</v>
      </c>
      <c r="B558" s="5" t="s">
        <v>597</v>
      </c>
      <c r="C558" s="5"/>
      <c r="D558" s="1">
        <f>IFERROR(INDEX([1]SamplingMethod!$A$2:$C$160,MATCH(B558,[1]SamplingMethod!$C$2:$C$160,FALSE),1),"")</f>
        <v>92</v>
      </c>
      <c r="E558" s="5" t="str">
        <f>IFERROR(INDEX([1]SamplingMethod!$A$2:$C$160,MATCH(B558,[1]SamplingMethod!$C$2:$C$160,FALSE),2),"")</f>
        <v>secm:ses231</v>
      </c>
      <c r="F558" t="str">
        <f>IFERROR(INDEX('collectionMethodDistinct'!$A$2:$A$646,MATCH(A558,'collectionMethodDistinct'!$A$2:$A$646,FALSE),1),"")</f>
        <v>Sieved</v>
      </c>
    </row>
    <row r="559" spans="1:6" x14ac:dyDescent="0.25">
      <c r="A559" s="5" t="s">
        <v>523</v>
      </c>
      <c r="B559" s="5" t="s">
        <v>752</v>
      </c>
      <c r="C559" s="5"/>
      <c r="D559" s="1">
        <f>IFERROR(INDEX([1]SamplingMethod!$A$2:$C$160,MATCH(B559,[1]SamplingMethod!$C$2:$C$160,FALSE),1),"")</f>
        <v>145</v>
      </c>
      <c r="E559" s="5" t="str">
        <f>IFERROR(INDEX([1]SamplingMethod!$A$2:$C$160,MATCH(B559,[1]SamplingMethod!$C$2:$C$160,FALSE),2),"")</f>
        <v>secm:sm047</v>
      </c>
      <c r="F559" t="str">
        <f>IFERROR(INDEX('collectionMethodDistinct'!$A$2:$A$646,MATCH(A559,'collectionMethodDistinct'!$A$2:$A$646,FALSE),1),"")</f>
        <v>Single/Grab</v>
      </c>
    </row>
    <row r="560" spans="1:6" x14ac:dyDescent="0.25">
      <c r="A560" s="5" t="s">
        <v>524</v>
      </c>
      <c r="B560" s="5" t="s">
        <v>514</v>
      </c>
      <c r="C560" s="5"/>
      <c r="D560" s="1">
        <f>IFERROR(INDEX([1]SamplingMethod!$A$2:$C$160,MATCH(B560,[1]SamplingMethod!$C$2:$C$160,FALSE),1),"")</f>
        <v>117</v>
      </c>
      <c r="E560" s="5" t="str">
        <f>IFERROR(INDEX([1]SamplingMethod!$A$2:$C$160,MATCH(B560,[1]SamplingMethod!$C$2:$C$160,FALSE),2),"")</f>
        <v>secm:sm018</v>
      </c>
      <c r="F560" t="str">
        <f>IFERROR(INDEX('collectionMethodDistinct'!$A$2:$A$646,MATCH(A560,'collectionMethodDistinct'!$A$2:$A$646,FALSE),1),"")</f>
        <v>Sinking particle traps</v>
      </c>
    </row>
    <row r="561" spans="1:6" x14ac:dyDescent="0.25">
      <c r="A561" s="5" t="s">
        <v>525</v>
      </c>
      <c r="B561" s="5" t="s">
        <v>884</v>
      </c>
      <c r="C561" s="5"/>
      <c r="D561" s="1">
        <f>IFERROR(INDEX([1]SamplingMethod!$A$2:$C$160,MATCH(B561,[1]SamplingMethod!$C$2:$C$160,FALSE),1),"")</f>
        <v>58</v>
      </c>
      <c r="E561" s="5" t="str">
        <f>IFERROR(INDEX([1]SamplingMethod!$A$2:$C$160,MATCH(B561,[1]SamplingMethod!$C$2:$C$160,FALSE),2),"")</f>
        <v>secm:pumpsampling</v>
      </c>
      <c r="F561" t="str">
        <f>IFERROR(INDEX('collectionMethodDistinct'!$A$2:$A$646,MATCH(A561,'collectionMethodDistinct'!$A$2:$A$646,FALSE),1),"")</f>
        <v>sipper</v>
      </c>
    </row>
    <row r="562" spans="1:6" x14ac:dyDescent="0.25">
      <c r="A562" s="5" t="s">
        <v>526</v>
      </c>
      <c r="B562" s="5" t="s">
        <v>887</v>
      </c>
      <c r="C562" s="5"/>
      <c r="D562" s="1">
        <f>IFERROR(INDEX([1]SamplingMethod!$A$2:$C$160,MATCH(B562,[1]SamplingMethod!$C$2:$C$160,FALSE),1),"")</f>
        <v>93</v>
      </c>
      <c r="E562" s="5" t="str">
        <f>IFERROR(INDEX([1]SamplingMethod!$A$2:$C$160,MATCH(B562,[1]SamplingMethod!$C$2:$C$160,FALSE),2),"")</f>
        <v>secm:ses232</v>
      </c>
      <c r="F562" t="str">
        <f>IFERROR(INDEX('collectionMethodDistinct'!$A$2:$A$646,MATCH(A562,'collectionMethodDistinct'!$A$2:$A$646,FALSE),1),"")</f>
        <v xml:space="preserve">Slide hammer </v>
      </c>
    </row>
    <row r="563" spans="1:6" x14ac:dyDescent="0.25">
      <c r="A563" t="s">
        <v>926</v>
      </c>
      <c r="B563" s="5" t="s">
        <v>887</v>
      </c>
      <c r="D563" s="1">
        <f>IFERROR(INDEX([1]SamplingMethod!$A$2:$C$160,MATCH(B563,[1]SamplingMethod!$C$2:$C$160,FALSE),1),"")</f>
        <v>93</v>
      </c>
      <c r="E563" s="5" t="str">
        <f>IFERROR(INDEX([1]SamplingMethod!$A$2:$C$160,MATCH(B563,[1]SamplingMethod!$C$2:$C$160,FALSE),2),"")</f>
        <v>secm:ses232</v>
      </c>
      <c r="F563" t="str">
        <f>IFERROR(INDEX('collectionMethodDistinct'!$A$2:$A$646,MATCH(A563,'collectionMethodDistinct'!$A$2:$A$646,FALSE),1),"")</f>
        <v>slide hammer corer</v>
      </c>
    </row>
    <row r="564" spans="1:6" x14ac:dyDescent="0.25">
      <c r="A564" s="5" t="s">
        <v>527</v>
      </c>
      <c r="B564" s="5" t="s">
        <v>873</v>
      </c>
      <c r="C564" s="5"/>
      <c r="D564" s="1">
        <f>IFERROR(INDEX([1]SamplingMethod!$A$2:$C$160,MATCH(B564,[1]SamplingMethod!$C$2:$C$160,FALSE),1),"")</f>
        <v>99</v>
      </c>
      <c r="E564" s="5" t="str">
        <f>IFERROR(INDEX([1]SamplingMethod!$A$2:$C$160,MATCH(B564,[1]SamplingMethod!$C$2:$C$160,FALSE),2),"")</f>
        <v>secm:slurpsampling</v>
      </c>
      <c r="F564" t="str">
        <f>IFERROR(INDEX('collectionMethodDistinct'!$A$2:$A$646,MATCH(A564,'collectionMethodDistinct'!$A$2:$A$646,FALSE),1),"")</f>
        <v>slurp</v>
      </c>
    </row>
    <row r="565" spans="1:6" x14ac:dyDescent="0.25">
      <c r="A565" t="s">
        <v>925</v>
      </c>
      <c r="B565" s="5" t="s">
        <v>82</v>
      </c>
      <c r="D565" s="1">
        <f>IFERROR(INDEX([1]SamplingMethod!$A$2:$C$160,MATCH(B565,[1]SamplingMethod!$C$2:$C$160,FALSE),1),"")</f>
        <v>140</v>
      </c>
      <c r="E565" s="5" t="str">
        <f>IFERROR(INDEX([1]SamplingMethod!$A$2:$C$160,MATCH(B565,[1]SamplingMethod!$C$2:$C$160,FALSE),2),"")</f>
        <v>secm:sm041</v>
      </c>
      <c r="F565" t="str">
        <f>IFERROR(INDEX('collectionMethodDistinct'!$A$2:$A$646,MATCH(A565,'collectionMethodDistinct'!$A$2:$A$646,FALSE),1),"")</f>
        <v>small core</v>
      </c>
    </row>
    <row r="566" spans="1:6" x14ac:dyDescent="0.25">
      <c r="A566" s="7" t="s">
        <v>528</v>
      </c>
      <c r="B566" s="5" t="s">
        <v>886</v>
      </c>
      <c r="C566" s="5"/>
      <c r="D566" s="1">
        <f>IFERROR(INDEX([1]SamplingMethod!$A$2:$C$160,MATCH(B566,[1]SamplingMethod!$C$2:$C$160,FALSE),1),"")</f>
        <v>46</v>
      </c>
      <c r="E566" s="5" t="str">
        <f>IFERROR(INDEX([1]SamplingMethod!$A$2:$C$160,MATCH(B566,[1]SamplingMethod!$C$2:$C$160,FALSE),2),"")</f>
        <v>secm:grab_smith_mcintyre</v>
      </c>
      <c r="F566" t="str">
        <f>IFERROR(INDEX('collectionMethodDistinct'!$A$2:$A$646,MATCH(A566,'collectionMethodDistinct'!$A$2:$A$646,FALSE),1),"")</f>
        <v>SMG</v>
      </c>
    </row>
    <row r="567" spans="1:6" x14ac:dyDescent="0.25">
      <c r="A567" s="5" t="s">
        <v>529</v>
      </c>
      <c r="B567" s="5" t="s">
        <v>858</v>
      </c>
      <c r="C567" s="5"/>
      <c r="D567" s="1">
        <f>IFERROR(INDEX([1]SamplingMethod!$A$2:$C$160,MATCH(B567,[1]SamplingMethod!$C$2:$C$160,FALSE),1),"")</f>
        <v>151</v>
      </c>
      <c r="E567" s="5" t="str">
        <f>IFERROR(INDEX([1]SamplingMethod!$A$2:$C$160,MATCH(B567,[1]SamplingMethod!$C$2:$C$160,FALSE),2),"")</f>
        <v>secm:unknown</v>
      </c>
      <c r="F567" t="str">
        <f>IFERROR(INDEX('collectionMethodDistinct'!$A$2:$A$646,MATCH(A567,'collectionMethodDistinct'!$A$2:$A$646,FALSE),1),"")</f>
        <v>Snapper</v>
      </c>
    </row>
    <row r="568" spans="1:6" x14ac:dyDescent="0.25">
      <c r="A568" s="5" t="s">
        <v>530</v>
      </c>
      <c r="B568" s="5" t="s">
        <v>26</v>
      </c>
      <c r="C568" s="5"/>
      <c r="D568" s="1">
        <f>IFERROR(INDEX([1]SamplingMethod!$A$2:$C$160,MATCH(B568,[1]SamplingMethod!$C$2:$C$160,FALSE),1),"")</f>
        <v>4</v>
      </c>
      <c r="E568" s="5" t="str">
        <f>IFERROR(INDEX([1]SamplingMethod!$A$2:$C$160,MATCH(B568,[1]SamplingMethod!$C$2:$C$160,FALSE),2),"")</f>
        <v>secm:auger</v>
      </c>
      <c r="F568" t="str">
        <f>IFERROR(INDEX('collectionMethodDistinct'!$A$2:$A$646,MATCH(A568,'collectionMethodDistinct'!$A$2:$A$646,FALSE),1),"")</f>
        <v>soil auger</v>
      </c>
    </row>
    <row r="569" spans="1:6" x14ac:dyDescent="0.25">
      <c r="A569" s="5" t="s">
        <v>531</v>
      </c>
      <c r="B569" s="5" t="s">
        <v>860</v>
      </c>
      <c r="C569" s="5"/>
      <c r="D569" s="1">
        <f>IFERROR(INDEX([1]SamplingMethod!$A$2:$C$160,MATCH(B569,[1]SamplingMethod!$C$2:$C$160,FALSE),1),"")</f>
        <v>103</v>
      </c>
      <c r="E569" s="5" t="str">
        <f>IFERROR(INDEX([1]SamplingMethod!$A$2:$C$160,MATCH(B569,[1]SamplingMethod!$C$2:$C$160,FALSE),2),"")</f>
        <v>secm:sm005</v>
      </c>
      <c r="F569" t="str">
        <f>IFERROR(INDEX('collectionMethodDistinct'!$A$2:$A$646,MATCH(A569,'collectionMethodDistinct'!$A$2:$A$646,FALSE),1),"")</f>
        <v>Soil Core</v>
      </c>
    </row>
    <row r="570" spans="1:6" x14ac:dyDescent="0.25">
      <c r="A570" s="5" t="s">
        <v>532</v>
      </c>
      <c r="B570" s="5" t="s">
        <v>860</v>
      </c>
      <c r="C570" s="5"/>
      <c r="D570" s="1">
        <f>IFERROR(INDEX([1]SamplingMethod!$A$2:$C$160,MATCH(B570,[1]SamplingMethod!$C$2:$C$160,FALSE),1),"")</f>
        <v>103</v>
      </c>
      <c r="E570" s="5" t="str">
        <f>IFERROR(INDEX([1]SamplingMethod!$A$2:$C$160,MATCH(B570,[1]SamplingMethod!$C$2:$C$160,FALSE),2),"")</f>
        <v>secm:sm005</v>
      </c>
      <c r="F570" t="str">
        <f>IFERROR(INDEX('collectionMethodDistinct'!$A$2:$A$646,MATCH(A570,'collectionMethodDistinct'!$A$2:$A$646,FALSE),1),"")</f>
        <v>soil core bulk density sampler</v>
      </c>
    </row>
    <row r="571" spans="1:6" x14ac:dyDescent="0.25">
      <c r="A571" s="5" t="s">
        <v>533</v>
      </c>
      <c r="B571" s="5" t="s">
        <v>866</v>
      </c>
      <c r="C571" s="5"/>
      <c r="D571" s="1">
        <f>IFERROR(INDEX([1]SamplingMethod!$A$2:$C$160,MATCH(B571,[1]SamplingMethod!$C$2:$C$160,FALSE),1),"")</f>
        <v>133</v>
      </c>
      <c r="E571" s="5" t="str">
        <f>IFERROR(INDEX([1]SamplingMethod!$A$2:$C$160,MATCH(B571,[1]SamplingMethod!$C$2:$C$160,FALSE),2),"")</f>
        <v>secm:sm034</v>
      </c>
      <c r="F571" t="str">
        <f>IFERROR(INDEX('collectionMethodDistinct'!$A$2:$A$646,MATCH(A571,'collectionMethodDistinct'!$A$2:$A$646,FALSE),1),"")</f>
        <v>Soil knife</v>
      </c>
    </row>
    <row r="572" spans="1:6" x14ac:dyDescent="0.25">
      <c r="A572" s="5" t="s">
        <v>534</v>
      </c>
      <c r="B572" s="5" t="s">
        <v>866</v>
      </c>
      <c r="C572" s="5"/>
      <c r="D572" s="1">
        <f>IFERROR(INDEX([1]SamplingMethod!$A$2:$C$160,MATCH(B572,[1]SamplingMethod!$C$2:$C$160,FALSE),1),"")</f>
        <v>133</v>
      </c>
      <c r="E572" s="5" t="str">
        <f>IFERROR(INDEX([1]SamplingMethod!$A$2:$C$160,MATCH(B572,[1]SamplingMethod!$C$2:$C$160,FALSE),2),"")</f>
        <v>secm:sm034</v>
      </c>
      <c r="F572" t="str">
        <f>IFERROR(INDEX('collectionMethodDistinct'!$A$2:$A$646,MATCH(A572,'collectionMethodDistinct'!$A$2:$A$646,FALSE),1),"")</f>
        <v>soil pit</v>
      </c>
    </row>
    <row r="573" spans="1:6" x14ac:dyDescent="0.25">
      <c r="A573" s="5" t="s">
        <v>535</v>
      </c>
      <c r="B573" s="5" t="s">
        <v>866</v>
      </c>
      <c r="C573" s="5"/>
      <c r="D573" s="1">
        <f>IFERROR(INDEX([1]SamplingMethod!$A$2:$C$160,MATCH(B573,[1]SamplingMethod!$C$2:$C$160,FALSE),1),"")</f>
        <v>133</v>
      </c>
      <c r="E573" s="5" t="str">
        <f>IFERROR(INDEX([1]SamplingMethod!$A$2:$C$160,MATCH(B573,[1]SamplingMethod!$C$2:$C$160,FALSE),2),"")</f>
        <v>secm:sm034</v>
      </c>
      <c r="F573" t="str">
        <f>IFERROR(INDEX('collectionMethodDistinct'!$A$2:$A$646,MATCH(A573,'collectionMethodDistinct'!$A$2:$A$646,FALSE),1),"")</f>
        <v>soil pit</v>
      </c>
    </row>
    <row r="574" spans="1:6" x14ac:dyDescent="0.25">
      <c r="A574" s="5" t="s">
        <v>536</v>
      </c>
      <c r="B574" s="5" t="s">
        <v>866</v>
      </c>
      <c r="C574" s="5"/>
      <c r="D574" s="1">
        <f>IFERROR(INDEX([1]SamplingMethod!$A$2:$C$160,MATCH(B574,[1]SamplingMethod!$C$2:$C$160,FALSE),1),"")</f>
        <v>133</v>
      </c>
      <c r="E574" s="5" t="str">
        <f>IFERROR(INDEX([1]SamplingMethod!$A$2:$C$160,MATCH(B574,[1]SamplingMethod!$C$2:$C$160,FALSE),2),"")</f>
        <v>secm:sm034</v>
      </c>
      <c r="F574" t="str">
        <f>IFERROR(INDEX('collectionMethodDistinct'!$A$2:$A$646,MATCH(A574,'collectionMethodDistinct'!$A$2:$A$646,FALSE),1),"")</f>
        <v>soil pit and soil auger</v>
      </c>
    </row>
    <row r="575" spans="1:6" x14ac:dyDescent="0.25">
      <c r="A575" s="5" t="s">
        <v>537</v>
      </c>
      <c r="B575" s="5" t="s">
        <v>858</v>
      </c>
      <c r="C575" s="5"/>
      <c r="D575" s="1">
        <f>IFERROR(INDEX([1]SamplingMethod!$A$2:$C$160,MATCH(B575,[1]SamplingMethod!$C$2:$C$160,FALSE),1),"")</f>
        <v>151</v>
      </c>
      <c r="E575" s="5" t="str">
        <f>IFERROR(INDEX([1]SamplingMethod!$A$2:$C$160,MATCH(B575,[1]SamplingMethod!$C$2:$C$160,FALSE),2),"")</f>
        <v>secm:unknown</v>
      </c>
      <c r="F575" t="str">
        <f>IFERROR(INDEX('collectionMethodDistinct'!$A$2:$A$646,MATCH(A575,'collectionMethodDistinct'!$A$2:$A$646,FALSE),1),"")</f>
        <v>spatter ramparts</v>
      </c>
    </row>
    <row r="576" spans="1:6" x14ac:dyDescent="0.25">
      <c r="A576" s="5" t="s">
        <v>538</v>
      </c>
      <c r="B576" s="5" t="s">
        <v>39</v>
      </c>
      <c r="C576" s="5"/>
      <c r="D576" s="1">
        <f>IFERROR(INDEX([1]SamplingMethod!$A$2:$C$160,MATCH(B576,[1]SamplingMethod!$C$2:$C$160,FALSE),1),"")</f>
        <v>88</v>
      </c>
      <c r="E576" s="5" t="str">
        <f>IFERROR(INDEX([1]SamplingMethod!$A$2:$C$160,MATCH(B576,[1]SamplingMethod!$C$2:$C$160,FALSE),2),"")</f>
        <v>secm:ses227</v>
      </c>
      <c r="F576" t="str">
        <f>IFERROR(INDEX('collectionMethodDistinct'!$A$2:$A$646,MATCH(A576,'collectionMethodDistinct'!$A$2:$A$646,FALSE),1),"")</f>
        <v>spoon</v>
      </c>
    </row>
    <row r="577" spans="1:6" x14ac:dyDescent="0.25">
      <c r="A577" s="5" t="s">
        <v>539</v>
      </c>
      <c r="B577" s="5" t="s">
        <v>858</v>
      </c>
      <c r="C577" s="5"/>
      <c r="D577" s="1">
        <f>IFERROR(INDEX([1]SamplingMethod!$A$2:$C$160,MATCH(B577,[1]SamplingMethod!$C$2:$C$160,FALSE),1),"")</f>
        <v>151</v>
      </c>
      <c r="E577" s="5" t="str">
        <f>IFERROR(INDEX([1]SamplingMethod!$A$2:$C$160,MATCH(B577,[1]SamplingMethod!$C$2:$C$160,FALSE),2),"")</f>
        <v>secm:unknown</v>
      </c>
      <c r="F577" t="str">
        <f>IFERROR(INDEX('collectionMethodDistinct'!$A$2:$A$646,MATCH(A577,'collectionMethodDistinct'!$A$2:$A$646,FALSE),1),"")</f>
        <v>stored frozen in plastic Whirl-Pak bag</v>
      </c>
    </row>
    <row r="578" spans="1:6" x14ac:dyDescent="0.25">
      <c r="A578" s="5" t="s">
        <v>909</v>
      </c>
      <c r="B578" s="5" t="s">
        <v>858</v>
      </c>
      <c r="C578" s="5"/>
      <c r="D578" s="1">
        <f>IFERROR(INDEX([1]SamplingMethod!$A$2:$C$160,MATCH(B578,[1]SamplingMethod!$C$2:$C$160,FALSE),1),"")</f>
        <v>151</v>
      </c>
      <c r="E578" s="5" t="str">
        <f>IFERROR(INDEX([1]SamplingMethod!$A$2:$C$160,MATCH(B578,[1]SamplingMethod!$C$2:$C$160,FALSE),2),"")</f>
        <v>secm:unknown</v>
      </c>
      <c r="F578" t="str">
        <f>IFERROR(INDEX('collectionMethodDistinct'!$A$2:$A$646,MATCH(A578,'collectionMethodDistinct'!$A$2:$A$646,FALSE),1),"")</f>
        <v>striking</v>
      </c>
    </row>
    <row r="579" spans="1:6" x14ac:dyDescent="0.25">
      <c r="A579" s="5" t="s">
        <v>540</v>
      </c>
      <c r="B579" s="5" t="s">
        <v>854</v>
      </c>
      <c r="C579" s="5"/>
      <c r="D579" s="1">
        <f>IFERROR(INDEX([1]SamplingMethod!$A$2:$C$160,MATCH(B579,[1]SamplingMethod!$C$2:$C$160,FALSE),1),"")</f>
        <v>65</v>
      </c>
      <c r="E579" s="5" t="str">
        <f>IFERROR(INDEX([1]SamplingMethod!$A$2:$C$160,MATCH(B579,[1]SamplingMethod!$C$2:$C$160,FALSE),2),"")</f>
        <v>secm:ses201</v>
      </c>
      <c r="F579" t="str">
        <f>IFERROR(INDEX('collectionMethodDistinct'!$A$2:$A$646,MATCH(A579,'collectionMethodDistinct'!$A$2:$A$646,FALSE),1),"")</f>
        <v>submersible</v>
      </c>
    </row>
    <row r="580" spans="1:6" x14ac:dyDescent="0.25">
      <c r="A580" s="5" t="s">
        <v>541</v>
      </c>
      <c r="B580" s="5" t="s">
        <v>854</v>
      </c>
      <c r="C580" s="5"/>
      <c r="D580" s="1">
        <f>IFERROR(INDEX([1]SamplingMethod!$A$2:$C$160,MATCH(B580,[1]SamplingMethod!$C$2:$C$160,FALSE),1),"")</f>
        <v>65</v>
      </c>
      <c r="E580" s="5" t="str">
        <f>IFERROR(INDEX([1]SamplingMethod!$A$2:$C$160,MATCH(B580,[1]SamplingMethod!$C$2:$C$160,FALSE),2),"")</f>
        <v>secm:ses201</v>
      </c>
      <c r="F580" t="str">
        <f>IFERROR(INDEX('collectionMethodDistinct'!$A$2:$A$646,MATCH(A580,'collectionMethodDistinct'!$A$2:$A$646,FALSE),1),"")</f>
        <v>submersible</v>
      </c>
    </row>
    <row r="581" spans="1:6" x14ac:dyDescent="0.25">
      <c r="A581" s="5" t="s">
        <v>542</v>
      </c>
      <c r="B581" s="5" t="s">
        <v>895</v>
      </c>
      <c r="C581" s="5"/>
      <c r="D581" s="1">
        <f>IFERROR(INDEX([1]SamplingMethod!$A$2:$C$160,MATCH(B581,[1]SamplingMethod!$C$2:$C$160,FALSE),1),"")</f>
        <v>94</v>
      </c>
      <c r="E581" s="5" t="str">
        <f>IFERROR(INDEX([1]SamplingMethod!$A$2:$C$160,MATCH(B581,[1]SamplingMethod!$C$2:$C$160,FALSE),2),"")</f>
        <v>secm:ses233</v>
      </c>
      <c r="F581" t="str">
        <f>IFERROR(INDEX('collectionMethodDistinct'!$A$2:$A$646,MATCH(A581,'collectionMethodDistinct'!$A$2:$A$646,FALSE),1),"")</f>
        <v>suction</v>
      </c>
    </row>
    <row r="582" spans="1:6" x14ac:dyDescent="0.25">
      <c r="A582" s="5" t="s">
        <v>48</v>
      </c>
      <c r="B582" s="5" t="s">
        <v>895</v>
      </c>
      <c r="C582" s="5"/>
      <c r="D582" s="1">
        <f>IFERROR(INDEX([1]SamplingMethod!$A$2:$C$160,MATCH(B582,[1]SamplingMethod!$C$2:$C$160,FALSE),1),"")</f>
        <v>94</v>
      </c>
      <c r="E582" s="5" t="str">
        <f>IFERROR(INDEX([1]SamplingMethod!$A$2:$C$160,MATCH(B582,[1]SamplingMethod!$C$2:$C$160,FALSE),2),"")</f>
        <v>secm:ses233</v>
      </c>
      <c r="F582" t="str">
        <f>IFERROR(INDEX('collectionMethodDistinct'!$A$2:$A$646,MATCH(A582,'collectionMethodDistinct'!$A$2:$A$646,FALSE),1),"")</f>
        <v>Suction Sampler</v>
      </c>
    </row>
    <row r="583" spans="1:6" x14ac:dyDescent="0.25">
      <c r="A583" s="5" t="s">
        <v>543</v>
      </c>
      <c r="B583" s="5" t="s">
        <v>895</v>
      </c>
      <c r="C583" s="5"/>
      <c r="D583" s="1">
        <f>IFERROR(INDEX([1]SamplingMethod!$A$2:$C$160,MATCH(B583,[1]SamplingMethod!$C$2:$C$160,FALSE),1),"")</f>
        <v>94</v>
      </c>
      <c r="E583" s="5" t="str">
        <f>IFERROR(INDEX([1]SamplingMethod!$A$2:$C$160,MATCH(B583,[1]SamplingMethod!$C$2:$C$160,FALSE),2),"")</f>
        <v>secm:ses233</v>
      </c>
      <c r="F583" t="str">
        <f>IFERROR(INDEX('collectionMethodDistinct'!$A$2:$A$646,MATCH(A583,'collectionMethodDistinct'!$A$2:$A$646,FALSE),1),"")</f>
        <v>Suction&gt;60mLSyringe</v>
      </c>
    </row>
    <row r="584" spans="1:6" x14ac:dyDescent="0.25">
      <c r="A584" s="5" t="s">
        <v>544</v>
      </c>
      <c r="B584" s="5" t="s">
        <v>895</v>
      </c>
      <c r="C584" s="5"/>
      <c r="D584" s="1">
        <f>IFERROR(INDEX([1]SamplingMethod!$A$2:$C$160,MATCH(B584,[1]SamplingMethod!$C$2:$C$160,FALSE),1),"")</f>
        <v>94</v>
      </c>
      <c r="E584" s="5" t="str">
        <f>IFERROR(INDEX([1]SamplingMethod!$A$2:$C$160,MATCH(B584,[1]SamplingMethod!$C$2:$C$160,FALSE),2),"")</f>
        <v>secm:ses233</v>
      </c>
      <c r="F584" t="str">
        <f>IFERROR(INDEX('collectionMethodDistinct'!$A$2:$A$646,MATCH(A584,'collectionMethodDistinct'!$A$2:$A$646,FALSE),1),"")</f>
        <v>Suction&gt;ROV</v>
      </c>
    </row>
    <row r="585" spans="1:6" x14ac:dyDescent="0.25">
      <c r="A585" s="5" t="s">
        <v>545</v>
      </c>
      <c r="B585" s="5" t="s">
        <v>895</v>
      </c>
      <c r="C585" s="5"/>
      <c r="D585" s="1">
        <f>IFERROR(INDEX([1]SamplingMethod!$A$2:$C$160,MATCH(B585,[1]SamplingMethod!$C$2:$C$160,FALSE),1),"")</f>
        <v>94</v>
      </c>
      <c r="E585" s="5" t="str">
        <f>IFERROR(INDEX([1]SamplingMethod!$A$2:$C$160,MATCH(B585,[1]SamplingMethod!$C$2:$C$160,FALSE),2),"")</f>
        <v>secm:ses233</v>
      </c>
      <c r="F585" t="str">
        <f>IFERROR(INDEX('collectionMethodDistinct'!$A$2:$A$646,MATCH(A585,'collectionMethodDistinct'!$A$2:$A$646,FALSE),1),"")</f>
        <v>SuctionSampler</v>
      </c>
    </row>
    <row r="586" spans="1:6" x14ac:dyDescent="0.25">
      <c r="A586" s="5" t="s">
        <v>546</v>
      </c>
      <c r="B586" s="5" t="s">
        <v>752</v>
      </c>
      <c r="C586" s="5"/>
      <c r="D586" s="1">
        <f>IFERROR(INDEX([1]SamplingMethod!$A$2:$C$160,MATCH(B586,[1]SamplingMethod!$C$2:$C$160,FALSE),1),"")</f>
        <v>145</v>
      </c>
      <c r="E586" s="5" t="str">
        <f>IFERROR(INDEX([1]SamplingMethod!$A$2:$C$160,MATCH(B586,[1]SamplingMethod!$C$2:$C$160,FALSE),2),"")</f>
        <v>secm:sm047</v>
      </c>
      <c r="F586" t="str">
        <f>IFERROR(INDEX('collectionMethodDistinct'!$A$2:$A$646,MATCH(A586,'collectionMethodDistinct'!$A$2:$A$646,FALSE),1),"")</f>
        <v>surface</v>
      </c>
    </row>
    <row r="587" spans="1:6" x14ac:dyDescent="0.25">
      <c r="A587" s="5" t="s">
        <v>547</v>
      </c>
      <c r="B587" s="5" t="s">
        <v>752</v>
      </c>
      <c r="C587" s="5"/>
      <c r="D587" s="1">
        <f>IFERROR(INDEX([1]SamplingMethod!$A$2:$C$160,MATCH(B587,[1]SamplingMethod!$C$2:$C$160,FALSE),1),"")</f>
        <v>145</v>
      </c>
      <c r="E587" s="5" t="str">
        <f>IFERROR(INDEX([1]SamplingMethod!$A$2:$C$160,MATCH(B587,[1]SamplingMethod!$C$2:$C$160,FALSE),2),"")</f>
        <v>secm:sm047</v>
      </c>
      <c r="F587" t="str">
        <f>IFERROR(INDEX('collectionMethodDistinct'!$A$2:$A$646,MATCH(A587,'collectionMethodDistinct'!$A$2:$A$646,FALSE),1),"")</f>
        <v>surface</v>
      </c>
    </row>
    <row r="588" spans="1:6" x14ac:dyDescent="0.25">
      <c r="A588" s="5" t="s">
        <v>548</v>
      </c>
      <c r="B588" s="5" t="s">
        <v>752</v>
      </c>
      <c r="C588" s="5"/>
      <c r="D588" s="1">
        <f>IFERROR(INDEX([1]SamplingMethod!$A$2:$C$160,MATCH(B588,[1]SamplingMethod!$C$2:$C$160,FALSE),1),"")</f>
        <v>145</v>
      </c>
      <c r="E588" s="5" t="str">
        <f>IFERROR(INDEX([1]SamplingMethod!$A$2:$C$160,MATCH(B588,[1]SamplingMethod!$C$2:$C$160,FALSE),2),"")</f>
        <v>secm:sm047</v>
      </c>
      <c r="F588" t="str">
        <f>IFERROR(INDEX('collectionMethodDistinct'!$A$2:$A$646,MATCH(A588,'collectionMethodDistinct'!$A$2:$A$646,FALSE),1),"")</f>
        <v>Surface and shallow excavation</v>
      </c>
    </row>
    <row r="589" spans="1:6" x14ac:dyDescent="0.25">
      <c r="A589" s="5" t="s">
        <v>549</v>
      </c>
      <c r="B589" s="5" t="s">
        <v>752</v>
      </c>
      <c r="C589" s="5"/>
      <c r="D589" s="1">
        <f>IFERROR(INDEX([1]SamplingMethod!$A$2:$C$160,MATCH(B589,[1]SamplingMethod!$C$2:$C$160,FALSE),1),"")</f>
        <v>145</v>
      </c>
      <c r="E589" s="5" t="str">
        <f>IFERROR(INDEX([1]SamplingMethod!$A$2:$C$160,MATCH(B589,[1]SamplingMethod!$C$2:$C$160,FALSE),2),"")</f>
        <v>secm:sm047</v>
      </c>
      <c r="F589" t="str">
        <f>IFERROR(INDEX('collectionMethodDistinct'!$A$2:$A$646,MATCH(A589,'collectionMethodDistinct'!$A$2:$A$646,FALSE),1),"")</f>
        <v>surface collection</v>
      </c>
    </row>
    <row r="590" spans="1:6" x14ac:dyDescent="0.25">
      <c r="A590" s="5" t="s">
        <v>550</v>
      </c>
      <c r="B590" s="1" t="s">
        <v>901</v>
      </c>
      <c r="C590" s="5"/>
      <c r="D590" s="1">
        <f>IFERROR(INDEX([1]SamplingMethod!$A$2:$C$160,MATCH(B590,[1]SamplingMethod!$C$2:$C$160,FALSE),1),"")</f>
        <v>142</v>
      </c>
      <c r="E590" s="5" t="str">
        <f>IFERROR(INDEX([1]SamplingMethod!$A$2:$C$160,MATCH(B590,[1]SamplingMethod!$C$2:$C$160,FALSE),2),"")</f>
        <v>secm:sm044</v>
      </c>
      <c r="F590" t="str">
        <f>IFERROR(INDEX('collectionMethodDistinct'!$A$2:$A$646,MATCH(A590,'collectionMethodDistinct'!$A$2:$A$646,FALSE),1),"")</f>
        <v>Surface measurement by use of terrestrial LiDAR</v>
      </c>
    </row>
    <row r="591" spans="1:6" x14ac:dyDescent="0.25">
      <c r="A591" s="5" t="s">
        <v>551</v>
      </c>
      <c r="B591" s="5" t="s">
        <v>752</v>
      </c>
      <c r="C591" s="5"/>
      <c r="D591" s="1">
        <f>IFERROR(INDEX([1]SamplingMethod!$A$2:$C$160,MATCH(B591,[1]SamplingMethod!$C$2:$C$160,FALSE),1),"")</f>
        <v>145</v>
      </c>
      <c r="E591" s="5" t="str">
        <f>IFERROR(INDEX([1]SamplingMethod!$A$2:$C$160,MATCH(B591,[1]SamplingMethod!$C$2:$C$160,FALSE),2),"")</f>
        <v>secm:sm047</v>
      </c>
      <c r="F591" t="str">
        <f>IFERROR(INDEX('collectionMethodDistinct'!$A$2:$A$646,MATCH(A591,'collectionMethodDistinct'!$A$2:$A$646,FALSE),1),"")</f>
        <v>surface samples into plastic bags</v>
      </c>
    </row>
    <row r="592" spans="1:6" x14ac:dyDescent="0.25">
      <c r="A592" s="5" t="s">
        <v>552</v>
      </c>
      <c r="B592" s="5" t="s">
        <v>752</v>
      </c>
      <c r="C592" s="5"/>
      <c r="D592" s="1">
        <f>IFERROR(INDEX([1]SamplingMethod!$A$2:$C$160,MATCH(B592,[1]SamplingMethod!$C$2:$C$160,FALSE),1),"")</f>
        <v>145</v>
      </c>
      <c r="E592" s="5" t="str">
        <f>IFERROR(INDEX([1]SamplingMethod!$A$2:$C$160,MATCH(B592,[1]SamplingMethod!$C$2:$C$160,FALSE),2),"")</f>
        <v>secm:sm047</v>
      </c>
      <c r="F592" t="str">
        <f>IFERROR(INDEX('collectionMethodDistinct'!$A$2:$A$646,MATCH(A592,'collectionMethodDistinct'!$A$2:$A$646,FALSE),1),"")</f>
        <v>surface sampling</v>
      </c>
    </row>
    <row r="593" spans="1:6" x14ac:dyDescent="0.25">
      <c r="A593" s="5" t="s">
        <v>553</v>
      </c>
      <c r="B593" s="5" t="s">
        <v>715</v>
      </c>
      <c r="C593" s="5"/>
      <c r="D593" s="1">
        <f>IFERROR(INDEX([1]SamplingMethod!$A$2:$C$160,MATCH(B593,[1]SamplingMethod!$C$2:$C$160,FALSE),1),"")</f>
        <v>120</v>
      </c>
      <c r="E593" s="5" t="str">
        <f>IFERROR(INDEX([1]SamplingMethod!$A$2:$C$160,MATCH(B593,[1]SamplingMethod!$C$2:$C$160,FALSE),2),"")</f>
        <v>secm:sm021</v>
      </c>
      <c r="F593" t="str">
        <f>IFERROR(INDEX('collectionMethodDistinct'!$A$2:$A$646,MATCH(A593,'collectionMethodDistinct'!$A$2:$A$646,FALSE),1),"")</f>
        <v>Suspended sediment</v>
      </c>
    </row>
    <row r="594" spans="1:6" x14ac:dyDescent="0.25">
      <c r="A594" t="s">
        <v>924</v>
      </c>
      <c r="B594" s="5" t="s">
        <v>715</v>
      </c>
      <c r="D594" s="1">
        <f>IFERROR(INDEX([1]SamplingMethod!$A$2:$C$160,MATCH(B594,[1]SamplingMethod!$C$2:$C$160,FALSE),1),"")</f>
        <v>120</v>
      </c>
      <c r="E594" s="5" t="str">
        <f>IFERROR(INDEX([1]SamplingMethod!$A$2:$C$160,MATCH(B594,[1]SamplingMethod!$C$2:$C$160,FALSE),2),"")</f>
        <v>secm:sm021</v>
      </c>
      <c r="F594" t="str">
        <f>IFERROR(INDEX('collectionMethodDistinct'!$A$2:$A$646,MATCH(A594,'collectionMethodDistinct'!$A$2:$A$646,FALSE),1),"")</f>
        <v>Suspended sediment sampler</v>
      </c>
    </row>
    <row r="595" spans="1:6" x14ac:dyDescent="0.25">
      <c r="A595" t="s">
        <v>923</v>
      </c>
      <c r="B595" s="5" t="s">
        <v>858</v>
      </c>
      <c r="D595" s="1">
        <f>IFERROR(INDEX([1]SamplingMethod!$A$2:$C$160,MATCH(B595,[1]SamplingMethod!$C$2:$C$160,FALSE),1),"")</f>
        <v>151</v>
      </c>
      <c r="E595" s="5" t="str">
        <f>IFERROR(INDEX([1]SamplingMethod!$A$2:$C$160,MATCH(B595,[1]SamplingMethod!$C$2:$C$160,FALSE),2),"")</f>
        <v>secm:unknown</v>
      </c>
      <c r="F595" t="str">
        <f>IFERROR(INDEX('collectionMethodDistinct'!$A$2:$A$646,MATCH(A595,'collectionMethodDistinct'!$A$2:$A$646,FALSE),1),"")</f>
        <v>Synthetic</v>
      </c>
    </row>
    <row r="596" spans="1:6" x14ac:dyDescent="0.25">
      <c r="A596" s="5" t="s">
        <v>554</v>
      </c>
      <c r="B596" s="5" t="s">
        <v>836</v>
      </c>
      <c r="C596" s="5"/>
      <c r="D596" s="1">
        <f>IFERROR(INDEX([1]SamplingMethod!$A$2:$C$160,MATCH(B596,[1]SamplingMethod!$C$2:$C$160,FALSE),1),"")</f>
        <v>74</v>
      </c>
      <c r="E596" s="5" t="str">
        <f>IFERROR(INDEX([1]SamplingMethod!$A$2:$C$160,MATCH(B596,[1]SamplingMethod!$C$2:$C$160,FALSE),2),"")</f>
        <v>secm:ses212</v>
      </c>
      <c r="F596" t="str">
        <f>IFERROR(INDEX('collectionMethodDistinct'!$A$2:$A$646,MATCH(A596,'collectionMethodDistinct'!$A$2:$A$646,FALSE),1),"")</f>
        <v>syringe</v>
      </c>
    </row>
    <row r="597" spans="1:6" x14ac:dyDescent="0.25">
      <c r="A597" s="5" t="s">
        <v>555</v>
      </c>
      <c r="B597" s="5" t="s">
        <v>836</v>
      </c>
      <c r="C597" s="5"/>
      <c r="D597" s="1">
        <f>IFERROR(INDEX([1]SamplingMethod!$A$2:$C$160,MATCH(B597,[1]SamplingMethod!$C$2:$C$160,FALSE),1),"")</f>
        <v>74</v>
      </c>
      <c r="E597" s="5" t="str">
        <f>IFERROR(INDEX([1]SamplingMethod!$A$2:$C$160,MATCH(B597,[1]SamplingMethod!$C$2:$C$160,FALSE),2),"")</f>
        <v>secm:ses212</v>
      </c>
      <c r="F597" t="str">
        <f>IFERROR(INDEX('collectionMethodDistinct'!$A$2:$A$646,MATCH(A597,'collectionMethodDistinct'!$A$2:$A$646,FALSE),1),"")</f>
        <v>syringe</v>
      </c>
    </row>
    <row r="598" spans="1:6" x14ac:dyDescent="0.25">
      <c r="A598" t="s">
        <v>922</v>
      </c>
      <c r="B598" s="5" t="s">
        <v>836</v>
      </c>
      <c r="D598" s="1">
        <f>IFERROR(INDEX([1]SamplingMethod!$A$2:$C$160,MATCH(B598,[1]SamplingMethod!$C$2:$C$160,FALSE),1),"")</f>
        <v>74</v>
      </c>
      <c r="E598" s="5" t="str">
        <f>IFERROR(INDEX([1]SamplingMethod!$A$2:$C$160,MATCH(B598,[1]SamplingMethod!$C$2:$C$160,FALSE),2),"")</f>
        <v>secm:ses212</v>
      </c>
      <c r="F598" t="str">
        <f>IFERROR(INDEX('collectionMethodDistinct'!$A$2:$A$646,MATCH(A598,'collectionMethodDistinct'!$A$2:$A$646,FALSE),1),"")</f>
        <v>Syringe into soil enrichment</v>
      </c>
    </row>
    <row r="599" spans="1:6" x14ac:dyDescent="0.25">
      <c r="A599" s="5" t="s">
        <v>556</v>
      </c>
      <c r="B599" s="5" t="s">
        <v>836</v>
      </c>
      <c r="C599" s="5"/>
      <c r="D599" s="1">
        <f>IFERROR(INDEX([1]SamplingMethod!$A$2:$C$160,MATCH(B599,[1]SamplingMethod!$C$2:$C$160,FALSE),1),"")</f>
        <v>74</v>
      </c>
      <c r="E599" s="5" t="str">
        <f>IFERROR(INDEX([1]SamplingMethod!$A$2:$C$160,MATCH(B599,[1]SamplingMethod!$C$2:$C$160,FALSE),2),"")</f>
        <v>secm:ses212</v>
      </c>
      <c r="F599" t="str">
        <f>IFERROR(INDEX('collectionMethodDistinct'!$A$2:$A$646,MATCH(A599,'collectionMethodDistinct'!$A$2:$A$646,FALSE),1),"")</f>
        <v>Syringe, 100 cc</v>
      </c>
    </row>
    <row r="600" spans="1:6" x14ac:dyDescent="0.25">
      <c r="A600" s="5" t="s">
        <v>557</v>
      </c>
      <c r="B600" s="5" t="s">
        <v>836</v>
      </c>
      <c r="C600" s="5"/>
      <c r="D600" s="1">
        <f>IFERROR(INDEX([1]SamplingMethod!$A$2:$C$160,MATCH(B600,[1]SamplingMethod!$C$2:$C$160,FALSE),1),"")</f>
        <v>74</v>
      </c>
      <c r="E600" s="5" t="str">
        <f>IFERROR(INDEX([1]SamplingMethod!$A$2:$C$160,MATCH(B600,[1]SamplingMethod!$C$2:$C$160,FALSE),2),"")</f>
        <v>secm:ses212</v>
      </c>
      <c r="F600" t="str">
        <f>IFERROR(INDEX('collectionMethodDistinct'!$A$2:$A$646,MATCH(A600,'collectionMethodDistinct'!$A$2:$A$646,FALSE),1),"")</f>
        <v>Syringe, 400 ml</v>
      </c>
    </row>
    <row r="601" spans="1:6" x14ac:dyDescent="0.25">
      <c r="A601" s="5" t="s">
        <v>558</v>
      </c>
      <c r="B601" s="5" t="s">
        <v>878</v>
      </c>
      <c r="C601" s="5"/>
      <c r="D601" s="1">
        <f>IFERROR(INDEX([1]SamplingMethod!$A$2:$C$160,MATCH(B601,[1]SamplingMethod!$C$2:$C$160,FALSE),1),"")</f>
        <v>51</v>
      </c>
      <c r="E601" s="5" t="str">
        <f>IFERROR(INDEX([1]SamplingMethod!$A$2:$C$160,MATCH(B601,[1]SamplingMethod!$C$2:$C$160,FALSE),2),"")</f>
        <v>secm:lysimeter</v>
      </c>
      <c r="F601" t="str">
        <f>IFERROR(INDEX('collectionMethodDistinct'!$A$2:$A$646,MATCH(A601,'collectionMethodDistinct'!$A$2:$A$646,FALSE),1),"")</f>
        <v>Tension Lysimeter</v>
      </c>
    </row>
    <row r="602" spans="1:6" x14ac:dyDescent="0.25">
      <c r="A602" s="5" t="s">
        <v>559</v>
      </c>
      <c r="B602" s="5" t="s">
        <v>867</v>
      </c>
      <c r="C602" s="5"/>
      <c r="D602" s="1">
        <f>IFERROR(INDEX([1]SamplingMethod!$A$2:$C$160,MATCH(B602,[1]SamplingMethod!$C$2:$C$160,FALSE),1),"")</f>
        <v>152</v>
      </c>
      <c r="E602" s="5" t="str">
        <f>IFERROR(INDEX([1]SamplingMethod!$A$2:$C$160,MATCH(B602,[1]SamplingMethod!$C$2:$C$160,FALSE),2),"")</f>
        <v>secm:vacuumporewatersampling</v>
      </c>
      <c r="F602" t="str">
        <f>IFERROR(INDEX('collectionMethodDistinct'!$A$2:$A$646,MATCH(A602,'collectionMethodDistinct'!$A$2:$A$646,FALSE),1),"")</f>
        <v>TensionLys1</v>
      </c>
    </row>
    <row r="603" spans="1:6" x14ac:dyDescent="0.25">
      <c r="A603" s="8" t="s">
        <v>560</v>
      </c>
      <c r="B603" s="5" t="s">
        <v>773</v>
      </c>
      <c r="C603" s="5"/>
      <c r="D603" s="1">
        <f>IFERROR(INDEX([1]SamplingMethod!$A$2:$C$160,MATCH(B603,[1]SamplingMethod!$C$2:$C$160,FALSE),1),"")</f>
        <v>139</v>
      </c>
      <c r="E603" s="5" t="str">
        <f>IFERROR(INDEX([1]SamplingMethod!$A$2:$C$160,MATCH(B603,[1]SamplingMethod!$C$2:$C$160,FALSE),2),"")</f>
        <v>secm:sm040</v>
      </c>
      <c r="F603" t="str">
        <f>IFERROR(INDEX('collectionMethodDistinct'!$A$2:$A$646,MATCH(A603,'collectionMethodDistinct'!$A$2:$A$646,FALSE),1),"")</f>
        <v>Tephra scraped into bag from surface of 1995 flow lobe (so as to constrain age to &lt;1995)</v>
      </c>
    </row>
    <row r="604" spans="1:6" x14ac:dyDescent="0.25">
      <c r="A604" s="5" t="s">
        <v>561</v>
      </c>
      <c r="B604" s="5" t="s">
        <v>902</v>
      </c>
      <c r="C604" s="5"/>
      <c r="D604" s="1">
        <f>IFERROR(INDEX([1]SamplingMethod!$A$2:$C$160,MATCH(B604,[1]SamplingMethod!$C$2:$C$160,FALSE),1),"")</f>
        <v>157</v>
      </c>
      <c r="E604" s="5"/>
      <c r="F604" t="str">
        <f>IFERROR(INDEX('collectionMethodDistinct'!$A$2:$A$646,MATCH(A604,'collectionMethodDistinct'!$A$2:$A$646,FALSE),1),"")</f>
        <v>test</v>
      </c>
    </row>
    <row r="605" spans="1:6" x14ac:dyDescent="0.25">
      <c r="A605" s="6" t="s">
        <v>921</v>
      </c>
      <c r="B605" s="5" t="s">
        <v>597</v>
      </c>
      <c r="C605" s="5"/>
      <c r="D605" s="1">
        <f>IFERROR(INDEX([1]SamplingMethod!$A$2:$C$160,MATCH(B605,[1]SamplingMethod!$C$2:$C$160,FALSE),1),"")</f>
        <v>92</v>
      </c>
      <c r="E605" s="5" t="str">
        <f>IFERROR(INDEX([1]SamplingMethod!$A$2:$C$160,MATCH(B605,[1]SamplingMethod!$C$2:$C$160,FALSE),2),"")</f>
        <v>secm:ses231</v>
      </c>
      <c r="F605" t="str">
        <f>IFERROR(INDEX('collectionMethodDistinct'!$A$2:$A$646,MATCH(A605,'collectionMethodDistinct'!$A$2:$A$646,FALSE),1),"")</f>
        <v>the soil sample was sieved at &lt;250 µm by mechanical agitation.</v>
      </c>
    </row>
    <row r="606" spans="1:6" x14ac:dyDescent="0.25">
      <c r="A606" s="5" t="s">
        <v>562</v>
      </c>
      <c r="B606" s="5" t="s">
        <v>874</v>
      </c>
      <c r="C606" s="5"/>
      <c r="D606" s="1">
        <f>IFERROR(INDEX([1]SamplingMethod!$A$2:$C$160,MATCH(B606,[1]SamplingMethod!$C$2:$C$160,FALSE),1),"")</f>
        <v>15</v>
      </c>
      <c r="E606" s="5" t="str">
        <f>IFERROR(INDEX([1]SamplingMethod!$A$2:$C$160,MATCH(B606,[1]SamplingMethod!$C$2:$C$160,FALSE),2),"")</f>
        <v>secm:bottlesampling</v>
      </c>
      <c r="F606" t="str">
        <f>IFERROR(INDEX('collectionMethodDistinct'!$A$2:$A$646,MATCH(A606,'collectionMethodDistinct'!$A$2:$A$646,FALSE),1),"")</f>
        <v>Titanium Major Water Sampler</v>
      </c>
    </row>
    <row r="607" spans="1:6" x14ac:dyDescent="0.25">
      <c r="A607" s="5" t="s">
        <v>563</v>
      </c>
      <c r="B607" s="5" t="s">
        <v>693</v>
      </c>
      <c r="C607" s="5" t="e">
        <f>A607=#REF!</f>
        <v>#REF!</v>
      </c>
      <c r="D607" s="1">
        <f>IFERROR(INDEX([1]SamplingMethod!$A$2:$C$160,MATCH(B607,[1]SamplingMethod!$C$2:$C$160,FALSE),1),"")</f>
        <v>115</v>
      </c>
      <c r="E607" s="5" t="str">
        <f>IFERROR(INDEX([1]SamplingMethod!$A$2:$C$160,MATCH(B607,[1]SamplingMethod!$C$2:$C$160,FALSE),2),"")</f>
        <v>secm:sm016</v>
      </c>
      <c r="F607" t="str">
        <f>IFERROR(INDEX('collectionMethodDistinct'!$A$2:$A$646,MATCH(A607,'collectionMethodDistinct'!$A$2:$A$646,FALSE),1),"")</f>
        <v>Took from section</v>
      </c>
    </row>
    <row r="608" spans="1:6" x14ac:dyDescent="0.25">
      <c r="A608" s="5" t="s">
        <v>564</v>
      </c>
      <c r="B608" s="5" t="s">
        <v>858</v>
      </c>
      <c r="C608" s="5" t="e">
        <f>A608=#REF!</f>
        <v>#REF!</v>
      </c>
      <c r="D608" s="1">
        <f>IFERROR(INDEX([1]SamplingMethod!$A$2:$C$160,MATCH(B608,[1]SamplingMethod!$C$2:$C$160,FALSE),1),"")</f>
        <v>151</v>
      </c>
      <c r="E608" s="5" t="str">
        <f>IFERROR(INDEX([1]SamplingMethod!$A$2:$C$160,MATCH(B608,[1]SamplingMethod!$C$2:$C$160,FALSE),2),"")</f>
        <v>secm:unknown</v>
      </c>
      <c r="F608" t="str">
        <f>IFERROR(INDEX('collectionMethodDistinct'!$A$2:$A$646,MATCH(A608,'collectionMethodDistinct'!$A$2:$A$646,FALSE),1),"")</f>
        <v>towcam</v>
      </c>
    </row>
    <row r="609" spans="1:6" x14ac:dyDescent="0.25">
      <c r="A609" s="5" t="s">
        <v>565</v>
      </c>
      <c r="B609" s="5" t="s">
        <v>857</v>
      </c>
      <c r="C609" s="5" t="e">
        <f>A609=#REF!</f>
        <v>#REF!</v>
      </c>
      <c r="D609" s="1">
        <f>IFERROR(INDEX([1]SamplingMethod!$A$2:$C$160,MATCH(B609,[1]SamplingMethod!$C$2:$C$160,FALSE),1),"")</f>
        <v>149</v>
      </c>
      <c r="E609" s="5" t="str">
        <f>IFERROR(INDEX([1]SamplingMethod!$A$2:$C$160,MATCH(B609,[1]SamplingMethod!$C$2:$C$160,FALSE),2),"")</f>
        <v>secm:trawlsampling</v>
      </c>
      <c r="F609" t="str">
        <f>IFERROR(INDEX('collectionMethodDistinct'!$A$2:$A$646,MATCH(A609,'collectionMethodDistinct'!$A$2:$A$646,FALSE),1),"")</f>
        <v>Trawl</v>
      </c>
    </row>
    <row r="610" spans="1:6" x14ac:dyDescent="0.25">
      <c r="A610" s="5" t="s">
        <v>566</v>
      </c>
      <c r="B610" s="5" t="s">
        <v>875</v>
      </c>
      <c r="C610" s="5"/>
      <c r="D610" s="1">
        <f>IFERROR(INDEX([1]SamplingMethod!$A$2:$C$160,MATCH(B610,[1]SamplingMethod!$C$2:$C$160,FALSE),1),"")</f>
        <v>68</v>
      </c>
      <c r="E610" s="5" t="str">
        <f>IFERROR(INDEX([1]SamplingMethod!$A$2:$C$160,MATCH(B610,[1]SamplingMethod!$C$2:$C$160,FALSE),2),"")</f>
        <v>secm:ses204</v>
      </c>
      <c r="F610" t="str">
        <f>IFERROR(INDEX('collectionMethodDistinct'!$A$2:$A$646,MATCH(A610,'collectionMethodDistinct'!$A$2:$A$646,FALSE),1),"")</f>
        <v>Trawling&gt;Blake Trawl</v>
      </c>
    </row>
    <row r="611" spans="1:6" x14ac:dyDescent="0.25">
      <c r="A611" s="5" t="s">
        <v>567</v>
      </c>
      <c r="B611" s="5" t="s">
        <v>875</v>
      </c>
      <c r="C611" s="5"/>
      <c r="D611" s="1">
        <f>IFERROR(INDEX([1]SamplingMethod!$A$2:$C$160,MATCH(B611,[1]SamplingMethod!$C$2:$C$160,FALSE),1),"")</f>
        <v>68</v>
      </c>
      <c r="E611" s="5" t="str">
        <f>IFERROR(INDEX([1]SamplingMethod!$A$2:$C$160,MATCH(B611,[1]SamplingMethod!$C$2:$C$160,FALSE),2),"")</f>
        <v>secm:ses204</v>
      </c>
      <c r="F611" t="str">
        <f>IFERROR(INDEX('collectionMethodDistinct'!$A$2:$A$646,MATCH(A611,'collectionMethodDistinct'!$A$2:$A$646,FALSE),1),"")</f>
        <v>Trawling&gt;BlakeTrawl</v>
      </c>
    </row>
    <row r="612" spans="1:6" x14ac:dyDescent="0.25">
      <c r="A612" s="5" t="s">
        <v>568</v>
      </c>
      <c r="B612" s="5" t="s">
        <v>857</v>
      </c>
      <c r="C612" s="5"/>
      <c r="D612" s="1">
        <f>IFERROR(INDEX([1]SamplingMethod!$A$2:$C$160,MATCH(B612,[1]SamplingMethod!$C$2:$C$160,FALSE),1),"")</f>
        <v>149</v>
      </c>
      <c r="E612" s="5" t="str">
        <f>IFERROR(INDEX([1]SamplingMethod!$A$2:$C$160,MATCH(B612,[1]SamplingMethod!$C$2:$C$160,FALSE),2),"")</f>
        <v>secm:trawlsampling</v>
      </c>
      <c r="F612" t="str">
        <f>IFERROR(INDEX('collectionMethodDistinct'!$A$2:$A$646,MATCH(A612,'collectionMethodDistinct'!$A$2:$A$646,FALSE),1),"")</f>
        <v>Trawling&gt;OtterTrawl</v>
      </c>
    </row>
    <row r="613" spans="1:6" x14ac:dyDescent="0.25">
      <c r="A613" s="5" t="s">
        <v>569</v>
      </c>
      <c r="B613" s="5" t="s">
        <v>866</v>
      </c>
      <c r="C613" s="5"/>
      <c r="D613" s="1">
        <f>IFERROR(INDEX([1]SamplingMethod!$A$2:$C$160,MATCH(B613,[1]SamplingMethod!$C$2:$C$160,FALSE),1),"")</f>
        <v>133</v>
      </c>
      <c r="E613" s="5" t="str">
        <f>IFERROR(INDEX([1]SamplingMethod!$A$2:$C$160,MATCH(B613,[1]SamplingMethod!$C$2:$C$160,FALSE),2),"")</f>
        <v>secm:sm034</v>
      </c>
      <c r="F613" t="str">
        <f>IFERROR(INDEX('collectionMethodDistinct'!$A$2:$A$646,MATCH(A613,'collectionMethodDistinct'!$A$2:$A$646,FALSE),1),"")</f>
        <v>Trench, manual</v>
      </c>
    </row>
    <row r="614" spans="1:6" x14ac:dyDescent="0.25">
      <c r="A614" s="5" t="s">
        <v>570</v>
      </c>
      <c r="B614" s="5" t="s">
        <v>876</v>
      </c>
      <c r="C614" s="5"/>
      <c r="D614" s="1">
        <f>IFERROR(INDEX([1]SamplingMethod!$A$2:$C$160,MATCH(B614,[1]SamplingMethod!$C$2:$C$160,FALSE),1),"")</f>
        <v>132</v>
      </c>
      <c r="E614" s="5" t="str">
        <f>IFERROR(INDEX([1]SamplingMethod!$A$2:$C$160,MATCH(B614,[1]SamplingMethod!$C$2:$C$160,FALSE),2),"")</f>
        <v>secm:sm033</v>
      </c>
      <c r="F614" t="str">
        <f>IFERROR(INDEX('collectionMethodDistinct'!$A$2:$A$646,MATCH(A614,'collectionMethodDistinct'!$A$2:$A$646,FALSE),1),"")</f>
        <v>Triangular Dredge</v>
      </c>
    </row>
    <row r="615" spans="1:6" x14ac:dyDescent="0.25">
      <c r="A615" s="5" t="s">
        <v>571</v>
      </c>
      <c r="B615" s="5" t="s">
        <v>841</v>
      </c>
      <c r="C615" s="5"/>
      <c r="D615" s="1">
        <f>IFERROR(INDEX([1]SamplingMethod!$A$2:$C$160,MATCH(B615,[1]SamplingMethod!$C$2:$C$160,FALSE),1),"")</f>
        <v>81</v>
      </c>
      <c r="E615" s="5" t="str">
        <f>IFERROR(INDEX([1]SamplingMethod!$A$2:$C$160,MATCH(B615,[1]SamplingMethod!$C$2:$C$160,FALSE),2),"")</f>
        <v>secm:ses220</v>
      </c>
      <c r="F615" t="str">
        <f>IFERROR(INDEX('collectionMethodDistinct'!$A$2:$A$646,MATCH(A615,'collectionMethodDistinct'!$A$2:$A$646,FALSE),1),"")</f>
        <v>Trigger Core</v>
      </c>
    </row>
    <row r="616" spans="1:6" x14ac:dyDescent="0.25">
      <c r="A616" s="5" t="s">
        <v>572</v>
      </c>
      <c r="B616" s="5" t="s">
        <v>839</v>
      </c>
      <c r="C616" s="5"/>
      <c r="D616" s="1">
        <f>IFERROR(INDEX([1]SamplingMethod!$A$2:$C$160,MATCH(B616,[1]SamplingMethod!$C$2:$C$160,FALSE),1),"")</f>
        <v>128</v>
      </c>
      <c r="E616" s="5" t="str">
        <f>IFERROR(INDEX([1]SamplingMethod!$A$2:$C$160,MATCH(B616,[1]SamplingMethod!$C$2:$C$160,FALSE),2),"")</f>
        <v>secm:sm029</v>
      </c>
      <c r="F616" t="str">
        <f>IFERROR(INDEX('collectionMethodDistinct'!$A$2:$A$646,MATCH(A616,'collectionMethodDistinct'!$A$2:$A$646,FALSE),1),"")</f>
        <v>tripod piston corerer</v>
      </c>
    </row>
    <row r="617" spans="1:6" x14ac:dyDescent="0.25">
      <c r="A617" s="5" t="s">
        <v>573</v>
      </c>
      <c r="B617" s="5" t="s">
        <v>689</v>
      </c>
      <c r="C617" s="5"/>
      <c r="D617" s="1">
        <f>IFERROR(INDEX([1]SamplingMethod!$A$2:$C$160,MATCH(B617,[1]SamplingMethod!$C$2:$C$160,FALSE),1),"")</f>
        <v>134</v>
      </c>
      <c r="E617" s="5" t="str">
        <f>IFERROR(INDEX([1]SamplingMethod!$A$2:$C$160,MATCH(B617,[1]SamplingMethod!$C$2:$C$160,FALSE),2),"")</f>
        <v>secm:sm035</v>
      </c>
      <c r="F617" t="str">
        <f>IFERROR(INDEX('collectionMethodDistinct'!$A$2:$A$646,MATCH(A617,'collectionMethodDistinct'!$A$2:$A$646,FALSE),1),"")</f>
        <v>Trowel</v>
      </c>
    </row>
    <row r="618" spans="1:6" x14ac:dyDescent="0.25">
      <c r="A618" s="5" t="s">
        <v>574</v>
      </c>
      <c r="B618" s="5" t="s">
        <v>219</v>
      </c>
      <c r="C618" s="5"/>
      <c r="D618" s="1">
        <f>IFERROR(INDEX([1]SamplingMethod!$A$2:$C$160,MATCH(B618,[1]SamplingMethod!$C$2:$C$160,FALSE),1),"")</f>
        <v>38</v>
      </c>
      <c r="E618" s="5" t="str">
        <f>IFERROR(INDEX([1]SamplingMethod!$A$2:$C$160,MATCH(B618,[1]SamplingMethod!$C$2:$C$160,FALSE),2),"")</f>
        <v>secm:drilling</v>
      </c>
      <c r="F618" t="str">
        <f>IFERROR(INDEX('collectionMethodDistinct'!$A$2:$A$646,MATCH(A618,'collectionMethodDistinct'!$A$2:$A$646,FALSE),1),"")</f>
        <v>truck-mounted drill rig</v>
      </c>
    </row>
    <row r="619" spans="1:6" x14ac:dyDescent="0.25">
      <c r="A619" s="5" t="s">
        <v>575</v>
      </c>
      <c r="B619" s="5" t="s">
        <v>857</v>
      </c>
      <c r="C619" s="5"/>
      <c r="D619" s="1">
        <f>IFERROR(INDEX([1]SamplingMethod!$A$2:$C$160,MATCH(B619,[1]SamplingMethod!$C$2:$C$160,FALSE),1),"")</f>
        <v>149</v>
      </c>
      <c r="E619" s="5" t="str">
        <f>IFERROR(INDEX([1]SamplingMethod!$A$2:$C$160,MATCH(B619,[1]SamplingMethod!$C$2:$C$160,FALSE),2),"")</f>
        <v>secm:trawlsampling</v>
      </c>
      <c r="F619" t="str">
        <f>IFERROR(INDEX('collectionMethodDistinct'!$A$2:$A$646,MATCH(A619,'collectionMethodDistinct'!$A$2:$A$646,FALSE),1),"")</f>
        <v>Try Net</v>
      </c>
    </row>
    <row r="620" spans="1:6" x14ac:dyDescent="0.25">
      <c r="A620" s="5" t="s">
        <v>576</v>
      </c>
      <c r="B620" s="5" t="s">
        <v>858</v>
      </c>
      <c r="C620" s="5"/>
      <c r="D620" s="1">
        <f>IFERROR(INDEX([1]SamplingMethod!$A$2:$C$160,MATCH(B620,[1]SamplingMethod!$C$2:$C$160,FALSE),1),"")</f>
        <v>151</v>
      </c>
      <c r="E620" s="5" t="str">
        <f>IFERROR(INDEX([1]SamplingMethod!$A$2:$C$160,MATCH(B620,[1]SamplingMethod!$C$2:$C$160,FALSE),2),"")</f>
        <v>secm:unknown</v>
      </c>
      <c r="F620" t="str">
        <f>IFERROR(INDEX('collectionMethodDistinct'!$A$2:$A$646,MATCH(A620,'collectionMethodDistinct'!$A$2:$A$646,FALSE),1),"")</f>
        <v>tube well</v>
      </c>
    </row>
    <row r="621" spans="1:6" x14ac:dyDescent="0.25">
      <c r="A621" s="5" t="s">
        <v>577</v>
      </c>
      <c r="B621" s="5" t="s">
        <v>752</v>
      </c>
      <c r="C621" s="5"/>
      <c r="D621" s="1">
        <f>IFERROR(INDEX([1]SamplingMethod!$A$2:$C$160,MATCH(B621,[1]SamplingMethod!$C$2:$C$160,FALSE),1),"")</f>
        <v>145</v>
      </c>
      <c r="E621" s="5" t="str">
        <f>IFERROR(INDEX([1]SamplingMethod!$A$2:$C$160,MATCH(B621,[1]SamplingMethod!$C$2:$C$160,FALSE),2),"")</f>
        <v>secm:sm047</v>
      </c>
      <c r="F621" t="str">
        <f>IFERROR(INDEX('collectionMethodDistinct'!$A$2:$A$646,MATCH(A621,'collectionMethodDistinct'!$A$2:$A$646,FALSE),1),"")</f>
        <v>TV grab sample</v>
      </c>
    </row>
    <row r="622" spans="1:6" x14ac:dyDescent="0.25">
      <c r="A622" s="5" t="s">
        <v>578</v>
      </c>
      <c r="B622" s="5" t="s">
        <v>858</v>
      </c>
      <c r="C622" s="5"/>
      <c r="D622" s="1">
        <f>IFERROR(INDEX([1]SamplingMethod!$A$2:$C$160,MATCH(B622,[1]SamplingMethod!$C$2:$C$160,FALSE),1),"")</f>
        <v>151</v>
      </c>
      <c r="E622" s="5" t="str">
        <f>IFERROR(INDEX([1]SamplingMethod!$A$2:$C$160,MATCH(B622,[1]SamplingMethod!$C$2:$C$160,FALSE),2),"")</f>
        <v>secm:unknown</v>
      </c>
      <c r="F622" t="str">
        <f>IFERROR(INDEX('collectionMethodDistinct'!$A$2:$A$646,MATCH(A622,'collectionMethodDistinct'!$A$2:$A$646,FALSE),1),"")</f>
        <v>TZM</v>
      </c>
    </row>
    <row r="623" spans="1:6" x14ac:dyDescent="0.25">
      <c r="A623" s="5" t="s">
        <v>579</v>
      </c>
      <c r="B623" s="5" t="s">
        <v>858</v>
      </c>
      <c r="C623" s="5"/>
      <c r="D623" s="1">
        <f>IFERROR(INDEX([1]SamplingMethod!$A$2:$C$160,MATCH(B623,[1]SamplingMethod!$C$2:$C$160,FALSE),1),"")</f>
        <v>151</v>
      </c>
      <c r="E623" s="5" t="str">
        <f>IFERROR(INDEX([1]SamplingMethod!$A$2:$C$160,MATCH(B623,[1]SamplingMethod!$C$2:$C$160,FALSE),2),"")</f>
        <v>secm:unknown</v>
      </c>
      <c r="F623" t="str">
        <f>IFERROR(INDEX('collectionMethodDistinct'!$A$2:$A$646,MATCH(A623,'collectionMethodDistinct'!$A$2:$A$646,FALSE),1),"")</f>
        <v>U.C. Berkeley Sample Archive</v>
      </c>
    </row>
    <row r="624" spans="1:6" x14ac:dyDescent="0.25">
      <c r="A624" s="5" t="s">
        <v>580</v>
      </c>
      <c r="B624" s="5" t="s">
        <v>858</v>
      </c>
      <c r="C624" s="5"/>
      <c r="D624" s="1">
        <f>IFERROR(INDEX([1]SamplingMethod!$A$2:$C$160,MATCH(B624,[1]SamplingMethod!$C$2:$C$160,FALSE),1),"")</f>
        <v>151</v>
      </c>
      <c r="E624" s="5" t="str">
        <f>IFERROR(INDEX([1]SamplingMethod!$A$2:$C$160,MATCH(B624,[1]SamplingMethod!$C$2:$C$160,FALSE),2),"")</f>
        <v>secm:unknown</v>
      </c>
      <c r="F624" t="str">
        <f>IFERROR(INDEX('collectionMethodDistinct'!$A$2:$A$646,MATCH(A624,'collectionMethodDistinct'!$A$2:$A$646,FALSE),1),"")</f>
        <v>Unknown</v>
      </c>
    </row>
    <row r="625" spans="1:6" x14ac:dyDescent="0.25">
      <c r="A625" s="5" t="s">
        <v>581</v>
      </c>
      <c r="B625" s="5" t="s">
        <v>860</v>
      </c>
      <c r="C625" s="5"/>
      <c r="D625" s="1">
        <f>IFERROR(INDEX([1]SamplingMethod!$A$2:$C$160,MATCH(B625,[1]SamplingMethod!$C$2:$C$160,FALSE),1),"")</f>
        <v>103</v>
      </c>
      <c r="E625" s="5" t="str">
        <f>IFERROR(INDEX([1]SamplingMethod!$A$2:$C$160,MATCH(B625,[1]SamplingMethod!$C$2:$C$160,FALSE),2),"")</f>
        <v>secm:sm005</v>
      </c>
      <c r="F625" t="str">
        <f>IFERROR(INDEX('collectionMethodDistinct'!$A$2:$A$646,MATCH(A625,'collectionMethodDistinct'!$A$2:$A$646,FALSE),1),"")</f>
        <v>UWITECH 90</v>
      </c>
    </row>
    <row r="626" spans="1:6" x14ac:dyDescent="0.25">
      <c r="A626" t="s">
        <v>920</v>
      </c>
      <c r="B626" t="s">
        <v>970</v>
      </c>
      <c r="D626" s="1">
        <f>IFERROR(INDEX([1]SamplingMethod!$A$2:$C$160,MATCH(B626,[1]SamplingMethod!$C$2:$C$160,FALSE),1),"")</f>
        <v>42</v>
      </c>
      <c r="E626" s="5" t="str">
        <f>IFERROR(INDEX([1]SamplingMethod!$A$2:$C$160,MATCH(B626,[1]SamplingMethod!$C$2:$C$160,FALSE),2),"")</f>
        <v>secm:filtration</v>
      </c>
      <c r="F626" t="str">
        <f>IFERROR(INDEX('collectionMethodDistinct'!$A$2:$A$646,MATCH(A626,'collectionMethodDistinct'!$A$2:$A$646,FALSE),1),"")</f>
        <v>Vacuum filtration</v>
      </c>
    </row>
    <row r="627" spans="1:6" x14ac:dyDescent="0.25">
      <c r="A627" s="5" t="s">
        <v>582</v>
      </c>
      <c r="B627" s="5" t="s">
        <v>880</v>
      </c>
      <c r="C627" s="5"/>
      <c r="D627" s="1">
        <f>IFERROR(INDEX([1]SamplingMethod!$A$2:$C$160,MATCH(B627,[1]SamplingMethod!$C$2:$C$160,FALSE),1),"")</f>
        <v>47</v>
      </c>
      <c r="E627" s="5" t="str">
        <f>IFERROR(INDEX([1]SamplingMethod!$A$2:$C$160,MATCH(B627,[1]SamplingMethod!$C$2:$C$160,FALSE),2),"")</f>
        <v>secm:grab_van_veen</v>
      </c>
      <c r="F627" t="str">
        <f>IFERROR(INDEX('collectionMethodDistinct'!$A$2:$A$646,MATCH(A627,'collectionMethodDistinct'!$A$2:$A$646,FALSE),1),"")</f>
        <v>Van Veen grab</v>
      </c>
    </row>
    <row r="628" spans="1:6" x14ac:dyDescent="0.25">
      <c r="A628" t="s">
        <v>919</v>
      </c>
      <c r="B628" s="5" t="s">
        <v>689</v>
      </c>
      <c r="D628" s="1">
        <f>IFERROR(INDEX([1]SamplingMethod!$A$2:$C$160,MATCH(B628,[1]SamplingMethod!$C$2:$C$160,FALSE),1),"")</f>
        <v>134</v>
      </c>
      <c r="E628" s="5" t="str">
        <f>IFERROR(INDEX([1]SamplingMethod!$A$2:$C$160,MATCH(B628,[1]SamplingMethod!$C$2:$C$160,FALSE),2),"")</f>
        <v>secm:sm035</v>
      </c>
      <c r="F628" t="str">
        <f>IFERROR(INDEX('collectionMethodDistinct'!$A$2:$A$646,MATCH(A628,'collectionMethodDistinct'!$A$2:$A$646,FALSE),1),"")</f>
        <v>Vegetation Community Plot Aboveground NPP Harvest</v>
      </c>
    </row>
    <row r="629" spans="1:6" x14ac:dyDescent="0.25">
      <c r="A629" s="5" t="s">
        <v>583</v>
      </c>
      <c r="B629" s="5" t="s">
        <v>892</v>
      </c>
      <c r="C629" s="5"/>
      <c r="D629" s="1">
        <f>IFERROR(INDEX([1]SamplingMethod!$A$2:$C$160,MATCH(B629,[1]SamplingMethod!$C$2:$C$160,FALSE),1),"")</f>
        <v>130</v>
      </c>
      <c r="E629" s="5" t="str">
        <f>IFERROR(INDEX([1]SamplingMethod!$A$2:$C$160,MATCH(B629,[1]SamplingMethod!$C$2:$C$160,FALSE),2),"")</f>
        <v>secm:sm031</v>
      </c>
      <c r="F629" t="str">
        <f>IFERROR(INDEX('collectionMethodDistinct'!$A$2:$A$646,MATCH(A629,'collectionMethodDistinct'!$A$2:$A$646,FALSE),1),"")</f>
        <v>vibracore</v>
      </c>
    </row>
    <row r="630" spans="1:6" x14ac:dyDescent="0.25">
      <c r="A630" s="5" t="s">
        <v>584</v>
      </c>
      <c r="B630" s="5" t="s">
        <v>892</v>
      </c>
      <c r="C630" s="5"/>
      <c r="D630" s="1">
        <f>IFERROR(INDEX([1]SamplingMethod!$A$2:$C$160,MATCH(B630,[1]SamplingMethod!$C$2:$C$160,FALSE),1),"")</f>
        <v>130</v>
      </c>
      <c r="E630" s="5" t="str">
        <f>IFERROR(INDEX([1]SamplingMethod!$A$2:$C$160,MATCH(B630,[1]SamplingMethod!$C$2:$C$160,FALSE),2),"")</f>
        <v>secm:sm031</v>
      </c>
      <c r="F630" t="str">
        <f>IFERROR(INDEX('collectionMethodDistinct'!$A$2:$A$646,MATCH(A630,'collectionMethodDistinct'!$A$2:$A$646,FALSE),1),"")</f>
        <v>vibracore</v>
      </c>
    </row>
    <row r="631" spans="1:6" x14ac:dyDescent="0.25">
      <c r="A631" s="5" t="s">
        <v>585</v>
      </c>
      <c r="B631" s="5" t="s">
        <v>892</v>
      </c>
      <c r="C631" s="5"/>
      <c r="D631" s="1">
        <f>IFERROR(INDEX([1]SamplingMethod!$A$2:$C$160,MATCH(B631,[1]SamplingMethod!$C$2:$C$160,FALSE),1),"")</f>
        <v>130</v>
      </c>
      <c r="E631" s="5" t="str">
        <f>IFERROR(INDEX([1]SamplingMethod!$A$2:$C$160,MATCH(B631,[1]SamplingMethod!$C$2:$C$160,FALSE),2),"")</f>
        <v>secm:sm031</v>
      </c>
      <c r="F631" t="str">
        <f>IFERROR(INDEX('collectionMethodDistinct'!$A$2:$A$646,MATCH(A631,'collectionMethodDistinct'!$A$2:$A$646,FALSE),1),"")</f>
        <v>vibracorer</v>
      </c>
    </row>
    <row r="632" spans="1:6" x14ac:dyDescent="0.25">
      <c r="A632" t="s">
        <v>918</v>
      </c>
      <c r="B632" s="5" t="s">
        <v>892</v>
      </c>
      <c r="D632" s="1">
        <f>IFERROR(INDEX([1]SamplingMethod!$A$2:$C$160,MATCH(B632,[1]SamplingMethod!$C$2:$C$160,FALSE),1),"")</f>
        <v>130</v>
      </c>
      <c r="E632" s="5" t="str">
        <f>IFERROR(INDEX([1]SamplingMethod!$A$2:$C$160,MATCH(B632,[1]SamplingMethod!$C$2:$C$160,FALSE),2),"")</f>
        <v>secm:sm031</v>
      </c>
      <c r="F632" t="str">
        <f>IFERROR(INDEX('collectionMethodDistinct'!$A$2:$A$646,MATCH(A632,'collectionMethodDistinct'!$A$2:$A$646,FALSE),1),"")</f>
        <v>vibrating corer, auger head 5 cm outer/4,5 inner diameter</v>
      </c>
    </row>
    <row r="633" spans="1:6" x14ac:dyDescent="0.25">
      <c r="A633" s="5" t="s">
        <v>586</v>
      </c>
      <c r="B633" s="5" t="s">
        <v>858</v>
      </c>
      <c r="C633" s="5"/>
      <c r="D633" s="1">
        <f>IFERROR(INDEX([1]SamplingMethod!$A$2:$C$160,MATCH(B633,[1]SamplingMethod!$C$2:$C$160,FALSE),1),"")</f>
        <v>151</v>
      </c>
      <c r="E633" s="5" t="str">
        <f>IFERROR(INDEX([1]SamplingMethod!$A$2:$C$160,MATCH(B633,[1]SamplingMethod!$C$2:$C$160,FALSE),2),"")</f>
        <v>secm:unknown</v>
      </c>
      <c r="F633" t="str">
        <f>IFERROR(INDEX('collectionMethodDistinct'!$A$2:$A$646,MATCH(A633,'collectionMethodDistinct'!$A$2:$A$646,FALSE),1),"")</f>
        <v>Viewing</v>
      </c>
    </row>
    <row r="634" spans="1:6" x14ac:dyDescent="0.25">
      <c r="A634" s="5" t="s">
        <v>587</v>
      </c>
      <c r="B634" s="5" t="s">
        <v>858</v>
      </c>
      <c r="C634" s="5"/>
      <c r="D634" s="1">
        <f>IFERROR(INDEX([1]SamplingMethod!$A$2:$C$160,MATCH(B634,[1]SamplingMethod!$C$2:$C$160,FALSE),1),"")</f>
        <v>151</v>
      </c>
      <c r="E634" s="5" t="str">
        <f>IFERROR(INDEX([1]SamplingMethod!$A$2:$C$160,MATCH(B634,[1]SamplingMethod!$C$2:$C$160,FALSE),2),"")</f>
        <v>secm:unknown</v>
      </c>
      <c r="F634" t="str">
        <f>IFERROR(INDEX('collectionMethodDistinct'!$A$2:$A$646,MATCH(A634,'collectionMethodDistinct'!$A$2:$A$646,FALSE),1),"")</f>
        <v>Volunteer&gt;HOV</v>
      </c>
    </row>
    <row r="635" spans="1:6" x14ac:dyDescent="0.25">
      <c r="A635" t="s">
        <v>917</v>
      </c>
      <c r="B635" t="s">
        <v>855</v>
      </c>
      <c r="D635" s="1">
        <f>IFERROR(INDEX([1]SamplingMethod!$A$2:$C$160,MATCH(B635,[1]SamplingMethod!$C$2:$C$160,FALSE),1),"")</f>
        <v>111</v>
      </c>
      <c r="E635" s="5" t="str">
        <f>IFERROR(INDEX([1]SamplingMethod!$A$2:$C$160,MATCH(B635,[1]SamplingMethod!$C$2:$C$160,FALSE),2),"")</f>
        <v>secm:sm013</v>
      </c>
      <c r="F635" t="str">
        <f>IFERROR(INDEX('collectionMethodDistinct'!$A$2:$A$646,MATCH(A635,'collectionMethodDistinct'!$A$2:$A$646,FALSE),1),"")</f>
        <v>water displacment method</v>
      </c>
    </row>
    <row r="636" spans="1:6" x14ac:dyDescent="0.25">
      <c r="A636" t="s">
        <v>916</v>
      </c>
      <c r="B636" t="s">
        <v>855</v>
      </c>
      <c r="D636" s="1">
        <f>IFERROR(INDEX([1]SamplingMethod!$A$2:$C$160,MATCH(B636,[1]SamplingMethod!$C$2:$C$160,FALSE),1),"")</f>
        <v>111</v>
      </c>
      <c r="E636" s="5" t="str">
        <f>IFERROR(INDEX([1]SamplingMethod!$A$2:$C$160,MATCH(B636,[1]SamplingMethod!$C$2:$C$160,FALSE),2),"")</f>
        <v>secm:sm013</v>
      </c>
      <c r="F636" t="str">
        <f>IFERROR(INDEX('collectionMethodDistinct'!$A$2:$A$646,MATCH(A636,'collectionMethodDistinct'!$A$2:$A$646,FALSE),1),"")</f>
        <v xml:space="preserve">Water displacment method </v>
      </c>
    </row>
    <row r="637" spans="1:6" x14ac:dyDescent="0.25">
      <c r="A637" s="5" t="s">
        <v>588</v>
      </c>
      <c r="B637" s="5" t="s">
        <v>885</v>
      </c>
      <c r="C637" s="5"/>
      <c r="D637" s="1">
        <f>IFERROR(INDEX([1]SamplingMethod!$A$2:$C$160,MATCH(B637,[1]SamplingMethod!$C$2:$C$160,FALSE),1),"")</f>
        <v>112</v>
      </c>
      <c r="E637" s="5" t="str">
        <f>IFERROR(INDEX([1]SamplingMethod!$A$2:$C$160,MATCH(B637,[1]SamplingMethod!$C$2:$C$160,FALSE),2),"")</f>
        <v>secm:sm014</v>
      </c>
      <c r="F637" t="str">
        <f>IFERROR(INDEX('collectionMethodDistinct'!$A$2:$A$646,MATCH(A637,'collectionMethodDistinct'!$A$2:$A$646,FALSE),1),"")</f>
        <v>water sample from just below surface</v>
      </c>
    </row>
    <row r="638" spans="1:6" x14ac:dyDescent="0.25">
      <c r="A638" s="5" t="s">
        <v>589</v>
      </c>
      <c r="B638" s="5" t="s">
        <v>219</v>
      </c>
      <c r="C638" s="5"/>
      <c r="D638" s="1">
        <f>IFERROR(INDEX([1]SamplingMethod!$A$2:$C$160,MATCH(B638,[1]SamplingMethod!$C$2:$C$160,FALSE),1),"")</f>
        <v>38</v>
      </c>
      <c r="E638" s="5" t="str">
        <f>IFERROR(INDEX([1]SamplingMethod!$A$2:$C$160,MATCH(B638,[1]SamplingMethod!$C$2:$C$160,FALSE),2),"")</f>
        <v>secm:drilling</v>
      </c>
      <c r="F638" t="str">
        <f>IFERROR(INDEX('collectionMethodDistinct'!$A$2:$A$646,MATCH(A638,'collectionMethodDistinct'!$A$2:$A$646,FALSE),1),"")</f>
        <v>Water Well Cuttings</v>
      </c>
    </row>
    <row r="639" spans="1:6" x14ac:dyDescent="0.25">
      <c r="A639" t="s">
        <v>915</v>
      </c>
      <c r="B639" s="5" t="s">
        <v>877</v>
      </c>
      <c r="D639" s="1">
        <f>IFERROR(INDEX([1]SamplingMethod!$A$2:$C$160,MATCH(B639,[1]SamplingMethod!$C$2:$C$160,FALSE),1),"")</f>
        <v>155</v>
      </c>
      <c r="E639" s="5" t="str">
        <f>IFERROR(INDEX([1]SamplingMethod!$A$2:$C$160,MATCH(B639,[1]SamplingMethod!$C$2:$C$160,FALSE),2),"")</f>
        <v>secm:waxcoring</v>
      </c>
      <c r="F639" t="str">
        <f>IFERROR(INDEX('collectionMethodDistinct'!$A$2:$A$646,MATCH(A639,'collectionMethodDistinct'!$A$2:$A$646,FALSE),1),"")</f>
        <v>Wax Core</v>
      </c>
    </row>
    <row r="640" spans="1:6" x14ac:dyDescent="0.25">
      <c r="A640" s="5" t="s">
        <v>590</v>
      </c>
      <c r="B640" s="5" t="s">
        <v>877</v>
      </c>
      <c r="C640" s="5"/>
      <c r="D640" s="1">
        <f>IFERROR(INDEX([1]SamplingMethod!$A$2:$C$160,MATCH(B640,[1]SamplingMethod!$C$2:$C$160,FALSE),1),"")</f>
        <v>155</v>
      </c>
      <c r="E640" s="5" t="str">
        <f>IFERROR(INDEX([1]SamplingMethod!$A$2:$C$160,MATCH(B640,[1]SamplingMethod!$C$2:$C$160,FALSE),2),"")</f>
        <v>secm:waxcoring</v>
      </c>
      <c r="F640" t="str">
        <f>IFERROR(INDEX('collectionMethodDistinct'!$A$2:$A$646,MATCH(A640,'collectionMethodDistinct'!$A$2:$A$646,FALSE),1),"")</f>
        <v>WaxCorer</v>
      </c>
    </row>
    <row r="641" spans="1:6" x14ac:dyDescent="0.25">
      <c r="A641" s="5" t="s">
        <v>591</v>
      </c>
      <c r="B641" s="5" t="s">
        <v>858</v>
      </c>
      <c r="C641" s="5"/>
      <c r="D641" s="1">
        <f>IFERROR(INDEX([1]SamplingMethod!$A$2:$C$160,MATCH(B641,[1]SamplingMethod!$C$2:$C$160,FALSE),1),"")</f>
        <v>151</v>
      </c>
      <c r="E641" s="5" t="str">
        <f>IFERROR(INDEX([1]SamplingMethod!$A$2:$C$160,MATCH(B641,[1]SamplingMethod!$C$2:$C$160,FALSE),2),"")</f>
        <v>secm:unknown</v>
      </c>
      <c r="F641" t="str">
        <f>IFERROR(INDEX('collectionMethodDistinct'!$A$2:$A$646,MATCH(A641,'collectionMethodDistinct'!$A$2:$A$646,FALSE),1),"")</f>
        <v>WellSample</v>
      </c>
    </row>
    <row r="642" spans="1:6" x14ac:dyDescent="0.25">
      <c r="A642" s="5" t="s">
        <v>592</v>
      </c>
      <c r="B642" s="5" t="s">
        <v>858</v>
      </c>
      <c r="C642" s="5"/>
      <c r="D642" s="1">
        <f>IFERROR(INDEX([1]SamplingMethod!$A$2:$C$160,MATCH(B642,[1]SamplingMethod!$C$2:$C$160,FALSE),1),"")</f>
        <v>151</v>
      </c>
      <c r="E642" s="5" t="str">
        <f>IFERROR(INDEX([1]SamplingMethod!$A$2:$C$160,MATCH(B642,[1]SamplingMethod!$C$2:$C$160,FALSE),2),"")</f>
        <v>secm:unknown</v>
      </c>
      <c r="F642" t="str">
        <f>IFERROR(INDEX('collectionMethodDistinct'!$A$2:$A$646,MATCH(A642,'collectionMethodDistinct'!$A$2:$A$646,FALSE),1),"")</f>
        <v>Wick</v>
      </c>
    </row>
    <row r="643" spans="1:6" x14ac:dyDescent="0.25">
      <c r="A643" s="5" t="s">
        <v>593</v>
      </c>
      <c r="B643" s="5" t="s">
        <v>858</v>
      </c>
      <c r="C643" s="5"/>
      <c r="D643" s="1">
        <f>IFERROR(INDEX([1]SamplingMethod!$A$2:$C$160,MATCH(B643,[1]SamplingMethod!$C$2:$C$160,FALSE),1),"")</f>
        <v>151</v>
      </c>
      <c r="E643" s="5" t="str">
        <f>IFERROR(INDEX([1]SamplingMethod!$A$2:$C$160,MATCH(B643,[1]SamplingMethod!$C$2:$C$160,FALSE),2),"")</f>
        <v>secm:unknown</v>
      </c>
      <c r="F643" t="str">
        <f>IFERROR(INDEX('collectionMethodDistinct'!$A$2:$A$646,MATCH(A643,'collectionMethodDistinct'!$A$2:$A$646,FALSE),1),"")</f>
        <v>XXXXX</v>
      </c>
    </row>
    <row r="644" spans="1:6" x14ac:dyDescent="0.25">
      <c r="A644" s="5" t="s">
        <v>594</v>
      </c>
      <c r="B644" s="5" t="s">
        <v>876</v>
      </c>
      <c r="C644" s="5"/>
      <c r="D644" s="1">
        <f>IFERROR(INDEX([1]SamplingMethod!$A$2:$C$160,MATCH(B644,[1]SamplingMethod!$C$2:$C$160,FALSE),1),"")</f>
        <v>132</v>
      </c>
      <c r="E644" s="5" t="str">
        <f>IFERROR(INDEX([1]SamplingMethod!$A$2:$C$160,MATCH(B644,[1]SamplingMethod!$C$2:$C$160,FALSE),2),"")</f>
        <v>secm:sm033</v>
      </c>
      <c r="F644" t="str">
        <f>IFERROR(INDEX('collectionMethodDistinct'!$A$2:$A$646,MATCH(A644,'collectionMethodDistinct'!$A$2:$A$646,FALSE),1),"")</f>
        <v>Yokosuka deep-tow dredge</v>
      </c>
    </row>
    <row r="645" spans="1:6" x14ac:dyDescent="0.25">
      <c r="A645" s="5" t="s">
        <v>595</v>
      </c>
      <c r="B645" s="5" t="s">
        <v>878</v>
      </c>
      <c r="C645" s="5"/>
      <c r="D645" s="1">
        <f>IFERROR(INDEX([1]SamplingMethod!$A$2:$C$160,MATCH(B645,[1]SamplingMethod!$C$2:$C$160,FALSE),1),"")</f>
        <v>51</v>
      </c>
      <c r="E645" s="5" t="str">
        <f>IFERROR(INDEX([1]SamplingMethod!$A$2:$C$160,MATCH(B645,[1]SamplingMethod!$C$2:$C$160,FALSE),2),"")</f>
        <v>secm:lysimeter</v>
      </c>
      <c r="F645" t="str">
        <f>IFERROR(INDEX('collectionMethodDistinct'!$A$2:$A$646,MATCH(A645,'collectionMethodDistinct'!$A$2:$A$646,FALSE),1),"")</f>
        <v>Zero Tension</v>
      </c>
    </row>
    <row r="646" spans="1:6" x14ac:dyDescent="0.25">
      <c r="A646" s="5" t="s">
        <v>596</v>
      </c>
      <c r="B646" s="5" t="s">
        <v>878</v>
      </c>
      <c r="C646" s="5"/>
      <c r="D646" s="1">
        <f>IFERROR(INDEX([1]SamplingMethod!$A$2:$C$160,MATCH(B646,[1]SamplingMethod!$C$2:$C$160,FALSE),1),"")</f>
        <v>51</v>
      </c>
      <c r="E646" s="5" t="str">
        <f>IFERROR(INDEX([1]SamplingMethod!$A$2:$C$160,MATCH(B646,[1]SamplingMethod!$C$2:$C$160,FALSE),2),"")</f>
        <v>secm:lysimeter</v>
      </c>
      <c r="F646" t="str">
        <f>IFERROR(INDEX('collectionMethodDistinct'!$A$2:$A$646,MATCH(A646,'collectionMethodDistinct'!$A$2:$A$646,FALSE),1),"")</f>
        <v>ZeroTension</v>
      </c>
    </row>
  </sheetData>
  <autoFilter ref="A1:F646" xr:uid="{80E8F11A-0DAB-407D-8C38-3C8B3146DC4C}"/>
  <sortState xmlns:xlrd2="http://schemas.microsoft.com/office/spreadsheetml/2017/richdata2" ref="A2:G646">
    <sortCondition ref="A2:A646"/>
  </sortState>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2FCF0-59ED-45DB-8EA8-900047F36895}">
  <dimension ref="A1:B646"/>
  <sheetViews>
    <sheetView workbookViewId="0">
      <selection activeCell="A638" sqref="A3:A638"/>
    </sheetView>
  </sheetViews>
  <sheetFormatPr defaultRowHeight="15" x14ac:dyDescent="0.25"/>
  <cols>
    <col min="1" max="1" width="81.140625" bestFit="1" customWidth="1"/>
    <col min="2" max="2" width="30.28515625" customWidth="1"/>
  </cols>
  <sheetData>
    <row r="1" spans="1:2" x14ac:dyDescent="0.25">
      <c r="A1" t="s">
        <v>965</v>
      </c>
      <c r="B1" t="s">
        <v>967</v>
      </c>
    </row>
    <row r="2" spans="1:2" x14ac:dyDescent="0.25">
      <c r="A2" t="s">
        <v>964</v>
      </c>
      <c r="B2" t="str">
        <f>IFERROR(INDEX(samplemethodlookup!$A$2:$D$648,MATCH(collectionMethodDistinct[[#This Row],[Column1]],samplemethodlookup!$A$2:$A$648,FALSE),1),"")</f>
        <v/>
      </c>
    </row>
    <row r="3" spans="1:2" x14ac:dyDescent="0.25">
      <c r="A3" t="s">
        <v>963</v>
      </c>
      <c r="B3" t="str">
        <f>IFERROR(INDEX(samplemethodlookup!$A$2:$D$648,MATCH(collectionMethodDistinct[[#This Row],[Column1]],samplemethodlookup!$A$2:$A$648,FALSE),1),"")</f>
        <v xml:space="preserve"> Coring&gt;JumboPistonCorer</v>
      </c>
    </row>
    <row r="4" spans="1:2" hidden="1" x14ac:dyDescent="0.25">
      <c r="A4" t="s">
        <v>962</v>
      </c>
      <c r="B4" t="str">
        <f>IFERROR(INDEX(samplemethodlookup!$A$2:$D$648,MATCH(collectionMethodDistinct[[#This Row],[Column1]],samplemethodlookup!$A$2:$A$648,FALSE),1),"")</f>
        <v xml:space="preserve"> Shop bought - Northern Geological Supplies Ltd</v>
      </c>
    </row>
    <row r="5" spans="1:2" x14ac:dyDescent="0.25">
      <c r="A5" t="s">
        <v>961</v>
      </c>
      <c r="B5" t="str">
        <f>IFERROR(INDEX(samplemethodlookup!$A$2:$D$648,MATCH(collectionMethodDistinct[[#This Row],[Column1]],samplemethodlookup!$A$2:$A$648,FALSE),1),"")</f>
        <v xml:space="preserve">	Coring&gt;HandHeldCorer</v>
      </c>
    </row>
    <row r="6" spans="1:2" x14ac:dyDescent="0.25">
      <c r="A6" t="s">
        <v>960</v>
      </c>
      <c r="B6" t="str">
        <f>IFERROR(INDEX(samplemethodlookup!$A$2:$D$648,MATCH(collectionMethodDistinct[[#This Row],[Column1]],samplemethodlookup!$A$2:$A$648,FALSE),1),"")</f>
        <v xml:space="preserve">	Cut from American Museum of Natural History Mineral Collection # 100242</v>
      </c>
    </row>
    <row r="7" spans="1:2" hidden="1" x14ac:dyDescent="0.25">
      <c r="A7" t="s">
        <v>3</v>
      </c>
      <c r="B7" t="str">
        <f>IFERROR(INDEX(samplemethodlookup!$A$2:$D$648,MATCH(collectionMethodDistinct[[#This Row],[Column1]],samplemethodlookup!$A$2:$A$648,FALSE),1),"")</f>
        <v>&gt;2 mm size fraction</v>
      </c>
    </row>
    <row r="8" spans="1:2" hidden="1" x14ac:dyDescent="0.25">
      <c r="A8" t="s">
        <v>5</v>
      </c>
      <c r="B8" t="str">
        <f>IFERROR(INDEX(samplemethodlookup!$A$2:$D$648,MATCH(collectionMethodDistinct[[#This Row],[Column1]],samplemethodlookup!$A$2:$A$648,FALSE),1),"")</f>
        <v>&gt;38 um size fraction</v>
      </c>
    </row>
    <row r="9" spans="1:2" hidden="1" x14ac:dyDescent="0.25">
      <c r="A9" t="s">
        <v>7</v>
      </c>
      <c r="B9" t="str">
        <f>IFERROR(INDEX(samplemethodlookup!$A$2:$D$648,MATCH(collectionMethodDistinct[[#This Row],[Column1]],samplemethodlookup!$A$2:$A$648,FALSE),1),"")</f>
        <v>&gt;63 um size fraction</v>
      </c>
    </row>
    <row r="10" spans="1:2" hidden="1" x14ac:dyDescent="0.25">
      <c r="A10" t="s">
        <v>904</v>
      </c>
      <c r="B10" t="str">
        <f>IFERROR(INDEX(samplemethodlookup!$A$2:$D$648,MATCH(collectionMethodDistinct[[#This Row],[Column1]],samplemethodlookup!$A$2:$A$648,FALSE),1),"")</f>
        <v>0.22 µm, PES</v>
      </c>
    </row>
    <row r="11" spans="1:2" hidden="1" x14ac:dyDescent="0.25">
      <c r="A11" t="s">
        <v>905</v>
      </c>
      <c r="B11" t="str">
        <f>IFERROR(INDEX(samplemethodlookup!$A$2:$D$648,MATCH(collectionMethodDistinct[[#This Row],[Column1]],samplemethodlookup!$A$2:$A$648,FALSE),1),"")</f>
        <v>0.22μm</v>
      </c>
    </row>
    <row r="12" spans="1:2" hidden="1" x14ac:dyDescent="0.25">
      <c r="A12" t="s">
        <v>906</v>
      </c>
      <c r="B12" t="str">
        <f>IFERROR(INDEX(samplemethodlookup!$A$2:$D$648,MATCH(collectionMethodDistinct[[#This Row],[Column1]],samplemethodlookup!$A$2:$A$648,FALSE),1),"")</f>
        <v>0.45 µm, PES</v>
      </c>
    </row>
    <row r="13" spans="1:2" hidden="1" x14ac:dyDescent="0.25">
      <c r="A13" t="s">
        <v>907</v>
      </c>
      <c r="B13" t="str">
        <f>IFERROR(INDEX(samplemethodlookup!$A$2:$D$648,MATCH(collectionMethodDistinct[[#This Row],[Column1]],samplemethodlookup!$A$2:$A$648,FALSE),1),"")</f>
        <v>0.45μm</v>
      </c>
    </row>
    <row r="14" spans="1:2" hidden="1" x14ac:dyDescent="0.25">
      <c r="A14" t="s">
        <v>12</v>
      </c>
      <c r="B14" t="str">
        <f>IFERROR(INDEX(samplemethodlookup!$A$2:$D$648,MATCH(collectionMethodDistinct[[#This Row],[Column1]],samplemethodlookup!$A$2:$A$648,FALSE),1),"")</f>
        <v>0.8/0.2 micron cartridge filter (AcroPak)</v>
      </c>
    </row>
    <row r="15" spans="1:2" hidden="1" x14ac:dyDescent="0.25">
      <c r="A15" t="s">
        <v>14</v>
      </c>
      <c r="B15" t="str">
        <f>IFERROR(INDEX(samplemethodlookup!$A$2:$D$648,MATCH(collectionMethodDistinct[[#This Row],[Column1]],samplemethodlookup!$A$2:$A$648,FALSE),1),"")</f>
        <v>0.8/0.2 micron cartridge filter (AcroPak), no preservative</v>
      </c>
    </row>
    <row r="16" spans="1:2" hidden="1" x14ac:dyDescent="0.25">
      <c r="A16" t="s">
        <v>16</v>
      </c>
      <c r="B16" t="str">
        <f>IFERROR(INDEX(samplemethodlookup!$A$2:$D$648,MATCH(collectionMethodDistinct[[#This Row],[Column1]],samplemethodlookup!$A$2:$A$648,FALSE),1),"")</f>
        <v>2-inch diameter hand corer</v>
      </c>
    </row>
    <row r="17" spans="1:2" hidden="1" x14ac:dyDescent="0.25">
      <c r="A17" t="s">
        <v>18</v>
      </c>
      <c r="B17" t="str">
        <f>IFERROR(INDEX(samplemethodlookup!$A$2:$D$648,MATCH(collectionMethodDistinct[[#This Row],[Column1]],samplemethodlookup!$A$2:$A$648,FALSE),1),"")</f>
        <v>2mm sieved soil sample, quartered, ground and homogenized in an agate mill.</v>
      </c>
    </row>
    <row r="18" spans="1:2" hidden="1" x14ac:dyDescent="0.25">
      <c r="A18" t="s">
        <v>20</v>
      </c>
      <c r="B18" t="str">
        <f>IFERROR(INDEX(samplemethodlookup!$A$2:$D$648,MATCH(collectionMethodDistinct[[#This Row],[Column1]],samplemethodlookup!$A$2:$A$648,FALSE),1),"")</f>
        <v>4 inch hand auger</v>
      </c>
    </row>
    <row r="19" spans="1:2" hidden="1" x14ac:dyDescent="0.25">
      <c r="A19" t="s">
        <v>2</v>
      </c>
      <c r="B19" t="str">
        <f>IFERROR(INDEX(samplemethodlookup!$A$2:$D$648,MATCH(collectionMethodDistinct[[#This Row],[Column1]],samplemethodlookup!$A$2:$A$648,FALSE),1),"")</f>
        <v>Agassiz trawl</v>
      </c>
    </row>
    <row r="20" spans="1:2" hidden="1" x14ac:dyDescent="0.25">
      <c r="A20" t="s">
        <v>908</v>
      </c>
      <c r="B20" t="str">
        <f>IFERROR(INDEX(samplemethodlookup!$A$2:$D$648,MATCH(collectionMethodDistinct[[#This Row],[Column1]],samplemethodlookup!$A$2:$A$648,FALSE),1),"")</f>
        <v>air-dried soil sample sieved in 2mm and 250 µm mesh by mechanical agitation.</v>
      </c>
    </row>
    <row r="21" spans="1:2" hidden="1" x14ac:dyDescent="0.25">
      <c r="A21" t="s">
        <v>23</v>
      </c>
      <c r="B21" t="str">
        <f>IFERROR(INDEX(samplemethodlookup!$A$2:$D$648,MATCH(collectionMethodDistinct[[#This Row],[Column1]],samplemethodlookup!$A$2:$A$648,FALSE),1),"")</f>
        <v>Alvin</v>
      </c>
    </row>
    <row r="22" spans="1:2" hidden="1" x14ac:dyDescent="0.25">
      <c r="A22" t="s">
        <v>959</v>
      </c>
      <c r="B22" t="str">
        <f>IFERROR(INDEX(samplemethodlookup!$A$2:$D$648,MATCH(collectionMethodDistinct[[#This Row],[Column1]],samplemethodlookup!$A$2:$A$648,FALSE),1),"")</f>
        <v>ALVIN grab</v>
      </c>
    </row>
    <row r="23" spans="1:2" hidden="1" x14ac:dyDescent="0.25">
      <c r="A23" t="s">
        <v>4</v>
      </c>
      <c r="B23" t="str">
        <f>IFERROR(INDEX(samplemethodlookup!$A$2:$D$648,MATCH(collectionMethodDistinct[[#This Row],[Column1]],samplemethodlookup!$A$2:$A$648,FALSE),1),"")</f>
        <v>ALVIN grab</v>
      </c>
    </row>
    <row r="24" spans="1:2" hidden="1" x14ac:dyDescent="0.25">
      <c r="A24" t="s">
        <v>25</v>
      </c>
      <c r="B24" t="str">
        <f>IFERROR(INDEX(samplemethodlookup!$A$2:$D$648,MATCH(collectionMethodDistinct[[#This Row],[Column1]],samplemethodlookup!$A$2:$A$648,FALSE),1),"")</f>
        <v>Aquatic Instruments Universal Corer</v>
      </c>
    </row>
    <row r="25" spans="1:2" hidden="1" x14ac:dyDescent="0.25">
      <c r="A25" t="s">
        <v>26</v>
      </c>
      <c r="B25" t="str">
        <f>IFERROR(INDEX(samplemethodlookup!$A$2:$D$648,MATCH(collectionMethodDistinct[[#This Row],[Column1]],samplemethodlookup!$A$2:$A$648,FALSE),1),"")</f>
        <v>Auger</v>
      </c>
    </row>
    <row r="26" spans="1:2" hidden="1" x14ac:dyDescent="0.25">
      <c r="A26" t="s">
        <v>27</v>
      </c>
      <c r="B26" t="str">
        <f>IFERROR(INDEX(samplemethodlookup!$A$2:$D$648,MATCH(collectionMethodDistinct[[#This Row],[Column1]],samplemethodlookup!$A$2:$A$648,FALSE),1),"")</f>
        <v>augered soil core</v>
      </c>
    </row>
    <row r="27" spans="1:2" hidden="1" x14ac:dyDescent="0.25">
      <c r="A27" t="s">
        <v>8</v>
      </c>
      <c r="B27" t="str">
        <f>IFERROR(INDEX(samplemethodlookup!$A$2:$D$648,MATCH(collectionMethodDistinct[[#This Row],[Column1]],samplemethodlookup!$A$2:$A$648,FALSE),1),"")</f>
        <v>Beam Trawl</v>
      </c>
    </row>
    <row r="28" spans="1:2" hidden="1" x14ac:dyDescent="0.25">
      <c r="A28" t="s">
        <v>31</v>
      </c>
      <c r="B28" t="str">
        <f>IFERROR(INDEX(samplemethodlookup!$A$2:$D$648,MATCH(collectionMethodDistinct[[#This Row],[Column1]],samplemethodlookup!$A$2:$A$648,FALSE),1),"")</f>
        <v>Big Bertha</v>
      </c>
    </row>
    <row r="29" spans="1:2" hidden="1" x14ac:dyDescent="0.25">
      <c r="A29" t="s">
        <v>9</v>
      </c>
      <c r="B29" t="str">
        <f>IFERROR(INDEX(samplemethodlookup!$A$2:$D$648,MATCH(collectionMethodDistinct[[#This Row],[Column1]],samplemethodlookup!$A$2:$A$648,FALSE),1),"")</f>
        <v>Blake Trawl</v>
      </c>
    </row>
    <row r="30" spans="1:2" hidden="1" x14ac:dyDescent="0.25">
      <c r="A30" t="s">
        <v>34</v>
      </c>
      <c r="B30" t="str">
        <f>IFERROR(INDEX(samplemethodlookup!$A$2:$D$648,MATCH(collectionMethodDistinct[[#This Row],[Column1]],samplemethodlookup!$A$2:$A$648,FALSE),1),"")</f>
        <v>Blake Trawl/Menzie Trawl</v>
      </c>
    </row>
    <row r="31" spans="1:2" hidden="1" x14ac:dyDescent="0.25">
      <c r="A31" t="s">
        <v>36</v>
      </c>
      <c r="B31" t="str">
        <f>IFERROR(INDEX(samplemethodlookup!$A$2:$D$648,MATCH(collectionMethodDistinct[[#This Row],[Column1]],samplemethodlookup!$A$2:$A$648,FALSE),1),"")</f>
        <v>Blake Trawl/Menzies Trawl</v>
      </c>
    </row>
    <row r="32" spans="1:2" hidden="1" x14ac:dyDescent="0.25">
      <c r="A32" t="s">
        <v>38</v>
      </c>
      <c r="B32" t="str">
        <f>IFERROR(INDEX(samplemethodlookup!$A$2:$D$648,MATCH(collectionMethodDistinct[[#This Row],[Column1]],samplemethodlookup!$A$2:$A$648,FALSE),1),"")</f>
        <v>Blasting</v>
      </c>
    </row>
    <row r="33" spans="1:2" x14ac:dyDescent="0.25">
      <c r="A33" t="s">
        <v>958</v>
      </c>
      <c r="B33" t="str">
        <f>IFERROR(INDEX(samplemethodlookup!$A$2:$D$648,MATCH(collectionMethodDistinct[[#This Row],[Column1]],samplemethodlookup!$A$2:$A$648,FALSE),1),"")</f>
        <v>Borehole</v>
      </c>
    </row>
    <row r="34" spans="1:2" hidden="1" x14ac:dyDescent="0.25">
      <c r="A34" t="s">
        <v>40</v>
      </c>
      <c r="B34" t="str">
        <f>IFERROR(INDEX(samplemethodlookup!$A$2:$D$648,MATCH(collectionMethodDistinct[[#This Row],[Column1]],samplemethodlookup!$A$2:$A$648,FALSE),1),"")</f>
        <v>borosilicate glass bottle, 0.8/0.2 micron cartridge filter (AcroPak), HgCl2 preservative</v>
      </c>
    </row>
    <row r="35" spans="1:2" hidden="1" x14ac:dyDescent="0.25">
      <c r="A35" t="s">
        <v>10</v>
      </c>
      <c r="B35" t="str">
        <f>IFERROR(INDEX(samplemethodlookup!$A$2:$D$648,MATCH(collectionMethodDistinct[[#This Row],[Column1]],samplemethodlookup!$A$2:$A$648,FALSE),1),"")</f>
        <v>Box corer</v>
      </c>
    </row>
    <row r="36" spans="1:2" hidden="1" x14ac:dyDescent="0.25">
      <c r="A36" t="s">
        <v>43</v>
      </c>
      <c r="B36" t="str">
        <f>IFERROR(INDEX(samplemethodlookup!$A$2:$D$648,MATCH(collectionMethodDistinct[[#This Row],[Column1]],samplemethodlookup!$A$2:$A$648,FALSE),1),"")</f>
        <v>Bulk Sample</v>
      </c>
    </row>
    <row r="37" spans="1:2" hidden="1" x14ac:dyDescent="0.25">
      <c r="A37" t="s">
        <v>45</v>
      </c>
      <c r="B37" t="str">
        <f>IFERROR(INDEX(samplemethodlookup!$A$2:$D$648,MATCH(collectionMethodDistinct[[#This Row],[Column1]],samplemethodlookup!$A$2:$A$648,FALSE),1),"")</f>
        <v>CA-IDTIMS</v>
      </c>
    </row>
    <row r="38" spans="1:2" hidden="1" x14ac:dyDescent="0.25">
      <c r="A38" t="s">
        <v>46</v>
      </c>
      <c r="B38" t="str">
        <f>IFERROR(INDEX(samplemethodlookup!$A$2:$D$648,MATCH(collectionMethodDistinct[[#This Row],[Column1]],samplemethodlookup!$A$2:$A$648,FALSE),1),"")</f>
        <v>Camera Grab</v>
      </c>
    </row>
    <row r="39" spans="1:2" hidden="1" x14ac:dyDescent="0.25">
      <c r="A39" t="s">
        <v>47</v>
      </c>
      <c r="B39" t="str">
        <f>IFERROR(INDEX(samplemethodlookup!$A$2:$D$648,MATCH(collectionMethodDistinct[[#This Row],[Column1]],samplemethodlookup!$A$2:$A$648,FALSE),1),"")</f>
        <v>Camera Grab/Blake Trawl</v>
      </c>
    </row>
    <row r="40" spans="1:2" hidden="1" x14ac:dyDescent="0.25">
      <c r="A40" t="s">
        <v>49</v>
      </c>
      <c r="B40" t="str">
        <f>IFERROR(INDEX(samplemethodlookup!$A$2:$D$648,MATCH(collectionMethodDistinct[[#This Row],[Column1]],samplemethodlookup!$A$2:$A$648,FALSE),1),"")</f>
        <v>Camera Sled</v>
      </c>
    </row>
    <row r="41" spans="1:2" hidden="1" x14ac:dyDescent="0.25">
      <c r="A41" t="s">
        <v>51</v>
      </c>
      <c r="B41" t="str">
        <f>IFERROR(INDEX(samplemethodlookup!$A$2:$D$648,MATCH(collectionMethodDistinct[[#This Row],[Column1]],samplemethodlookup!$A$2:$A$648,FALSE),1),"")</f>
        <v>Camera SledCamera tow</v>
      </c>
    </row>
    <row r="42" spans="1:2" hidden="1" x14ac:dyDescent="0.25">
      <c r="A42" t="s">
        <v>53</v>
      </c>
      <c r="B42" t="str">
        <f>IFERROR(INDEX(samplemethodlookup!$A$2:$D$648,MATCH(collectionMethodDistinct[[#This Row],[Column1]],samplemethodlookup!$A$2:$A$648,FALSE),1),"")</f>
        <v>Camera tow</v>
      </c>
    </row>
    <row r="43" spans="1:2" hidden="1" x14ac:dyDescent="0.25">
      <c r="A43" t="s">
        <v>54</v>
      </c>
      <c r="B43" t="str">
        <f>IFERROR(INDEX(samplemethodlookup!$A$2:$D$648,MATCH(collectionMethodDistinct[[#This Row],[Column1]],samplemethodlookup!$A$2:$A$648,FALSE),1),"")</f>
        <v>Camera&gt;Yoyo</v>
      </c>
    </row>
    <row r="44" spans="1:2" hidden="1" x14ac:dyDescent="0.25">
      <c r="A44" t="s">
        <v>11</v>
      </c>
      <c r="B44" t="str">
        <f>IFERROR(INDEX(samplemethodlookup!$A$2:$D$648,MATCH(collectionMethodDistinct[[#This Row],[Column1]],samplemethodlookup!$A$2:$A$648,FALSE),1),"")</f>
        <v>Campbell Grab</v>
      </c>
    </row>
    <row r="45" spans="1:2" hidden="1" x14ac:dyDescent="0.25">
      <c r="A45" t="s">
        <v>55</v>
      </c>
      <c r="B45" t="str">
        <f>IFERROR(INDEX(samplemethodlookup!$A$2:$D$648,MATCH(collectionMethodDistinct[[#This Row],[Column1]],samplemethodlookup!$A$2:$A$648,FALSE),1),"")</f>
        <v>Ceramic Cup</v>
      </c>
    </row>
    <row r="46" spans="1:2" hidden="1" x14ac:dyDescent="0.25">
      <c r="A46" t="s">
        <v>56</v>
      </c>
      <c r="B46" t="str">
        <f>IFERROR(INDEX(samplemethodlookup!$A$2:$D$648,MATCH(collectionMethodDistinct[[#This Row],[Column1]],samplemethodlookup!$A$2:$A$648,FALSE),1),"")</f>
        <v>CeramicCup</v>
      </c>
    </row>
    <row r="47" spans="1:2" hidden="1" x14ac:dyDescent="0.25">
      <c r="A47" t="s">
        <v>59</v>
      </c>
      <c r="B47" t="str">
        <f>IFERROR(INDEX(samplemethodlookup!$A$2:$D$648,MATCH(collectionMethodDistinct[[#This Row],[Column1]],samplemethodlookup!$A$2:$A$648,FALSE),1),"")</f>
        <v>Chain-saw</v>
      </c>
    </row>
    <row r="48" spans="1:2" hidden="1" x14ac:dyDescent="0.25">
      <c r="A48" t="s">
        <v>13</v>
      </c>
      <c r="B48" t="str">
        <f>IFERROR(INDEX(samplemethodlookup!$A$2:$D$648,MATCH(collectionMethodDistinct[[#This Row],[Column1]],samplemethodlookup!$A$2:$A$648,FALSE),1),"")</f>
        <v>Chain saw</v>
      </c>
    </row>
    <row r="49" spans="1:2" hidden="1" x14ac:dyDescent="0.25">
      <c r="A49" t="s">
        <v>57</v>
      </c>
      <c r="B49" t="str">
        <f>IFERROR(INDEX(samplemethodlookup!$A$2:$D$648,MATCH(collectionMethodDistinct[[#This Row],[Column1]],samplemethodlookup!$A$2:$A$648,FALSE),1),"")</f>
        <v>ChainBagDredge, Sediment Trap</v>
      </c>
    </row>
    <row r="50" spans="1:2" hidden="1" x14ac:dyDescent="0.25">
      <c r="A50" t="s">
        <v>58</v>
      </c>
      <c r="B50" t="str">
        <f>IFERROR(INDEX(samplemethodlookup!$A$2:$D$648,MATCH(collectionMethodDistinct[[#This Row],[Column1]],samplemethodlookup!$A$2:$A$648,FALSE),1),"")</f>
        <v>Chainsaw</v>
      </c>
    </row>
    <row r="51" spans="1:2" hidden="1" x14ac:dyDescent="0.25">
      <c r="A51" t="s">
        <v>911</v>
      </c>
      <c r="B51" t="str">
        <f>IFERROR(INDEX(samplemethodlookup!$A$2:$D$648,MATCH(collectionMethodDistinct[[#This Row],[Column1]],samplemethodlookup!$A$2:$A$648,FALSE),1),"")</f>
        <v>channel across strata or layer</v>
      </c>
    </row>
    <row r="52" spans="1:2" hidden="1" x14ac:dyDescent="0.25">
      <c r="A52" t="s">
        <v>60</v>
      </c>
      <c r="B52" t="str">
        <f>IFERROR(INDEX(samplemethodlookup!$A$2:$D$648,MATCH(collectionMethodDistinct[[#This Row],[Column1]],samplemethodlookup!$A$2:$A$648,FALSE),1),"")</f>
        <v>channel through entire stratum or layer</v>
      </c>
    </row>
    <row r="53" spans="1:2" hidden="1" x14ac:dyDescent="0.25">
      <c r="A53" t="s">
        <v>912</v>
      </c>
      <c r="B53" t="str">
        <f>IFERROR(INDEX(samplemethodlookup!$A$2:$D$648,MATCH(collectionMethodDistinct[[#This Row],[Column1]],samplemethodlookup!$A$2:$A$648,FALSE),1),"")</f>
        <v>channel through selected sub-interval of stratum or layer</v>
      </c>
    </row>
    <row r="54" spans="1:2" hidden="1" x14ac:dyDescent="0.25">
      <c r="A54" t="s">
        <v>61</v>
      </c>
      <c r="B54" t="str">
        <f>IFERROR(INDEX(samplemethodlookup!$A$2:$D$648,MATCH(collectionMethodDistinct[[#This Row],[Column1]],samplemethodlookup!$A$2:$A$648,FALSE),1),"")</f>
        <v>chip sample</v>
      </c>
    </row>
    <row r="55" spans="1:2" hidden="1" x14ac:dyDescent="0.25">
      <c r="A55" t="s">
        <v>62</v>
      </c>
      <c r="B55" t="str">
        <f>IFERROR(INDEX(samplemethodlookup!$A$2:$D$648,MATCH(collectionMethodDistinct[[#This Row],[Column1]],samplemethodlookup!$A$2:$A$648,FALSE),1),"")</f>
        <v>Collected from outcrop (hammer)</v>
      </c>
    </row>
    <row r="56" spans="1:2" hidden="1" x14ac:dyDescent="0.25">
      <c r="A56" t="s">
        <v>63</v>
      </c>
      <c r="B56" t="str">
        <f>IFERROR(INDEX(samplemethodlookup!$A$2:$D$648,MATCH(collectionMethodDistinct[[#This Row],[Column1]],samplemethodlookup!$A$2:$A$648,FALSE),1),"")</f>
        <v>Collected from river bed</v>
      </c>
    </row>
    <row r="57" spans="1:2" hidden="1" x14ac:dyDescent="0.25">
      <c r="A57" t="s">
        <v>64</v>
      </c>
      <c r="B57" t="str">
        <f>IFERROR(INDEX(samplemethodlookup!$A$2:$D$648,MATCH(collectionMethodDistinct[[#This Row],[Column1]],samplemethodlookup!$A$2:$A$648,FALSE),1),"")</f>
        <v>Collected from scree below outcrop</v>
      </c>
    </row>
    <row r="58" spans="1:2" hidden="1" x14ac:dyDescent="0.25">
      <c r="A58" t="s">
        <v>65</v>
      </c>
      <c r="B58" t="str">
        <f>IFERROR(INDEX(samplemethodlookup!$A$2:$D$648,MATCH(collectionMethodDistinct[[#This Row],[Column1]],samplemethodlookup!$A$2:$A$648,FALSE),1),"")</f>
        <v>Collected from trench</v>
      </c>
    </row>
    <row r="59" spans="1:2" hidden="1" x14ac:dyDescent="0.25">
      <c r="A59" t="s">
        <v>66</v>
      </c>
      <c r="B59" t="str">
        <f>IFERROR(INDEX(samplemethodlookup!$A$2:$D$648,MATCH(collectionMethodDistinct[[#This Row],[Column1]],samplemethodlookup!$A$2:$A$648,FALSE),1),"")</f>
        <v>Collected in situ 2.5 months after eruption</v>
      </c>
    </row>
    <row r="60" spans="1:2" hidden="1" x14ac:dyDescent="0.25">
      <c r="A60" t="s">
        <v>67</v>
      </c>
      <c r="B60" t="str">
        <f>IFERROR(INDEX(samplemethodlookup!$A$2:$D$648,MATCH(collectionMethodDistinct[[#This Row],[Column1]],samplemethodlookup!$A$2:$A$648,FALSE),1),"")</f>
        <v>Collected in situ during explosive eruption</v>
      </c>
    </row>
    <row r="61" spans="1:2" x14ac:dyDescent="0.25">
      <c r="A61" t="s">
        <v>957</v>
      </c>
      <c r="B61" t="str">
        <f>IFERROR(INDEX(samplemethodlookup!$A$2:$D$648,MATCH(collectionMethodDistinct[[#This Row],[Column1]],samplemethodlookup!$A$2:$A$648,FALSE),1),"")</f>
        <v>Collected predawn in field and dried at 70 C before shipping to ORNL</v>
      </c>
    </row>
    <row r="62" spans="1:2" hidden="1" x14ac:dyDescent="0.25">
      <c r="A62" t="s">
        <v>68</v>
      </c>
      <c r="B62" t="str">
        <f>IFERROR(INDEX(samplemethodlookup!$A$2:$D$648,MATCH(collectionMethodDistinct[[#This Row],[Column1]],samplemethodlookup!$A$2:$A$648,FALSE),1),"")</f>
        <v>Collected with clean scupula</v>
      </c>
    </row>
    <row r="63" spans="1:2" x14ac:dyDescent="0.25">
      <c r="A63" t="s">
        <v>956</v>
      </c>
      <c r="B63" t="str">
        <f>IFERROR(INDEX(samplemethodlookup!$A$2:$D$648,MATCH(collectionMethodDistinct[[#This Row],[Column1]],samplemethodlookup!$A$2:$A$648,FALSE),1),"")</f>
        <v xml:space="preserve">Collecting fresh outcrops by hammering and chiseling away weathered parts </v>
      </c>
    </row>
    <row r="64" spans="1:2" hidden="1" x14ac:dyDescent="0.25">
      <c r="A64" t="s">
        <v>914</v>
      </c>
      <c r="B64" t="str">
        <f>IFERROR(INDEX(samplemethodlookup!$A$2:$D$648,MATCH(collectionMethodDistinct[[#This Row],[Column1]],samplemethodlookup!$A$2:$A$648,FALSE),1),"")</f>
        <v>Collection method</v>
      </c>
    </row>
    <row r="65" spans="1:2" x14ac:dyDescent="0.25">
      <c r="A65" t="s">
        <v>955</v>
      </c>
      <c r="B65" t="str">
        <f>IFERROR(INDEX(samplemethodlookup!$A$2:$D$648,MATCH(collectionMethodDistinct[[#This Row],[Column1]],samplemethodlookup!$A$2:$A$648,FALSE),1),"")</f>
        <v>Continental Drilling</v>
      </c>
    </row>
    <row r="66" spans="1:2" hidden="1" x14ac:dyDescent="0.25">
      <c r="A66" t="s">
        <v>69</v>
      </c>
      <c r="B66" t="str">
        <f>IFERROR(INDEX(samplemethodlookup!$A$2:$D$648,MATCH(collectionMethodDistinct[[#This Row],[Column1]],samplemethodlookup!$A$2:$A$648,FALSE),1),"")</f>
        <v>core</v>
      </c>
    </row>
    <row r="67" spans="1:2" hidden="1" x14ac:dyDescent="0.25">
      <c r="A67" t="s">
        <v>70</v>
      </c>
      <c r="B67" t="str">
        <f>IFERROR(INDEX(samplemethodlookup!$A$2:$D$648,MATCH(collectionMethodDistinct[[#This Row],[Column1]],samplemethodlookup!$A$2:$A$648,FALSE),1),"")</f>
        <v>core</v>
      </c>
    </row>
    <row r="68" spans="1:2" hidden="1" x14ac:dyDescent="0.25">
      <c r="A68" t="s">
        <v>15</v>
      </c>
      <c r="B68" t="str">
        <f>IFERROR(INDEX(samplemethodlookup!$A$2:$D$648,MATCH(collectionMethodDistinct[[#This Row],[Column1]],samplemethodlookup!$A$2:$A$648,FALSE),1),"")</f>
        <v>core catcher</v>
      </c>
    </row>
    <row r="69" spans="1:2" hidden="1" x14ac:dyDescent="0.25">
      <c r="A69" t="s">
        <v>71</v>
      </c>
      <c r="B69" t="str">
        <f>IFERROR(INDEX(samplemethodlookup!$A$2:$D$648,MATCH(collectionMethodDistinct[[#This Row],[Column1]],samplemethodlookup!$A$2:$A$648,FALSE),1),"")</f>
        <v>Core collected during well installation</v>
      </c>
    </row>
    <row r="70" spans="1:2" x14ac:dyDescent="0.25">
      <c r="A70" t="s">
        <v>954</v>
      </c>
      <c r="B70" t="str">
        <f>IFERROR(INDEX(samplemethodlookup!$A$2:$D$648,MATCH(collectionMethodDistinct[[#This Row],[Column1]],samplemethodlookup!$A$2:$A$648,FALSE),1),"")</f>
        <v>Core section</v>
      </c>
    </row>
    <row r="71" spans="1:2" hidden="1" x14ac:dyDescent="0.25">
      <c r="A71" t="s">
        <v>72</v>
      </c>
      <c r="B71" t="str">
        <f>IFERROR(INDEX(samplemethodlookup!$A$2:$D$648,MATCH(collectionMethodDistinct[[#This Row],[Column1]],samplemethodlookup!$A$2:$A$648,FALSE),1),"")</f>
        <v>core, gravity</v>
      </c>
    </row>
    <row r="72" spans="1:2" hidden="1" x14ac:dyDescent="0.25">
      <c r="A72" t="s">
        <v>17</v>
      </c>
      <c r="B72" t="str">
        <f>IFERROR(INDEX(samplemethodlookup!$A$2:$D$648,MATCH(collectionMethodDistinct[[#This Row],[Column1]],samplemethodlookup!$A$2:$A$648,FALSE),1),"")</f>
        <v>Core&gt;Syringe</v>
      </c>
    </row>
    <row r="73" spans="1:2" hidden="1" x14ac:dyDescent="0.25">
      <c r="A73" t="s">
        <v>73</v>
      </c>
      <c r="B73" t="str">
        <f>IFERROR(INDEX(samplemethodlookup!$A$2:$D$648,MATCH(collectionMethodDistinct[[#This Row],[Column1]],samplemethodlookup!$A$2:$A$648,FALSE),1),"")</f>
        <v>Core&gt;Wax</v>
      </c>
    </row>
    <row r="74" spans="1:2" hidden="1" x14ac:dyDescent="0.25">
      <c r="A74" t="s">
        <v>74</v>
      </c>
      <c r="B74" t="str">
        <f>IFERROR(INDEX(samplemethodlookup!$A$2:$D$648,MATCH(collectionMethodDistinct[[#This Row],[Column1]],samplemethodlookup!$A$2:$A$648,FALSE),1),"")</f>
        <v>Corer - camera mounted</v>
      </c>
    </row>
    <row r="75" spans="1:2" hidden="1" x14ac:dyDescent="0.25">
      <c r="A75" t="s">
        <v>75</v>
      </c>
      <c r="B75" t="str">
        <f>IFERROR(INDEX(samplemethodlookup!$A$2:$D$648,MATCH(collectionMethodDistinct[[#This Row],[Column1]],samplemethodlookup!$A$2:$A$648,FALSE),1),"")</f>
        <v>Corer - submersible mounted</v>
      </c>
    </row>
    <row r="76" spans="1:2" hidden="1" x14ac:dyDescent="0.25">
      <c r="A76" t="s">
        <v>76</v>
      </c>
      <c r="B76" t="str">
        <f>IFERROR(INDEX(samplemethodlookup!$A$2:$D$648,MATCH(collectionMethodDistinct[[#This Row],[Column1]],samplemethodlookup!$A$2:$A$648,FALSE),1),"")</f>
        <v>Corer &gt; Syringe</v>
      </c>
    </row>
    <row r="77" spans="1:2" hidden="1" x14ac:dyDescent="0.25">
      <c r="A77" t="s">
        <v>77</v>
      </c>
      <c r="B77" t="str">
        <f>IFERROR(INDEX(samplemethodlookup!$A$2:$D$648,MATCH(collectionMethodDistinct[[#This Row],[Column1]],samplemethodlookup!$A$2:$A$648,FALSE),1),"")</f>
        <v>Corer&gt;auger corer</v>
      </c>
    </row>
    <row r="78" spans="1:2" hidden="1" x14ac:dyDescent="0.25">
      <c r="A78" t="s">
        <v>78</v>
      </c>
      <c r="B78" t="str">
        <f>IFERROR(INDEX(samplemethodlookup!$A$2:$D$648,MATCH(collectionMethodDistinct[[#This Row],[Column1]],samplemethodlookup!$A$2:$A$648,FALSE),1),"")</f>
        <v>Corer&gt;slide hammer corer</v>
      </c>
    </row>
    <row r="79" spans="1:2" hidden="1" x14ac:dyDescent="0.25">
      <c r="A79" t="s">
        <v>79</v>
      </c>
      <c r="B79" t="str">
        <f>IFERROR(INDEX(samplemethodlookup!$A$2:$D$648,MATCH(collectionMethodDistinct[[#This Row],[Column1]],samplemethodlookup!$A$2:$A$648,FALSE),1),"")</f>
        <v>Corer&gt;VibratingCorer</v>
      </c>
    </row>
    <row r="80" spans="1:2" hidden="1" x14ac:dyDescent="0.25">
      <c r="A80" t="s">
        <v>80</v>
      </c>
      <c r="B80" t="str">
        <f>IFERROR(INDEX(samplemethodlookup!$A$2:$D$648,MATCH(collectionMethodDistinct[[#This Row],[Column1]],samplemethodlookup!$A$2:$A$648,FALSE),1),"")</f>
        <v>CorerCoring&gt;DrillCorer</v>
      </c>
    </row>
    <row r="81" spans="1:2" hidden="1" x14ac:dyDescent="0.25">
      <c r="A81" t="s">
        <v>81</v>
      </c>
      <c r="B81" t="str">
        <f>IFERROR(INDEX(samplemethodlookup!$A$2:$D$648,MATCH(collectionMethodDistinct[[#This Row],[Column1]],samplemethodlookup!$A$2:$A$648,FALSE),1),"")</f>
        <v>coring</v>
      </c>
    </row>
    <row r="82" spans="1:2" hidden="1" x14ac:dyDescent="0.25">
      <c r="A82" t="s">
        <v>82</v>
      </c>
      <c r="B82" t="str">
        <f>IFERROR(INDEX(samplemethodlookup!$A$2:$D$648,MATCH(collectionMethodDistinct[[#This Row],[Column1]],samplemethodlookup!$A$2:$A$648,FALSE),1),"")</f>
        <v>coring</v>
      </c>
    </row>
    <row r="83" spans="1:2" hidden="1" x14ac:dyDescent="0.25">
      <c r="A83" t="s">
        <v>83</v>
      </c>
      <c r="B83" t="str">
        <f>IFERROR(INDEX(samplemethodlookup!$A$2:$D$648,MATCH(collectionMethodDistinct[[#This Row],[Column1]],samplemethodlookup!$A$2:$A$648,FALSE),1),"")</f>
        <v>Coring - Jumbo Piston Core</v>
      </c>
    </row>
    <row r="84" spans="1:2" hidden="1" x14ac:dyDescent="0.25">
      <c r="A84" t="s">
        <v>84</v>
      </c>
      <c r="B84" t="str">
        <f>IFERROR(INDEX(samplemethodlookup!$A$2:$D$648,MATCH(collectionMethodDistinct[[#This Row],[Column1]],samplemethodlookup!$A$2:$A$648,FALSE),1),"")</f>
        <v>Coring - Jumbo Piston Corer</v>
      </c>
    </row>
    <row r="85" spans="1:2" hidden="1" x14ac:dyDescent="0.25">
      <c r="A85" t="s">
        <v>85</v>
      </c>
      <c r="B85" t="str">
        <f>IFERROR(INDEX(samplemethodlookup!$A$2:$D$648,MATCH(collectionMethodDistinct[[#This Row],[Column1]],samplemethodlookup!$A$2:$A$648,FALSE),1),"")</f>
        <v>Coring - Jumbo Trigger Core</v>
      </c>
    </row>
    <row r="86" spans="1:2" hidden="1" x14ac:dyDescent="0.25">
      <c r="A86" t="s">
        <v>86</v>
      </c>
      <c r="B86" t="str">
        <f>IFERROR(INDEX(samplemethodlookup!$A$2:$D$648,MATCH(collectionMethodDistinct[[#This Row],[Column1]],samplemethodlookup!$A$2:$A$648,FALSE),1),"")</f>
        <v>Coring - Jumbo Trigger Corer</v>
      </c>
    </row>
    <row r="87" spans="1:2" hidden="1" x14ac:dyDescent="0.25">
      <c r="A87" t="s">
        <v>87</v>
      </c>
      <c r="B87" t="str">
        <f>IFERROR(INDEX(samplemethodlookup!$A$2:$D$648,MATCH(collectionMethodDistinct[[#This Row],[Column1]],samplemethodlookup!$A$2:$A$648,FALSE),1),"")</f>
        <v>Coring - Kasten Core</v>
      </c>
    </row>
    <row r="88" spans="1:2" hidden="1" x14ac:dyDescent="0.25">
      <c r="A88" t="s">
        <v>88</v>
      </c>
      <c r="B88" t="str">
        <f>IFERROR(INDEX(samplemethodlookup!$A$2:$D$648,MATCH(collectionMethodDistinct[[#This Row],[Column1]],samplemethodlookup!$A$2:$A$648,FALSE),1),"")</f>
        <v>Coring - Kasten Corer</v>
      </c>
    </row>
    <row r="89" spans="1:2" hidden="1" x14ac:dyDescent="0.25">
      <c r="A89" t="s">
        <v>89</v>
      </c>
      <c r="B89" t="str">
        <f>IFERROR(INDEX(samplemethodlookup!$A$2:$D$648,MATCH(collectionMethodDistinct[[#This Row],[Column1]],samplemethodlookup!$A$2:$A$648,FALSE),1),"")</f>
        <v>Coring - Mulit Core</v>
      </c>
    </row>
    <row r="90" spans="1:2" hidden="1" x14ac:dyDescent="0.25">
      <c r="A90" t="s">
        <v>90</v>
      </c>
      <c r="B90" t="str">
        <f>IFERROR(INDEX(samplemethodlookup!$A$2:$D$648,MATCH(collectionMethodDistinct[[#This Row],[Column1]],samplemethodlookup!$A$2:$A$648,FALSE),1),"")</f>
        <v>Coring - Multi Core</v>
      </c>
    </row>
    <row r="91" spans="1:2" hidden="1" x14ac:dyDescent="0.25">
      <c r="A91" t="s">
        <v>91</v>
      </c>
      <c r="B91" t="str">
        <f>IFERROR(INDEX(samplemethodlookup!$A$2:$D$648,MATCH(collectionMethodDistinct[[#This Row],[Column1]],samplemethodlookup!$A$2:$A$648,FALSE),1),"")</f>
        <v>Coring - Phleger</v>
      </c>
    </row>
    <row r="92" spans="1:2" hidden="1" x14ac:dyDescent="0.25">
      <c r="A92" t="s">
        <v>92</v>
      </c>
      <c r="B92" t="str">
        <f>IFERROR(INDEX(samplemethodlookup!$A$2:$D$648,MATCH(collectionMethodDistinct[[#This Row],[Column1]],samplemethodlookup!$A$2:$A$648,FALSE),1),"")</f>
        <v>Coring - Phleger Core</v>
      </c>
    </row>
    <row r="93" spans="1:2" hidden="1" x14ac:dyDescent="0.25">
      <c r="A93" t="s">
        <v>93</v>
      </c>
      <c r="B93" t="str">
        <f>IFERROR(INDEX(samplemethodlookup!$A$2:$D$648,MATCH(collectionMethodDistinct[[#This Row],[Column1]],samplemethodlookup!$A$2:$A$648,FALSE),1),"")</f>
        <v xml:space="preserve">Coring - Phleger Core </v>
      </c>
    </row>
    <row r="94" spans="1:2" hidden="1" x14ac:dyDescent="0.25">
      <c r="A94" t="s">
        <v>94</v>
      </c>
      <c r="B94" t="str">
        <f>IFERROR(INDEX(samplemethodlookup!$A$2:$D$648,MATCH(collectionMethodDistinct[[#This Row],[Column1]],samplemethodlookup!$A$2:$A$648,FALSE),1),"")</f>
        <v>Coring - Phleger Corec</v>
      </c>
    </row>
    <row r="95" spans="1:2" hidden="1" x14ac:dyDescent="0.25">
      <c r="A95" t="s">
        <v>95</v>
      </c>
      <c r="B95" t="str">
        <f>IFERROR(INDEX(samplemethodlookup!$A$2:$D$648,MATCH(collectionMethodDistinct[[#This Row],[Column1]],samplemethodlookup!$A$2:$A$648,FALSE),1),"")</f>
        <v>Coring - Piston Core</v>
      </c>
    </row>
    <row r="96" spans="1:2" hidden="1" x14ac:dyDescent="0.25">
      <c r="A96" t="s">
        <v>96</v>
      </c>
      <c r="B96" t="str">
        <f>IFERROR(INDEX(samplemethodlookup!$A$2:$D$648,MATCH(collectionMethodDistinct[[#This Row],[Column1]],samplemethodlookup!$A$2:$A$648,FALSE),1),"")</f>
        <v>Coring - Piston Corer</v>
      </c>
    </row>
    <row r="97" spans="1:2" hidden="1" x14ac:dyDescent="0.25">
      <c r="A97" t="s">
        <v>97</v>
      </c>
      <c r="B97" t="str">
        <f>IFERROR(INDEX(samplemethodlookup!$A$2:$D$648,MATCH(collectionMethodDistinct[[#This Row],[Column1]],samplemethodlookup!$A$2:$A$648,FALSE),1),"")</f>
        <v>Coring - Push Core</v>
      </c>
    </row>
    <row r="98" spans="1:2" hidden="1" x14ac:dyDescent="0.25">
      <c r="A98" t="s">
        <v>98</v>
      </c>
      <c r="B98" t="str">
        <f>IFERROR(INDEX(samplemethodlookup!$A$2:$D$648,MATCH(collectionMethodDistinct[[#This Row],[Column1]],samplemethodlookup!$A$2:$A$648,FALSE),1),"")</f>
        <v>Coring - Trigger Core</v>
      </c>
    </row>
    <row r="99" spans="1:2" hidden="1" x14ac:dyDescent="0.25">
      <c r="A99" t="s">
        <v>99</v>
      </c>
      <c r="B99" t="str">
        <f>IFERROR(INDEX(samplemethodlookup!$A$2:$D$648,MATCH(collectionMethodDistinct[[#This Row],[Column1]],samplemethodlookup!$A$2:$A$648,FALSE),1),"")</f>
        <v>Coring - Trigger Corer</v>
      </c>
    </row>
    <row r="100" spans="1:2" hidden="1" x14ac:dyDescent="0.25">
      <c r="A100" t="s">
        <v>100</v>
      </c>
      <c r="B100" t="str">
        <f>IFERROR(INDEX(samplemethodlookup!$A$2:$D$648,MATCH(collectionMethodDistinct[[#This Row],[Column1]],samplemethodlookup!$A$2:$A$648,FALSE),1),"")</f>
        <v>Coring &gt; Push Corer</v>
      </c>
    </row>
    <row r="101" spans="1:2" hidden="1" x14ac:dyDescent="0.25">
      <c r="A101" t="s">
        <v>101</v>
      </c>
      <c r="B101" t="str">
        <f>IFERROR(INDEX(samplemethodlookup!$A$2:$D$648,MATCH(collectionMethodDistinct[[#This Row],[Column1]],samplemethodlookup!$A$2:$A$648,FALSE),1),"")</f>
        <v>Coring &gt; Syringe</v>
      </c>
    </row>
    <row r="102" spans="1:2" hidden="1" x14ac:dyDescent="0.25">
      <c r="A102" t="s">
        <v>102</v>
      </c>
      <c r="B102" t="str">
        <f>IFERROR(INDEX(samplemethodlookup!$A$2:$D$648,MATCH(collectionMethodDistinct[[#This Row],[Column1]],samplemethodlookup!$A$2:$A$648,FALSE),1),"")</f>
        <v>Coring&gt;</v>
      </c>
    </row>
    <row r="103" spans="1:2" hidden="1" x14ac:dyDescent="0.25">
      <c r="A103" t="s">
        <v>103</v>
      </c>
      <c r="B103" t="str">
        <f>IFERROR(INDEX(samplemethodlookup!$A$2:$D$648,MATCH(collectionMethodDistinct[[#This Row],[Column1]],samplemethodlookup!$A$2:$A$648,FALSE),1),"")</f>
        <v>Coring&gt; HandHeldCorer</v>
      </c>
    </row>
    <row r="104" spans="1:2" hidden="1" x14ac:dyDescent="0.25">
      <c r="A104" t="s">
        <v>104</v>
      </c>
      <c r="B104" t="str">
        <f>IFERROR(INDEX(samplemethodlookup!$A$2:$D$648,MATCH(collectionMethodDistinct[[#This Row],[Column1]],samplemethodlookup!$A$2:$A$648,FALSE),1),"")</f>
        <v>Coring&gt; Jumbo Piston Core</v>
      </c>
    </row>
    <row r="105" spans="1:2" hidden="1" x14ac:dyDescent="0.25">
      <c r="A105" t="s">
        <v>105</v>
      </c>
      <c r="B105" t="str">
        <f>IFERROR(INDEX(samplemethodlookup!$A$2:$D$648,MATCH(collectionMethodDistinct[[#This Row],[Column1]],samplemethodlookup!$A$2:$A$648,FALSE),1),"")</f>
        <v>Coring&gt; Jumbo Piston Corer</v>
      </c>
    </row>
    <row r="106" spans="1:2" hidden="1" x14ac:dyDescent="0.25">
      <c r="A106" t="s">
        <v>106</v>
      </c>
      <c r="B106" t="str">
        <f>IFERROR(INDEX(samplemethodlookup!$A$2:$D$648,MATCH(collectionMethodDistinct[[#This Row],[Column1]],samplemethodlookup!$A$2:$A$648,FALSE),1),"")</f>
        <v>Coring&gt; Jumbo Trigger Core</v>
      </c>
    </row>
    <row r="107" spans="1:2" hidden="1" x14ac:dyDescent="0.25">
      <c r="A107" t="s">
        <v>107</v>
      </c>
      <c r="B107" t="str">
        <f>IFERROR(INDEX(samplemethodlookup!$A$2:$D$648,MATCH(collectionMethodDistinct[[#This Row],[Column1]],samplemethodlookup!$A$2:$A$648,FALSE),1),"")</f>
        <v>Coring&gt; Jumbo Trigger Corer</v>
      </c>
    </row>
    <row r="108" spans="1:2" hidden="1" x14ac:dyDescent="0.25">
      <c r="A108" t="s">
        <v>108</v>
      </c>
      <c r="B108" t="str">
        <f>IFERROR(INDEX(samplemethodlookup!$A$2:$D$648,MATCH(collectionMethodDistinct[[#This Row],[Column1]],samplemethodlookup!$A$2:$A$648,FALSE),1),"")</f>
        <v>Coring&gt; Mulit Core</v>
      </c>
    </row>
    <row r="109" spans="1:2" hidden="1" x14ac:dyDescent="0.25">
      <c r="A109" t="s">
        <v>109</v>
      </c>
      <c r="B109" t="str">
        <f>IFERROR(INDEX(samplemethodlookup!$A$2:$D$648,MATCH(collectionMethodDistinct[[#This Row],[Column1]],samplemethodlookup!$A$2:$A$648,FALSE),1),"")</f>
        <v>Coring&gt; Multi Core</v>
      </c>
    </row>
    <row r="110" spans="1:2" hidden="1" x14ac:dyDescent="0.25">
      <c r="A110" t="s">
        <v>110</v>
      </c>
      <c r="B110" t="str">
        <f>IFERROR(INDEX(samplemethodlookup!$A$2:$D$648,MATCH(collectionMethodDistinct[[#This Row],[Column1]],samplemethodlookup!$A$2:$A$648,FALSE),1),"")</f>
        <v>Coring&gt; Phleger Core</v>
      </c>
    </row>
    <row r="111" spans="1:2" hidden="1" x14ac:dyDescent="0.25">
      <c r="A111" t="s">
        <v>111</v>
      </c>
      <c r="B111" t="str">
        <f>IFERROR(INDEX(samplemethodlookup!$A$2:$D$648,MATCH(collectionMethodDistinct[[#This Row],[Column1]],samplemethodlookup!$A$2:$A$648,FALSE),1),"")</f>
        <v>Coring&gt; Piston Core</v>
      </c>
    </row>
    <row r="112" spans="1:2" hidden="1" x14ac:dyDescent="0.25">
      <c r="A112" t="s">
        <v>112</v>
      </c>
      <c r="B112" t="str">
        <f>IFERROR(INDEX(samplemethodlookup!$A$2:$D$648,MATCH(collectionMethodDistinct[[#This Row],[Column1]],samplemethodlookup!$A$2:$A$648,FALSE),1),"")</f>
        <v>Coring&gt; Piston Corer</v>
      </c>
    </row>
    <row r="113" spans="1:2" hidden="1" x14ac:dyDescent="0.25">
      <c r="A113" t="s">
        <v>113</v>
      </c>
      <c r="B113" t="str">
        <f>IFERROR(INDEX(samplemethodlookup!$A$2:$D$648,MATCH(collectionMethodDistinct[[#This Row],[Column1]],samplemethodlookup!$A$2:$A$648,FALSE),1),"")</f>
        <v>Coring&gt; Push Core</v>
      </c>
    </row>
    <row r="114" spans="1:2" hidden="1" x14ac:dyDescent="0.25">
      <c r="A114" t="s">
        <v>114</v>
      </c>
      <c r="B114" t="str">
        <f>IFERROR(INDEX(samplemethodlookup!$A$2:$D$648,MATCH(collectionMethodDistinct[[#This Row],[Column1]],samplemethodlookup!$A$2:$A$648,FALSE),1),"")</f>
        <v>Coring&gt; Trigger Core</v>
      </c>
    </row>
    <row r="115" spans="1:2" hidden="1" x14ac:dyDescent="0.25">
      <c r="A115" t="s">
        <v>115</v>
      </c>
      <c r="B115" t="str">
        <f>IFERROR(INDEX(samplemethodlookup!$A$2:$D$648,MATCH(collectionMethodDistinct[[#This Row],[Column1]],samplemethodlookup!$A$2:$A$648,FALSE),1),"")</f>
        <v>Coring&gt; TriggerCorer</v>
      </c>
    </row>
    <row r="116" spans="1:2" hidden="1" x14ac:dyDescent="0.25">
      <c r="A116" t="s">
        <v>116</v>
      </c>
      <c r="B116" t="str">
        <f>IFERROR(INDEX(samplemethodlookup!$A$2:$D$648,MATCH(collectionMethodDistinct[[#This Row],[Column1]],samplemethodlookup!$A$2:$A$648,FALSE),1),"")</f>
        <v>Coring&gt;BoxCore</v>
      </c>
    </row>
    <row r="117" spans="1:2" hidden="1" x14ac:dyDescent="0.25">
      <c r="A117" t="s">
        <v>117</v>
      </c>
      <c r="B117" t="str">
        <f>IFERROR(INDEX(samplemethodlookup!$A$2:$D$648,MATCH(collectionMethodDistinct[[#This Row],[Column1]],samplemethodlookup!$A$2:$A$648,FALSE),1),"")</f>
        <v>Coring&gt;BoxCorer</v>
      </c>
    </row>
    <row r="118" spans="1:2" hidden="1" x14ac:dyDescent="0.25">
      <c r="A118" t="s">
        <v>118</v>
      </c>
      <c r="B118" t="str">
        <f>IFERROR(INDEX(samplemethodlookup!$A$2:$D$648,MATCH(collectionMethodDistinct[[#This Row],[Column1]],samplemethodlookup!$A$2:$A$648,FALSE),1),"")</f>
        <v>Coring&gt;BucketAuger</v>
      </c>
    </row>
    <row r="119" spans="1:2" hidden="1" x14ac:dyDescent="0.25">
      <c r="A119" t="s">
        <v>119</v>
      </c>
      <c r="B119" t="str">
        <f>IFERROR(INDEX(samplemethodlookup!$A$2:$D$648,MATCH(collectionMethodDistinct[[#This Row],[Column1]],samplemethodlookup!$A$2:$A$648,FALSE),1),"")</f>
        <v>Coring&gt;CameraMounted</v>
      </c>
    </row>
    <row r="120" spans="1:2" hidden="1" x14ac:dyDescent="0.25">
      <c r="A120" t="s">
        <v>120</v>
      </c>
      <c r="B120" t="str">
        <f>IFERROR(INDEX(samplemethodlookup!$A$2:$D$648,MATCH(collectionMethodDistinct[[#This Row],[Column1]],samplemethodlookup!$A$2:$A$648,FALSE),1),"")</f>
        <v>Coring&gt;CameraMountedCorer</v>
      </c>
    </row>
    <row r="121" spans="1:2" hidden="1" x14ac:dyDescent="0.25">
      <c r="A121" t="s">
        <v>121</v>
      </c>
      <c r="B121" t="str">
        <f>IFERROR(INDEX(samplemethodlookup!$A$2:$D$648,MATCH(collectionMethodDistinct[[#This Row],[Column1]],samplemethodlookup!$A$2:$A$648,FALSE),1),"")</f>
        <v>Coring&gt;CoreBarrel&gt;Extended</v>
      </c>
    </row>
    <row r="122" spans="1:2" hidden="1" x14ac:dyDescent="0.25">
      <c r="A122" t="s">
        <v>122</v>
      </c>
      <c r="B122" t="str">
        <f>IFERROR(INDEX(samplemethodlookup!$A$2:$D$648,MATCH(collectionMethodDistinct[[#This Row],[Column1]],samplemethodlookup!$A$2:$A$648,FALSE),1),"")</f>
        <v>Coring&gt;Drill</v>
      </c>
    </row>
    <row r="123" spans="1:2" hidden="1" x14ac:dyDescent="0.25">
      <c r="A123" t="s">
        <v>123</v>
      </c>
      <c r="B123" t="str">
        <f>IFERROR(INDEX(samplemethodlookup!$A$2:$D$648,MATCH(collectionMethodDistinct[[#This Row],[Column1]],samplemethodlookup!$A$2:$A$648,FALSE),1),"")</f>
        <v>Coring&gt;DrillCorer</v>
      </c>
    </row>
    <row r="124" spans="1:2" hidden="1" x14ac:dyDescent="0.25">
      <c r="A124" t="s">
        <v>124</v>
      </c>
      <c r="B124" t="str">
        <f>IFERROR(INDEX(samplemethodlookup!$A$2:$D$648,MATCH(collectionMethodDistinct[[#This Row],[Column1]],samplemethodlookup!$A$2:$A$648,FALSE),1),"")</f>
        <v>Coring&gt;DrillCorer&gt;HandHeldCorer</v>
      </c>
    </row>
    <row r="125" spans="1:2" hidden="1" x14ac:dyDescent="0.25">
      <c r="A125" t="s">
        <v>125</v>
      </c>
      <c r="B125" t="str">
        <f>IFERROR(INDEX(samplemethodlookup!$A$2:$D$648,MATCH(collectionMethodDistinct[[#This Row],[Column1]],samplemethodlookup!$A$2:$A$648,FALSE),1),"")</f>
        <v>Coring&gt;FreeFallCorer</v>
      </c>
    </row>
    <row r="126" spans="1:2" hidden="1" x14ac:dyDescent="0.25">
      <c r="A126" t="s">
        <v>126</v>
      </c>
      <c r="B126" t="str">
        <f>IFERROR(INDEX(samplemethodlookup!$A$2:$D$648,MATCH(collectionMethodDistinct[[#This Row],[Column1]],samplemethodlookup!$A$2:$A$648,FALSE),1),"")</f>
        <v>Coring&gt;Geoprobe</v>
      </c>
    </row>
    <row r="127" spans="1:2" hidden="1" x14ac:dyDescent="0.25">
      <c r="A127" t="s">
        <v>127</v>
      </c>
      <c r="B127" t="str">
        <f>IFERROR(INDEX(samplemethodlookup!$A$2:$D$648,MATCH(collectionMethodDistinct[[#This Row],[Column1]],samplemethodlookup!$A$2:$A$648,FALSE),1),"")</f>
        <v>Coring&gt;Giant Gravity Core</v>
      </c>
    </row>
    <row r="128" spans="1:2" hidden="1" x14ac:dyDescent="0.25">
      <c r="A128" t="s">
        <v>128</v>
      </c>
      <c r="B128" t="str">
        <f>IFERROR(INDEX(samplemethodlookup!$A$2:$D$648,MATCH(collectionMethodDistinct[[#This Row],[Column1]],samplemethodlookup!$A$2:$A$648,FALSE),1),"")</f>
        <v>Coring&gt;gravity core</v>
      </c>
    </row>
    <row r="129" spans="1:2" hidden="1" x14ac:dyDescent="0.25">
      <c r="A129" t="s">
        <v>129</v>
      </c>
      <c r="B129" t="str">
        <f>IFERROR(INDEX(samplemethodlookup!$A$2:$D$648,MATCH(collectionMethodDistinct[[#This Row],[Column1]],samplemethodlookup!$A$2:$A$648,FALSE),1),"")</f>
        <v>Coring&gt;gravity core</v>
      </c>
    </row>
    <row r="130" spans="1:2" hidden="1" x14ac:dyDescent="0.25">
      <c r="A130" t="s">
        <v>130</v>
      </c>
      <c r="B130" t="str">
        <f>IFERROR(INDEX(samplemethodlookup!$A$2:$D$648,MATCH(collectionMethodDistinct[[#This Row],[Column1]],samplemethodlookup!$A$2:$A$648,FALSE),1),"")</f>
        <v>Coring&gt;Gravity Corer</v>
      </c>
    </row>
    <row r="131" spans="1:2" hidden="1" x14ac:dyDescent="0.25">
      <c r="A131" t="s">
        <v>131</v>
      </c>
      <c r="B131" t="str">
        <f>IFERROR(INDEX(samplemethodlookup!$A$2:$D$648,MATCH(collectionMethodDistinct[[#This Row],[Column1]],samplemethodlookup!$A$2:$A$648,FALSE),1),"")</f>
        <v>Coring&gt;Gravity corer (Kiel type) (SL)</v>
      </c>
    </row>
    <row r="132" spans="1:2" hidden="1" x14ac:dyDescent="0.25">
      <c r="A132" t="s">
        <v>132</v>
      </c>
      <c r="B132" t="str">
        <f>IFERROR(INDEX(samplemethodlookup!$A$2:$D$648,MATCH(collectionMethodDistinct[[#This Row],[Column1]],samplemethodlookup!$A$2:$A$648,FALSE),1),"")</f>
        <v>Coring&gt;GravityCorer</v>
      </c>
    </row>
    <row r="133" spans="1:2" hidden="1" x14ac:dyDescent="0.25">
      <c r="A133" t="s">
        <v>133</v>
      </c>
      <c r="B133" t="str">
        <f>IFERROR(INDEX(samplemethodlookup!$A$2:$D$648,MATCH(collectionMethodDistinct[[#This Row],[Column1]],samplemethodlookup!$A$2:$A$648,FALSE),1),"")</f>
        <v xml:space="preserve">Coring&gt;GravityCorer </v>
      </c>
    </row>
    <row r="134" spans="1:2" hidden="1" x14ac:dyDescent="0.25">
      <c r="A134" t="s">
        <v>134</v>
      </c>
      <c r="B134" t="str">
        <f>IFERROR(INDEX(samplemethodlookup!$A$2:$D$648,MATCH(collectionMethodDistinct[[#This Row],[Column1]],samplemethodlookup!$A$2:$A$648,FALSE),1),"")</f>
        <v>Coring&gt;GravityCorer and Rhizon</v>
      </c>
    </row>
    <row r="135" spans="1:2" hidden="1" x14ac:dyDescent="0.25">
      <c r="A135" t="s">
        <v>135</v>
      </c>
      <c r="B135" t="str">
        <f>IFERROR(INDEX(samplemethodlookup!$A$2:$D$648,MATCH(collectionMethodDistinct[[#This Row],[Column1]],samplemethodlookup!$A$2:$A$648,FALSE),1),"")</f>
        <v>Coring&gt;GravityCorer&gt;Giant</v>
      </c>
    </row>
    <row r="136" spans="1:2" hidden="1" x14ac:dyDescent="0.25">
      <c r="A136" t="s">
        <v>136</v>
      </c>
      <c r="B136" t="str">
        <f>IFERROR(INDEX(samplemethodlookup!$A$2:$D$648,MATCH(collectionMethodDistinct[[#This Row],[Column1]],samplemethodlookup!$A$2:$A$648,FALSE),1),"")</f>
        <v>Coring&gt;GravityCorer&gt;Pilot</v>
      </c>
    </row>
    <row r="137" spans="1:2" hidden="1" x14ac:dyDescent="0.25">
      <c r="A137" t="s">
        <v>137</v>
      </c>
      <c r="B137" t="str">
        <f>IFERROR(INDEX(samplemethodlookup!$A$2:$D$648,MATCH(collectionMethodDistinct[[#This Row],[Column1]],samplemethodlookup!$A$2:$A$648,FALSE),1),"")</f>
        <v>Coring&gt;HandHeldCore</v>
      </c>
    </row>
    <row r="138" spans="1:2" hidden="1" x14ac:dyDescent="0.25">
      <c r="A138" t="s">
        <v>138</v>
      </c>
      <c r="B138" t="str">
        <f>IFERROR(INDEX(samplemethodlookup!$A$2:$D$648,MATCH(collectionMethodDistinct[[#This Row],[Column1]],samplemethodlookup!$A$2:$A$648,FALSE),1),"")</f>
        <v>Coring&gt;HandHeldCorer</v>
      </c>
    </row>
    <row r="139" spans="1:2" hidden="1" x14ac:dyDescent="0.25">
      <c r="A139" t="s">
        <v>139</v>
      </c>
      <c r="B139" t="str">
        <f>IFERROR(INDEX(samplemethodlookup!$A$2:$D$648,MATCH(collectionMethodDistinct[[#This Row],[Column1]],samplemethodlookup!$A$2:$A$648,FALSE),1),"")</f>
        <v>Coring&gt;Jumbo Gravity Core</v>
      </c>
    </row>
    <row r="140" spans="1:2" hidden="1" x14ac:dyDescent="0.25">
      <c r="A140" t="s">
        <v>140</v>
      </c>
      <c r="B140" t="str">
        <f>IFERROR(INDEX(samplemethodlookup!$A$2:$D$648,MATCH(collectionMethodDistinct[[#This Row],[Column1]],samplemethodlookup!$A$2:$A$648,FALSE),1),"")</f>
        <v>Coring&gt;Jumbo Piston Core</v>
      </c>
    </row>
    <row r="141" spans="1:2" hidden="1" x14ac:dyDescent="0.25">
      <c r="A141" t="s">
        <v>141</v>
      </c>
      <c r="B141" t="str">
        <f>IFERROR(INDEX(samplemethodlookup!$A$2:$D$648,MATCH(collectionMethodDistinct[[#This Row],[Column1]],samplemethodlookup!$A$2:$A$648,FALSE),1),"")</f>
        <v>Coring&gt;Jumbo Trigger Core</v>
      </c>
    </row>
    <row r="142" spans="1:2" hidden="1" x14ac:dyDescent="0.25">
      <c r="A142" t="s">
        <v>142</v>
      </c>
      <c r="B142" t="str">
        <f>IFERROR(INDEX(samplemethodlookup!$A$2:$D$648,MATCH(collectionMethodDistinct[[#This Row],[Column1]],samplemethodlookup!$A$2:$A$648,FALSE),1),"")</f>
        <v>Coring&gt;JumboGravityCorer</v>
      </c>
    </row>
    <row r="143" spans="1:2" hidden="1" x14ac:dyDescent="0.25">
      <c r="A143" t="s">
        <v>143</v>
      </c>
      <c r="B143" t="str">
        <f>IFERROR(INDEX(samplemethodlookup!$A$2:$D$648,MATCH(collectionMethodDistinct[[#This Row],[Column1]],samplemethodlookup!$A$2:$A$648,FALSE),1),"")</f>
        <v>Coring&gt;JumboKastenCorer</v>
      </c>
    </row>
    <row r="144" spans="1:2" hidden="1" x14ac:dyDescent="0.25">
      <c r="A144" t="s">
        <v>144</v>
      </c>
      <c r="B144" t="str">
        <f>IFERROR(INDEX(samplemethodlookup!$A$2:$D$648,MATCH(collectionMethodDistinct[[#This Row],[Column1]],samplemethodlookup!$A$2:$A$648,FALSE),1),"")</f>
        <v>Coring&gt;JumboPistonCore</v>
      </c>
    </row>
    <row r="145" spans="1:2" hidden="1" x14ac:dyDescent="0.25">
      <c r="A145" t="s">
        <v>145</v>
      </c>
      <c r="B145" t="str">
        <f>IFERROR(INDEX(samplemethodlookup!$A$2:$D$648,MATCH(collectionMethodDistinct[[#This Row],[Column1]],samplemethodlookup!$A$2:$A$648,FALSE),1),"")</f>
        <v>Coring&gt;JumboPistonCorer</v>
      </c>
    </row>
    <row r="146" spans="1:2" hidden="1" x14ac:dyDescent="0.25">
      <c r="A146" t="s">
        <v>146</v>
      </c>
      <c r="B146" t="str">
        <f>IFERROR(INDEX(samplemethodlookup!$A$2:$D$648,MATCH(collectionMethodDistinct[[#This Row],[Column1]],samplemethodlookup!$A$2:$A$648,FALSE),1),"")</f>
        <v>Coring&gt;JumboTriggerCore</v>
      </c>
    </row>
    <row r="147" spans="1:2" hidden="1" x14ac:dyDescent="0.25">
      <c r="A147" t="s">
        <v>147</v>
      </c>
      <c r="B147" t="str">
        <f>IFERROR(INDEX(samplemethodlookup!$A$2:$D$648,MATCH(collectionMethodDistinct[[#This Row],[Column1]],samplemethodlookup!$A$2:$A$648,FALSE),1),"")</f>
        <v>Coring&gt;JumboTriggerCorer</v>
      </c>
    </row>
    <row r="148" spans="1:2" hidden="1" x14ac:dyDescent="0.25">
      <c r="A148" t="s">
        <v>148</v>
      </c>
      <c r="B148" t="str">
        <f>IFERROR(INDEX(samplemethodlookup!$A$2:$D$648,MATCH(collectionMethodDistinct[[#This Row],[Column1]],samplemethodlookup!$A$2:$A$648,FALSE),1),"")</f>
        <v>Coring&gt;Kasten Core</v>
      </c>
    </row>
    <row r="149" spans="1:2" hidden="1" x14ac:dyDescent="0.25">
      <c r="A149" t="s">
        <v>149</v>
      </c>
      <c r="B149" t="str">
        <f>IFERROR(INDEX(samplemethodlookup!$A$2:$D$648,MATCH(collectionMethodDistinct[[#This Row],[Column1]],samplemethodlookup!$A$2:$A$648,FALSE),1),"")</f>
        <v>Coring&gt;KastenCorer</v>
      </c>
    </row>
    <row r="150" spans="1:2" hidden="1" x14ac:dyDescent="0.25">
      <c r="A150" t="s">
        <v>150</v>
      </c>
      <c r="B150" t="str">
        <f>IFERROR(INDEX(samplemethodlookup!$A$2:$D$648,MATCH(collectionMethodDistinct[[#This Row],[Column1]],samplemethodlookup!$A$2:$A$648,FALSE),1),"")</f>
        <v>Coring&gt;KastenlotCorer</v>
      </c>
    </row>
    <row r="151" spans="1:2" hidden="1" x14ac:dyDescent="0.25">
      <c r="A151" t="s">
        <v>151</v>
      </c>
      <c r="B151" t="str">
        <f>IFERROR(INDEX(samplemethodlookup!$A$2:$D$648,MATCH(collectionMethodDistinct[[#This Row],[Column1]],samplemethodlookup!$A$2:$A$648,FALSE),1),"")</f>
        <v>Coring&gt;Megacore</v>
      </c>
    </row>
    <row r="152" spans="1:2" hidden="1" x14ac:dyDescent="0.25">
      <c r="A152" t="s">
        <v>152</v>
      </c>
      <c r="B152" t="str">
        <f>IFERROR(INDEX(samplemethodlookup!$A$2:$D$648,MATCH(collectionMethodDistinct[[#This Row],[Column1]],samplemethodlookup!$A$2:$A$648,FALSE),1),"")</f>
        <v>Coring&gt;Multicore</v>
      </c>
    </row>
    <row r="153" spans="1:2" hidden="1" x14ac:dyDescent="0.25">
      <c r="A153" t="s">
        <v>153</v>
      </c>
      <c r="B153" t="str">
        <f>IFERROR(INDEX(samplemethodlookup!$A$2:$D$648,MATCH(collectionMethodDistinct[[#This Row],[Column1]],samplemethodlookup!$A$2:$A$648,FALSE),1),"")</f>
        <v>Coring&gt;Multicorer</v>
      </c>
    </row>
    <row r="154" spans="1:2" hidden="1" x14ac:dyDescent="0.25">
      <c r="A154" t="s">
        <v>154</v>
      </c>
      <c r="B154" t="str">
        <f>IFERROR(INDEX(samplemethodlookup!$A$2:$D$648,MATCH(collectionMethodDistinct[[#This Row],[Column1]],samplemethodlookup!$A$2:$A$648,FALSE),1),"")</f>
        <v>Coring&gt;Multicorer</v>
      </c>
    </row>
    <row r="155" spans="1:2" hidden="1" x14ac:dyDescent="0.25">
      <c r="A155" t="s">
        <v>155</v>
      </c>
      <c r="B155" t="str">
        <f>IFERROR(INDEX(samplemethodlookup!$A$2:$D$648,MATCH(collectionMethodDistinct[[#This Row],[Column1]],samplemethodlookup!$A$2:$A$648,FALSE),1),"")</f>
        <v>Coring&gt;MultiCorer core</v>
      </c>
    </row>
    <row r="156" spans="1:2" hidden="1" x14ac:dyDescent="0.25">
      <c r="A156" t="s">
        <v>156</v>
      </c>
      <c r="B156" t="str">
        <f>IFERROR(INDEX(samplemethodlookup!$A$2:$D$648,MATCH(collectionMethodDistinct[[#This Row],[Column1]],samplemethodlookup!$A$2:$A$648,FALSE),1),"")</f>
        <v>Coring&gt;PercussionCorer</v>
      </c>
    </row>
    <row r="157" spans="1:2" hidden="1" x14ac:dyDescent="0.25">
      <c r="A157" t="s">
        <v>157</v>
      </c>
      <c r="B157" t="str">
        <f>IFERROR(INDEX(samplemethodlookup!$A$2:$D$648,MATCH(collectionMethodDistinct[[#This Row],[Column1]],samplemethodlookup!$A$2:$A$648,FALSE),1),"")</f>
        <v>Coring&gt;Phleger</v>
      </c>
    </row>
    <row r="158" spans="1:2" hidden="1" x14ac:dyDescent="0.25">
      <c r="A158" t="s">
        <v>158</v>
      </c>
      <c r="B158" t="str">
        <f>IFERROR(INDEX(samplemethodlookup!$A$2:$D$648,MATCH(collectionMethodDistinct[[#This Row],[Column1]],samplemethodlookup!$A$2:$A$648,FALSE),1),"")</f>
        <v>Coring&gt;Phleger Core</v>
      </c>
    </row>
    <row r="159" spans="1:2" hidden="1" x14ac:dyDescent="0.25">
      <c r="A159" t="s">
        <v>159</v>
      </c>
      <c r="B159" t="str">
        <f>IFERROR(INDEX(samplemethodlookup!$A$2:$D$648,MATCH(collectionMethodDistinct[[#This Row],[Column1]],samplemethodlookup!$A$2:$A$648,FALSE),1),"")</f>
        <v>Coring&gt;Phleger Corec</v>
      </c>
    </row>
    <row r="160" spans="1:2" hidden="1" x14ac:dyDescent="0.25">
      <c r="A160" t="s">
        <v>160</v>
      </c>
      <c r="B160" t="str">
        <f>IFERROR(INDEX(samplemethodlookup!$A$2:$D$648,MATCH(collectionMethodDistinct[[#This Row],[Column1]],samplemethodlookup!$A$2:$A$648,FALSE),1),"")</f>
        <v>Coring&gt;PhlegerCore</v>
      </c>
    </row>
    <row r="161" spans="1:2" hidden="1" x14ac:dyDescent="0.25">
      <c r="A161" t="s">
        <v>161</v>
      </c>
      <c r="B161" t="str">
        <f>IFERROR(INDEX(samplemethodlookup!$A$2:$D$648,MATCH(collectionMethodDistinct[[#This Row],[Column1]],samplemethodlookup!$A$2:$A$648,FALSE),1),"")</f>
        <v>Coring&gt;PhlegerCorer</v>
      </c>
    </row>
    <row r="162" spans="1:2" hidden="1" x14ac:dyDescent="0.25">
      <c r="A162" t="s">
        <v>162</v>
      </c>
      <c r="B162" t="str">
        <f>IFERROR(INDEX(samplemethodlookup!$A$2:$D$648,MATCH(collectionMethodDistinct[[#This Row],[Column1]],samplemethodlookup!$A$2:$A$648,FALSE),1),"")</f>
        <v>Coring&gt;Piston Core</v>
      </c>
    </row>
    <row r="163" spans="1:2" hidden="1" x14ac:dyDescent="0.25">
      <c r="A163" t="s">
        <v>163</v>
      </c>
      <c r="B163" t="str">
        <f>IFERROR(INDEX(samplemethodlookup!$A$2:$D$648,MATCH(collectionMethodDistinct[[#This Row],[Column1]],samplemethodlookup!$A$2:$A$648,FALSE),1),"")</f>
        <v>Coring&gt;Piston corer</v>
      </c>
    </row>
    <row r="164" spans="1:2" hidden="1" x14ac:dyDescent="0.25">
      <c r="A164" t="s">
        <v>164</v>
      </c>
      <c r="B164" t="str">
        <f>IFERROR(INDEX(samplemethodlookup!$A$2:$D$648,MATCH(collectionMethodDistinct[[#This Row],[Column1]],samplemethodlookup!$A$2:$A$648,FALSE),1),"")</f>
        <v>Coring&gt;PistonCore</v>
      </c>
    </row>
    <row r="165" spans="1:2" hidden="1" x14ac:dyDescent="0.25">
      <c r="A165" t="s">
        <v>165</v>
      </c>
      <c r="B165" t="str">
        <f>IFERROR(INDEX(samplemethodlookup!$A$2:$D$648,MATCH(collectionMethodDistinct[[#This Row],[Column1]],samplemethodlookup!$A$2:$A$648,FALSE),1),"")</f>
        <v>Coring&gt;PistonCorer</v>
      </c>
    </row>
    <row r="166" spans="1:2" hidden="1" x14ac:dyDescent="0.25">
      <c r="A166" t="s">
        <v>166</v>
      </c>
      <c r="B166" t="str">
        <f>IFERROR(INDEX(samplemethodlookup!$A$2:$D$648,MATCH(collectionMethodDistinct[[#This Row],[Column1]],samplemethodlookup!$A$2:$A$648,FALSE),1),"")</f>
        <v>Coring&gt;PistonCorer&gt;Giant</v>
      </c>
    </row>
    <row r="167" spans="1:2" hidden="1" x14ac:dyDescent="0.25">
      <c r="A167" t="s">
        <v>167</v>
      </c>
      <c r="B167" t="str">
        <f>IFERROR(INDEX(samplemethodlookup!$A$2:$D$648,MATCH(collectionMethodDistinct[[#This Row],[Column1]],samplemethodlookup!$A$2:$A$648,FALSE),1),"")</f>
        <v>Coring&gt;PistonCorer&gt;Jumbo</v>
      </c>
    </row>
    <row r="168" spans="1:2" hidden="1" x14ac:dyDescent="0.25">
      <c r="A168" t="s">
        <v>168</v>
      </c>
      <c r="B168" t="str">
        <f>IFERROR(INDEX(samplemethodlookup!$A$2:$D$648,MATCH(collectionMethodDistinct[[#This Row],[Column1]],samplemethodlookup!$A$2:$A$648,FALSE),1),"")</f>
        <v>Coring&gt;PistonCoring</v>
      </c>
    </row>
    <row r="169" spans="1:2" hidden="1" x14ac:dyDescent="0.25">
      <c r="A169" t="s">
        <v>169</v>
      </c>
      <c r="B169" t="str">
        <f>IFERROR(INDEX(samplemethodlookup!$A$2:$D$648,MATCH(collectionMethodDistinct[[#This Row],[Column1]],samplemethodlookup!$A$2:$A$648,FALSE),1),"")</f>
        <v>Coring&gt;PistonPushCorer</v>
      </c>
    </row>
    <row r="170" spans="1:2" hidden="1" x14ac:dyDescent="0.25">
      <c r="A170" t="s">
        <v>170</v>
      </c>
      <c r="B170" t="str">
        <f>IFERROR(INDEX(samplemethodlookup!$A$2:$D$648,MATCH(collectionMethodDistinct[[#This Row],[Column1]],samplemethodlookup!$A$2:$A$648,FALSE),1),"")</f>
        <v>Coring&gt;PushCorer</v>
      </c>
    </row>
    <row r="171" spans="1:2" hidden="1" x14ac:dyDescent="0.25">
      <c r="A171" t="s">
        <v>171</v>
      </c>
      <c r="B171" t="str">
        <f>IFERROR(INDEX(samplemethodlookup!$A$2:$D$648,MATCH(collectionMethodDistinct[[#This Row],[Column1]],samplemethodlookup!$A$2:$A$648,FALSE),1),"")</f>
        <v>Coring&gt;RockCorer</v>
      </c>
    </row>
    <row r="172" spans="1:2" hidden="1" x14ac:dyDescent="0.25">
      <c r="A172" t="s">
        <v>172</v>
      </c>
      <c r="B172" t="str">
        <f>IFERROR(INDEX(samplemethodlookup!$A$2:$D$648,MATCH(collectionMethodDistinct[[#This Row],[Column1]],samplemethodlookup!$A$2:$A$648,FALSE),1),"")</f>
        <v>Coring&gt;ShortKastenCorer</v>
      </c>
    </row>
    <row r="173" spans="1:2" hidden="1" x14ac:dyDescent="0.25">
      <c r="A173" t="s">
        <v>173</v>
      </c>
      <c r="B173" t="str">
        <f>IFERROR(INDEX(samplemethodlookup!$A$2:$D$648,MATCH(collectionMethodDistinct[[#This Row],[Column1]],samplemethodlookup!$A$2:$A$648,FALSE),1),"")</f>
        <v>Coring&gt;SideSaddleCorer</v>
      </c>
    </row>
    <row r="174" spans="1:2" hidden="1" x14ac:dyDescent="0.25">
      <c r="A174" t="s">
        <v>174</v>
      </c>
      <c r="B174" t="str">
        <f>IFERROR(INDEX(samplemethodlookup!$A$2:$D$648,MATCH(collectionMethodDistinct[[#This Row],[Column1]],samplemethodlookup!$A$2:$A$648,FALSE),1),"")</f>
        <v>Coring&gt;SubmersibleMountedCorer</v>
      </c>
    </row>
    <row r="175" spans="1:2" hidden="1" x14ac:dyDescent="0.25">
      <c r="A175" t="s">
        <v>175</v>
      </c>
      <c r="B175" t="str">
        <f>IFERROR(INDEX(samplemethodlookup!$A$2:$D$648,MATCH(collectionMethodDistinct[[#This Row],[Column1]],samplemethodlookup!$A$2:$A$648,FALSE),1),"")</f>
        <v>coring&gt;Trigger Core</v>
      </c>
    </row>
    <row r="176" spans="1:2" hidden="1" x14ac:dyDescent="0.25">
      <c r="A176" t="s">
        <v>176</v>
      </c>
      <c r="B176" t="str">
        <f>IFERROR(INDEX(samplemethodlookup!$A$2:$D$648,MATCH(collectionMethodDistinct[[#This Row],[Column1]],samplemethodlookup!$A$2:$A$648,FALSE),1),"")</f>
        <v>coring&gt;Trigger Core</v>
      </c>
    </row>
    <row r="177" spans="1:2" hidden="1" x14ac:dyDescent="0.25">
      <c r="A177" t="s">
        <v>177</v>
      </c>
      <c r="B177" t="str">
        <f>IFERROR(INDEX(samplemethodlookup!$A$2:$D$648,MATCH(collectionMethodDistinct[[#This Row],[Column1]],samplemethodlookup!$A$2:$A$648,FALSE),1),"")</f>
        <v>Coring&gt;TriggerCore</v>
      </c>
    </row>
    <row r="178" spans="1:2" hidden="1" x14ac:dyDescent="0.25">
      <c r="A178" t="s">
        <v>178</v>
      </c>
      <c r="B178" t="str">
        <f>IFERROR(INDEX(samplemethodlookup!$A$2:$D$648,MATCH(collectionMethodDistinct[[#This Row],[Column1]],samplemethodlookup!$A$2:$A$648,FALSE),1),"")</f>
        <v>Coring&gt;TriggerCore&gt;Giant</v>
      </c>
    </row>
    <row r="179" spans="1:2" hidden="1" x14ac:dyDescent="0.25">
      <c r="A179" t="s">
        <v>179</v>
      </c>
      <c r="B179" t="str">
        <f>IFERROR(INDEX(samplemethodlookup!$A$2:$D$648,MATCH(collectionMethodDistinct[[#This Row],[Column1]],samplemethodlookup!$A$2:$A$648,FALSE),1),"")</f>
        <v>Coring&gt;Triggercorer</v>
      </c>
    </row>
    <row r="180" spans="1:2" hidden="1" x14ac:dyDescent="0.25">
      <c r="A180" t="s">
        <v>180</v>
      </c>
      <c r="B180" t="str">
        <f>IFERROR(INDEX(samplemethodlookup!$A$2:$D$648,MATCH(collectionMethodDistinct[[#This Row],[Column1]],samplemethodlookup!$A$2:$A$648,FALSE),1),"")</f>
        <v>Coring&gt;Triggercorer</v>
      </c>
    </row>
    <row r="181" spans="1:2" hidden="1" x14ac:dyDescent="0.25">
      <c r="A181" t="s">
        <v>181</v>
      </c>
      <c r="B181" t="str">
        <f>IFERROR(INDEX(samplemethodlookup!$A$2:$D$648,MATCH(collectionMethodDistinct[[#This Row],[Column1]],samplemethodlookup!$A$2:$A$648,FALSE),1),"")</f>
        <v>Coring&gt;TriggerCorer&gt;Giant</v>
      </c>
    </row>
    <row r="182" spans="1:2" hidden="1" x14ac:dyDescent="0.25">
      <c r="A182" t="s">
        <v>182</v>
      </c>
      <c r="B182" t="str">
        <f>IFERROR(INDEX(samplemethodlookup!$A$2:$D$648,MATCH(collectionMethodDistinct[[#This Row],[Column1]],samplemethodlookup!$A$2:$A$648,FALSE),1),"")</f>
        <v>Coring&gt;TriggerCorerr</v>
      </c>
    </row>
    <row r="183" spans="1:2" hidden="1" x14ac:dyDescent="0.25">
      <c r="A183" t="s">
        <v>183</v>
      </c>
      <c r="B183" t="str">
        <f>IFERROR(INDEX(samplemethodlookup!$A$2:$D$648,MATCH(collectionMethodDistinct[[#This Row],[Column1]],samplemethodlookup!$A$2:$A$648,FALSE),1),"")</f>
        <v>Coring&gt;TriggerGravityCorer</v>
      </c>
    </row>
    <row r="184" spans="1:2" hidden="1" x14ac:dyDescent="0.25">
      <c r="A184" t="s">
        <v>184</v>
      </c>
      <c r="B184" t="str">
        <f>IFERROR(INDEX(samplemethodlookup!$A$2:$D$648,MATCH(collectionMethodDistinct[[#This Row],[Column1]],samplemethodlookup!$A$2:$A$648,FALSE),1),"")</f>
        <v>Coring&gt;TriggerWeight</v>
      </c>
    </row>
    <row r="185" spans="1:2" hidden="1" x14ac:dyDescent="0.25">
      <c r="A185" t="s">
        <v>185</v>
      </c>
      <c r="B185" t="str">
        <f>IFERROR(INDEX(samplemethodlookup!$A$2:$D$648,MATCH(collectionMethodDistinct[[#This Row],[Column1]],samplemethodlookup!$A$2:$A$648,FALSE),1),"")</f>
        <v>Coring&gt;TriggerWeightCorer</v>
      </c>
    </row>
    <row r="186" spans="1:2" hidden="1" x14ac:dyDescent="0.25">
      <c r="A186" t="s">
        <v>186</v>
      </c>
      <c r="B186" t="str">
        <f>IFERROR(INDEX(samplemethodlookup!$A$2:$D$648,MATCH(collectionMethodDistinct[[#This Row],[Column1]],samplemethodlookup!$A$2:$A$648,FALSE),1),"")</f>
        <v>Coring&gt;Vibracore</v>
      </c>
    </row>
    <row r="187" spans="1:2" hidden="1" x14ac:dyDescent="0.25">
      <c r="A187" t="s">
        <v>187</v>
      </c>
      <c r="B187" t="str">
        <f>IFERROR(INDEX(samplemethodlookup!$A$2:$D$648,MATCH(collectionMethodDistinct[[#This Row],[Column1]],samplemethodlookup!$A$2:$A$648,FALSE),1),"")</f>
        <v>Coring&gt;VibraCorer</v>
      </c>
    </row>
    <row r="188" spans="1:2" hidden="1" x14ac:dyDescent="0.25">
      <c r="A188" t="s">
        <v>188</v>
      </c>
      <c r="B188" t="str">
        <f>IFERROR(INDEX(samplemethodlookup!$A$2:$D$648,MATCH(collectionMethodDistinct[[#This Row],[Column1]],samplemethodlookup!$A$2:$A$648,FALSE),1),"")</f>
        <v>Coring&gt;VibratingCorer</v>
      </c>
    </row>
    <row r="189" spans="1:2" hidden="1" x14ac:dyDescent="0.25">
      <c r="A189" t="s">
        <v>189</v>
      </c>
      <c r="B189" t="str">
        <f>IFERROR(INDEX(samplemethodlookup!$A$2:$D$648,MATCH(collectionMethodDistinct[[#This Row],[Column1]],samplemethodlookup!$A$2:$A$648,FALSE),1),"")</f>
        <v>Coring&gt;VibratingCorer</v>
      </c>
    </row>
    <row r="190" spans="1:2" hidden="1" x14ac:dyDescent="0.25">
      <c r="A190" t="s">
        <v>190</v>
      </c>
      <c r="B190" t="str">
        <f>IFERROR(INDEX(samplemethodlookup!$A$2:$D$648,MATCH(collectionMethodDistinct[[#This Row],[Column1]],samplemethodlookup!$A$2:$A$648,FALSE),1),"")</f>
        <v>Coring&gt;WaxCorer</v>
      </c>
    </row>
    <row r="191" spans="1:2" hidden="1" x14ac:dyDescent="0.25">
      <c r="A191" t="s">
        <v>191</v>
      </c>
      <c r="B191" t="str">
        <f>IFERROR(INDEX(samplemethodlookup!$A$2:$D$648,MATCH(collectionMethodDistinct[[#This Row],[Column1]],samplemethodlookup!$A$2:$A$648,FALSE),1),"")</f>
        <v>CTD</v>
      </c>
    </row>
    <row r="192" spans="1:2" hidden="1" x14ac:dyDescent="0.25">
      <c r="A192" t="s">
        <v>192</v>
      </c>
      <c r="B192" t="str">
        <f>IFERROR(INDEX(samplemethodlookup!$A$2:$D$648,MATCH(collectionMethodDistinct[[#This Row],[Column1]],samplemethodlookup!$A$2:$A$648,FALSE),1),"")</f>
        <v>Cut and removed with spatula</v>
      </c>
    </row>
    <row r="193" spans="1:2" hidden="1" x14ac:dyDescent="0.25">
      <c r="A193" t="s">
        <v>193</v>
      </c>
      <c r="B193" t="str">
        <f>IFERROR(INDEX(samplemethodlookup!$A$2:$D$648,MATCH(collectionMethodDistinct[[#This Row],[Column1]],samplemethodlookup!$A$2:$A$648,FALSE),1),"")</f>
        <v>Cut from American Museum of Natural History Mineral Collection # 100242</v>
      </c>
    </row>
    <row r="194" spans="1:2" hidden="1" x14ac:dyDescent="0.25">
      <c r="A194" t="s">
        <v>194</v>
      </c>
      <c r="B194" t="str">
        <f>IFERROR(INDEX(samplemethodlookup!$A$2:$D$648,MATCH(collectionMethodDistinct[[#This Row],[Column1]],samplemethodlookup!$A$2:$A$648,FALSE),1),"")</f>
        <v>David's collection \ testing escapable chars."</v>
      </c>
    </row>
    <row r="195" spans="1:2" hidden="1" x14ac:dyDescent="0.25">
      <c r="A195" t="s">
        <v>195</v>
      </c>
      <c r="B195" t="str">
        <f>IFERROR(INDEX(samplemethodlookup!$A$2:$D$648,MATCH(collectionMethodDistinct[[#This Row],[Column1]],samplemethodlookup!$A$2:$A$648,FALSE),1),"")</f>
        <v>Deep ice core</v>
      </c>
    </row>
    <row r="196" spans="1:2" hidden="1" x14ac:dyDescent="0.25">
      <c r="A196" t="s">
        <v>196</v>
      </c>
      <c r="B196" t="str">
        <f>IFERROR(INDEX(samplemethodlookup!$A$2:$D$648,MATCH(collectionMethodDistinct[[#This Row],[Column1]],samplemethodlookup!$A$2:$A$648,FALSE),1),"")</f>
        <v>DEEP LAKE DRILLING SYSTEM using Hydraulic Piston Corer (HPC), Extended shoe, non-rotating (EXN), Extended core bit, rotating (XCB)</v>
      </c>
    </row>
    <row r="197" spans="1:2" hidden="1" x14ac:dyDescent="0.25">
      <c r="A197" t="s">
        <v>197</v>
      </c>
      <c r="B197" t="str">
        <f>IFERROR(INDEX(samplemethodlookup!$A$2:$D$648,MATCH(collectionMethodDistinct[[#This Row],[Column1]],samplemethodlookup!$A$2:$A$648,FALSE),1),"")</f>
        <v>Density Coreing Device</v>
      </c>
    </row>
    <row r="198" spans="1:2" hidden="1" x14ac:dyDescent="0.25">
      <c r="A198" t="s">
        <v>198</v>
      </c>
      <c r="B198" t="str">
        <f>IFERROR(INDEX(samplemethodlookup!$A$2:$D$648,MATCH(collectionMethodDistinct[[#This Row],[Column1]],samplemethodlookup!$A$2:$A$648,FALSE),1),"")</f>
        <v>Depth-integrated</v>
      </c>
    </row>
    <row r="199" spans="1:2" hidden="1" x14ac:dyDescent="0.25">
      <c r="A199" t="s">
        <v>199</v>
      </c>
      <c r="B199" t="str">
        <f>IFERROR(INDEX(samplemethodlookup!$A$2:$D$648,MATCH(collectionMethodDistinct[[#This Row],[Column1]],samplemethodlookup!$A$2:$A$648,FALSE),1),"")</f>
        <v>diamond bit wireline coring</v>
      </c>
    </row>
    <row r="200" spans="1:2" hidden="1" x14ac:dyDescent="0.25">
      <c r="A200" t="s">
        <v>200</v>
      </c>
      <c r="B200" t="str">
        <f>IFERROR(INDEX(samplemethodlookup!$A$2:$D$648,MATCH(collectionMethodDistinct[[#This Row],[Column1]],samplemethodlookup!$A$2:$A$648,FALSE),1),"")</f>
        <v>Dietz grab</v>
      </c>
    </row>
    <row r="201" spans="1:2" hidden="1" x14ac:dyDescent="0.25">
      <c r="A201" t="s">
        <v>201</v>
      </c>
      <c r="B201" t="str">
        <f>IFERROR(INDEX(samplemethodlookup!$A$2:$D$648,MATCH(collectionMethodDistinct[[#This Row],[Column1]],samplemethodlookup!$A$2:$A$648,FALSE),1),"")</f>
        <v xml:space="preserve">dig from pit </v>
      </c>
    </row>
    <row r="202" spans="1:2" hidden="1" x14ac:dyDescent="0.25">
      <c r="A202" t="s">
        <v>202</v>
      </c>
      <c r="B202" t="str">
        <f>IFERROR(INDEX(samplemethodlookup!$A$2:$D$648,MATCH(collectionMethodDistinct[[#This Row],[Column1]],samplemethodlookup!$A$2:$A$648,FALSE),1),"")</f>
        <v>Dilling</v>
      </c>
    </row>
    <row r="203" spans="1:2" x14ac:dyDescent="0.25">
      <c r="A203" t="s">
        <v>953</v>
      </c>
      <c r="B203" t="str">
        <f>IFERROR(INDEX(samplemethodlookup!$A$2:$D$648,MATCH(collectionMethodDistinct[[#This Row],[Column1]],samplemethodlookup!$A$2:$A$648,FALSE),1),"")</f>
        <v>direct from outcrop</v>
      </c>
    </row>
    <row r="204" spans="1:2" hidden="1" x14ac:dyDescent="0.25">
      <c r="A204" t="s">
        <v>203</v>
      </c>
      <c r="B204" t="str">
        <f>IFERROR(INDEX(samplemethodlookup!$A$2:$D$648,MATCH(collectionMethodDistinct[[#This Row],[Column1]],samplemethodlookup!$A$2:$A$648,FALSE),1),"")</f>
        <v>Direct from tephra deposit</v>
      </c>
    </row>
    <row r="205" spans="1:2" hidden="1" x14ac:dyDescent="0.25">
      <c r="A205" t="s">
        <v>204</v>
      </c>
      <c r="B205" t="str">
        <f>IFERROR(INDEX(samplemethodlookup!$A$2:$D$648,MATCH(collectionMethodDistinct[[#This Row],[Column1]],samplemethodlookup!$A$2:$A$648,FALSE),1),"")</f>
        <v>Direct push drill</v>
      </c>
    </row>
    <row r="206" spans="1:2" hidden="1" x14ac:dyDescent="0.25">
      <c r="A206" t="s">
        <v>205</v>
      </c>
      <c r="B206" t="str">
        <f>IFERROR(INDEX(samplemethodlookup!$A$2:$D$648,MATCH(collectionMethodDistinct[[#This Row],[Column1]],samplemethodlookup!$A$2:$A$648,FALSE),1),"")</f>
        <v>dredge</v>
      </c>
    </row>
    <row r="207" spans="1:2" hidden="1" x14ac:dyDescent="0.25">
      <c r="A207" t="s">
        <v>206</v>
      </c>
      <c r="B207" t="str">
        <f>IFERROR(INDEX(samplemethodlookup!$A$2:$D$648,MATCH(collectionMethodDistinct[[#This Row],[Column1]],samplemethodlookup!$A$2:$A$648,FALSE),1),"")</f>
        <v>dredge</v>
      </c>
    </row>
    <row r="208" spans="1:2" x14ac:dyDescent="0.25">
      <c r="A208" t="s">
        <v>952</v>
      </c>
      <c r="B208" t="str">
        <f>IFERROR(INDEX(samplemethodlookup!$A$2:$D$648,MATCH(collectionMethodDistinct[[#This Row],[Column1]],samplemethodlookup!$A$2:$A$648,FALSE),1),"")</f>
        <v>Dredge/MAPR</v>
      </c>
    </row>
    <row r="209" spans="1:2" hidden="1" x14ac:dyDescent="0.25">
      <c r="A209" t="s">
        <v>207</v>
      </c>
      <c r="B209" t="str">
        <f>IFERROR(INDEX(samplemethodlookup!$A$2:$D$648,MATCH(collectionMethodDistinct[[#This Row],[Column1]],samplemethodlookup!$A$2:$A$648,FALSE),1),"")</f>
        <v>dredging</v>
      </c>
    </row>
    <row r="210" spans="1:2" hidden="1" x14ac:dyDescent="0.25">
      <c r="A210" t="s">
        <v>21</v>
      </c>
      <c r="B210" t="str">
        <f>IFERROR(INDEX(samplemethodlookup!$A$2:$D$648,MATCH(collectionMethodDistinct[[#This Row],[Column1]],samplemethodlookup!$A$2:$A$648,FALSE),1),"")</f>
        <v>dredging</v>
      </c>
    </row>
    <row r="211" spans="1:2" hidden="1" x14ac:dyDescent="0.25">
      <c r="A211" t="s">
        <v>208</v>
      </c>
      <c r="B211" t="str">
        <f>IFERROR(INDEX(samplemethodlookup!$A$2:$D$648,MATCH(collectionMethodDistinct[[#This Row],[Column1]],samplemethodlookup!$A$2:$A$648,FALSE),1),"")</f>
        <v>Dredging; Manual</v>
      </c>
    </row>
    <row r="212" spans="1:2" hidden="1" x14ac:dyDescent="0.25">
      <c r="A212" t="s">
        <v>209</v>
      </c>
      <c r="B212" t="str">
        <f>IFERROR(INDEX(samplemethodlookup!$A$2:$D$648,MATCH(collectionMethodDistinct[[#This Row],[Column1]],samplemethodlookup!$A$2:$A$648,FALSE),1),"")</f>
        <v>Dredging&gt;Chain Bag</v>
      </c>
    </row>
    <row r="213" spans="1:2" hidden="1" x14ac:dyDescent="0.25">
      <c r="A213" t="s">
        <v>210</v>
      </c>
      <c r="B213" t="str">
        <f>IFERROR(INDEX(samplemethodlookup!$A$2:$D$648,MATCH(collectionMethodDistinct[[#This Row],[Column1]],samplemethodlookup!$A$2:$A$648,FALSE),1),"")</f>
        <v>Dredging&gt;ChainBagDredge</v>
      </c>
    </row>
    <row r="214" spans="1:2" hidden="1" x14ac:dyDescent="0.25">
      <c r="A214" t="s">
        <v>211</v>
      </c>
      <c r="B214" t="str">
        <f>IFERROR(INDEX(samplemethodlookup!$A$2:$D$648,MATCH(collectionMethodDistinct[[#This Row],[Column1]],samplemethodlookup!$A$2:$A$648,FALSE),1),"")</f>
        <v>dregde</v>
      </c>
    </row>
    <row r="215" spans="1:2" hidden="1" x14ac:dyDescent="0.25">
      <c r="A215" t="s">
        <v>212</v>
      </c>
      <c r="B215" t="str">
        <f>IFERROR(INDEX(samplemethodlookup!$A$2:$D$648,MATCH(collectionMethodDistinct[[#This Row],[Column1]],samplemethodlookup!$A$2:$A$648,FALSE),1),"")</f>
        <v>Drill</v>
      </c>
    </row>
    <row r="216" spans="1:2" hidden="1" x14ac:dyDescent="0.25">
      <c r="A216" t="s">
        <v>213</v>
      </c>
      <c r="B216" t="str">
        <f>IFERROR(INDEX(samplemethodlookup!$A$2:$D$648,MATCH(collectionMethodDistinct[[#This Row],[Column1]],samplemethodlookup!$A$2:$A$648,FALSE),1),"")</f>
        <v>drill core</v>
      </c>
    </row>
    <row r="217" spans="1:2" hidden="1" x14ac:dyDescent="0.25">
      <c r="A217" t="s">
        <v>214</v>
      </c>
      <c r="B217" t="str">
        <f>IFERROR(INDEX(samplemethodlookup!$A$2:$D$648,MATCH(collectionMethodDistinct[[#This Row],[Column1]],samplemethodlookup!$A$2:$A$648,FALSE),1),"")</f>
        <v>drill core</v>
      </c>
    </row>
    <row r="218" spans="1:2" hidden="1" x14ac:dyDescent="0.25">
      <c r="A218" t="s">
        <v>215</v>
      </c>
      <c r="B218" t="str">
        <f>IFERROR(INDEX(samplemethodlookup!$A$2:$D$648,MATCH(collectionMethodDistinct[[#This Row],[Column1]],samplemethodlookup!$A$2:$A$648,FALSE),1),"")</f>
        <v>drill core</v>
      </c>
    </row>
    <row r="219" spans="1:2" x14ac:dyDescent="0.25">
      <c r="A219" t="s">
        <v>951</v>
      </c>
      <c r="B219" t="str">
        <f>IFERROR(INDEX(samplemethodlookup!$A$2:$D$648,MATCH(collectionMethodDistinct[[#This Row],[Column1]],samplemethodlookup!$A$2:$A$648,FALSE),1),"")</f>
        <v>drill core paleomag</v>
      </c>
    </row>
    <row r="220" spans="1:2" hidden="1" x14ac:dyDescent="0.25">
      <c r="A220" t="s">
        <v>216</v>
      </c>
      <c r="B220" t="str">
        <f>IFERROR(INDEX(samplemethodlookup!$A$2:$D$648,MATCH(collectionMethodDistinct[[#This Row],[Column1]],samplemethodlookup!$A$2:$A$648,FALSE),1),"")</f>
        <v>drill corer</v>
      </c>
    </row>
    <row r="221" spans="1:2" hidden="1" x14ac:dyDescent="0.25">
      <c r="A221" t="s">
        <v>217</v>
      </c>
      <c r="B221" t="str">
        <f>IFERROR(INDEX(samplemethodlookup!$A$2:$D$648,MATCH(collectionMethodDistinct[[#This Row],[Column1]],samplemethodlookup!$A$2:$A$648,FALSE),1),"")</f>
        <v>drill coring</v>
      </c>
    </row>
    <row r="222" spans="1:2" hidden="1" x14ac:dyDescent="0.25">
      <c r="A222" t="s">
        <v>218</v>
      </c>
      <c r="B222" t="str">
        <f>IFERROR(INDEX(samplemethodlookup!$A$2:$D$648,MATCH(collectionMethodDistinct[[#This Row],[Column1]],samplemethodlookup!$A$2:$A$648,FALSE),1),"")</f>
        <v>drilling</v>
      </c>
    </row>
    <row r="223" spans="1:2" hidden="1" x14ac:dyDescent="0.25">
      <c r="A223" t="s">
        <v>219</v>
      </c>
      <c r="B223" t="str">
        <f>IFERROR(INDEX(samplemethodlookup!$A$2:$D$648,MATCH(collectionMethodDistinct[[#This Row],[Column1]],samplemethodlookup!$A$2:$A$648,FALSE),1),"")</f>
        <v>drilling</v>
      </c>
    </row>
    <row r="224" spans="1:2" hidden="1" x14ac:dyDescent="0.25">
      <c r="A224" t="s">
        <v>224</v>
      </c>
      <c r="B224" t="str">
        <f>IFERROR(INDEX(samplemethodlookup!$A$2:$D$648,MATCH(collectionMethodDistinct[[#This Row],[Column1]],samplemethodlookup!$A$2:$A$648,FALSE),1),"")</f>
        <v>Drilling-extended core barrel</v>
      </c>
    </row>
    <row r="225" spans="1:2" hidden="1" x14ac:dyDescent="0.25">
      <c r="A225" t="s">
        <v>220</v>
      </c>
      <c r="B225" t="str">
        <f>IFERROR(INDEX(samplemethodlookup!$A$2:$D$648,MATCH(collectionMethodDistinct[[#This Row],[Column1]],samplemethodlookup!$A$2:$A$648,FALSE),1),"")</f>
        <v>Drilling - Extended Core Barrel</v>
      </c>
    </row>
    <row r="226" spans="1:2" hidden="1" x14ac:dyDescent="0.25">
      <c r="A226" t="s">
        <v>221</v>
      </c>
      <c r="B226" t="str">
        <f>IFERROR(INDEX(samplemethodlookup!$A$2:$D$648,MATCH(collectionMethodDistinct[[#This Row],[Column1]],samplemethodlookup!$A$2:$A$648,FALSE),1),"")</f>
        <v>drilling, hammer</v>
      </c>
    </row>
    <row r="227" spans="1:2" hidden="1" x14ac:dyDescent="0.25">
      <c r="A227" t="s">
        <v>222</v>
      </c>
      <c r="B227" t="str">
        <f>IFERROR(INDEX(samplemethodlookup!$A$2:$D$648,MATCH(collectionMethodDistinct[[#This Row],[Column1]],samplemethodlookup!$A$2:$A$648,FALSE),1),"")</f>
        <v>drilling, saw</v>
      </c>
    </row>
    <row r="228" spans="1:2" hidden="1" x14ac:dyDescent="0.25">
      <c r="A228" t="s">
        <v>223</v>
      </c>
      <c r="B228" t="str">
        <f>IFERROR(INDEX(samplemethodlookup!$A$2:$D$648,MATCH(collectionMethodDistinct[[#This Row],[Column1]],samplemethodlookup!$A$2:$A$648,FALSE),1),"")</f>
        <v>drilling, spoon</v>
      </c>
    </row>
    <row r="229" spans="1:2" hidden="1" x14ac:dyDescent="0.25">
      <c r="A229" t="s">
        <v>225</v>
      </c>
      <c r="B229" t="str">
        <f>IFERROR(INDEX(samplemethodlookup!$A$2:$D$648,MATCH(collectionMethodDistinct[[#This Row],[Column1]],samplemethodlookup!$A$2:$A$648,FALSE),1),"")</f>
        <v>Dry Drill</v>
      </c>
    </row>
    <row r="230" spans="1:2" hidden="1" x14ac:dyDescent="0.25">
      <c r="A230" t="s">
        <v>226</v>
      </c>
      <c r="B230" t="str">
        <f>IFERROR(INDEX(samplemethodlookup!$A$2:$D$648,MATCH(collectionMethodDistinct[[#This Row],[Column1]],samplemethodlookup!$A$2:$A$648,FALSE),1),"")</f>
        <v xml:space="preserve">Dry Drill </v>
      </c>
    </row>
    <row r="231" spans="1:2" hidden="1" x14ac:dyDescent="0.25">
      <c r="A231" t="s">
        <v>227</v>
      </c>
      <c r="B231" t="str">
        <f>IFERROR(INDEX(samplemethodlookup!$A$2:$D$648,MATCH(collectionMethodDistinct[[#This Row],[Column1]],samplemethodlookup!$A$2:$A$648,FALSE),1),"")</f>
        <v>dug</v>
      </c>
    </row>
    <row r="232" spans="1:2" x14ac:dyDescent="0.25">
      <c r="A232" t="s">
        <v>228</v>
      </c>
      <c r="B232" t="str">
        <f>IFERROR(INDEX(samplemethodlookup!$A$2:$D$648,MATCH(collectionMethodDistinct[[#This Row],[Column1]],samplemethodlookup!$A$2:$A$648,FALSE),1),"")</f>
        <v/>
      </c>
    </row>
    <row r="233" spans="1:2" hidden="1" x14ac:dyDescent="0.25">
      <c r="A233" t="s">
        <v>229</v>
      </c>
      <c r="B233" t="str">
        <f>IFERROR(INDEX(samplemethodlookup!$A$2:$D$648,MATCH(collectionMethodDistinct[[#This Row],[Column1]],samplemethodlookup!$A$2:$A$648,FALSE),1),"")</f>
        <v>Engine Strainer</v>
      </c>
    </row>
    <row r="234" spans="1:2" hidden="1" x14ac:dyDescent="0.25">
      <c r="A234" t="s">
        <v>230</v>
      </c>
      <c r="B234" t="str">
        <f>IFERROR(INDEX(samplemethodlookup!$A$2:$D$648,MATCH(collectionMethodDistinct[[#This Row],[Column1]],samplemethodlookup!$A$2:$A$648,FALSE),1),"")</f>
        <v>Epi-Benthic</v>
      </c>
    </row>
    <row r="235" spans="1:2" hidden="1" x14ac:dyDescent="0.25">
      <c r="A235" t="s">
        <v>231</v>
      </c>
      <c r="B235" t="str">
        <f>IFERROR(INDEX(samplemethodlookup!$A$2:$D$648,MATCH(collectionMethodDistinct[[#This Row],[Column1]],samplemethodlookup!$A$2:$A$648,FALSE),1),"")</f>
        <v>excavation</v>
      </c>
    </row>
    <row r="236" spans="1:2" x14ac:dyDescent="0.25">
      <c r="A236" t="s">
        <v>950</v>
      </c>
      <c r="B236" t="str">
        <f>IFERROR(INDEX(samplemethodlookup!$A$2:$D$648,MATCH(collectionMethodDistinct[[#This Row],[Column1]],samplemethodlookup!$A$2:$A$648,FALSE),1),"")</f>
        <v>excavation of sub-aerial deposit</v>
      </c>
    </row>
    <row r="237" spans="1:2" hidden="1" x14ac:dyDescent="0.25">
      <c r="A237" t="s">
        <v>232</v>
      </c>
      <c r="B237" t="str">
        <f>IFERROR(INDEX(samplemethodlookup!$A$2:$D$648,MATCH(collectionMethodDistinct[[#This Row],[Column1]],samplemethodlookup!$A$2:$A$648,FALSE),1),"")</f>
        <v>Excised branch</v>
      </c>
    </row>
    <row r="238" spans="1:2" hidden="1" x14ac:dyDescent="0.25">
      <c r="A238" t="s">
        <v>233</v>
      </c>
      <c r="B238" t="str">
        <f>IFERROR(INDEX(samplemethodlookup!$A$2:$D$648,MATCH(collectionMethodDistinct[[#This Row],[Column1]],samplemethodlookup!$A$2:$A$648,FALSE),1),"")</f>
        <v>Experimental Apparatus</v>
      </c>
    </row>
    <row r="239" spans="1:2" hidden="1" x14ac:dyDescent="0.25">
      <c r="A239" t="s">
        <v>234</v>
      </c>
      <c r="B239" t="str">
        <f>IFERROR(INDEX(samplemethodlookup!$A$2:$D$648,MATCH(collectionMethodDistinct[[#This Row],[Column1]],samplemethodlookup!$A$2:$A$648,FALSE),1),"")</f>
        <v>External detector</v>
      </c>
    </row>
    <row r="240" spans="1:2" hidden="1" x14ac:dyDescent="0.25">
      <c r="A240" t="s">
        <v>235</v>
      </c>
      <c r="B240" t="str">
        <f>IFERROR(INDEX(samplemethodlookup!$A$2:$D$648,MATCH(collectionMethodDistinct[[#This Row],[Column1]],samplemethodlookup!$A$2:$A$648,FALSE),1),"")</f>
        <v>Field</v>
      </c>
    </row>
    <row r="241" spans="1:2" hidden="1" x14ac:dyDescent="0.25">
      <c r="A241" t="s">
        <v>236</v>
      </c>
      <c r="B241" t="str">
        <f>IFERROR(INDEX(samplemethodlookup!$A$2:$D$648,MATCH(collectionMethodDistinct[[#This Row],[Column1]],samplemethodlookup!$A$2:$A$648,FALSE),1),"")</f>
        <v>field collected</v>
      </c>
    </row>
    <row r="242" spans="1:2" hidden="1" x14ac:dyDescent="0.25">
      <c r="A242" t="s">
        <v>237</v>
      </c>
      <c r="B242" t="str">
        <f>IFERROR(INDEX(samplemethodlookup!$A$2:$D$648,MATCH(collectionMethodDistinct[[#This Row],[Column1]],samplemethodlookup!$A$2:$A$648,FALSE),1),"")</f>
        <v>field geoloogy</v>
      </c>
    </row>
    <row r="243" spans="1:2" hidden="1" x14ac:dyDescent="0.25">
      <c r="A243" t="s">
        <v>238</v>
      </c>
      <c r="B243" t="str">
        <f>IFERROR(INDEX(samplemethodlookup!$A$2:$D$648,MATCH(collectionMethodDistinct[[#This Row],[Column1]],samplemethodlookup!$A$2:$A$648,FALSE),1),"")</f>
        <v>field sampling</v>
      </c>
    </row>
    <row r="244" spans="1:2" hidden="1" x14ac:dyDescent="0.25">
      <c r="A244" t="s">
        <v>239</v>
      </c>
      <c r="B244" t="str">
        <f>IFERROR(INDEX(samplemethodlookup!$A$2:$D$648,MATCH(collectionMethodDistinct[[#This Row],[Column1]],samplemethodlookup!$A$2:$A$648,FALSE),1),"")</f>
        <v>field sampling</v>
      </c>
    </row>
    <row r="245" spans="1:2" hidden="1" x14ac:dyDescent="0.25">
      <c r="A245" t="s">
        <v>240</v>
      </c>
      <c r="B245" t="str">
        <f>IFERROR(INDEX(samplemethodlookup!$A$2:$D$648,MATCH(collectionMethodDistinct[[#This Row],[Column1]],samplemethodlookup!$A$2:$A$648,FALSE),1),"")</f>
        <v>Filled in laboratory</v>
      </c>
    </row>
    <row r="246" spans="1:2" x14ac:dyDescent="0.25">
      <c r="A246" t="s">
        <v>949</v>
      </c>
      <c r="B246" t="str">
        <f>IFERROR(INDEX(samplemethodlookup!$A$2:$D$648,MATCH(collectionMethodDistinct[[#This Row],[Column1]],samplemethodlookup!$A$2:$A$648,FALSE),1),"")</f>
        <v>Filtration + acidification</v>
      </c>
    </row>
    <row r="247" spans="1:2" x14ac:dyDescent="0.25">
      <c r="A247" t="s">
        <v>948</v>
      </c>
      <c r="B247" t="str">
        <f>IFERROR(INDEX(samplemethodlookup!$A$2:$D$648,MATCH(collectionMethodDistinct[[#This Row],[Column1]],samplemethodlookup!$A$2:$A$648,FALSE),1),"")</f>
        <v>float sample from rock slide</v>
      </c>
    </row>
    <row r="248" spans="1:2" hidden="1" x14ac:dyDescent="0.25">
      <c r="A248" t="s">
        <v>241</v>
      </c>
      <c r="B248" t="str">
        <f>IFERROR(INDEX(samplemethodlookup!$A$2:$D$648,MATCH(collectionMethodDistinct[[#This Row],[Column1]],samplemethodlookup!$A$2:$A$648,FALSE),1),"")</f>
        <v>Fog wets plastic sheet</v>
      </c>
    </row>
    <row r="249" spans="1:2" hidden="1" x14ac:dyDescent="0.25">
      <c r="A249" t="s">
        <v>242</v>
      </c>
      <c r="B249" t="str">
        <f>IFERROR(INDEX(samplemethodlookup!$A$2:$D$648,MATCH(collectionMethodDistinct[[#This Row],[Column1]],samplemethodlookup!$A$2:$A$648,FALSE),1),"")</f>
        <v>Fog wets plastic web</v>
      </c>
    </row>
    <row r="250" spans="1:2" hidden="1" x14ac:dyDescent="0.25">
      <c r="A250" t="s">
        <v>243</v>
      </c>
      <c r="B250" t="str">
        <f>IFERROR(INDEX(samplemethodlookup!$A$2:$D$648,MATCH(collectionMethodDistinct[[#This Row],[Column1]],samplemethodlookup!$A$2:$A$648,FALSE),1),"")</f>
        <v>Fontainebleau quarry</v>
      </c>
    </row>
    <row r="251" spans="1:2" hidden="1" x14ac:dyDescent="0.25">
      <c r="A251" t="s">
        <v>244</v>
      </c>
      <c r="B251" t="str">
        <f>IFERROR(INDEX(samplemethodlookup!$A$2:$D$648,MATCH(collectionMethodDistinct[[#This Row],[Column1]],samplemethodlookup!$A$2:$A$648,FALSE),1),"")</f>
        <v>From Handpump</v>
      </c>
    </row>
    <row r="252" spans="1:2" hidden="1" x14ac:dyDescent="0.25">
      <c r="A252" t="s">
        <v>245</v>
      </c>
      <c r="B252" t="str">
        <f>IFERROR(INDEX(samplemethodlookup!$A$2:$D$648,MATCH(collectionMethodDistinct[[#This Row],[Column1]],samplemethodlookup!$A$2:$A$648,FALSE),1),"")</f>
        <v>Fumarole, manual</v>
      </c>
    </row>
    <row r="253" spans="1:2" hidden="1" x14ac:dyDescent="0.25">
      <c r="A253" t="s">
        <v>246</v>
      </c>
      <c r="B253" t="str">
        <f>IFERROR(INDEX(samplemethodlookup!$A$2:$D$648,MATCH(collectionMethodDistinct[[#This Row],[Column1]],samplemethodlookup!$A$2:$A$648,FALSE),1),"")</f>
        <v>G</v>
      </c>
    </row>
    <row r="254" spans="1:2" hidden="1" x14ac:dyDescent="0.25">
      <c r="A254" t="s">
        <v>247</v>
      </c>
      <c r="B254" t="str">
        <f>IFERROR(INDEX(samplemethodlookup!$A$2:$D$648,MATCH(collectionMethodDistinct[[#This Row],[Column1]],samplemethodlookup!$A$2:$A$648,FALSE),1),"")</f>
        <v>Gas-tight Water Sampler</v>
      </c>
    </row>
    <row r="255" spans="1:2" hidden="1" x14ac:dyDescent="0.25">
      <c r="A255" t="s">
        <v>22</v>
      </c>
      <c r="B255" t="str">
        <f>IFERROR(INDEX(samplemethodlookup!$A$2:$D$648,MATCH(collectionMethodDistinct[[#This Row],[Column1]],samplemethodlookup!$A$2:$A$648,FALSE),1),"")</f>
        <v>gas tight bottle</v>
      </c>
    </row>
    <row r="256" spans="1:2" hidden="1" x14ac:dyDescent="0.25">
      <c r="A256" t="s">
        <v>248</v>
      </c>
      <c r="B256" t="str">
        <f>IFERROR(INDEX(samplemethodlookup!$A$2:$D$648,MATCH(collectionMethodDistinct[[#This Row],[Column1]],samplemethodlookup!$A$2:$A$648,FALSE),1),"")</f>
        <v>Geological hammer</v>
      </c>
    </row>
    <row r="257" spans="1:2" x14ac:dyDescent="0.25">
      <c r="A257" t="s">
        <v>947</v>
      </c>
      <c r="B257" t="str">
        <f>IFERROR(INDEX(samplemethodlookup!$A$2:$D$648,MATCH(collectionMethodDistinct[[#This Row],[Column1]],samplemethodlookup!$A$2:$A$648,FALSE),1),"")</f>
        <v>Geoprobe 7822DT</v>
      </c>
    </row>
    <row r="258" spans="1:2" hidden="1" x14ac:dyDescent="0.25">
      <c r="A258" t="s">
        <v>249</v>
      </c>
      <c r="B258" t="str">
        <f>IFERROR(INDEX(samplemethodlookup!$A$2:$D$648,MATCH(collectionMethodDistinct[[#This Row],[Column1]],samplemethodlookup!$A$2:$A$648,FALSE),1),"")</f>
        <v>Geoprobe 8140 LS</v>
      </c>
    </row>
    <row r="259" spans="1:2" hidden="1" x14ac:dyDescent="0.25">
      <c r="A259" t="s">
        <v>250</v>
      </c>
      <c r="B259" t="str">
        <f>IFERROR(INDEX(samplemethodlookup!$A$2:$D$648,MATCH(collectionMethodDistinct[[#This Row],[Column1]],samplemethodlookup!$A$2:$A$648,FALSE),1),"")</f>
        <v>Gildehaus quarry</v>
      </c>
    </row>
    <row r="260" spans="1:2" hidden="1" x14ac:dyDescent="0.25">
      <c r="A260" t="s">
        <v>251</v>
      </c>
      <c r="B260" t="str">
        <f>IFERROR(INDEX(samplemethodlookup!$A$2:$D$648,MATCH(collectionMethodDistinct[[#This Row],[Column1]],samplemethodlookup!$A$2:$A$648,FALSE),1),"")</f>
        <v>grab</v>
      </c>
    </row>
    <row r="261" spans="1:2" hidden="1" x14ac:dyDescent="0.25">
      <c r="A261" t="s">
        <v>252</v>
      </c>
      <c r="B261" t="str">
        <f>IFERROR(INDEX(samplemethodlookup!$A$2:$D$648,MATCH(collectionMethodDistinct[[#This Row],[Column1]],samplemethodlookup!$A$2:$A$648,FALSE),1),"")</f>
        <v>grab</v>
      </c>
    </row>
    <row r="262" spans="1:2" hidden="1" x14ac:dyDescent="0.25">
      <c r="A262" t="s">
        <v>253</v>
      </c>
      <c r="B262" t="str">
        <f>IFERROR(INDEX(samplemethodlookup!$A$2:$D$648,MATCH(collectionMethodDistinct[[#This Row],[Column1]],samplemethodlookup!$A$2:$A$648,FALSE),1),"")</f>
        <v xml:space="preserve">Grab </v>
      </c>
    </row>
    <row r="263" spans="1:2" hidden="1" x14ac:dyDescent="0.25">
      <c r="A263" t="s">
        <v>254</v>
      </c>
      <c r="B263" t="str">
        <f>IFERROR(INDEX(samplemethodlookup!$A$2:$D$648,MATCH(collectionMethodDistinct[[#This Row],[Column1]],samplemethodlookup!$A$2:$A$648,FALSE),1),"")</f>
        <v>Grab or Hammering</v>
      </c>
    </row>
    <row r="264" spans="1:2" hidden="1" x14ac:dyDescent="0.25">
      <c r="A264" t="s">
        <v>946</v>
      </c>
      <c r="B264" t="str">
        <f>IFERROR(INDEX(samplemethodlookup!$A$2:$D$648,MATCH(collectionMethodDistinct[[#This Row],[Column1]],samplemethodlookup!$A$2:$A$648,FALSE),1),"")</f>
        <v>Grab Sample</v>
      </c>
    </row>
    <row r="265" spans="1:2" hidden="1" x14ac:dyDescent="0.25">
      <c r="A265" t="s">
        <v>255</v>
      </c>
      <c r="B265" t="str">
        <f>IFERROR(INDEX(samplemethodlookup!$A$2:$D$648,MATCH(collectionMethodDistinct[[#This Row],[Column1]],samplemethodlookup!$A$2:$A$648,FALSE),1),"")</f>
        <v>Grab Sample</v>
      </c>
    </row>
    <row r="266" spans="1:2" hidden="1" x14ac:dyDescent="0.25">
      <c r="A266" t="s">
        <v>256</v>
      </c>
      <c r="B266" t="str">
        <f>IFERROR(INDEX(samplemethodlookup!$A$2:$D$648,MATCH(collectionMethodDistinct[[#This Row],[Column1]],samplemethodlookup!$A$2:$A$648,FALSE),1),"")</f>
        <v>grab sample of top few cm of sediment</v>
      </c>
    </row>
    <row r="267" spans="1:2" hidden="1" x14ac:dyDescent="0.25">
      <c r="A267" t="s">
        <v>257</v>
      </c>
      <c r="B267" t="str">
        <f>IFERROR(INDEX(samplemethodlookup!$A$2:$D$648,MATCH(collectionMethodDistinct[[#This Row],[Column1]],samplemethodlookup!$A$2:$A$648,FALSE),1),"")</f>
        <v>Grab sample&gt;MQ dispenser</v>
      </c>
    </row>
    <row r="268" spans="1:2" hidden="1" x14ac:dyDescent="0.25">
      <c r="A268" t="s">
        <v>258</v>
      </c>
      <c r="B268" t="str">
        <f>IFERROR(INDEX(samplemethodlookup!$A$2:$D$648,MATCH(collectionMethodDistinct[[#This Row],[Column1]],samplemethodlookup!$A$2:$A$648,FALSE),1),"")</f>
        <v>Grab sampler</v>
      </c>
    </row>
    <row r="269" spans="1:2" hidden="1" x14ac:dyDescent="0.25">
      <c r="A269" t="s">
        <v>259</v>
      </c>
      <c r="B269" t="str">
        <f>IFERROR(INDEX(samplemethodlookup!$A$2:$D$648,MATCH(collectionMethodDistinct[[#This Row],[Column1]],samplemethodlookup!$A$2:$A$648,FALSE),1),"")</f>
        <v>grab, 0.22 micron filtered</v>
      </c>
    </row>
    <row r="270" spans="1:2" hidden="1" x14ac:dyDescent="0.25">
      <c r="A270" t="s">
        <v>260</v>
      </c>
      <c r="B270" t="str">
        <f>IFERROR(INDEX(samplemethodlookup!$A$2:$D$648,MATCH(collectionMethodDistinct[[#This Row],[Column1]],samplemethodlookup!$A$2:$A$648,FALSE),1),"")</f>
        <v>grab, 0.8/0.2 micron filtered</v>
      </c>
    </row>
    <row r="271" spans="1:2" hidden="1" x14ac:dyDescent="0.25">
      <c r="A271" t="s">
        <v>261</v>
      </c>
      <c r="B271" t="str">
        <f>IFERROR(INDEX(samplemethodlookup!$A$2:$D$648,MATCH(collectionMethodDistinct[[#This Row],[Column1]],samplemethodlookup!$A$2:$A$648,FALSE),1),"")</f>
        <v>Grab&gt;HOV</v>
      </c>
    </row>
    <row r="272" spans="1:2" hidden="1" x14ac:dyDescent="0.25">
      <c r="A272" t="s">
        <v>945</v>
      </c>
      <c r="B272" t="str">
        <f>IFERROR(INDEX(samplemethodlookup!$A$2:$D$648,MATCH(collectionMethodDistinct[[#This Row],[Column1]],samplemethodlookup!$A$2:$A$648,FALSE),1),"")</f>
        <v>Grab&gt;HOV</v>
      </c>
    </row>
    <row r="273" spans="1:2" hidden="1" x14ac:dyDescent="0.25">
      <c r="A273" t="s">
        <v>262</v>
      </c>
      <c r="B273" t="str">
        <f>IFERROR(INDEX(samplemethodlookup!$A$2:$D$648,MATCH(collectionMethodDistinct[[#This Row],[Column1]],samplemethodlookup!$A$2:$A$648,FALSE),1),"")</f>
        <v>Grab&gt;Rov</v>
      </c>
    </row>
    <row r="274" spans="1:2" hidden="1" x14ac:dyDescent="0.25">
      <c r="A274" t="s">
        <v>263</v>
      </c>
      <c r="B274" t="str">
        <f>IFERROR(INDEX(samplemethodlookup!$A$2:$D$648,MATCH(collectionMethodDistinct[[#This Row],[Column1]],samplemethodlookup!$A$2:$A$648,FALSE),1),"")</f>
        <v>Grab&gt;Rov</v>
      </c>
    </row>
    <row r="275" spans="1:2" hidden="1" x14ac:dyDescent="0.25">
      <c r="A275" t="s">
        <v>944</v>
      </c>
      <c r="B275" t="str">
        <f>IFERROR(INDEX(samplemethodlookup!$A$2:$D$648,MATCH(collectionMethodDistinct[[#This Row],[Column1]],samplemethodlookup!$A$2:$A$648,FALSE),1),"")</f>
        <v>Grab&gt;Rov</v>
      </c>
    </row>
    <row r="276" spans="1:2" hidden="1" x14ac:dyDescent="0.25">
      <c r="A276" t="s">
        <v>264</v>
      </c>
      <c r="B276" t="str">
        <f>IFERROR(INDEX(samplemethodlookup!$A$2:$D$648,MATCH(collectionMethodDistinct[[#This Row],[Column1]],samplemethodlookup!$A$2:$A$648,FALSE),1),"")</f>
        <v xml:space="preserve">Grab&gt;ROV </v>
      </c>
    </row>
    <row r="277" spans="1:2" hidden="1" x14ac:dyDescent="0.25">
      <c r="A277" t="s">
        <v>265</v>
      </c>
      <c r="B277" t="str">
        <f>IFERROR(INDEX(samplemethodlookup!$A$2:$D$648,MATCH(collectionMethodDistinct[[#This Row],[Column1]],samplemethodlookup!$A$2:$A$648,FALSE),1),"")</f>
        <v>grab&gt;shovel</v>
      </c>
    </row>
    <row r="278" spans="1:2" hidden="1" x14ac:dyDescent="0.25">
      <c r="A278" t="s">
        <v>266</v>
      </c>
      <c r="B278" t="str">
        <f>IFERROR(INDEX(samplemethodlookup!$A$2:$D$648,MATCH(collectionMethodDistinct[[#This Row],[Column1]],samplemethodlookup!$A$2:$A$648,FALSE),1),"")</f>
        <v>Grab&gt;SMG</v>
      </c>
    </row>
    <row r="279" spans="1:2" hidden="1" x14ac:dyDescent="0.25">
      <c r="A279" t="s">
        <v>267</v>
      </c>
      <c r="B279" t="str">
        <f>IFERROR(INDEX(samplemethodlookup!$A$2:$D$648,MATCH(collectionMethodDistinct[[#This Row],[Column1]],samplemethodlookup!$A$2:$A$648,FALSE),1),"")</f>
        <v>Gravity Core</v>
      </c>
    </row>
    <row r="280" spans="1:2" hidden="1" x14ac:dyDescent="0.25">
      <c r="A280" t="s">
        <v>268</v>
      </c>
      <c r="B280" t="str">
        <f>IFERROR(INDEX(samplemethodlookup!$A$2:$D$648,MATCH(collectionMethodDistinct[[#This Row],[Column1]],samplemethodlookup!$A$2:$A$648,FALSE),1),"")</f>
        <v>gravity corer</v>
      </c>
    </row>
    <row r="281" spans="1:2" hidden="1" x14ac:dyDescent="0.25">
      <c r="A281" t="s">
        <v>269</v>
      </c>
      <c r="B281" t="str">
        <f>IFERROR(INDEX(samplemethodlookup!$A$2:$D$648,MATCH(collectionMethodDistinct[[#This Row],[Column1]],samplemethodlookup!$A$2:$A$648,FALSE),1),"")</f>
        <v>gravity corer</v>
      </c>
    </row>
    <row r="282" spans="1:2" hidden="1" x14ac:dyDescent="0.25">
      <c r="A282" t="s">
        <v>270</v>
      </c>
      <c r="B282" t="str">
        <f>IFERROR(INDEX(samplemethodlookup!$A$2:$D$648,MATCH(collectionMethodDistinct[[#This Row],[Column1]],samplemethodlookup!$A$2:$A$648,FALSE),1),"")</f>
        <v>gravity corer</v>
      </c>
    </row>
    <row r="283" spans="1:2" hidden="1" x14ac:dyDescent="0.25">
      <c r="A283" t="s">
        <v>271</v>
      </c>
      <c r="B283" t="str">
        <f>IFERROR(INDEX(samplemethodlookup!$A$2:$D$648,MATCH(collectionMethodDistinct[[#This Row],[Column1]],samplemethodlookup!$A$2:$A$648,FALSE),1),"")</f>
        <v>Gravity corer pilot</v>
      </c>
    </row>
    <row r="284" spans="1:2" hidden="1" x14ac:dyDescent="0.25">
      <c r="A284" t="s">
        <v>272</v>
      </c>
      <c r="B284" t="str">
        <f>IFERROR(INDEX(samplemethodlookup!$A$2:$D$648,MATCH(collectionMethodDistinct[[#This Row],[Column1]],samplemethodlookup!$A$2:$A$648,FALSE),1),"")</f>
        <v>Gravity drilling</v>
      </c>
    </row>
    <row r="285" spans="1:2" hidden="1" x14ac:dyDescent="0.25">
      <c r="A285" t="s">
        <v>273</v>
      </c>
      <c r="B285" t="str">
        <f>IFERROR(INDEX(samplemethodlookup!$A$2:$D$648,MATCH(collectionMethodDistinct[[#This Row],[Column1]],samplemethodlookup!$A$2:$A$648,FALSE),1),"")</f>
        <v>GravityCorer</v>
      </c>
    </row>
    <row r="286" spans="1:2" hidden="1" x14ac:dyDescent="0.25">
      <c r="A286" t="s">
        <v>274</v>
      </c>
      <c r="B286" t="str">
        <f>IFERROR(INDEX(samplemethodlookup!$A$2:$D$648,MATCH(collectionMethodDistinct[[#This Row],[Column1]],samplemethodlookup!$A$2:$A$648,FALSE),1),"")</f>
        <v>hammer</v>
      </c>
    </row>
    <row r="287" spans="1:2" hidden="1" x14ac:dyDescent="0.25">
      <c r="A287" t="s">
        <v>275</v>
      </c>
      <c r="B287" t="str">
        <f>IFERROR(INDEX(samplemethodlookup!$A$2:$D$648,MATCH(collectionMethodDistinct[[#This Row],[Column1]],samplemethodlookup!$A$2:$A$648,FALSE),1),"")</f>
        <v>hammer</v>
      </c>
    </row>
    <row r="288" spans="1:2" hidden="1" x14ac:dyDescent="0.25">
      <c r="A288" t="s">
        <v>276</v>
      </c>
      <c r="B288" t="str">
        <f>IFERROR(INDEX(samplemethodlookup!$A$2:$D$648,MATCH(collectionMethodDistinct[[#This Row],[Column1]],samplemethodlookup!$A$2:$A$648,FALSE),1),"")</f>
        <v>Hammer &amp; Chisel</v>
      </c>
    </row>
    <row r="289" spans="1:2" hidden="1" x14ac:dyDescent="0.25">
      <c r="A289" t="s">
        <v>277</v>
      </c>
      <c r="B289" t="str">
        <f>IFERROR(INDEX(samplemethodlookup!$A$2:$D$648,MATCH(collectionMethodDistinct[[#This Row],[Column1]],samplemethodlookup!$A$2:$A$648,FALSE),1),"")</f>
        <v>hammer and chisel</v>
      </c>
    </row>
    <row r="290" spans="1:2" hidden="1" x14ac:dyDescent="0.25">
      <c r="A290" t="s">
        <v>278</v>
      </c>
      <c r="B290" t="str">
        <f>IFERROR(INDEX(samplemethodlookup!$A$2:$D$648,MATCH(collectionMethodDistinct[[#This Row],[Column1]],samplemethodlookup!$A$2:$A$648,FALSE),1),"")</f>
        <v>hammer and chisel</v>
      </c>
    </row>
    <row r="291" spans="1:2" hidden="1" x14ac:dyDescent="0.25">
      <c r="A291" t="s">
        <v>279</v>
      </c>
      <c r="B291" t="str">
        <f>IFERROR(INDEX(samplemethodlookup!$A$2:$D$648,MATCH(collectionMethodDistinct[[#This Row],[Column1]],samplemethodlookup!$A$2:$A$648,FALSE),1),"")</f>
        <v>Hammering, hand</v>
      </c>
    </row>
    <row r="292" spans="1:2" hidden="1" x14ac:dyDescent="0.25">
      <c r="A292" t="s">
        <v>280</v>
      </c>
      <c r="B292" t="str">
        <f>IFERROR(INDEX(samplemethodlookup!$A$2:$D$648,MATCH(collectionMethodDistinct[[#This Row],[Column1]],samplemethodlookup!$A$2:$A$648,FALSE),1),"")</f>
        <v>hand</v>
      </c>
    </row>
    <row r="293" spans="1:2" hidden="1" x14ac:dyDescent="0.25">
      <c r="A293" t="s">
        <v>281</v>
      </c>
      <c r="B293" t="str">
        <f>IFERROR(INDEX(samplemethodlookup!$A$2:$D$648,MATCH(collectionMethodDistinct[[#This Row],[Column1]],samplemethodlookup!$A$2:$A$648,FALSE),1),"")</f>
        <v>hand</v>
      </c>
    </row>
    <row r="294" spans="1:2" hidden="1" x14ac:dyDescent="0.25">
      <c r="A294" t="s">
        <v>298</v>
      </c>
      <c r="B294" t="str">
        <f>IFERROR(INDEX(samplemethodlookup!$A$2:$D$648,MATCH(collectionMethodDistinct[[#This Row],[Column1]],samplemethodlookup!$A$2:$A$648,FALSE),1),"")</f>
        <v>hand-drill</v>
      </c>
    </row>
    <row r="295" spans="1:2" hidden="1" x14ac:dyDescent="0.25">
      <c r="A295" t="s">
        <v>299</v>
      </c>
      <c r="B295" t="str">
        <f>IFERROR(INDEX(samplemethodlookup!$A$2:$D$648,MATCH(collectionMethodDistinct[[#This Row],[Column1]],samplemethodlookup!$A$2:$A$648,FALSE),1),"")</f>
        <v>hand-drill</v>
      </c>
    </row>
    <row r="296" spans="1:2" hidden="1" x14ac:dyDescent="0.25">
      <c r="A296" t="s">
        <v>910</v>
      </c>
      <c r="B296" t="str">
        <f>IFERROR(INDEX(samplemethodlookup!$A$2:$D$648,MATCH(collectionMethodDistinct[[#This Row],[Column1]],samplemethodlookup!$A$2:$A$648,FALSE),1),"")</f>
        <v>Hand-net (100 µm mesh size)</v>
      </c>
    </row>
    <row r="297" spans="1:2" x14ac:dyDescent="0.25">
      <c r="A297" t="s">
        <v>943</v>
      </c>
      <c r="B297" t="str">
        <f>IFERROR(INDEX(samplemethodlookup!$A$2:$D$648,MATCH(collectionMethodDistinct[[#This Row],[Column1]],samplemethodlookup!$A$2:$A$648,FALSE),1),"")</f>
        <v>hand-picked clasts</v>
      </c>
    </row>
    <row r="298" spans="1:2" hidden="1" x14ac:dyDescent="0.25">
      <c r="A298" t="s">
        <v>282</v>
      </c>
      <c r="B298" t="str">
        <f>IFERROR(INDEX(samplemethodlookup!$A$2:$D$648,MATCH(collectionMethodDistinct[[#This Row],[Column1]],samplemethodlookup!$A$2:$A$648,FALSE),1),"")</f>
        <v>Hand auger</v>
      </c>
    </row>
    <row r="299" spans="1:2" hidden="1" x14ac:dyDescent="0.25">
      <c r="A299" t="s">
        <v>283</v>
      </c>
      <c r="B299" t="str">
        <f>IFERROR(INDEX(samplemethodlookup!$A$2:$D$648,MATCH(collectionMethodDistinct[[#This Row],[Column1]],samplemethodlookup!$A$2:$A$648,FALSE),1),"")</f>
        <v>Hand auger</v>
      </c>
    </row>
    <row r="300" spans="1:2" hidden="1" x14ac:dyDescent="0.25">
      <c r="A300" t="s">
        <v>284</v>
      </c>
      <c r="B300" t="str">
        <f>IFERROR(INDEX(samplemethodlookup!$A$2:$D$648,MATCH(collectionMethodDistinct[[#This Row],[Column1]],samplemethodlookup!$A$2:$A$648,FALSE),1),"")</f>
        <v>Hand augering</v>
      </c>
    </row>
    <row r="301" spans="1:2" hidden="1" x14ac:dyDescent="0.25">
      <c r="A301" t="s">
        <v>285</v>
      </c>
      <c r="B301" t="str">
        <f>IFERROR(INDEX(samplemethodlookup!$A$2:$D$648,MATCH(collectionMethodDistinct[[#This Row],[Column1]],samplemethodlookup!$A$2:$A$648,FALSE),1),"")</f>
        <v>Hand augering</v>
      </c>
    </row>
    <row r="302" spans="1:2" hidden="1" x14ac:dyDescent="0.25">
      <c r="A302" t="s">
        <v>286</v>
      </c>
      <c r="B302" t="str">
        <f>IFERROR(INDEX(samplemethodlookup!$A$2:$D$648,MATCH(collectionMethodDistinct[[#This Row],[Column1]],samplemethodlookup!$A$2:$A$648,FALSE),1),"")</f>
        <v>Hand Auguring</v>
      </c>
    </row>
    <row r="303" spans="1:2" x14ac:dyDescent="0.25">
      <c r="A303" t="s">
        <v>942</v>
      </c>
      <c r="B303" t="str">
        <f>IFERROR(INDEX(samplemethodlookup!$A$2:$D$648,MATCH(collectionMethodDistinct[[#This Row],[Column1]],samplemethodlookup!$A$2:$A$648,FALSE),1),"")</f>
        <v>hand bottle fill</v>
      </c>
    </row>
    <row r="304" spans="1:2" hidden="1" x14ac:dyDescent="0.25">
      <c r="A304" t="s">
        <v>287</v>
      </c>
      <c r="B304" t="str">
        <f>IFERROR(INDEX(samplemethodlookup!$A$2:$D$648,MATCH(collectionMethodDistinct[[#This Row],[Column1]],samplemethodlookup!$A$2:$A$648,FALSE),1),"")</f>
        <v>hand core</v>
      </c>
    </row>
    <row r="305" spans="1:2" hidden="1" x14ac:dyDescent="0.25">
      <c r="A305" t="s">
        <v>288</v>
      </c>
      <c r="B305" t="str">
        <f>IFERROR(INDEX(samplemethodlookup!$A$2:$D$648,MATCH(collectionMethodDistinct[[#This Row],[Column1]],samplemethodlookup!$A$2:$A$648,FALSE),1),"")</f>
        <v>Hand dug soil pit</v>
      </c>
    </row>
    <row r="306" spans="1:2" hidden="1" x14ac:dyDescent="0.25">
      <c r="A306" t="s">
        <v>289</v>
      </c>
      <c r="B306" t="str">
        <f>IFERROR(INDEX(samplemethodlookup!$A$2:$D$648,MATCH(collectionMethodDistinct[[#This Row],[Column1]],samplemethodlookup!$A$2:$A$648,FALSE),1),"")</f>
        <v>Hand Intertidal</v>
      </c>
    </row>
    <row r="307" spans="1:2" hidden="1" x14ac:dyDescent="0.25">
      <c r="A307" t="s">
        <v>290</v>
      </c>
      <c r="B307" t="str">
        <f>IFERROR(INDEX(samplemethodlookup!$A$2:$D$648,MATCH(collectionMethodDistinct[[#This Row],[Column1]],samplemethodlookup!$A$2:$A$648,FALSE),1),"")</f>
        <v>hand sample</v>
      </c>
    </row>
    <row r="308" spans="1:2" hidden="1" x14ac:dyDescent="0.25">
      <c r="A308" t="s">
        <v>291</v>
      </c>
      <c r="B308" t="str">
        <f>IFERROR(INDEX(samplemethodlookup!$A$2:$D$648,MATCH(collectionMethodDistinct[[#This Row],[Column1]],samplemethodlookup!$A$2:$A$648,FALSE),1),"")</f>
        <v>hand sample</v>
      </c>
    </row>
    <row r="309" spans="1:2" hidden="1" x14ac:dyDescent="0.25">
      <c r="A309" t="s">
        <v>292</v>
      </c>
      <c r="B309" t="str">
        <f>IFERROR(INDEX(samplemethodlookup!$A$2:$D$648,MATCH(collectionMethodDistinct[[#This Row],[Column1]],samplemethodlookup!$A$2:$A$648,FALSE),1),"")</f>
        <v>hand sample</v>
      </c>
    </row>
    <row r="310" spans="1:2" hidden="1" x14ac:dyDescent="0.25">
      <c r="A310" t="s">
        <v>293</v>
      </c>
      <c r="B310" t="str">
        <f>IFERROR(INDEX(samplemethodlookup!$A$2:$D$648,MATCH(collectionMethodDistinct[[#This Row],[Column1]],samplemethodlookup!$A$2:$A$648,FALSE),1),"")</f>
        <v>Hand sample collected from outcrop</v>
      </c>
    </row>
    <row r="311" spans="1:2" hidden="1" x14ac:dyDescent="0.25">
      <c r="A311" t="s">
        <v>294</v>
      </c>
      <c r="B311" t="str">
        <f>IFERROR(INDEX(samplemethodlookup!$A$2:$D$648,MATCH(collectionMethodDistinct[[#This Row],[Column1]],samplemethodlookup!$A$2:$A$648,FALSE),1),"")</f>
        <v>hand sample from outcrop</v>
      </c>
    </row>
    <row r="312" spans="1:2" x14ac:dyDescent="0.25">
      <c r="A312" t="s">
        <v>941</v>
      </c>
      <c r="B312" t="str">
        <f>IFERROR(INDEX(samplemethodlookup!$A$2:$D$648,MATCH(collectionMethodDistinct[[#This Row],[Column1]],samplemethodlookup!$A$2:$A$648,FALSE),1),"")</f>
        <v>hand sampling</v>
      </c>
    </row>
    <row r="313" spans="1:2" hidden="1" x14ac:dyDescent="0.25">
      <c r="A313" t="s">
        <v>295</v>
      </c>
      <c r="B313" t="str">
        <f>IFERROR(INDEX(samplemethodlookup!$A$2:$D$648,MATCH(collectionMethodDistinct[[#This Row],[Column1]],samplemethodlookup!$A$2:$A$648,FALSE),1),"")</f>
        <v>Hand shovel</v>
      </c>
    </row>
    <row r="314" spans="1:2" hidden="1" x14ac:dyDescent="0.25">
      <c r="A314" t="s">
        <v>296</v>
      </c>
      <c r="B314" t="str">
        <f>IFERROR(INDEX(samplemethodlookup!$A$2:$D$648,MATCH(collectionMethodDistinct[[#This Row],[Column1]],samplemethodlookup!$A$2:$A$648,FALSE),1),"")</f>
        <v>hand shovel, 0 - 4cm below land surface</v>
      </c>
    </row>
    <row r="315" spans="1:2" hidden="1" x14ac:dyDescent="0.25">
      <c r="A315" t="s">
        <v>297</v>
      </c>
      <c r="B315" t="str">
        <f>IFERROR(INDEX(samplemethodlookup!$A$2:$D$648,MATCH(collectionMethodDistinct[[#This Row],[Column1]],samplemethodlookup!$A$2:$A$648,FALSE),1),"")</f>
        <v>hand shovel, 0 - 7 cm below land surface</v>
      </c>
    </row>
    <row r="316" spans="1:2" hidden="1" x14ac:dyDescent="0.25">
      <c r="A316" t="s">
        <v>300</v>
      </c>
      <c r="B316" t="str">
        <f>IFERROR(INDEX(samplemethodlookup!$A$2:$D$648,MATCH(collectionMethodDistinct[[#This Row],[Column1]],samplemethodlookup!$A$2:$A$648,FALSE),1),"")</f>
        <v>HandHeldCorer</v>
      </c>
    </row>
    <row r="317" spans="1:2" hidden="1" x14ac:dyDescent="0.25">
      <c r="A317" t="s">
        <v>301</v>
      </c>
      <c r="B317" t="str">
        <f>IFERROR(INDEX(samplemethodlookup!$A$2:$D$648,MATCH(collectionMethodDistinct[[#This Row],[Column1]],samplemethodlookup!$A$2:$A$648,FALSE),1),"")</f>
        <v>HandSpecimen</v>
      </c>
    </row>
    <row r="318" spans="1:2" hidden="1" x14ac:dyDescent="0.25">
      <c r="A318" t="s">
        <v>302</v>
      </c>
      <c r="B318" t="str">
        <f>IFERROR(INDEX(samplemethodlookup!$A$2:$D$648,MATCH(collectionMethodDistinct[[#This Row],[Column1]],samplemethodlookup!$A$2:$A$648,FALSE),1),"")</f>
        <v>Headspace equilibration method</v>
      </c>
    </row>
    <row r="319" spans="1:2" hidden="1" x14ac:dyDescent="0.25">
      <c r="A319" t="s">
        <v>303</v>
      </c>
      <c r="B319" t="str">
        <f>IFERROR(INDEX(samplemethodlookup!$A$2:$D$648,MATCH(collectionMethodDistinct[[#This Row],[Column1]],samplemethodlookup!$A$2:$A$648,FALSE),1),"")</f>
        <v>Heavy liquid separation</v>
      </c>
    </row>
    <row r="320" spans="1:2" hidden="1" x14ac:dyDescent="0.25">
      <c r="A320" t="s">
        <v>305</v>
      </c>
      <c r="B320" t="str">
        <f>IFERROR(INDEX(samplemethodlookup!$A$2:$D$648,MATCH(collectionMethodDistinct[[#This Row],[Column1]],samplemethodlookup!$A$2:$A$648,FALSE),1),"")</f>
        <v>hot pressed</v>
      </c>
    </row>
    <row r="321" spans="1:2" hidden="1" x14ac:dyDescent="0.25">
      <c r="A321" t="s">
        <v>306</v>
      </c>
      <c r="B321" t="str">
        <f>IFERROR(INDEX(samplemethodlookup!$A$2:$D$648,MATCH(collectionMethodDistinct[[#This Row],[Column1]],samplemethodlookup!$A$2:$A$648,FALSE),1),"")</f>
        <v>HOV</v>
      </c>
    </row>
    <row r="322" spans="1:2" hidden="1" x14ac:dyDescent="0.25">
      <c r="A322" t="s">
        <v>307</v>
      </c>
      <c r="B322" t="str">
        <f>IFERROR(INDEX(samplemethodlookup!$A$2:$D$648,MATCH(collectionMethodDistinct[[#This Row],[Column1]],samplemethodlookup!$A$2:$A$648,FALSE),1),"")</f>
        <v>hummering</v>
      </c>
    </row>
    <row r="323" spans="1:2" hidden="1" x14ac:dyDescent="0.25">
      <c r="A323" t="s">
        <v>308</v>
      </c>
      <c r="B323" t="str">
        <f>IFERROR(INDEX(samplemethodlookup!$A$2:$D$648,MATCH(collectionMethodDistinct[[#This Row],[Column1]],samplemethodlookup!$A$2:$A$648,FALSE),1),"")</f>
        <v>Hydraulic drill, 5 cm marble coring bit</v>
      </c>
    </row>
    <row r="324" spans="1:2" hidden="1" x14ac:dyDescent="0.25">
      <c r="A324" t="s">
        <v>309</v>
      </c>
      <c r="B324" t="str">
        <f>IFERROR(INDEX(samplemethodlookup!$A$2:$D$648,MATCH(collectionMethodDistinct[[#This Row],[Column1]],samplemethodlookup!$A$2:$A$648,FALSE),1),"")</f>
        <v>IGTB</v>
      </c>
    </row>
    <row r="325" spans="1:2" hidden="1" x14ac:dyDescent="0.25">
      <c r="A325" t="s">
        <v>310</v>
      </c>
      <c r="B325" t="str">
        <f>IFERROR(INDEX(samplemethodlookup!$A$2:$D$648,MATCH(collectionMethodDistinct[[#This Row],[Column1]],samplemethodlookup!$A$2:$A$648,FALSE),1),"")</f>
        <v>IHPV</v>
      </c>
    </row>
    <row r="326" spans="1:2" hidden="1" x14ac:dyDescent="0.25">
      <c r="A326" t="s">
        <v>311</v>
      </c>
      <c r="B326" t="str">
        <f>IFERROR(INDEX(samplemethodlookup!$A$2:$D$648,MATCH(collectionMethodDistinct[[#This Row],[Column1]],samplemethodlookup!$A$2:$A$648,FALSE),1),"")</f>
        <v>Impact Coring</v>
      </c>
    </row>
    <row r="327" spans="1:2" hidden="1" x14ac:dyDescent="0.25">
      <c r="A327" t="s">
        <v>313</v>
      </c>
      <c r="B327" t="str">
        <f>IFERROR(INDEX(samplemethodlookup!$A$2:$D$648,MATCH(collectionMethodDistinct[[#This Row],[Column1]],samplemethodlookup!$A$2:$A$648,FALSE),1),"")</f>
        <v>In-drain autosampler</v>
      </c>
    </row>
    <row r="328" spans="1:2" hidden="1" x14ac:dyDescent="0.25">
      <c r="A328" t="s">
        <v>314</v>
      </c>
      <c r="B328" t="str">
        <f>IFERROR(INDEX(samplemethodlookup!$A$2:$D$648,MATCH(collectionMethodDistinct[[#This Row],[Column1]],samplemethodlookup!$A$2:$A$648,FALSE),1),"")</f>
        <v>In-situ</v>
      </c>
    </row>
    <row r="329" spans="1:2" hidden="1" x14ac:dyDescent="0.25">
      <c r="A329" t="s">
        <v>315</v>
      </c>
      <c r="B329" t="str">
        <f>IFERROR(INDEX(samplemethodlookup!$A$2:$D$648,MATCH(collectionMethodDistinct[[#This Row],[Column1]],samplemethodlookup!$A$2:$A$648,FALSE),1),"")</f>
        <v>In-stream autosampler</v>
      </c>
    </row>
    <row r="330" spans="1:2" hidden="1" x14ac:dyDescent="0.25">
      <c r="A330" t="s">
        <v>312</v>
      </c>
      <c r="B330" t="str">
        <f>IFERROR(INDEX(samplemethodlookup!$A$2:$D$648,MATCH(collectionMethodDistinct[[#This Row],[Column1]],samplemethodlookup!$A$2:$A$648,FALSE),1),"")</f>
        <v>In situ&gt;WaxCore</v>
      </c>
    </row>
    <row r="331" spans="1:2" x14ac:dyDescent="0.25">
      <c r="A331" t="s">
        <v>940</v>
      </c>
      <c r="B331" t="str">
        <f>IFERROR(INDEX(samplemethodlookup!$A$2:$D$648,MATCH(collectionMethodDistinct[[#This Row],[Column1]],samplemethodlookup!$A$2:$A$648,FALSE),1),"")</f>
        <v>Individual Sample</v>
      </c>
    </row>
    <row r="332" spans="1:2" hidden="1" x14ac:dyDescent="0.25">
      <c r="A332" t="s">
        <v>939</v>
      </c>
      <c r="B332" t="str">
        <f>IFERROR(INDEX(samplemethodlookup!$A$2:$D$648,MATCH(collectionMethodDistinct[[#This Row],[Column1]],samplemethodlookup!$A$2:$A$648,FALSE),1),"")</f>
        <v xml:space="preserve">Infrared heaters and  static chambers technique </v>
      </c>
    </row>
    <row r="333" spans="1:2" hidden="1" x14ac:dyDescent="0.25">
      <c r="A333" t="s">
        <v>938</v>
      </c>
      <c r="B333" t="str">
        <f>IFERROR(INDEX(samplemethodlookup!$A$2:$D$648,MATCH(collectionMethodDistinct[[#This Row],[Column1]],samplemethodlookup!$A$2:$A$648,FALSE),1),"")</f>
        <v>installed via soil auger according to Lawrence “Gas well instructions”</v>
      </c>
    </row>
    <row r="334" spans="1:2" hidden="1" x14ac:dyDescent="0.25">
      <c r="A334" t="s">
        <v>316</v>
      </c>
      <c r="B334" t="str">
        <f>IFERROR(INDEX(samplemethodlookup!$A$2:$D$648,MATCH(collectionMethodDistinct[[#This Row],[Column1]],samplemethodlookup!$A$2:$A$648,FALSE),1),"")</f>
        <v>IODP core</v>
      </c>
    </row>
    <row r="335" spans="1:2" hidden="1" x14ac:dyDescent="0.25">
      <c r="A335" t="s">
        <v>317</v>
      </c>
      <c r="B335" t="str">
        <f>IFERROR(INDEX(samplemethodlookup!$A$2:$D$648,MATCH(collectionMethodDistinct[[#This Row],[Column1]],samplemethodlookup!$A$2:$A$648,FALSE),1),"")</f>
        <v>Isaacs Kidd Mid Water Trawl</v>
      </c>
    </row>
    <row r="336" spans="1:2" hidden="1" x14ac:dyDescent="0.25">
      <c r="A336" t="s">
        <v>318</v>
      </c>
      <c r="B336" t="str">
        <f>IFERROR(INDEX(samplemethodlookup!$A$2:$D$648,MATCH(collectionMethodDistinct[[#This Row],[Column1]],samplemethodlookup!$A$2:$A$648,FALSE),1),"")</f>
        <v>ISCO autosampler</v>
      </c>
    </row>
    <row r="337" spans="1:2" hidden="1" x14ac:dyDescent="0.25">
      <c r="A337" t="s">
        <v>319</v>
      </c>
      <c r="B337" t="str">
        <f>IFERROR(INDEX(samplemethodlookup!$A$2:$D$648,MATCH(collectionMethodDistinct[[#This Row],[Column1]],samplemethodlookup!$A$2:$A$648,FALSE),1),"")</f>
        <v>Jumbo Piston Core</v>
      </c>
    </row>
    <row r="338" spans="1:2" hidden="1" x14ac:dyDescent="0.25">
      <c r="A338" t="s">
        <v>320</v>
      </c>
      <c r="B338" t="str">
        <f>IFERROR(INDEX(samplemethodlookup!$A$2:$D$648,MATCH(collectionMethodDistinct[[#This Row],[Column1]],samplemethodlookup!$A$2:$A$648,FALSE),1),"")</f>
        <v>Kaiko dive</v>
      </c>
    </row>
    <row r="339" spans="1:2" hidden="1" x14ac:dyDescent="0.25">
      <c r="A339" t="s">
        <v>321</v>
      </c>
      <c r="B339" t="str">
        <f>IFERROR(INDEX(samplemethodlookup!$A$2:$D$648,MATCH(collectionMethodDistinct[[#This Row],[Column1]],samplemethodlookup!$A$2:$A$648,FALSE),1),"")</f>
        <v>Kasten Core</v>
      </c>
    </row>
    <row r="340" spans="1:2" hidden="1" x14ac:dyDescent="0.25">
      <c r="A340" t="s">
        <v>322</v>
      </c>
      <c r="B340" t="str">
        <f>IFERROR(INDEX(samplemethodlookup!$A$2:$D$648,MATCH(collectionMethodDistinct[[#This Row],[Column1]],samplemethodlookup!$A$2:$A$648,FALSE),1),"")</f>
        <v>Knife</v>
      </c>
    </row>
    <row r="341" spans="1:2" hidden="1" x14ac:dyDescent="0.25">
      <c r="A341" t="s">
        <v>324</v>
      </c>
      <c r="B341" t="str">
        <f>IFERROR(INDEX(samplemethodlookup!$A$2:$D$648,MATCH(collectionMethodDistinct[[#This Row],[Column1]],samplemethodlookup!$A$2:$A$648,FALSE),1),"")</f>
        <v>LA-ICPMS</v>
      </c>
    </row>
    <row r="342" spans="1:2" hidden="1" x14ac:dyDescent="0.25">
      <c r="A342" t="s">
        <v>323</v>
      </c>
      <c r="B342" t="str">
        <f>IFERROR(INDEX(samplemethodlookup!$A$2:$D$648,MATCH(collectionMethodDistinct[[#This Row],[Column1]],samplemethodlookup!$A$2:$A$648,FALSE),1),"")</f>
        <v>Lab made</v>
      </c>
    </row>
    <row r="343" spans="1:2" hidden="1" x14ac:dyDescent="0.25">
      <c r="A343" t="s">
        <v>325</v>
      </c>
      <c r="B343" t="str">
        <f>IFERROR(INDEX(samplemethodlookup!$A$2:$D$648,MATCH(collectionMethodDistinct[[#This Row],[Column1]],samplemethodlookup!$A$2:$A$648,FALSE),1),"")</f>
        <v>Layer below grass</v>
      </c>
    </row>
    <row r="344" spans="1:2" hidden="1" x14ac:dyDescent="0.25">
      <c r="A344" t="s">
        <v>326</v>
      </c>
      <c r="B344" t="str">
        <f>IFERROR(INDEX(samplemethodlookup!$A$2:$D$648,MATCH(collectionMethodDistinct[[#This Row],[Column1]],samplemethodlookup!$A$2:$A$648,FALSE),1),"")</f>
        <v>Lechate from soil core</v>
      </c>
    </row>
    <row r="345" spans="1:2" hidden="1" x14ac:dyDescent="0.25">
      <c r="A345" t="s">
        <v>327</v>
      </c>
      <c r="B345" t="str">
        <f>IFERROR(INDEX(samplemethodlookup!$A$2:$D$648,MATCH(collectionMethodDistinct[[#This Row],[Column1]],samplemethodlookup!$A$2:$A$648,FALSE),1),"")</f>
        <v>Lechatefrom soil core</v>
      </c>
    </row>
    <row r="346" spans="1:2" hidden="1" x14ac:dyDescent="0.25">
      <c r="A346" t="s">
        <v>328</v>
      </c>
      <c r="B346" t="str">
        <f>IFERROR(INDEX(samplemethodlookup!$A$2:$D$648,MATCH(collectionMethodDistinct[[#This Row],[Column1]],samplemethodlookup!$A$2:$A$648,FALSE),1),"")</f>
        <v>livingstone corer</v>
      </c>
    </row>
    <row r="347" spans="1:2" hidden="1" x14ac:dyDescent="0.25">
      <c r="A347" t="s">
        <v>329</v>
      </c>
      <c r="B347" t="str">
        <f>IFERROR(INDEX(samplemethodlookup!$A$2:$D$648,MATCH(collectionMethodDistinct[[#This Row],[Column1]],samplemethodlookup!$A$2:$A$648,FALSE),1),"")</f>
        <v>Local natural rock dealer</v>
      </c>
    </row>
    <row r="348" spans="1:2" hidden="1" x14ac:dyDescent="0.25">
      <c r="A348" t="s">
        <v>330</v>
      </c>
      <c r="B348" t="str">
        <f>IFERROR(INDEX(samplemethodlookup!$A$2:$D$648,MATCH(collectionMethodDistinct[[#This Row],[Column1]],samplemethodlookup!$A$2:$A$648,FALSE),1),"")</f>
        <v>Long Line</v>
      </c>
    </row>
    <row r="349" spans="1:2" hidden="1" x14ac:dyDescent="0.25">
      <c r="A349" t="s">
        <v>331</v>
      </c>
      <c r="B349" t="str">
        <f>IFERROR(INDEX(samplemethodlookup!$A$2:$D$648,MATCH(collectionMethodDistinct[[#This Row],[Column1]],samplemethodlookup!$A$2:$A$648,FALSE),1),"")</f>
        <v>Long Piston Core</v>
      </c>
    </row>
    <row r="350" spans="1:2" hidden="1" x14ac:dyDescent="0.25">
      <c r="A350" t="s">
        <v>332</v>
      </c>
      <c r="B350" t="str">
        <f>IFERROR(INDEX(samplemethodlookup!$A$2:$D$648,MATCH(collectionMethodDistinct[[#This Row],[Column1]],samplemethodlookup!$A$2:$A$648,FALSE),1),"")</f>
        <v>lose block</v>
      </c>
    </row>
    <row r="351" spans="1:2" hidden="1" x14ac:dyDescent="0.25">
      <c r="A351" t="s">
        <v>333</v>
      </c>
      <c r="B351" t="str">
        <f>IFERROR(INDEX(samplemethodlookup!$A$2:$D$648,MATCH(collectionMethodDistinct[[#This Row],[Column1]],samplemethodlookup!$A$2:$A$648,FALSE),1),"")</f>
        <v>LVT</v>
      </c>
    </row>
    <row r="352" spans="1:2" hidden="1" x14ac:dyDescent="0.25">
      <c r="A352" t="s">
        <v>334</v>
      </c>
      <c r="B352" t="str">
        <f>IFERROR(INDEX(samplemethodlookup!$A$2:$D$648,MATCH(collectionMethodDistinct[[#This Row],[Column1]],samplemethodlookup!$A$2:$A$648,FALSE),1),"")</f>
        <v>manipulator</v>
      </c>
    </row>
    <row r="353" spans="1:2" hidden="1" x14ac:dyDescent="0.25">
      <c r="A353" t="s">
        <v>335</v>
      </c>
      <c r="B353" t="str">
        <f>IFERROR(INDEX(samplemethodlookup!$A$2:$D$648,MATCH(collectionMethodDistinct[[#This Row],[Column1]],samplemethodlookup!$A$2:$A$648,FALSE),1),"")</f>
        <v>manipulator</v>
      </c>
    </row>
    <row r="354" spans="1:2" hidden="1" x14ac:dyDescent="0.25">
      <c r="A354" t="s">
        <v>336</v>
      </c>
      <c r="B354" t="str">
        <f>IFERROR(INDEX(samplemethodlookup!$A$2:$D$648,MATCH(collectionMethodDistinct[[#This Row],[Column1]],samplemethodlookup!$A$2:$A$648,FALSE),1),"")</f>
        <v>Manipulator, ThermocoupleArray</v>
      </c>
    </row>
    <row r="355" spans="1:2" hidden="1" x14ac:dyDescent="0.25">
      <c r="A355" t="s">
        <v>337</v>
      </c>
      <c r="B355" t="str">
        <f>IFERROR(INDEX(samplemethodlookup!$A$2:$D$648,MATCH(collectionMethodDistinct[[#This Row],[Column1]],samplemethodlookup!$A$2:$A$648,FALSE),1),"")</f>
        <v>manual</v>
      </c>
    </row>
    <row r="356" spans="1:2" hidden="1" x14ac:dyDescent="0.25">
      <c r="A356" t="s">
        <v>338</v>
      </c>
      <c r="B356" t="str">
        <f>IFERROR(INDEX(samplemethodlookup!$A$2:$D$648,MATCH(collectionMethodDistinct[[#This Row],[Column1]],samplemethodlookup!$A$2:$A$648,FALSE),1),"")</f>
        <v>manual</v>
      </c>
    </row>
    <row r="357" spans="1:2" hidden="1" x14ac:dyDescent="0.25">
      <c r="A357" t="s">
        <v>339</v>
      </c>
      <c r="B357" t="str">
        <f>IFERROR(INDEX(samplemethodlookup!$A$2:$D$648,MATCH(collectionMethodDistinct[[#This Row],[Column1]],samplemethodlookup!$A$2:$A$648,FALSE),1),"")</f>
        <v>manual</v>
      </c>
    </row>
    <row r="358" spans="1:2" hidden="1" x14ac:dyDescent="0.25">
      <c r="A358" t="s">
        <v>356</v>
      </c>
      <c r="B358" t="str">
        <f>IFERROR(INDEX(samplemethodlookup!$A$2:$D$648,MATCH(collectionMethodDistinct[[#This Row],[Column1]],samplemethodlookup!$A$2:$A$648,FALSE),1),"")</f>
        <v>Manual-Hammer</v>
      </c>
    </row>
    <row r="359" spans="1:2" hidden="1" x14ac:dyDescent="0.25">
      <c r="A359" t="s">
        <v>913</v>
      </c>
      <c r="B359" t="str">
        <f>IFERROR(INDEX(samplemethodlookup!$A$2:$D$648,MATCH(collectionMethodDistinct[[#This Row],[Column1]],samplemethodlookup!$A$2:$A$648,FALSE),1),"")</f>
        <v>Manual-Hammer</v>
      </c>
    </row>
    <row r="360" spans="1:2" hidden="1" x14ac:dyDescent="0.25">
      <c r="A360" t="s">
        <v>340</v>
      </c>
      <c r="B360" t="str">
        <f>IFERROR(INDEX(samplemethodlookup!$A$2:$D$648,MATCH(collectionMethodDistinct[[#This Row],[Column1]],samplemethodlookup!$A$2:$A$648,FALSE),1),"")</f>
        <v xml:space="preserve">manual </v>
      </c>
    </row>
    <row r="361" spans="1:2" hidden="1" x14ac:dyDescent="0.25">
      <c r="A361" t="s">
        <v>341</v>
      </c>
      <c r="B361" t="str">
        <f>IFERROR(INDEX(samplemethodlookup!$A$2:$D$648,MATCH(collectionMethodDistinct[[#This Row],[Column1]],samplemethodlookup!$A$2:$A$648,FALSE),1),"")</f>
        <v xml:space="preserve">manual </v>
      </c>
    </row>
    <row r="362" spans="1:2" hidden="1" x14ac:dyDescent="0.25">
      <c r="A362" t="s">
        <v>342</v>
      </c>
      <c r="B362" t="str">
        <f>IFERROR(INDEX(samplemethodlookup!$A$2:$D$648,MATCH(collectionMethodDistinct[[#This Row],[Column1]],samplemethodlookup!$A$2:$A$648,FALSE),1),"")</f>
        <v>Manual - Hammer</v>
      </c>
    </row>
    <row r="363" spans="1:2" hidden="1" x14ac:dyDescent="0.25">
      <c r="A363" t="s">
        <v>343</v>
      </c>
      <c r="B363" t="str">
        <f>IFERROR(INDEX(samplemethodlookup!$A$2:$D$648,MATCH(collectionMethodDistinct[[#This Row],[Column1]],samplemethodlookup!$A$2:$A$648,FALSE),1),"")</f>
        <v>Manual extraction</v>
      </c>
    </row>
    <row r="364" spans="1:2" hidden="1" x14ac:dyDescent="0.25">
      <c r="A364" t="s">
        <v>344</v>
      </c>
      <c r="B364" t="str">
        <f>IFERROR(INDEX(samplemethodlookup!$A$2:$D$648,MATCH(collectionMethodDistinct[[#This Row],[Column1]],samplemethodlookup!$A$2:$A$648,FALSE),1),"")</f>
        <v>Manual surface water sampling</v>
      </c>
    </row>
    <row r="365" spans="1:2" x14ac:dyDescent="0.25">
      <c r="A365" t="s">
        <v>937</v>
      </c>
      <c r="B365" t="str">
        <f>IFERROR(INDEX(samplemethodlookup!$A$2:$D$648,MATCH(collectionMethodDistinct[[#This Row],[Column1]],samplemethodlookup!$A$2:$A$648,FALSE),1),"")</f>
        <v>Manual; rock hammer</v>
      </c>
    </row>
    <row r="366" spans="1:2" hidden="1" x14ac:dyDescent="0.25">
      <c r="A366" t="s">
        <v>345</v>
      </c>
      <c r="B366" t="str">
        <f>IFERROR(INDEX(samplemethodlookup!$A$2:$D$648,MATCH(collectionMethodDistinct[[#This Row],[Column1]],samplemethodlookup!$A$2:$A$648,FALSE),1),"")</f>
        <v>Manual; tube collection</v>
      </c>
    </row>
    <row r="367" spans="1:2" hidden="1" x14ac:dyDescent="0.25">
      <c r="A367" t="s">
        <v>346</v>
      </c>
      <c r="B367" t="str">
        <f>IFERROR(INDEX(samplemethodlookup!$A$2:$D$648,MATCH(collectionMethodDistinct[[#This Row],[Column1]],samplemethodlookup!$A$2:$A$648,FALSE),1),"")</f>
        <v>Manual&gt; hammer</v>
      </c>
    </row>
    <row r="368" spans="1:2" hidden="1" x14ac:dyDescent="0.25">
      <c r="A368" t="s">
        <v>347</v>
      </c>
      <c r="B368" t="str">
        <f>IFERROR(INDEX(samplemethodlookup!$A$2:$D$648,MATCH(collectionMethodDistinct[[#This Row],[Column1]],samplemethodlookup!$A$2:$A$648,FALSE),1),"")</f>
        <v>Manual&gt; nylon spatula</v>
      </c>
    </row>
    <row r="369" spans="1:2" hidden="1" x14ac:dyDescent="0.25">
      <c r="A369" t="s">
        <v>348</v>
      </c>
      <c r="B369" t="str">
        <f>IFERROR(INDEX(samplemethodlookup!$A$2:$D$648,MATCH(collectionMethodDistinct[[#This Row],[Column1]],samplemethodlookup!$A$2:$A$648,FALSE),1),"")</f>
        <v>Manual&gt;block and hammer</v>
      </c>
    </row>
    <row r="370" spans="1:2" hidden="1" x14ac:dyDescent="0.25">
      <c r="A370" t="s">
        <v>349</v>
      </c>
      <c r="B370" t="str">
        <f>IFERROR(INDEX(samplemethodlookup!$A$2:$D$648,MATCH(collectionMethodDistinct[[#This Row],[Column1]],samplemethodlookup!$A$2:$A$648,FALSE),1),"")</f>
        <v>Manual&gt;Hamer</v>
      </c>
    </row>
    <row r="371" spans="1:2" hidden="1" x14ac:dyDescent="0.25">
      <c r="A371" t="s">
        <v>350</v>
      </c>
      <c r="B371" t="str">
        <f>IFERROR(INDEX(samplemethodlookup!$A$2:$D$648,MATCH(collectionMethodDistinct[[#This Row],[Column1]],samplemethodlookup!$A$2:$A$648,FALSE),1),"")</f>
        <v>manual&gt;hammer</v>
      </c>
    </row>
    <row r="372" spans="1:2" hidden="1" x14ac:dyDescent="0.25">
      <c r="A372" t="s">
        <v>351</v>
      </c>
      <c r="B372" t="str">
        <f>IFERROR(INDEX(samplemethodlookup!$A$2:$D$648,MATCH(collectionMethodDistinct[[#This Row],[Column1]],samplemethodlookup!$A$2:$A$648,FALSE),1),"")</f>
        <v>manual&gt;hammer</v>
      </c>
    </row>
    <row r="373" spans="1:2" hidden="1" x14ac:dyDescent="0.25">
      <c r="A373" t="s">
        <v>352</v>
      </c>
      <c r="B373" t="str">
        <f>IFERROR(INDEX(samplemethodlookup!$A$2:$D$648,MATCH(collectionMethodDistinct[[#This Row],[Column1]],samplemethodlookup!$A$2:$A$648,FALSE),1),"")</f>
        <v>manual&gt;hammer</v>
      </c>
    </row>
    <row r="374" spans="1:2" x14ac:dyDescent="0.25">
      <c r="A374" t="s">
        <v>936</v>
      </c>
      <c r="B374" t="str">
        <f>IFERROR(INDEX(samplemethodlookup!$A$2:$D$648,MATCH(collectionMethodDistinct[[#This Row],[Column1]],samplemethodlookup!$A$2:$A$648,FALSE),1),"")</f>
        <v>manual&gt;hammer&gt; oriented</v>
      </c>
    </row>
    <row r="375" spans="1:2" hidden="1" x14ac:dyDescent="0.25">
      <c r="A375" t="s">
        <v>353</v>
      </c>
      <c r="B375" t="str">
        <f>IFERROR(INDEX(samplemethodlookup!$A$2:$D$648,MATCH(collectionMethodDistinct[[#This Row],[Column1]],samplemethodlookup!$A$2:$A$648,FALSE),1),"")</f>
        <v>Manual&gt;HandCorer</v>
      </c>
    </row>
    <row r="376" spans="1:2" hidden="1" x14ac:dyDescent="0.25">
      <c r="A376" t="s">
        <v>896</v>
      </c>
      <c r="B376" t="str">
        <f>IFERROR(INDEX(samplemethodlookup!$A$2:$D$648,MATCH(collectionMethodDistinct[[#This Row],[Column1]],samplemethodlookup!$A$2:$A$648,FALSE),1),"")</f>
        <v>Manual&gt;in situ</v>
      </c>
    </row>
    <row r="377" spans="1:2" hidden="1" x14ac:dyDescent="0.25">
      <c r="A377" t="s">
        <v>354</v>
      </c>
      <c r="B377" t="str">
        <f>IFERROR(INDEX(samplemethodlookup!$A$2:$D$648,MATCH(collectionMethodDistinct[[#This Row],[Column1]],samplemethodlookup!$A$2:$A$648,FALSE),1),"")</f>
        <v>Manual&gt;Shovel</v>
      </c>
    </row>
    <row r="378" spans="1:2" hidden="1" x14ac:dyDescent="0.25">
      <c r="A378" t="s">
        <v>355</v>
      </c>
      <c r="B378" t="str">
        <f>IFERROR(INDEX(samplemethodlookup!$A$2:$D$648,MATCH(collectionMethodDistinct[[#This Row],[Column1]],samplemethodlookup!$A$2:$A$648,FALSE),1),"")</f>
        <v>manualAugering&gt;AMSauger</v>
      </c>
    </row>
    <row r="379" spans="1:2" x14ac:dyDescent="0.25">
      <c r="A379" t="s">
        <v>935</v>
      </c>
      <c r="B379" t="str">
        <f>IFERROR(INDEX(samplemethodlookup!$A$2:$D$648,MATCH(collectionMethodDistinct[[#This Row],[Column1]],samplemethodlookup!$A$2:$A$648,FALSE),1),"")</f>
        <v>Manuel&gt;Hammer</v>
      </c>
    </row>
    <row r="380" spans="1:2" hidden="1" x14ac:dyDescent="0.25">
      <c r="A380" t="s">
        <v>357</v>
      </c>
      <c r="B380" t="str">
        <f>IFERROR(INDEX(samplemethodlookup!$A$2:$D$648,MATCH(collectionMethodDistinct[[#This Row],[Column1]],samplemethodlookup!$A$2:$A$648,FALSE),1),"")</f>
        <v>Mars 2020 abrasion bit</v>
      </c>
    </row>
    <row r="381" spans="1:2" hidden="1" x14ac:dyDescent="0.25">
      <c r="A381" t="s">
        <v>358</v>
      </c>
      <c r="B381" t="str">
        <f>IFERROR(INDEX(samplemethodlookup!$A$2:$D$648,MATCH(collectionMethodDistinct[[#This Row],[Column1]],samplemethodlookup!$A$2:$A$648,FALSE),1),"")</f>
        <v>Mars 2020 coring bit</v>
      </c>
    </row>
    <row r="382" spans="1:2" hidden="1" x14ac:dyDescent="0.25">
      <c r="A382" t="s">
        <v>359</v>
      </c>
      <c r="B382" t="str">
        <f>IFERROR(INDEX(samplemethodlookup!$A$2:$D$648,MATCH(collectionMethodDistinct[[#This Row],[Column1]],samplemethodlookup!$A$2:$A$648,FALSE),1),"")</f>
        <v>melting</v>
      </c>
    </row>
    <row r="383" spans="1:2" hidden="1" x14ac:dyDescent="0.25">
      <c r="A383" t="s">
        <v>360</v>
      </c>
      <c r="B383" t="str">
        <f>IFERROR(INDEX(samplemethodlookup!$A$2:$D$648,MATCH(collectionMethodDistinct[[#This Row],[Column1]],samplemethodlookup!$A$2:$A$648,FALSE),1),"")</f>
        <v>Menzies Trawl</v>
      </c>
    </row>
    <row r="384" spans="1:2" hidden="1" x14ac:dyDescent="0.25">
      <c r="A384" t="s">
        <v>361</v>
      </c>
      <c r="B384" t="str">
        <f>IFERROR(INDEX(samplemethodlookup!$A$2:$D$648,MATCH(collectionMethodDistinct[[#This Row],[Column1]],samplemethodlookup!$A$2:$A$648,FALSE),1),"")</f>
        <v>metal scoop</v>
      </c>
    </row>
    <row r="385" spans="1:2" hidden="1" x14ac:dyDescent="0.25">
      <c r="A385" t="s">
        <v>362</v>
      </c>
      <c r="B385" t="str">
        <f>IFERROR(INDEX(samplemethodlookup!$A$2:$D$648,MATCH(collectionMethodDistinct[[#This Row],[Column1]],samplemethodlookup!$A$2:$A$648,FALSE),1),"")</f>
        <v>microdrilling</v>
      </c>
    </row>
    <row r="386" spans="1:2" hidden="1" x14ac:dyDescent="0.25">
      <c r="A386" t="s">
        <v>35</v>
      </c>
      <c r="B386" t="str">
        <f>IFERROR(INDEX(samplemethodlookup!$A$2:$D$648,MATCH(collectionMethodDistinct[[#This Row],[Column1]],samplemethodlookup!$A$2:$A$648,FALSE),1),"")</f>
        <v>Micropillar Compression</v>
      </c>
    </row>
    <row r="387" spans="1:2" hidden="1" x14ac:dyDescent="0.25">
      <c r="A387" t="s">
        <v>363</v>
      </c>
      <c r="B387" t="str">
        <f>IFERROR(INDEX(samplemethodlookup!$A$2:$D$648,MATCH(collectionMethodDistinct[[#This Row],[Column1]],samplemethodlookup!$A$2:$A$648,FALSE),1),"")</f>
        <v>Micropillar Deformation</v>
      </c>
    </row>
    <row r="388" spans="1:2" hidden="1" x14ac:dyDescent="0.25">
      <c r="A388" t="s">
        <v>364</v>
      </c>
      <c r="B388" t="str">
        <f>IFERROR(INDEX(samplemethodlookup!$A$2:$D$648,MATCH(collectionMethodDistinct[[#This Row],[Column1]],samplemethodlookup!$A$2:$A$648,FALSE),1),"")</f>
        <v>Mined</v>
      </c>
    </row>
    <row r="389" spans="1:2" hidden="1" x14ac:dyDescent="0.25">
      <c r="A389" t="s">
        <v>365</v>
      </c>
      <c r="B389" t="str">
        <f>IFERROR(INDEX(samplemethodlookup!$A$2:$D$648,MATCH(collectionMethodDistinct[[#This Row],[Column1]],samplemethodlookup!$A$2:$A$648,FALSE),1),"")</f>
        <v>mixed left, right, center, 0.45 micron filtered</v>
      </c>
    </row>
    <row r="390" spans="1:2" hidden="1" x14ac:dyDescent="0.25">
      <c r="A390" t="s">
        <v>366</v>
      </c>
      <c r="B390" t="str">
        <f>IFERROR(INDEX(samplemethodlookup!$A$2:$D$648,MATCH(collectionMethodDistinct[[#This Row],[Column1]],samplemethodlookup!$A$2:$A$648,FALSE),1),"")</f>
        <v>Multicore</v>
      </c>
    </row>
    <row r="391" spans="1:2" hidden="1" x14ac:dyDescent="0.25">
      <c r="A391" t="s">
        <v>367</v>
      </c>
      <c r="B391" t="str">
        <f>IFERROR(INDEX(samplemethodlookup!$A$2:$D$648,MATCH(collectionMethodDistinct[[#This Row],[Column1]],samplemethodlookup!$A$2:$A$648,FALSE),1),"")</f>
        <v>Museum specimen</v>
      </c>
    </row>
    <row r="392" spans="1:2" hidden="1" x14ac:dyDescent="0.25">
      <c r="A392" t="s">
        <v>368</v>
      </c>
      <c r="B392" t="str">
        <f>IFERROR(INDEX(samplemethodlookup!$A$2:$D$648,MATCH(collectionMethodDistinct[[#This Row],[Column1]],samplemethodlookup!$A$2:$A$648,FALSE),1),"")</f>
        <v>Nanoindentation</v>
      </c>
    </row>
    <row r="393" spans="1:2" hidden="1" x14ac:dyDescent="0.25">
      <c r="A393" t="s">
        <v>369</v>
      </c>
      <c r="B393" t="str">
        <f>IFERROR(INDEX(samplemethodlookup!$A$2:$D$648,MATCH(collectionMethodDistinct[[#This Row],[Column1]],samplemethodlookup!$A$2:$A$648,FALSE),1),"")</f>
        <v>Niskin</v>
      </c>
    </row>
    <row r="394" spans="1:2" hidden="1" x14ac:dyDescent="0.25">
      <c r="A394" t="s">
        <v>37</v>
      </c>
      <c r="B394" t="str">
        <f>IFERROR(INDEX(samplemethodlookup!$A$2:$D$648,MATCH(collectionMethodDistinct[[#This Row],[Column1]],samplemethodlookup!$A$2:$A$648,FALSE),1),"")</f>
        <v>Niskin Water Sampler</v>
      </c>
    </row>
    <row r="395" spans="1:2" x14ac:dyDescent="0.25">
      <c r="A395" t="s">
        <v>934</v>
      </c>
      <c r="B395" t="str">
        <f>IFERROR(INDEX(samplemethodlookup!$A$2:$D$648,MATCH(collectionMethodDistinct[[#This Row],[Column1]],samplemethodlookup!$A$2:$A$648,FALSE),1),"")</f>
        <v>Non Oriented  sample, collected with hammer, chisel.</v>
      </c>
    </row>
    <row r="396" spans="1:2" hidden="1" x14ac:dyDescent="0.25">
      <c r="A396" t="s">
        <v>371</v>
      </c>
      <c r="B396" t="str">
        <f>IFERROR(INDEX(samplemethodlookup!$A$2:$D$648,MATCH(collectionMethodDistinct[[#This Row],[Column1]],samplemethodlookup!$A$2:$A$648,FALSE),1),"")</f>
        <v>ODP drilling</v>
      </c>
    </row>
    <row r="397" spans="1:2" hidden="1" x14ac:dyDescent="0.25">
      <c r="A397" t="s">
        <v>372</v>
      </c>
      <c r="B397" t="str">
        <f>IFERROR(INDEX(samplemethodlookup!$A$2:$D$648,MATCH(collectionMethodDistinct[[#This Row],[Column1]],samplemethodlookup!$A$2:$A$648,FALSE),1),"")</f>
        <v>Oil and Gas Exploration</v>
      </c>
    </row>
    <row r="398" spans="1:2" hidden="1" x14ac:dyDescent="0.25">
      <c r="A398" t="s">
        <v>373</v>
      </c>
      <c r="B398" t="str">
        <f>IFERROR(INDEX(samplemethodlookup!$A$2:$D$648,MATCH(collectionMethodDistinct[[#This Row],[Column1]],samplemethodlookup!$A$2:$A$648,FALSE),1),"")</f>
        <v>open-hole drilling</v>
      </c>
    </row>
    <row r="399" spans="1:2" hidden="1" x14ac:dyDescent="0.25">
      <c r="A399" t="s">
        <v>374</v>
      </c>
      <c r="B399" t="str">
        <f>IFERROR(INDEX(samplemethodlookup!$A$2:$D$648,MATCH(collectionMethodDistinct[[#This Row],[Column1]],samplemethodlookup!$A$2:$A$648,FALSE),1),"")</f>
        <v>Oriented hand sample</v>
      </c>
    </row>
    <row r="400" spans="1:2" x14ac:dyDescent="0.25">
      <c r="A400" t="s">
        <v>933</v>
      </c>
      <c r="B400" t="str">
        <f>IFERROR(INDEX(samplemethodlookup!$A$2:$D$648,MATCH(collectionMethodDistinct[[#This Row],[Column1]],samplemethodlookup!$A$2:$A$648,FALSE),1),"")</f>
        <v>Oriented sample, collected with hammer, chisel.</v>
      </c>
    </row>
    <row r="401" spans="1:2" hidden="1" x14ac:dyDescent="0.25">
      <c r="A401" t="s">
        <v>375</v>
      </c>
      <c r="B401" t="str">
        <f>IFERROR(INDEX(samplemethodlookup!$A$2:$D$648,MATCH(collectionMethodDistinct[[#This Row],[Column1]],samplemethodlookup!$A$2:$A$648,FALSE),1),"")</f>
        <v>Other</v>
      </c>
    </row>
    <row r="402" spans="1:2" hidden="1" x14ac:dyDescent="0.25">
      <c r="A402" t="s">
        <v>376</v>
      </c>
      <c r="B402" t="str">
        <f>IFERROR(INDEX(samplemethodlookup!$A$2:$D$648,MATCH(collectionMethodDistinct[[#This Row],[Column1]],samplemethodlookup!$A$2:$A$648,FALSE),1),"")</f>
        <v>Otter Trawl</v>
      </c>
    </row>
    <row r="403" spans="1:2" hidden="1" x14ac:dyDescent="0.25">
      <c r="A403" t="s">
        <v>377</v>
      </c>
      <c r="B403" t="str">
        <f>IFERROR(INDEX(samplemethodlookup!$A$2:$D$648,MATCH(collectionMethodDistinct[[#This Row],[Column1]],samplemethodlookup!$A$2:$A$648,FALSE),1),"")</f>
        <v>Otter Trawl/IK Net</v>
      </c>
    </row>
    <row r="404" spans="1:2" hidden="1" x14ac:dyDescent="0.25">
      <c r="A404" t="s">
        <v>378</v>
      </c>
      <c r="B404" t="str">
        <f>IFERROR(INDEX(samplemethodlookup!$A$2:$D$648,MATCH(collectionMethodDistinct[[#This Row],[Column1]],samplemethodlookup!$A$2:$A$648,FALSE),1),"")</f>
        <v>outcrop</v>
      </c>
    </row>
    <row r="405" spans="1:2" hidden="1" x14ac:dyDescent="0.25">
      <c r="A405" t="s">
        <v>379</v>
      </c>
      <c r="B405" t="str">
        <f>IFERROR(INDEX(samplemethodlookup!$A$2:$D$648,MATCH(collectionMethodDistinct[[#This Row],[Column1]],samplemethodlookup!$A$2:$A$648,FALSE),1),"")</f>
        <v>outcrop</v>
      </c>
    </row>
    <row r="406" spans="1:2" hidden="1" x14ac:dyDescent="0.25">
      <c r="A406" t="s">
        <v>380</v>
      </c>
      <c r="B406" t="str">
        <f>IFERROR(INDEX(samplemethodlookup!$A$2:$D$648,MATCH(collectionMethodDistinct[[#This Row],[Column1]],samplemethodlookup!$A$2:$A$648,FALSE),1),"")</f>
        <v>outcrop hand sample</v>
      </c>
    </row>
    <row r="407" spans="1:2" hidden="1" x14ac:dyDescent="0.25">
      <c r="A407" t="s">
        <v>381</v>
      </c>
      <c r="B407" t="str">
        <f>IFERROR(INDEX(samplemethodlookup!$A$2:$D$648,MATCH(collectionMethodDistinct[[#This Row],[Column1]],samplemethodlookup!$A$2:$A$648,FALSE),1),"")</f>
        <v>outcrop hand sample</v>
      </c>
    </row>
    <row r="408" spans="1:2" hidden="1" x14ac:dyDescent="0.25">
      <c r="A408" t="s">
        <v>382</v>
      </c>
      <c r="B408" t="str">
        <f>IFERROR(INDEX(samplemethodlookup!$A$2:$D$648,MATCH(collectionMethodDistinct[[#This Row],[Column1]],samplemethodlookup!$A$2:$A$648,FALSE),1),"")</f>
        <v>Outcrop sampling</v>
      </c>
    </row>
    <row r="409" spans="1:2" hidden="1" x14ac:dyDescent="0.25">
      <c r="A409" t="s">
        <v>383</v>
      </c>
      <c r="B409" t="str">
        <f>IFERROR(INDEX(samplemethodlookup!$A$2:$D$648,MATCH(collectionMethodDistinct[[#This Row],[Column1]],samplemethodlookup!$A$2:$A$648,FALSE),1),"")</f>
        <v>Paleomagnetic drilling</v>
      </c>
    </row>
    <row r="410" spans="1:2" x14ac:dyDescent="0.25">
      <c r="A410" t="s">
        <v>932</v>
      </c>
      <c r="B410" t="str">
        <f>IFERROR(INDEX(samplemethodlookup!$A$2:$D$648,MATCH(collectionMethodDistinct[[#This Row],[Column1]],samplemethodlookup!$A$2:$A$648,FALSE),1),"")</f>
        <v>Passive Filtration</v>
      </c>
    </row>
    <row r="411" spans="1:2" hidden="1" x14ac:dyDescent="0.25">
      <c r="A411" t="s">
        <v>384</v>
      </c>
      <c r="B411" t="str">
        <f>IFERROR(INDEX(samplemethodlookup!$A$2:$D$648,MATCH(collectionMethodDistinct[[#This Row],[Column1]],samplemethodlookup!$A$2:$A$648,FALSE),1),"")</f>
        <v>percussion corer and Livingston corer</v>
      </c>
    </row>
    <row r="412" spans="1:2" hidden="1" x14ac:dyDescent="0.25">
      <c r="A412" t="s">
        <v>385</v>
      </c>
      <c r="B412" t="str">
        <f>IFERROR(INDEX(samplemethodlookup!$A$2:$D$648,MATCH(collectionMethodDistinct[[#This Row],[Column1]],samplemethodlookup!$A$2:$A$648,FALSE),1),"")</f>
        <v>PES membrane filtered</v>
      </c>
    </row>
    <row r="413" spans="1:2" hidden="1" x14ac:dyDescent="0.25">
      <c r="A413" t="s">
        <v>386</v>
      </c>
      <c r="B413" t="str">
        <f>IFERROR(INDEX(samplemethodlookup!$A$2:$D$648,MATCH(collectionMethodDistinct[[#This Row],[Column1]],samplemethodlookup!$A$2:$A$648,FALSE),1),"")</f>
        <v>Peterson Grab</v>
      </c>
    </row>
    <row r="414" spans="1:2" hidden="1" x14ac:dyDescent="0.25">
      <c r="A414" t="s">
        <v>387</v>
      </c>
      <c r="B414" t="str">
        <f>IFERROR(INDEX(samplemethodlookup!$A$2:$D$648,MATCH(collectionMethodDistinct[[#This Row],[Column1]],samplemethodlookup!$A$2:$A$648,FALSE),1),"")</f>
        <v>Phleger Core</v>
      </c>
    </row>
    <row r="415" spans="1:2" hidden="1" x14ac:dyDescent="0.25">
      <c r="A415" t="s">
        <v>388</v>
      </c>
      <c r="B415" t="str">
        <f>IFERROR(INDEX(samplemethodlookup!$A$2:$D$648,MATCH(collectionMethodDistinct[[#This Row],[Column1]],samplemethodlookup!$A$2:$A$648,FALSE),1),"")</f>
        <v>Photomicrograph</v>
      </c>
    </row>
    <row r="416" spans="1:2" x14ac:dyDescent="0.25">
      <c r="A416" t="s">
        <v>931</v>
      </c>
      <c r="B416" t="str">
        <f>IFERROR(INDEX(samplemethodlookup!$A$2:$D$648,MATCH(collectionMethodDistinct[[#This Row],[Column1]],samplemethodlookup!$A$2:$A$648,FALSE),1),"")</f>
        <v>Pick</v>
      </c>
    </row>
    <row r="417" spans="1:2" hidden="1" x14ac:dyDescent="0.25">
      <c r="A417" t="s">
        <v>389</v>
      </c>
      <c r="B417" t="str">
        <f>IFERROR(INDEX(samplemethodlookup!$A$2:$D$648,MATCH(collectionMethodDistinct[[#This Row],[Column1]],samplemethodlookup!$A$2:$A$648,FALSE),1),"")</f>
        <v>Pick up by hand</v>
      </c>
    </row>
    <row r="418" spans="1:2" hidden="1" x14ac:dyDescent="0.25">
      <c r="A418" t="s">
        <v>390</v>
      </c>
      <c r="B418" t="str">
        <f>IFERROR(INDEX(samplemethodlookup!$A$2:$D$648,MATCH(collectionMethodDistinct[[#This Row],[Column1]],samplemethodlookup!$A$2:$A$648,FALSE),1),"")</f>
        <v>piston core</v>
      </c>
    </row>
    <row r="419" spans="1:2" hidden="1" x14ac:dyDescent="0.25">
      <c r="A419" t="s">
        <v>391</v>
      </c>
      <c r="B419" t="str">
        <f>IFERROR(INDEX(samplemethodlookup!$A$2:$D$648,MATCH(collectionMethodDistinct[[#This Row],[Column1]],samplemethodlookup!$A$2:$A$648,FALSE),1),"")</f>
        <v>piston core</v>
      </c>
    </row>
    <row r="420" spans="1:2" hidden="1" x14ac:dyDescent="0.25">
      <c r="A420" t="s">
        <v>392</v>
      </c>
      <c r="B420" t="str">
        <f>IFERROR(INDEX(samplemethodlookup!$A$2:$D$648,MATCH(collectionMethodDistinct[[#This Row],[Column1]],samplemethodlookup!$A$2:$A$648,FALSE),1),"")</f>
        <v>Piston Cylinder</v>
      </c>
    </row>
    <row r="421" spans="1:2" hidden="1" x14ac:dyDescent="0.25">
      <c r="A421" t="s">
        <v>393</v>
      </c>
      <c r="B421" t="str">
        <f>IFERROR(INDEX(samplemethodlookup!$A$2:$D$648,MATCH(collectionMethodDistinct[[#This Row],[Column1]],samplemethodlookup!$A$2:$A$648,FALSE),1),"")</f>
        <v>PistonCorer</v>
      </c>
    </row>
    <row r="422" spans="1:2" hidden="1" x14ac:dyDescent="0.25">
      <c r="A422" t="s">
        <v>394</v>
      </c>
      <c r="B422" t="str">
        <f>IFERROR(INDEX(samplemethodlookup!$A$2:$D$648,MATCH(collectionMethodDistinct[[#This Row],[Column1]],samplemethodlookup!$A$2:$A$648,FALSE),1),"")</f>
        <v>pit</v>
      </c>
    </row>
    <row r="423" spans="1:2" hidden="1" x14ac:dyDescent="0.25">
      <c r="A423" t="s">
        <v>395</v>
      </c>
      <c r="B423" t="str">
        <f>IFERROR(INDEX(samplemethodlookup!$A$2:$D$648,MATCH(collectionMethodDistinct[[#This Row],[Column1]],samplemethodlookup!$A$2:$A$648,FALSE),1),"")</f>
        <v>pit</v>
      </c>
    </row>
    <row r="424" spans="1:2" hidden="1" x14ac:dyDescent="0.25">
      <c r="A424" t="s">
        <v>396</v>
      </c>
      <c r="B424" t="str">
        <f>IFERROR(INDEX(samplemethodlookup!$A$2:$D$648,MATCH(collectionMethodDistinct[[#This Row],[Column1]],samplemethodlookup!$A$2:$A$648,FALSE),1),"")</f>
        <v>pit in cliff</v>
      </c>
    </row>
    <row r="425" spans="1:2" hidden="1" x14ac:dyDescent="0.25">
      <c r="A425" t="s">
        <v>397</v>
      </c>
      <c r="B425" t="str">
        <f>IFERROR(INDEX(samplemethodlookup!$A$2:$D$648,MATCH(collectionMethodDistinct[[#This Row],[Column1]],samplemethodlookup!$A$2:$A$648,FALSE),1),"")</f>
        <v>pit sampling</v>
      </c>
    </row>
    <row r="426" spans="1:2" hidden="1" x14ac:dyDescent="0.25">
      <c r="A426" t="s">
        <v>398</v>
      </c>
      <c r="B426" t="str">
        <f>IFERROR(INDEX(samplemethodlookup!$A$2:$D$648,MATCH(collectionMethodDistinct[[#This Row],[Column1]],samplemethodlookup!$A$2:$A$648,FALSE),1),"")</f>
        <v>Pneumatic drill</v>
      </c>
    </row>
    <row r="427" spans="1:2" hidden="1" x14ac:dyDescent="0.25">
      <c r="A427" t="s">
        <v>399</v>
      </c>
      <c r="B427" t="str">
        <f>IFERROR(INDEX(samplemethodlookup!$A$2:$D$648,MATCH(collectionMethodDistinct[[#This Row],[Column1]],samplemethodlookup!$A$2:$A$648,FALSE),1),"")</f>
        <v>Pneumatic drill</v>
      </c>
    </row>
    <row r="428" spans="1:2" hidden="1" x14ac:dyDescent="0.25">
      <c r="A428" t="s">
        <v>400</v>
      </c>
      <c r="B428" t="str">
        <f>IFERROR(INDEX(samplemethodlookup!$A$2:$D$648,MATCH(collectionMethodDistinct[[#This Row],[Column1]],samplemethodlookup!$A$2:$A$648,FALSE),1),"")</f>
        <v>pneumatic drill, 4cm diameter</v>
      </c>
    </row>
    <row r="429" spans="1:2" hidden="1" x14ac:dyDescent="0.25">
      <c r="A429" t="s">
        <v>401</v>
      </c>
      <c r="B429" t="str">
        <f>IFERROR(INDEX(samplemethodlookup!$A$2:$D$648,MATCH(collectionMethodDistinct[[#This Row],[Column1]],samplemethodlookup!$A$2:$A$648,FALSE),1),"")</f>
        <v>Pnumatic drill, 3.5 cm marble coring bit</v>
      </c>
    </row>
    <row r="430" spans="1:2" hidden="1" x14ac:dyDescent="0.25">
      <c r="A430" t="s">
        <v>402</v>
      </c>
      <c r="B430" t="str">
        <f>IFERROR(INDEX(samplemethodlookup!$A$2:$D$648,MATCH(collectionMethodDistinct[[#This Row],[Column1]],samplemethodlookup!$A$2:$A$648,FALSE),1),"")</f>
        <v>Pomerory Rock Drill</v>
      </c>
    </row>
    <row r="431" spans="1:2" x14ac:dyDescent="0.25">
      <c r="A431" t="s">
        <v>403</v>
      </c>
      <c r="B431" t="str">
        <f>IFERROR(INDEX(samplemethodlookup!$A$2:$D$648,MATCH(collectionMethodDistinct[[#This Row],[Column1]],samplemethodlookup!$A$2:$A$648,FALSE),1),"")</f>
        <v/>
      </c>
    </row>
    <row r="432" spans="1:2" hidden="1" x14ac:dyDescent="0.25">
      <c r="A432" t="s">
        <v>404</v>
      </c>
      <c r="B432" t="str">
        <f>IFERROR(INDEX(samplemethodlookup!$A$2:$D$648,MATCH(collectionMethodDistinct[[#This Row],[Column1]],samplemethodlookup!$A$2:$A$648,FALSE),1),"")</f>
        <v>Power Drilling</v>
      </c>
    </row>
    <row r="433" spans="1:2" hidden="1" x14ac:dyDescent="0.25">
      <c r="A433" t="s">
        <v>405</v>
      </c>
      <c r="B433" t="str">
        <f>IFERROR(INDEX(samplemethodlookup!$A$2:$D$648,MATCH(collectionMethodDistinct[[#This Row],[Column1]],samplemethodlookup!$A$2:$A$648,FALSE),1),"")</f>
        <v>powered auger</v>
      </c>
    </row>
    <row r="434" spans="1:2" hidden="1" x14ac:dyDescent="0.25">
      <c r="A434" t="s">
        <v>406</v>
      </c>
      <c r="B434" t="str">
        <f>IFERROR(INDEX(samplemethodlookup!$A$2:$D$648,MATCH(collectionMethodDistinct[[#This Row],[Column1]],samplemethodlookup!$A$2:$A$648,FALSE),1),"")</f>
        <v>pre-combusted amber glass bottle, 0.8/0.2 micron cartridge filter (AcroPak), HCl preservative</v>
      </c>
    </row>
    <row r="435" spans="1:2" hidden="1" x14ac:dyDescent="0.25">
      <c r="A435" t="s">
        <v>407</v>
      </c>
      <c r="B435" t="str">
        <f>IFERROR(INDEX(samplemethodlookup!$A$2:$D$648,MATCH(collectionMethodDistinct[[#This Row],[Column1]],samplemethodlookup!$A$2:$A$648,FALSE),1),"")</f>
        <v>precombusted glass fiber filter (GFF) filtered</v>
      </c>
    </row>
    <row r="436" spans="1:2" hidden="1" x14ac:dyDescent="0.25">
      <c r="A436" t="s">
        <v>408</v>
      </c>
      <c r="B436" t="str">
        <f>IFERROR(INDEX(samplemethodlookup!$A$2:$D$648,MATCH(collectionMethodDistinct[[#This Row],[Column1]],samplemethodlookup!$A$2:$A$648,FALSE),1),"")</f>
        <v>Prenart</v>
      </c>
    </row>
    <row r="437" spans="1:2" hidden="1" x14ac:dyDescent="0.25">
      <c r="A437" t="s">
        <v>409</v>
      </c>
      <c r="B437" t="str">
        <f>IFERROR(INDEX(samplemethodlookup!$A$2:$D$648,MATCH(collectionMethodDistinct[[#This Row],[Column1]],samplemethodlookup!$A$2:$A$648,FALSE),1),"")</f>
        <v xml:space="preserve">Prenart </v>
      </c>
    </row>
    <row r="438" spans="1:2" hidden="1" x14ac:dyDescent="0.25">
      <c r="A438" t="s">
        <v>410</v>
      </c>
      <c r="B438" t="str">
        <f>IFERROR(INDEX(samplemethodlookup!$A$2:$D$648,MATCH(collectionMethodDistinct[[#This Row],[Column1]],samplemethodlookup!$A$2:$A$648,FALSE),1),"")</f>
        <v>Pump</v>
      </c>
    </row>
    <row r="439" spans="1:2" hidden="1" x14ac:dyDescent="0.25">
      <c r="A439" t="s">
        <v>411</v>
      </c>
      <c r="B439" t="str">
        <f>IFERROR(INDEX(samplemethodlookup!$A$2:$D$648,MATCH(collectionMethodDistinct[[#This Row],[Column1]],samplemethodlookup!$A$2:$A$648,FALSE),1),"")</f>
        <v>Pumping</v>
      </c>
    </row>
    <row r="440" spans="1:2" hidden="1" x14ac:dyDescent="0.25">
      <c r="A440" t="s">
        <v>412</v>
      </c>
      <c r="B440" t="str">
        <f>IFERROR(INDEX(samplemethodlookup!$A$2:$D$648,MATCH(collectionMethodDistinct[[#This Row],[Column1]],samplemethodlookup!$A$2:$A$648,FALSE),1),"")</f>
        <v>purchasing on-site</v>
      </c>
    </row>
    <row r="441" spans="1:2" hidden="1" x14ac:dyDescent="0.25">
      <c r="A441" t="s">
        <v>413</v>
      </c>
      <c r="B441" t="str">
        <f>IFERROR(INDEX(samplemethodlookup!$A$2:$D$648,MATCH(collectionMethodDistinct[[#This Row],[Column1]],samplemethodlookup!$A$2:$A$648,FALSE),1),"")</f>
        <v>push core</v>
      </c>
    </row>
    <row r="442" spans="1:2" hidden="1" x14ac:dyDescent="0.25">
      <c r="A442" t="s">
        <v>414</v>
      </c>
      <c r="B442" t="str">
        <f>IFERROR(INDEX(samplemethodlookup!$A$2:$D$648,MATCH(collectionMethodDistinct[[#This Row],[Column1]],samplemethodlookup!$A$2:$A$648,FALSE),1),"")</f>
        <v>quantitative pit/ hand coring</v>
      </c>
    </row>
    <row r="443" spans="1:2" hidden="1" x14ac:dyDescent="0.25">
      <c r="A443" t="s">
        <v>415</v>
      </c>
      <c r="B443" t="str">
        <f>IFERROR(INDEX(samplemethodlookup!$A$2:$D$648,MATCH(collectionMethodDistinct[[#This Row],[Column1]],samplemethodlookup!$A$2:$A$648,FALSE),1),"")</f>
        <v>random grab</v>
      </c>
    </row>
    <row r="444" spans="1:2" hidden="1" x14ac:dyDescent="0.25">
      <c r="A444" t="s">
        <v>416</v>
      </c>
      <c r="B444" t="str">
        <f>IFERROR(INDEX(samplemethodlookup!$A$2:$D$648,MATCH(collectionMethodDistinct[[#This Row],[Column1]],samplemethodlookup!$A$2:$A$648,FALSE),1),"")</f>
        <v>random number generator</v>
      </c>
    </row>
    <row r="445" spans="1:2" hidden="1" x14ac:dyDescent="0.25">
      <c r="A445" t="s">
        <v>417</v>
      </c>
      <c r="B445" t="str">
        <f>IFERROR(INDEX(samplemethodlookup!$A$2:$D$648,MATCH(collectionMethodDistinct[[#This Row],[Column1]],samplemethodlookup!$A$2:$A$648,FALSE),1),"")</f>
        <v>random sample</v>
      </c>
    </row>
    <row r="446" spans="1:2" hidden="1" x14ac:dyDescent="0.25">
      <c r="A446" t="s">
        <v>418</v>
      </c>
      <c r="B446" t="str">
        <f>IFERROR(INDEX(samplemethodlookup!$A$2:$D$648,MATCH(collectionMethodDistinct[[#This Row],[Column1]],samplemethodlookup!$A$2:$A$648,FALSE),1),"")</f>
        <v xml:space="preserve">Received </v>
      </c>
    </row>
    <row r="447" spans="1:2" x14ac:dyDescent="0.25">
      <c r="A447" t="s">
        <v>930</v>
      </c>
      <c r="B447" t="str">
        <f>IFERROR(INDEX(samplemethodlookup!$A$2:$D$648,MATCH(collectionMethodDistinct[[#This Row],[Column1]],samplemethodlookup!$A$2:$A$648,FALSE),1),"")</f>
        <v>Retrieved in field and dried at 70 C before shipping to ORNL</v>
      </c>
    </row>
    <row r="448" spans="1:2" hidden="1" x14ac:dyDescent="0.25">
      <c r="A448" t="s">
        <v>426</v>
      </c>
      <c r="B448" t="str">
        <f>IFERROR(INDEX(samplemethodlookup!$A$2:$D$648,MATCH(collectionMethodDistinct[[#This Row],[Column1]],samplemethodlookup!$A$2:$A$648,FALSE),1),"")</f>
        <v>rock-crusher</v>
      </c>
    </row>
    <row r="449" spans="1:2" hidden="1" x14ac:dyDescent="0.25">
      <c r="A449" t="s">
        <v>419</v>
      </c>
      <c r="B449" t="str">
        <f>IFERROR(INDEX(samplemethodlookup!$A$2:$D$648,MATCH(collectionMethodDistinct[[#This Row],[Column1]],samplemethodlookup!$A$2:$A$648,FALSE),1),"")</f>
        <v>Rock dredge</v>
      </c>
    </row>
    <row r="450" spans="1:2" hidden="1" x14ac:dyDescent="0.25">
      <c r="A450" t="s">
        <v>420</v>
      </c>
      <c r="B450" t="str">
        <f>IFERROR(INDEX(samplemethodlookup!$A$2:$D$648,MATCH(collectionMethodDistinct[[#This Row],[Column1]],samplemethodlookup!$A$2:$A$648,FALSE),1),"")</f>
        <v>Rock dredge</v>
      </c>
    </row>
    <row r="451" spans="1:2" hidden="1" x14ac:dyDescent="0.25">
      <c r="A451" t="s">
        <v>421</v>
      </c>
      <c r="B451" t="str">
        <f>IFERROR(INDEX(samplemethodlookup!$A$2:$D$648,MATCH(collectionMethodDistinct[[#This Row],[Column1]],samplemethodlookup!$A$2:$A$648,FALSE),1),"")</f>
        <v>rock hammer</v>
      </c>
    </row>
    <row r="452" spans="1:2" hidden="1" x14ac:dyDescent="0.25">
      <c r="A452" t="s">
        <v>422</v>
      </c>
      <c r="B452" t="str">
        <f>IFERROR(INDEX(samplemethodlookup!$A$2:$D$648,MATCH(collectionMethodDistinct[[#This Row],[Column1]],samplemethodlookup!$A$2:$A$648,FALSE),1),"")</f>
        <v>rock hammer</v>
      </c>
    </row>
    <row r="453" spans="1:2" hidden="1" x14ac:dyDescent="0.25">
      <c r="A453" t="s">
        <v>423</v>
      </c>
      <c r="B453" t="str">
        <f>IFERROR(INDEX(samplemethodlookup!$A$2:$D$648,MATCH(collectionMethodDistinct[[#This Row],[Column1]],samplemethodlookup!$A$2:$A$648,FALSE),1),"")</f>
        <v>rock hammer</v>
      </c>
    </row>
    <row r="454" spans="1:2" hidden="1" x14ac:dyDescent="0.25">
      <c r="A454" t="s">
        <v>424</v>
      </c>
      <c r="B454" t="str">
        <f>IFERROR(INDEX(samplemethodlookup!$A$2:$D$648,MATCH(collectionMethodDistinct[[#This Row],[Column1]],samplemethodlookup!$A$2:$A$648,FALSE),1),"")</f>
        <v>rock hammer / sledge</v>
      </c>
    </row>
    <row r="455" spans="1:2" x14ac:dyDescent="0.25">
      <c r="A455" t="s">
        <v>929</v>
      </c>
      <c r="B455" t="str">
        <f>IFERROR(INDEX(samplemethodlookup!$A$2:$D$648,MATCH(collectionMethodDistinct[[#This Row],[Column1]],samplemethodlookup!$A$2:$A$648,FALSE),1),"")</f>
        <v>Rock Powder</v>
      </c>
    </row>
    <row r="456" spans="1:2" hidden="1" x14ac:dyDescent="0.25">
      <c r="A456" t="s">
        <v>425</v>
      </c>
      <c r="B456" t="str">
        <f>IFERROR(INDEX(samplemethodlookup!$A$2:$D$648,MATCH(collectionMethodDistinct[[#This Row],[Column1]],samplemethodlookup!$A$2:$A$648,FALSE),1),"")</f>
        <v>RockCorer</v>
      </c>
    </row>
    <row r="457" spans="1:2" hidden="1" x14ac:dyDescent="0.25">
      <c r="A457" t="s">
        <v>427</v>
      </c>
      <c r="B457" t="str">
        <f>IFERROR(INDEX(samplemethodlookup!$A$2:$D$648,MATCH(collectionMethodDistinct[[#This Row],[Column1]],samplemethodlookup!$A$2:$A$648,FALSE),1),"")</f>
        <v>Rosette</v>
      </c>
    </row>
    <row r="458" spans="1:2" hidden="1" x14ac:dyDescent="0.25">
      <c r="A458" t="s">
        <v>428</v>
      </c>
      <c r="B458" t="str">
        <f>IFERROR(INDEX(samplemethodlookup!$A$2:$D$648,MATCH(collectionMethodDistinct[[#This Row],[Column1]],samplemethodlookup!$A$2:$A$648,FALSE),1),"")</f>
        <v>Rotary core barrel</v>
      </c>
    </row>
    <row r="459" spans="1:2" hidden="1" x14ac:dyDescent="0.25">
      <c r="A459" t="s">
        <v>429</v>
      </c>
      <c r="B459" t="str">
        <f>IFERROR(INDEX(samplemethodlookup!$A$2:$D$648,MATCH(collectionMethodDistinct[[#This Row],[Column1]],samplemethodlookup!$A$2:$A$648,FALSE),1),"")</f>
        <v>Rotary drill</v>
      </c>
    </row>
    <row r="460" spans="1:2" hidden="1" x14ac:dyDescent="0.25">
      <c r="A460" t="s">
        <v>430</v>
      </c>
      <c r="B460" t="str">
        <f>IFERROR(INDEX(samplemethodlookup!$A$2:$D$648,MATCH(collectionMethodDistinct[[#This Row],[Column1]],samplemethodlookup!$A$2:$A$648,FALSE),1),"")</f>
        <v xml:space="preserve">rotasonic </v>
      </c>
    </row>
    <row r="461" spans="1:2" hidden="1" x14ac:dyDescent="0.25">
      <c r="A461" t="s">
        <v>431</v>
      </c>
      <c r="B461" t="str">
        <f>IFERROR(INDEX(samplemethodlookup!$A$2:$D$648,MATCH(collectionMethodDistinct[[#This Row],[Column1]],samplemethodlookup!$A$2:$A$648,FALSE),1),"")</f>
        <v>rov</v>
      </c>
    </row>
    <row r="462" spans="1:2" hidden="1" x14ac:dyDescent="0.25">
      <c r="A462" t="s">
        <v>432</v>
      </c>
      <c r="B462" t="str">
        <f>IFERROR(INDEX(samplemethodlookup!$A$2:$D$648,MATCH(collectionMethodDistinct[[#This Row],[Column1]],samplemethodlookup!$A$2:$A$648,FALSE),1),"")</f>
        <v>rov</v>
      </c>
    </row>
    <row r="463" spans="1:2" hidden="1" x14ac:dyDescent="0.25">
      <c r="A463" t="s">
        <v>433</v>
      </c>
      <c r="B463" t="str">
        <f>IFERROR(INDEX(samplemethodlookup!$A$2:$D$648,MATCH(collectionMethodDistinct[[#This Row],[Column1]],samplemethodlookup!$A$2:$A$648,FALSE),1),"")</f>
        <v>ROV Grab Sample</v>
      </c>
    </row>
    <row r="464" spans="1:2" hidden="1" x14ac:dyDescent="0.25">
      <c r="A464" t="s">
        <v>434</v>
      </c>
      <c r="B464" t="str">
        <f>IFERROR(INDEX(samplemethodlookup!$A$2:$D$648,MATCH(collectionMethodDistinct[[#This Row],[Column1]],samplemethodlookup!$A$2:$A$648,FALSE),1),"")</f>
        <v>ROV Hercules</v>
      </c>
    </row>
    <row r="465" spans="1:2" hidden="1" x14ac:dyDescent="0.25">
      <c r="A465" t="s">
        <v>435</v>
      </c>
      <c r="B465" t="str">
        <f>IFERROR(INDEX(samplemethodlookup!$A$2:$D$648,MATCH(collectionMethodDistinct[[#This Row],[Column1]],samplemethodlookup!$A$2:$A$648,FALSE),1),"")</f>
        <v>Russian corer</v>
      </c>
    </row>
    <row r="466" spans="1:2" hidden="1" x14ac:dyDescent="0.25">
      <c r="A466" t="s">
        <v>436</v>
      </c>
      <c r="B466" t="str">
        <f>IFERROR(INDEX(samplemethodlookup!$A$2:$D$648,MATCH(collectionMethodDistinct[[#This Row],[Column1]],samplemethodlookup!$A$2:$A$648,FALSE),1),"")</f>
        <v>sample from outcrop</v>
      </c>
    </row>
    <row r="467" spans="1:2" hidden="1" x14ac:dyDescent="0.25">
      <c r="A467" t="s">
        <v>437</v>
      </c>
      <c r="B467" t="str">
        <f>IFERROR(INDEX(samplemethodlookup!$A$2:$D$648,MATCH(collectionMethodDistinct[[#This Row],[Column1]],samplemethodlookup!$A$2:$A$648,FALSE),1),"")</f>
        <v>sample from outcrop</v>
      </c>
    </row>
    <row r="468" spans="1:2" hidden="1" x14ac:dyDescent="0.25">
      <c r="A468" t="s">
        <v>438</v>
      </c>
      <c r="B468" t="str">
        <f>IFERROR(INDEX(samplemethodlookup!$A$2:$D$648,MATCH(collectionMethodDistinct[[#This Row],[Column1]],samplemethodlookup!$A$2:$A$648,FALSE),1),"")</f>
        <v>Sample plug</v>
      </c>
    </row>
    <row r="469" spans="1:2" hidden="1" x14ac:dyDescent="0.25">
      <c r="A469" t="s">
        <v>439</v>
      </c>
      <c r="B469" t="str">
        <f>IFERROR(INDEX(samplemethodlookup!$A$2:$D$648,MATCH(collectionMethodDistinct[[#This Row],[Column1]],samplemethodlookup!$A$2:$A$648,FALSE),1),"")</f>
        <v>sampled by rock hammer</v>
      </c>
    </row>
    <row r="470" spans="1:2" hidden="1" x14ac:dyDescent="0.25">
      <c r="A470" t="s">
        <v>440</v>
      </c>
      <c r="B470" t="str">
        <f>IFERROR(INDEX(samplemethodlookup!$A$2:$D$648,MATCH(collectionMethodDistinct[[#This Row],[Column1]],samplemethodlookup!$A$2:$A$648,FALSE),1),"")</f>
        <v>sampled from NYBG herbarium sheet</v>
      </c>
    </row>
    <row r="471" spans="1:2" hidden="1" x14ac:dyDescent="0.25">
      <c r="A471" t="s">
        <v>441</v>
      </c>
      <c r="B471" t="str">
        <f>IFERROR(INDEX(samplemethodlookup!$A$2:$D$648,MATCH(collectionMethodDistinct[[#This Row],[Column1]],samplemethodlookup!$A$2:$A$648,FALSE),1),"")</f>
        <v>Sampler</v>
      </c>
    </row>
    <row r="472" spans="1:2" hidden="1" x14ac:dyDescent="0.25">
      <c r="A472" t="s">
        <v>442</v>
      </c>
      <c r="B472" t="str">
        <f>IFERROR(INDEX(samplemethodlookup!$A$2:$D$648,MATCH(collectionMethodDistinct[[#This Row],[Column1]],samplemethodlookup!$A$2:$A$648,FALSE),1),"")</f>
        <v>Sampler:Bacteria</v>
      </c>
    </row>
    <row r="473" spans="1:2" hidden="1" x14ac:dyDescent="0.25">
      <c r="A473" t="s">
        <v>443</v>
      </c>
      <c r="B473" t="str">
        <f>IFERROR(INDEX(samplemethodlookup!$A$2:$D$648,MATCH(collectionMethodDistinct[[#This Row],[Column1]],samplemethodlookup!$A$2:$A$648,FALSE),1),"")</f>
        <v>Sampler:Biology</v>
      </c>
    </row>
    <row r="474" spans="1:2" hidden="1" x14ac:dyDescent="0.25">
      <c r="A474" t="s">
        <v>444</v>
      </c>
      <c r="B474" t="str">
        <f>IFERROR(INDEX(samplemethodlookup!$A$2:$D$648,MATCH(collectionMethodDistinct[[#This Row],[Column1]],samplemethodlookup!$A$2:$A$648,FALSE),1),"")</f>
        <v>Sampler:Biology:ColonizationSubstrate</v>
      </c>
    </row>
    <row r="475" spans="1:2" hidden="1" x14ac:dyDescent="0.25">
      <c r="A475" t="s">
        <v>445</v>
      </c>
      <c r="B475" t="str">
        <f>IFERROR(INDEX(samplemethodlookup!$A$2:$D$648,MATCH(collectionMethodDistinct[[#This Row],[Column1]],samplemethodlookup!$A$2:$A$648,FALSE),1),"")</f>
        <v>Sampler:Biology:CrabTrap</v>
      </c>
    </row>
    <row r="476" spans="1:2" hidden="1" x14ac:dyDescent="0.25">
      <c r="A476" t="s">
        <v>446</v>
      </c>
      <c r="B476" t="str">
        <f>IFERROR(INDEX(samplemethodlookup!$A$2:$D$648,MATCH(collectionMethodDistinct[[#This Row],[Column1]],samplemethodlookup!$A$2:$A$648,FALSE),1),"")</f>
        <v>Sampler:Biology:IncubationChamber</v>
      </c>
    </row>
    <row r="477" spans="1:2" hidden="1" x14ac:dyDescent="0.25">
      <c r="A477" t="s">
        <v>447</v>
      </c>
      <c r="B477" t="str">
        <f>IFERROR(INDEX(samplemethodlookup!$A$2:$D$648,MATCH(collectionMethodDistinct[[#This Row],[Column1]],samplemethodlookup!$A$2:$A$648,FALSE),1),"")</f>
        <v>Sampler:Biology:MOCNESS</v>
      </c>
    </row>
    <row r="478" spans="1:2" hidden="1" x14ac:dyDescent="0.25">
      <c r="A478" t="s">
        <v>448</v>
      </c>
      <c r="B478" t="str">
        <f>IFERROR(INDEX(samplemethodlookup!$A$2:$D$648,MATCH(collectionMethodDistinct[[#This Row],[Column1]],samplemethodlookup!$A$2:$A$648,FALSE),1),"")</f>
        <v>Sampler:Biology:MusselPot</v>
      </c>
    </row>
    <row r="479" spans="1:2" hidden="1" x14ac:dyDescent="0.25">
      <c r="A479" t="s">
        <v>449</v>
      </c>
      <c r="B479" t="str">
        <f>IFERROR(INDEX(samplemethodlookup!$A$2:$D$648,MATCH(collectionMethodDistinct[[#This Row],[Column1]],samplemethodlookup!$A$2:$A$648,FALSE),1),"")</f>
        <v>Sampler:Biology:Net</v>
      </c>
    </row>
    <row r="480" spans="1:2" hidden="1" x14ac:dyDescent="0.25">
      <c r="A480" t="s">
        <v>450</v>
      </c>
      <c r="B480" t="str">
        <f>IFERROR(INDEX(samplemethodlookup!$A$2:$D$648,MATCH(collectionMethodDistinct[[#This Row],[Column1]],samplemethodlookup!$A$2:$A$648,FALSE),1),"")</f>
        <v>Sampler:Biology:Pump</v>
      </c>
    </row>
    <row r="481" spans="1:2" hidden="1" x14ac:dyDescent="0.25">
      <c r="A481" t="s">
        <v>451</v>
      </c>
      <c r="B481" t="str">
        <f>IFERROR(INDEX(samplemethodlookup!$A$2:$D$648,MATCH(collectionMethodDistinct[[#This Row],[Column1]],samplemethodlookup!$A$2:$A$648,FALSE),1),"")</f>
        <v>Sampler:Biology:PushCore</v>
      </c>
    </row>
    <row r="482" spans="1:2" hidden="1" x14ac:dyDescent="0.25">
      <c r="A482" t="s">
        <v>452</v>
      </c>
      <c r="B482" t="str">
        <f>IFERROR(INDEX(samplemethodlookup!$A$2:$D$648,MATCH(collectionMethodDistinct[[#This Row],[Column1]],samplemethodlookup!$A$2:$A$648,FALSE),1),"")</f>
        <v>Sampler:Biology:Scoop</v>
      </c>
    </row>
    <row r="483" spans="1:2" hidden="1" x14ac:dyDescent="0.25">
      <c r="A483" t="s">
        <v>453</v>
      </c>
      <c r="B483" t="str">
        <f>IFERROR(INDEX(samplemethodlookup!$A$2:$D$648,MATCH(collectionMethodDistinct[[#This Row],[Column1]],samplemethodlookup!$A$2:$A$648,FALSE),1),"")</f>
        <v>Sampler:Biology:Scoop, Sampler:Biology:Slurp</v>
      </c>
    </row>
    <row r="484" spans="1:2" hidden="1" x14ac:dyDescent="0.25">
      <c r="A484" t="s">
        <v>454</v>
      </c>
      <c r="B484" t="str">
        <f>IFERROR(INDEX(samplemethodlookup!$A$2:$D$648,MATCH(collectionMethodDistinct[[#This Row],[Column1]],samplemethodlookup!$A$2:$A$648,FALSE),1),"")</f>
        <v>Sampler:Biology:SettlementPlate</v>
      </c>
    </row>
    <row r="485" spans="1:2" hidden="1" x14ac:dyDescent="0.25">
      <c r="A485" t="s">
        <v>455</v>
      </c>
      <c r="B485" t="str">
        <f>IFERROR(INDEX(samplemethodlookup!$A$2:$D$648,MATCH(collectionMethodDistinct[[#This Row],[Column1]],samplemethodlookup!$A$2:$A$648,FALSE),1),"")</f>
        <v>Sampler:Biology:ShrimpTrap</v>
      </c>
    </row>
    <row r="486" spans="1:2" hidden="1" x14ac:dyDescent="0.25">
      <c r="A486" t="s">
        <v>456</v>
      </c>
      <c r="B486" t="str">
        <f>IFERROR(INDEX(samplemethodlookup!$A$2:$D$648,MATCH(collectionMethodDistinct[[#This Row],[Column1]],samplemethodlookup!$A$2:$A$648,FALSE),1),"")</f>
        <v>Sampler:Biology:Slurp</v>
      </c>
    </row>
    <row r="487" spans="1:2" hidden="1" x14ac:dyDescent="0.25">
      <c r="A487" t="s">
        <v>457</v>
      </c>
      <c r="B487" t="str">
        <f>IFERROR(INDEX(samplemethodlookup!$A$2:$D$648,MATCH(collectionMethodDistinct[[#This Row],[Column1]],samplemethodlookup!$A$2:$A$648,FALSE),1),"")</f>
        <v>Sampler:Biology:Suction</v>
      </c>
    </row>
    <row r="488" spans="1:2" hidden="1" x14ac:dyDescent="0.25">
      <c r="A488" t="s">
        <v>458</v>
      </c>
      <c r="B488" t="str">
        <f>IFERROR(INDEX(samplemethodlookup!$A$2:$D$648,MATCH(collectionMethodDistinct[[#This Row],[Column1]],samplemethodlookup!$A$2:$A$648,FALSE),1),"")</f>
        <v>Sampler:Biology:Syringe</v>
      </c>
    </row>
    <row r="489" spans="1:2" hidden="1" x14ac:dyDescent="0.25">
      <c r="A489" t="s">
        <v>459</v>
      </c>
      <c r="B489" t="str">
        <f>IFERROR(INDEX(samplemethodlookup!$A$2:$D$648,MATCH(collectionMethodDistinct[[#This Row],[Column1]],samplemethodlookup!$A$2:$A$648,FALSE),1),"")</f>
        <v>Sampler:Biology:Trap</v>
      </c>
    </row>
    <row r="490" spans="1:2" hidden="1" x14ac:dyDescent="0.25">
      <c r="A490" t="s">
        <v>460</v>
      </c>
      <c r="B490" t="str">
        <f>IFERROR(INDEX(samplemethodlookup!$A$2:$D$648,MATCH(collectionMethodDistinct[[#This Row],[Column1]],samplemethodlookup!$A$2:$A$648,FALSE),1),"")</f>
        <v>Sampler:Biology:WormWok</v>
      </c>
    </row>
    <row r="491" spans="1:2" hidden="1" x14ac:dyDescent="0.25">
      <c r="A491" t="s">
        <v>461</v>
      </c>
      <c r="B491" t="str">
        <f>IFERROR(INDEX(samplemethodlookup!$A$2:$D$648,MATCH(collectionMethodDistinct[[#This Row],[Column1]],samplemethodlookup!$A$2:$A$648,FALSE),1),"")</f>
        <v>Sampler:Fluid</v>
      </c>
    </row>
    <row r="492" spans="1:2" hidden="1" x14ac:dyDescent="0.25">
      <c r="A492" t="s">
        <v>462</v>
      </c>
      <c r="B492" t="str">
        <f>IFERROR(INDEX(samplemethodlookup!$A$2:$D$648,MATCH(collectionMethodDistinct[[#This Row],[Column1]],samplemethodlookup!$A$2:$A$648,FALSE),1),"")</f>
        <v>Sampler:Fluid:Bottle</v>
      </c>
    </row>
    <row r="493" spans="1:2" hidden="1" x14ac:dyDescent="0.25">
      <c r="A493" t="s">
        <v>463</v>
      </c>
      <c r="B493" t="str">
        <f>IFERROR(INDEX(samplemethodlookup!$A$2:$D$648,MATCH(collectionMethodDistinct[[#This Row],[Column1]],samplemethodlookup!$A$2:$A$648,FALSE),1),"")</f>
        <v>Sampler:Fluid:GasTight</v>
      </c>
    </row>
    <row r="494" spans="1:2" hidden="1" x14ac:dyDescent="0.25">
      <c r="A494" t="s">
        <v>464</v>
      </c>
      <c r="B494" t="str">
        <f>IFERROR(INDEX(samplemethodlookup!$A$2:$D$648,MATCH(collectionMethodDistinct[[#This Row],[Column1]],samplemethodlookup!$A$2:$A$648,FALSE),1),"")</f>
        <v>Sampler:Fluid:GasTight:IGT</v>
      </c>
    </row>
    <row r="495" spans="1:2" hidden="1" x14ac:dyDescent="0.25">
      <c r="A495" t="s">
        <v>465</v>
      </c>
      <c r="B495" t="str">
        <f>IFERROR(INDEX(samplemethodlookup!$A$2:$D$648,MATCH(collectionMethodDistinct[[#This Row],[Column1]],samplemethodlookup!$A$2:$A$648,FALSE),1),"")</f>
        <v>Sampler:Fluid:Ghostbuster</v>
      </c>
    </row>
    <row r="496" spans="1:2" hidden="1" x14ac:dyDescent="0.25">
      <c r="A496" t="s">
        <v>466</v>
      </c>
      <c r="B496" t="str">
        <f>IFERROR(INDEX(samplemethodlookup!$A$2:$D$648,MATCH(collectionMethodDistinct[[#This Row],[Column1]],samplemethodlookup!$A$2:$A$648,FALSE),1),"")</f>
        <v>Sampler:Fluid:GTHFS</v>
      </c>
    </row>
    <row r="497" spans="1:2" hidden="1" x14ac:dyDescent="0.25">
      <c r="A497" t="s">
        <v>467</v>
      </c>
      <c r="B497" t="str">
        <f>IFERROR(INDEX(samplemethodlookup!$A$2:$D$648,MATCH(collectionMethodDistinct[[#This Row],[Column1]],samplemethodlookup!$A$2:$A$648,FALSE),1),"")</f>
        <v>Sampler:Fluid:HFPS</v>
      </c>
    </row>
    <row r="498" spans="1:2" hidden="1" x14ac:dyDescent="0.25">
      <c r="A498" t="s">
        <v>468</v>
      </c>
      <c r="B498" t="str">
        <f>IFERROR(INDEX(samplemethodlookup!$A$2:$D$648,MATCH(collectionMethodDistinct[[#This Row],[Column1]],samplemethodlookup!$A$2:$A$648,FALSE),1),"")</f>
        <v>Sampler:Fluid:HFS</v>
      </c>
    </row>
    <row r="499" spans="1:2" hidden="1" x14ac:dyDescent="0.25">
      <c r="A499" t="s">
        <v>469</v>
      </c>
      <c r="B499" t="str">
        <f>IFERROR(INDEX(samplemethodlookup!$A$2:$D$648,MATCH(collectionMethodDistinct[[#This Row],[Column1]],samplemethodlookup!$A$2:$A$648,FALSE),1),"")</f>
        <v xml:space="preserve">Sampler:Fluid:HFS </v>
      </c>
    </row>
    <row r="500" spans="1:2" hidden="1" x14ac:dyDescent="0.25">
      <c r="A500" t="s">
        <v>470</v>
      </c>
      <c r="B500" t="str">
        <f>IFERROR(INDEX(samplemethodlookup!$A$2:$D$648,MATCH(collectionMethodDistinct[[#This Row],[Column1]],samplemethodlookup!$A$2:$A$648,FALSE),1),"")</f>
        <v>Sampler:Fluid:HotFluid</v>
      </c>
    </row>
    <row r="501" spans="1:2" hidden="1" x14ac:dyDescent="0.25">
      <c r="A501" t="s">
        <v>471</v>
      </c>
      <c r="B501" t="str">
        <f>IFERROR(INDEX(samplemethodlookup!$A$2:$D$648,MATCH(collectionMethodDistinct[[#This Row],[Column1]],samplemethodlookup!$A$2:$A$648,FALSE),1),"")</f>
        <v>Sampler:Fluid:major</v>
      </c>
    </row>
    <row r="502" spans="1:2" hidden="1" x14ac:dyDescent="0.25">
      <c r="A502" t="s">
        <v>472</v>
      </c>
      <c r="B502" t="str">
        <f>IFERROR(INDEX(samplemethodlookup!$A$2:$D$648,MATCH(collectionMethodDistinct[[#This Row],[Column1]],samplemethodlookup!$A$2:$A$648,FALSE),1),"")</f>
        <v>Sampler:Fluid:major</v>
      </c>
    </row>
    <row r="503" spans="1:2" hidden="1" x14ac:dyDescent="0.25">
      <c r="A503" t="s">
        <v>473</v>
      </c>
      <c r="B503" t="str">
        <f>IFERROR(INDEX(samplemethodlookup!$A$2:$D$648,MATCH(collectionMethodDistinct[[#This Row],[Column1]],samplemethodlookup!$A$2:$A$648,FALSE),1),"")</f>
        <v>Sampler:Fluid:Manifold</v>
      </c>
    </row>
    <row r="504" spans="1:2" hidden="1" x14ac:dyDescent="0.25">
      <c r="A504" t="s">
        <v>474</v>
      </c>
      <c r="B504" t="str">
        <f>IFERROR(INDEX(samplemethodlookup!$A$2:$D$648,MATCH(collectionMethodDistinct[[#This Row],[Column1]],samplemethodlookup!$A$2:$A$648,FALSE),1),"")</f>
        <v>Sampler:Fluid:Niskin</v>
      </c>
    </row>
    <row r="505" spans="1:2" hidden="1" x14ac:dyDescent="0.25">
      <c r="A505" t="s">
        <v>475</v>
      </c>
      <c r="B505" t="str">
        <f>IFERROR(INDEX(samplemethodlookup!$A$2:$D$648,MATCH(collectionMethodDistinct[[#This Row],[Column1]],samplemethodlookup!$A$2:$A$648,FALSE),1),"")</f>
        <v>Sampler:Fluid:Slurp</v>
      </c>
    </row>
    <row r="506" spans="1:2" hidden="1" x14ac:dyDescent="0.25">
      <c r="A506" t="s">
        <v>476</v>
      </c>
      <c r="B506" t="str">
        <f>IFERROR(INDEX(samplemethodlookup!$A$2:$D$648,MATCH(collectionMethodDistinct[[#This Row],[Column1]],samplemethodlookup!$A$2:$A$648,FALSE),1),"")</f>
        <v>Sampler:Fluid:Squeeze</v>
      </c>
    </row>
    <row r="507" spans="1:2" hidden="1" x14ac:dyDescent="0.25">
      <c r="A507" t="s">
        <v>477</v>
      </c>
      <c r="B507" t="str">
        <f>IFERROR(INDEX(samplemethodlookup!$A$2:$D$648,MATCH(collectionMethodDistinct[[#This Row],[Column1]],samplemethodlookup!$A$2:$A$648,FALSE),1),"")</f>
        <v>Sampler:Fluid:SuPR</v>
      </c>
    </row>
    <row r="508" spans="1:2" hidden="1" x14ac:dyDescent="0.25">
      <c r="A508" t="s">
        <v>478</v>
      </c>
      <c r="B508" t="str">
        <f>IFERROR(INDEX(samplemethodlookup!$A$2:$D$648,MATCH(collectionMethodDistinct[[#This Row],[Column1]],samplemethodlookup!$A$2:$A$648,FALSE),1),"")</f>
        <v>Sampler:Fluid:Toaster</v>
      </c>
    </row>
    <row r="509" spans="1:2" hidden="1" x14ac:dyDescent="0.25">
      <c r="A509" t="s">
        <v>479</v>
      </c>
      <c r="B509" t="str">
        <f>IFERROR(INDEX(samplemethodlookup!$A$2:$D$648,MATCH(collectionMethodDistinct[[#This Row],[Column1]],samplemethodlookup!$A$2:$A$648,FALSE),1),"")</f>
        <v>Sampler:Gas:bottle</v>
      </c>
    </row>
    <row r="510" spans="1:2" hidden="1" x14ac:dyDescent="0.25">
      <c r="A510" t="s">
        <v>480</v>
      </c>
      <c r="B510" t="str">
        <f>IFERROR(INDEX(samplemethodlookup!$A$2:$D$648,MATCH(collectionMethodDistinct[[#This Row],[Column1]],samplemethodlookup!$A$2:$A$648,FALSE),1),"")</f>
        <v>Sampler:Gas:bottle</v>
      </c>
    </row>
    <row r="511" spans="1:2" hidden="1" x14ac:dyDescent="0.25">
      <c r="A511" t="s">
        <v>481</v>
      </c>
      <c r="B511" t="str">
        <f>IFERROR(INDEX(samplemethodlookup!$A$2:$D$648,MATCH(collectionMethodDistinct[[#This Row],[Column1]],samplemethodlookup!$A$2:$A$648,FALSE),1),"")</f>
        <v>Sampler:Gas:HFS</v>
      </c>
    </row>
    <row r="512" spans="1:2" hidden="1" x14ac:dyDescent="0.25">
      <c r="A512" t="s">
        <v>482</v>
      </c>
      <c r="B512" t="str">
        <f>IFERROR(INDEX(samplemethodlookup!$A$2:$D$648,MATCH(collectionMethodDistinct[[#This Row],[Column1]],samplemethodlookup!$A$2:$A$648,FALSE),1),"")</f>
        <v>Sampler:Gas:HFS</v>
      </c>
    </row>
    <row r="513" spans="1:2" hidden="1" x14ac:dyDescent="0.25">
      <c r="A513" t="s">
        <v>483</v>
      </c>
      <c r="B513" t="str">
        <f>IFERROR(INDEX(samplemethodlookup!$A$2:$D$648,MATCH(collectionMethodDistinct[[#This Row],[Column1]],samplemethodlookup!$A$2:$A$648,FALSE),1),"")</f>
        <v>Sampler:Geology:Scoop</v>
      </c>
    </row>
    <row r="514" spans="1:2" hidden="1" x14ac:dyDescent="0.25">
      <c r="A514" t="s">
        <v>484</v>
      </c>
      <c r="B514" t="str">
        <f>IFERROR(INDEX(samplemethodlookup!$A$2:$D$648,MATCH(collectionMethodDistinct[[#This Row],[Column1]],samplemethodlookup!$A$2:$A$648,FALSE),1),"")</f>
        <v>Sampler:HFS:Gas</v>
      </c>
    </row>
    <row r="515" spans="1:2" hidden="1" x14ac:dyDescent="0.25">
      <c r="A515" t="s">
        <v>485</v>
      </c>
      <c r="B515" t="str">
        <f>IFERROR(INDEX(samplemethodlookup!$A$2:$D$648,MATCH(collectionMethodDistinct[[#This Row],[Column1]],samplemethodlookup!$A$2:$A$648,FALSE),1),"")</f>
        <v>Sampler:PushCore</v>
      </c>
    </row>
    <row r="516" spans="1:2" hidden="1" x14ac:dyDescent="0.25">
      <c r="A516" t="s">
        <v>486</v>
      </c>
      <c r="B516" t="str">
        <f>IFERROR(INDEX(samplemethodlookup!$A$2:$D$648,MATCH(collectionMethodDistinct[[#This Row],[Column1]],samplemethodlookup!$A$2:$A$648,FALSE),1),"")</f>
        <v>Sampler:Rock:Core</v>
      </c>
    </row>
    <row r="517" spans="1:2" hidden="1" x14ac:dyDescent="0.25">
      <c r="A517" t="s">
        <v>487</v>
      </c>
      <c r="B517" t="str">
        <f>IFERROR(INDEX(samplemethodlookup!$A$2:$D$648,MATCH(collectionMethodDistinct[[#This Row],[Column1]],samplemethodlookup!$A$2:$A$648,FALSE),1),"")</f>
        <v>Sampler:Rock:Dredge</v>
      </c>
    </row>
    <row r="518" spans="1:2" hidden="1" x14ac:dyDescent="0.25">
      <c r="A518" t="s">
        <v>488</v>
      </c>
      <c r="B518" t="str">
        <f>IFERROR(INDEX(samplemethodlookup!$A$2:$D$648,MATCH(collectionMethodDistinct[[#This Row],[Column1]],samplemethodlookup!$A$2:$A$648,FALSE),1),"")</f>
        <v>Sampler:Rock:Drill</v>
      </c>
    </row>
    <row r="519" spans="1:2" hidden="1" x14ac:dyDescent="0.25">
      <c r="A519" t="s">
        <v>489</v>
      </c>
      <c r="B519" t="str">
        <f>IFERROR(INDEX(samplemethodlookup!$A$2:$D$648,MATCH(collectionMethodDistinct[[#This Row],[Column1]],samplemethodlookup!$A$2:$A$648,FALSE),1),"")</f>
        <v>Sampler:Sediment:BoxCore</v>
      </c>
    </row>
    <row r="520" spans="1:2" hidden="1" x14ac:dyDescent="0.25">
      <c r="A520" t="s">
        <v>490</v>
      </c>
      <c r="B520" t="str">
        <f>IFERROR(INDEX(samplemethodlookup!$A$2:$D$648,MATCH(collectionMethodDistinct[[#This Row],[Column1]],samplemethodlookup!$A$2:$A$648,FALSE),1),"")</f>
        <v>Sampler:Sediment:GougeCore</v>
      </c>
    </row>
    <row r="521" spans="1:2" hidden="1" x14ac:dyDescent="0.25">
      <c r="A521" t="s">
        <v>491</v>
      </c>
      <c r="B521" t="str">
        <f>IFERROR(INDEX(samplemethodlookup!$A$2:$D$648,MATCH(collectionMethodDistinct[[#This Row],[Column1]],samplemethodlookup!$A$2:$A$648,FALSE),1),"")</f>
        <v>Sampler:Sediment:Grab</v>
      </c>
    </row>
    <row r="522" spans="1:2" hidden="1" x14ac:dyDescent="0.25">
      <c r="A522" t="s">
        <v>492</v>
      </c>
      <c r="B522" t="str">
        <f>IFERROR(INDEX(samplemethodlookup!$A$2:$D$648,MATCH(collectionMethodDistinct[[#This Row],[Column1]],samplemethodlookup!$A$2:$A$648,FALSE),1),"")</f>
        <v>Sampler:Sediment:GravityCore</v>
      </c>
    </row>
    <row r="523" spans="1:2" hidden="1" x14ac:dyDescent="0.25">
      <c r="A523" t="s">
        <v>493</v>
      </c>
      <c r="B523" t="str">
        <f>IFERROR(INDEX(samplemethodlookup!$A$2:$D$648,MATCH(collectionMethodDistinct[[#This Row],[Column1]],samplemethodlookup!$A$2:$A$648,FALSE),1),"")</f>
        <v>Sampler:Sediment:JumboPistonCore</v>
      </c>
    </row>
    <row r="524" spans="1:2" hidden="1" x14ac:dyDescent="0.25">
      <c r="A524" t="s">
        <v>494</v>
      </c>
      <c r="B524" t="str">
        <f>IFERROR(INDEX(samplemethodlookup!$A$2:$D$648,MATCH(collectionMethodDistinct[[#This Row],[Column1]],samplemethodlookup!$A$2:$A$648,FALSE),1),"")</f>
        <v>Sampler:Sediment:KastenCore</v>
      </c>
    </row>
    <row r="525" spans="1:2" hidden="1" x14ac:dyDescent="0.25">
      <c r="A525" t="s">
        <v>495</v>
      </c>
      <c r="B525" t="str">
        <f>IFERROR(INDEX(samplemethodlookup!$A$2:$D$648,MATCH(collectionMethodDistinct[[#This Row],[Column1]],samplemethodlookup!$A$2:$A$648,FALSE),1),"")</f>
        <v>Sampler:Sediment:MultiCore</v>
      </c>
    </row>
    <row r="526" spans="1:2" hidden="1" x14ac:dyDescent="0.25">
      <c r="A526" t="s">
        <v>496</v>
      </c>
      <c r="B526" t="str">
        <f>IFERROR(INDEX(samplemethodlookup!$A$2:$D$648,MATCH(collectionMethodDistinct[[#This Row],[Column1]],samplemethodlookup!$A$2:$A$648,FALSE),1),"")</f>
        <v>Sampler:Sediment:PistonCore</v>
      </c>
    </row>
    <row r="527" spans="1:2" hidden="1" x14ac:dyDescent="0.25">
      <c r="A527" t="s">
        <v>497</v>
      </c>
      <c r="B527" t="str">
        <f>IFERROR(INDEX(samplemethodlookup!$A$2:$D$648,MATCH(collectionMethodDistinct[[#This Row],[Column1]],samplemethodlookup!$A$2:$A$648,FALSE),1),"")</f>
        <v>Sampler:Sediment:RussianCore</v>
      </c>
    </row>
    <row r="528" spans="1:2" hidden="1" x14ac:dyDescent="0.25">
      <c r="A528" t="s">
        <v>498</v>
      </c>
      <c r="B528" t="str">
        <f>IFERROR(INDEX(samplemethodlookup!$A$2:$D$648,MATCH(collectionMethodDistinct[[#This Row],[Column1]],samplemethodlookup!$A$2:$A$648,FALSE),1),"")</f>
        <v>Sampler:Sediment:Scoop</v>
      </c>
    </row>
    <row r="529" spans="1:2" hidden="1" x14ac:dyDescent="0.25">
      <c r="A529" t="s">
        <v>499</v>
      </c>
      <c r="B529" t="str">
        <f>IFERROR(INDEX(samplemethodlookup!$A$2:$D$648,MATCH(collectionMethodDistinct[[#This Row],[Column1]],samplemethodlookup!$A$2:$A$648,FALSE),1),"")</f>
        <v>Sampler:Sediment:Slurp</v>
      </c>
    </row>
    <row r="530" spans="1:2" hidden="1" x14ac:dyDescent="0.25">
      <c r="A530" t="s">
        <v>500</v>
      </c>
      <c r="B530" t="str">
        <f>IFERROR(INDEX(samplemethodlookup!$A$2:$D$648,MATCH(collectionMethodDistinct[[#This Row],[Column1]],samplemethodlookup!$A$2:$A$648,FALSE),1),"")</f>
        <v>Sampler:Sediment:TriggerCore</v>
      </c>
    </row>
    <row r="531" spans="1:2" hidden="1" x14ac:dyDescent="0.25">
      <c r="A531" t="s">
        <v>501</v>
      </c>
      <c r="B531" t="str">
        <f>IFERROR(INDEX(samplemethodlookup!$A$2:$D$648,MATCH(collectionMethodDistinct[[#This Row],[Column1]],samplemethodlookup!$A$2:$A$648,FALSE),1),"")</f>
        <v>Sampler:Sediment:VibraCore</v>
      </c>
    </row>
    <row r="532" spans="1:2" hidden="1" x14ac:dyDescent="0.25">
      <c r="A532" t="s">
        <v>502</v>
      </c>
      <c r="B532" t="str">
        <f>IFERROR(INDEX(samplemethodlookup!$A$2:$D$648,MATCH(collectionMethodDistinct[[#This Row],[Column1]],samplemethodlookup!$A$2:$A$648,FALSE),1),"")</f>
        <v>Sampler:SedimentCore</v>
      </c>
    </row>
    <row r="533" spans="1:2" hidden="1" x14ac:dyDescent="0.25">
      <c r="A533" t="s">
        <v>503</v>
      </c>
      <c r="B533" t="str">
        <f>IFERROR(INDEX(samplemethodlookup!$A$2:$D$648,MATCH(collectionMethodDistinct[[#This Row],[Column1]],samplemethodlookup!$A$2:$A$648,FALSE),1),"")</f>
        <v>Sampler:SedimentTrap</v>
      </c>
    </row>
    <row r="534" spans="1:2" hidden="1" x14ac:dyDescent="0.25">
      <c r="A534" t="s">
        <v>504</v>
      </c>
      <c r="B534" t="str">
        <f>IFERROR(INDEX(samplemethodlookup!$A$2:$D$648,MATCH(collectionMethodDistinct[[#This Row],[Column1]],samplemethodlookup!$A$2:$A$648,FALSE),1),"")</f>
        <v xml:space="preserve">Sampler:SPME </v>
      </c>
    </row>
    <row r="535" spans="1:2" hidden="1" x14ac:dyDescent="0.25">
      <c r="A535" t="s">
        <v>505</v>
      </c>
      <c r="B535" t="str">
        <f>IFERROR(INDEX(samplemethodlookup!$A$2:$D$648,MATCH(collectionMethodDistinct[[#This Row],[Column1]],samplemethodlookup!$A$2:$A$648,FALSE),1),"")</f>
        <v>Sampler:Suction</v>
      </c>
    </row>
    <row r="536" spans="1:2" hidden="1" x14ac:dyDescent="0.25">
      <c r="A536" t="s">
        <v>506</v>
      </c>
      <c r="B536" t="str">
        <f>IFERROR(INDEX(samplemethodlookup!$A$2:$D$648,MATCH(collectionMethodDistinct[[#This Row],[Column1]],samplemethodlookup!$A$2:$A$648,FALSE),1),"")</f>
        <v>sampling</v>
      </c>
    </row>
    <row r="537" spans="1:2" hidden="1" x14ac:dyDescent="0.25">
      <c r="A537" t="s">
        <v>507</v>
      </c>
      <c r="B537" t="str">
        <f>IFERROR(INDEX(samplemethodlookup!$A$2:$D$648,MATCH(collectionMethodDistinct[[#This Row],[Column1]],samplemethodlookup!$A$2:$A$648,FALSE),1),"")</f>
        <v>Sampling protocol Global Rivers Project</v>
      </c>
    </row>
    <row r="538" spans="1:2" x14ac:dyDescent="0.25">
      <c r="A538" t="s">
        <v>928</v>
      </c>
      <c r="B538" t="str">
        <f>IFERROR(INDEX(samplemethodlookup!$A$2:$D$648,MATCH(collectionMethodDistinct[[#This Row],[Column1]],samplemethodlookup!$A$2:$A$648,FALSE),1),"")</f>
        <v>saw</v>
      </c>
    </row>
    <row r="539" spans="1:2" hidden="1" x14ac:dyDescent="0.25">
      <c r="A539" t="s">
        <v>39</v>
      </c>
      <c r="B539" t="str">
        <f>IFERROR(INDEX(samplemethodlookup!$A$2:$D$648,MATCH(collectionMethodDistinct[[#This Row],[Column1]],samplemethodlookup!$A$2:$A$648,FALSE),1),"")</f>
        <v>scoop</v>
      </c>
    </row>
    <row r="540" spans="1:2" hidden="1" x14ac:dyDescent="0.25">
      <c r="A540" t="s">
        <v>508</v>
      </c>
      <c r="B540" t="str">
        <f>IFERROR(INDEX(samplemethodlookup!$A$2:$D$648,MATCH(collectionMethodDistinct[[#This Row],[Column1]],samplemethodlookup!$A$2:$A$648,FALSE),1),"")</f>
        <v>scoop</v>
      </c>
    </row>
    <row r="541" spans="1:2" hidden="1" x14ac:dyDescent="0.25">
      <c r="A541" t="s">
        <v>509</v>
      </c>
      <c r="B541" t="str">
        <f>IFERROR(INDEX(samplemethodlookup!$A$2:$D$648,MATCH(collectionMethodDistinct[[#This Row],[Column1]],samplemethodlookup!$A$2:$A$648,FALSE),1),"")</f>
        <v>Scoop&gt;ROV</v>
      </c>
    </row>
    <row r="542" spans="1:2" hidden="1" x14ac:dyDescent="0.25">
      <c r="A542" t="s">
        <v>510</v>
      </c>
      <c r="B542" t="str">
        <f>IFERROR(INDEX(samplemethodlookup!$A$2:$D$648,MATCH(collectionMethodDistinct[[#This Row],[Column1]],samplemethodlookup!$A$2:$A$648,FALSE),1),"")</f>
        <v>Scooped up from scree slope</v>
      </c>
    </row>
    <row r="543" spans="1:2" hidden="1" x14ac:dyDescent="0.25">
      <c r="A543" t="s">
        <v>511</v>
      </c>
      <c r="B543" t="str">
        <f>IFERROR(INDEX(samplemethodlookup!$A$2:$D$648,MATCH(collectionMethodDistinct[[#This Row],[Column1]],samplemethodlookup!$A$2:$A$648,FALSE),1),"")</f>
        <v>Scraping layers with trowel</v>
      </c>
    </row>
    <row r="544" spans="1:2" hidden="1" x14ac:dyDescent="0.25">
      <c r="A544" t="s">
        <v>512</v>
      </c>
      <c r="B544" t="str">
        <f>IFERROR(INDEX(samplemethodlookup!$A$2:$D$648,MATCH(collectionMethodDistinct[[#This Row],[Column1]],samplemethodlookup!$A$2:$A$648,FALSE),1),"")</f>
        <v>SCUBA diving</v>
      </c>
    </row>
    <row r="545" spans="1:2" hidden="1" x14ac:dyDescent="0.25">
      <c r="A545" t="s">
        <v>513</v>
      </c>
      <c r="B545" t="str">
        <f>IFERROR(INDEX(samplemethodlookup!$A$2:$D$648,MATCH(collectionMethodDistinct[[#This Row],[Column1]],samplemethodlookup!$A$2:$A$648,FALSE),1),"")</f>
        <v>sediment grab sampler</v>
      </c>
    </row>
    <row r="546" spans="1:2" hidden="1" x14ac:dyDescent="0.25">
      <c r="A546" t="s">
        <v>514</v>
      </c>
      <c r="B546" t="str">
        <f>IFERROR(INDEX(samplemethodlookup!$A$2:$D$648,MATCH(collectionMethodDistinct[[#This Row],[Column1]],samplemethodlookup!$A$2:$A$648,FALSE),1),"")</f>
        <v>Sediment trap</v>
      </c>
    </row>
    <row r="547" spans="1:2" hidden="1" x14ac:dyDescent="0.25">
      <c r="A547" t="s">
        <v>515</v>
      </c>
      <c r="B547" t="str">
        <f>IFERROR(INDEX(samplemethodlookup!$A$2:$D$648,MATCH(collectionMethodDistinct[[#This Row],[Column1]],samplemethodlookup!$A$2:$A$648,FALSE),1),"")</f>
        <v>SedPoint insertion tool</v>
      </c>
    </row>
    <row r="548" spans="1:2" hidden="1" x14ac:dyDescent="0.25">
      <c r="A548" t="s">
        <v>516</v>
      </c>
      <c r="B548" t="str">
        <f>IFERROR(INDEX(samplemethodlookup!$A$2:$D$648,MATCH(collectionMethodDistinct[[#This Row],[Column1]],samplemethodlookup!$A$2:$A$648,FALSE),1),"")</f>
        <v>SG</v>
      </c>
    </row>
    <row r="549" spans="1:2" hidden="1" x14ac:dyDescent="0.25">
      <c r="A549" t="s">
        <v>42</v>
      </c>
      <c r="B549" t="str">
        <f>IFERROR(INDEX(samplemethodlookup!$A$2:$D$648,MATCH(collectionMethodDistinct[[#This Row],[Column1]],samplemethodlookup!$A$2:$A$648,FALSE),1),"")</f>
        <v>Shaker table</v>
      </c>
    </row>
    <row r="550" spans="1:2" hidden="1" x14ac:dyDescent="0.25">
      <c r="A550" t="s">
        <v>517</v>
      </c>
      <c r="B550" t="str">
        <f>IFERROR(INDEX(samplemethodlookup!$A$2:$D$648,MATCH(collectionMethodDistinct[[#This Row],[Column1]],samplemethodlookup!$A$2:$A$648,FALSE),1),"")</f>
        <v>Shinkai 6500</v>
      </c>
    </row>
    <row r="551" spans="1:2" hidden="1" x14ac:dyDescent="0.25">
      <c r="A551" t="s">
        <v>518</v>
      </c>
      <c r="B551" t="str">
        <f>IFERROR(INDEX(samplemethodlookup!$A$2:$D$648,MATCH(collectionMethodDistinct[[#This Row],[Column1]],samplemethodlookup!$A$2:$A$648,FALSE),1),"")</f>
        <v>Shinkai 6500 dive</v>
      </c>
    </row>
    <row r="552" spans="1:2" hidden="1" x14ac:dyDescent="0.25">
      <c r="A552" t="s">
        <v>519</v>
      </c>
      <c r="B552" t="str">
        <f>IFERROR(INDEX(samplemethodlookup!$A$2:$D$648,MATCH(collectionMethodDistinct[[#This Row],[Column1]],samplemethodlookup!$A$2:$A$648,FALSE),1),"")</f>
        <v>Shop bought</v>
      </c>
    </row>
    <row r="553" spans="1:2" x14ac:dyDescent="0.25">
      <c r="A553" t="s">
        <v>927</v>
      </c>
      <c r="B553" t="str">
        <f>IFERROR(INDEX(samplemethodlookup!$A$2:$D$648,MATCH(collectionMethodDistinct[[#This Row],[Column1]],samplemethodlookup!$A$2:$A$648,FALSE),1),"")</f>
        <v>short (30 cm) lake core using Universal Corer</v>
      </c>
    </row>
    <row r="554" spans="1:2" hidden="1" x14ac:dyDescent="0.25">
      <c r="A554" t="s">
        <v>44</v>
      </c>
      <c r="B554" t="str">
        <f>IFERROR(INDEX(samplemethodlookup!$A$2:$D$648,MATCH(collectionMethodDistinct[[#This Row],[Column1]],samplemethodlookup!$A$2:$A$648,FALSE),1),"")</f>
        <v>shovel</v>
      </c>
    </row>
    <row r="555" spans="1:2" hidden="1" x14ac:dyDescent="0.25">
      <c r="A555" t="s">
        <v>520</v>
      </c>
      <c r="B555" t="str">
        <f>IFERROR(INDEX(samplemethodlookup!$A$2:$D$648,MATCH(collectionMethodDistinct[[#This Row],[Column1]],samplemethodlookup!$A$2:$A$648,FALSE),1),"")</f>
        <v>shovel</v>
      </c>
    </row>
    <row r="556" spans="1:2" hidden="1" x14ac:dyDescent="0.25">
      <c r="A556" t="s">
        <v>521</v>
      </c>
      <c r="B556" t="str">
        <f>IFERROR(INDEX(samplemethodlookup!$A$2:$D$648,MATCH(collectionMethodDistinct[[#This Row],[Column1]],samplemethodlookup!$A$2:$A$648,FALSE),1),"")</f>
        <v>Shovel; auger</v>
      </c>
    </row>
    <row r="557" spans="1:2" hidden="1" x14ac:dyDescent="0.25">
      <c r="A557" t="s">
        <v>522</v>
      </c>
      <c r="B557" t="str">
        <f>IFERROR(INDEX(samplemethodlookup!$A$2:$D$648,MATCH(collectionMethodDistinct[[#This Row],[Column1]],samplemethodlookup!$A$2:$A$648,FALSE),1),"")</f>
        <v>Sieved</v>
      </c>
    </row>
    <row r="558" spans="1:2" hidden="1" x14ac:dyDescent="0.25">
      <c r="A558" t="s">
        <v>523</v>
      </c>
      <c r="B558" t="str">
        <f>IFERROR(INDEX(samplemethodlookup!$A$2:$D$648,MATCH(collectionMethodDistinct[[#This Row],[Column1]],samplemethodlookup!$A$2:$A$648,FALSE),1),"")</f>
        <v>Single/Grab</v>
      </c>
    </row>
    <row r="559" spans="1:2" hidden="1" x14ac:dyDescent="0.25">
      <c r="A559" t="s">
        <v>524</v>
      </c>
      <c r="B559" t="str">
        <f>IFERROR(INDEX(samplemethodlookup!$A$2:$D$648,MATCH(collectionMethodDistinct[[#This Row],[Column1]],samplemethodlookup!$A$2:$A$648,FALSE),1),"")</f>
        <v>Sinking particle traps</v>
      </c>
    </row>
    <row r="560" spans="1:2" hidden="1" x14ac:dyDescent="0.25">
      <c r="A560" t="s">
        <v>525</v>
      </c>
      <c r="B560" t="str">
        <f>IFERROR(INDEX(samplemethodlookup!$A$2:$D$648,MATCH(collectionMethodDistinct[[#This Row],[Column1]],samplemethodlookup!$A$2:$A$648,FALSE),1),"")</f>
        <v>sipper</v>
      </c>
    </row>
    <row r="561" spans="1:2" hidden="1" x14ac:dyDescent="0.25">
      <c r="A561" t="s">
        <v>526</v>
      </c>
      <c r="B561" t="str">
        <f>IFERROR(INDEX(samplemethodlookup!$A$2:$D$648,MATCH(collectionMethodDistinct[[#This Row],[Column1]],samplemethodlookup!$A$2:$A$648,FALSE),1),"")</f>
        <v xml:space="preserve">Slide hammer </v>
      </c>
    </row>
    <row r="562" spans="1:2" x14ac:dyDescent="0.25">
      <c r="A562" t="s">
        <v>926</v>
      </c>
      <c r="B562" t="str">
        <f>IFERROR(INDEX(samplemethodlookup!$A$2:$D$648,MATCH(collectionMethodDistinct[[#This Row],[Column1]],samplemethodlookup!$A$2:$A$648,FALSE),1),"")</f>
        <v>slide hammer corer</v>
      </c>
    </row>
    <row r="563" spans="1:2" hidden="1" x14ac:dyDescent="0.25">
      <c r="A563" t="s">
        <v>527</v>
      </c>
      <c r="B563" t="str">
        <f>IFERROR(INDEX(samplemethodlookup!$A$2:$D$648,MATCH(collectionMethodDistinct[[#This Row],[Column1]],samplemethodlookup!$A$2:$A$648,FALSE),1),"")</f>
        <v>slurp</v>
      </c>
    </row>
    <row r="564" spans="1:2" x14ac:dyDescent="0.25">
      <c r="A564" t="s">
        <v>925</v>
      </c>
      <c r="B564" t="str">
        <f>IFERROR(INDEX(samplemethodlookup!$A$2:$D$648,MATCH(collectionMethodDistinct[[#This Row],[Column1]],samplemethodlookup!$A$2:$A$648,FALSE),1),"")</f>
        <v>small core</v>
      </c>
    </row>
    <row r="565" spans="1:2" hidden="1" x14ac:dyDescent="0.25">
      <c r="A565" t="s">
        <v>528</v>
      </c>
      <c r="B565" t="str">
        <f>IFERROR(INDEX(samplemethodlookup!$A$2:$D$648,MATCH(collectionMethodDistinct[[#This Row],[Column1]],samplemethodlookup!$A$2:$A$648,FALSE),1),"")</f>
        <v>SMG</v>
      </c>
    </row>
    <row r="566" spans="1:2" hidden="1" x14ac:dyDescent="0.25">
      <c r="A566" t="s">
        <v>529</v>
      </c>
      <c r="B566" t="str">
        <f>IFERROR(INDEX(samplemethodlookup!$A$2:$D$648,MATCH(collectionMethodDistinct[[#This Row],[Column1]],samplemethodlookup!$A$2:$A$648,FALSE),1),"")</f>
        <v>Snapper</v>
      </c>
    </row>
    <row r="567" spans="1:2" hidden="1" x14ac:dyDescent="0.25">
      <c r="A567" t="s">
        <v>530</v>
      </c>
      <c r="B567" t="str">
        <f>IFERROR(INDEX(samplemethodlookup!$A$2:$D$648,MATCH(collectionMethodDistinct[[#This Row],[Column1]],samplemethodlookup!$A$2:$A$648,FALSE),1),"")</f>
        <v>soil auger</v>
      </c>
    </row>
    <row r="568" spans="1:2" hidden="1" x14ac:dyDescent="0.25">
      <c r="A568" t="s">
        <v>531</v>
      </c>
      <c r="B568" t="str">
        <f>IFERROR(INDEX(samplemethodlookup!$A$2:$D$648,MATCH(collectionMethodDistinct[[#This Row],[Column1]],samplemethodlookup!$A$2:$A$648,FALSE),1),"")</f>
        <v>Soil Core</v>
      </c>
    </row>
    <row r="569" spans="1:2" hidden="1" x14ac:dyDescent="0.25">
      <c r="A569" t="s">
        <v>532</v>
      </c>
      <c r="B569" t="str">
        <f>IFERROR(INDEX(samplemethodlookup!$A$2:$D$648,MATCH(collectionMethodDistinct[[#This Row],[Column1]],samplemethodlookup!$A$2:$A$648,FALSE),1),"")</f>
        <v>soil core bulk density sampler</v>
      </c>
    </row>
    <row r="570" spans="1:2" hidden="1" x14ac:dyDescent="0.25">
      <c r="A570" t="s">
        <v>533</v>
      </c>
      <c r="B570" t="str">
        <f>IFERROR(INDEX(samplemethodlookup!$A$2:$D$648,MATCH(collectionMethodDistinct[[#This Row],[Column1]],samplemethodlookup!$A$2:$A$648,FALSE),1),"")</f>
        <v>Soil knife</v>
      </c>
    </row>
    <row r="571" spans="1:2" hidden="1" x14ac:dyDescent="0.25">
      <c r="A571" t="s">
        <v>534</v>
      </c>
      <c r="B571" t="str">
        <f>IFERROR(INDEX(samplemethodlookup!$A$2:$D$648,MATCH(collectionMethodDistinct[[#This Row],[Column1]],samplemethodlookup!$A$2:$A$648,FALSE),1),"")</f>
        <v>soil pit</v>
      </c>
    </row>
    <row r="572" spans="1:2" hidden="1" x14ac:dyDescent="0.25">
      <c r="A572" t="s">
        <v>535</v>
      </c>
      <c r="B572" t="str">
        <f>IFERROR(INDEX(samplemethodlookup!$A$2:$D$648,MATCH(collectionMethodDistinct[[#This Row],[Column1]],samplemethodlookup!$A$2:$A$648,FALSE),1),"")</f>
        <v>soil pit</v>
      </c>
    </row>
    <row r="573" spans="1:2" hidden="1" x14ac:dyDescent="0.25">
      <c r="A573" t="s">
        <v>536</v>
      </c>
      <c r="B573" t="str">
        <f>IFERROR(INDEX(samplemethodlookup!$A$2:$D$648,MATCH(collectionMethodDistinct[[#This Row],[Column1]],samplemethodlookup!$A$2:$A$648,FALSE),1),"")</f>
        <v>soil pit and soil auger</v>
      </c>
    </row>
    <row r="574" spans="1:2" hidden="1" x14ac:dyDescent="0.25">
      <c r="A574" t="s">
        <v>537</v>
      </c>
      <c r="B574" t="str">
        <f>IFERROR(INDEX(samplemethodlookup!$A$2:$D$648,MATCH(collectionMethodDistinct[[#This Row],[Column1]],samplemethodlookup!$A$2:$A$648,FALSE),1),"")</f>
        <v>spatter ramparts</v>
      </c>
    </row>
    <row r="575" spans="1:2" hidden="1" x14ac:dyDescent="0.25">
      <c r="A575" t="s">
        <v>538</v>
      </c>
      <c r="B575" t="str">
        <f>IFERROR(INDEX(samplemethodlookup!$A$2:$D$648,MATCH(collectionMethodDistinct[[#This Row],[Column1]],samplemethodlookup!$A$2:$A$648,FALSE),1),"")</f>
        <v>spoon</v>
      </c>
    </row>
    <row r="576" spans="1:2" hidden="1" x14ac:dyDescent="0.25">
      <c r="A576" t="s">
        <v>539</v>
      </c>
      <c r="B576" t="str">
        <f>IFERROR(INDEX(samplemethodlookup!$A$2:$D$648,MATCH(collectionMethodDistinct[[#This Row],[Column1]],samplemethodlookup!$A$2:$A$648,FALSE),1),"")</f>
        <v>stored frozen in plastic Whirl-Pak bag</v>
      </c>
    </row>
    <row r="577" spans="1:2" hidden="1" x14ac:dyDescent="0.25">
      <c r="A577" t="s">
        <v>909</v>
      </c>
      <c r="B577" t="str">
        <f>IFERROR(INDEX(samplemethodlookup!$A$2:$D$648,MATCH(collectionMethodDistinct[[#This Row],[Column1]],samplemethodlookup!$A$2:$A$648,FALSE),1),"")</f>
        <v>striking</v>
      </c>
    </row>
    <row r="578" spans="1:2" hidden="1" x14ac:dyDescent="0.25">
      <c r="A578" t="s">
        <v>540</v>
      </c>
      <c r="B578" t="str">
        <f>IFERROR(INDEX(samplemethodlookup!$A$2:$D$648,MATCH(collectionMethodDistinct[[#This Row],[Column1]],samplemethodlookup!$A$2:$A$648,FALSE),1),"")</f>
        <v>submersible</v>
      </c>
    </row>
    <row r="579" spans="1:2" hidden="1" x14ac:dyDescent="0.25">
      <c r="A579" t="s">
        <v>541</v>
      </c>
      <c r="B579" t="str">
        <f>IFERROR(INDEX(samplemethodlookup!$A$2:$D$648,MATCH(collectionMethodDistinct[[#This Row],[Column1]],samplemethodlookup!$A$2:$A$648,FALSE),1),"")</f>
        <v>submersible</v>
      </c>
    </row>
    <row r="580" spans="1:2" hidden="1" x14ac:dyDescent="0.25">
      <c r="A580" t="s">
        <v>542</v>
      </c>
      <c r="B580" t="str">
        <f>IFERROR(INDEX(samplemethodlookup!$A$2:$D$648,MATCH(collectionMethodDistinct[[#This Row],[Column1]],samplemethodlookup!$A$2:$A$648,FALSE),1),"")</f>
        <v>suction</v>
      </c>
    </row>
    <row r="581" spans="1:2" hidden="1" x14ac:dyDescent="0.25">
      <c r="A581" t="s">
        <v>48</v>
      </c>
      <c r="B581" t="str">
        <f>IFERROR(INDEX(samplemethodlookup!$A$2:$D$648,MATCH(collectionMethodDistinct[[#This Row],[Column1]],samplemethodlookup!$A$2:$A$648,FALSE),1),"")</f>
        <v>Suction Sampler</v>
      </c>
    </row>
    <row r="582" spans="1:2" hidden="1" x14ac:dyDescent="0.25">
      <c r="A582" t="s">
        <v>543</v>
      </c>
      <c r="B582" t="str">
        <f>IFERROR(INDEX(samplemethodlookup!$A$2:$D$648,MATCH(collectionMethodDistinct[[#This Row],[Column1]],samplemethodlookup!$A$2:$A$648,FALSE),1),"")</f>
        <v>Suction&gt;60mLSyringe</v>
      </c>
    </row>
    <row r="583" spans="1:2" hidden="1" x14ac:dyDescent="0.25">
      <c r="A583" t="s">
        <v>544</v>
      </c>
      <c r="B583" t="str">
        <f>IFERROR(INDEX(samplemethodlookup!$A$2:$D$648,MATCH(collectionMethodDistinct[[#This Row],[Column1]],samplemethodlookup!$A$2:$A$648,FALSE),1),"")</f>
        <v>Suction&gt;ROV</v>
      </c>
    </row>
    <row r="584" spans="1:2" hidden="1" x14ac:dyDescent="0.25">
      <c r="A584" t="s">
        <v>545</v>
      </c>
      <c r="B584" t="str">
        <f>IFERROR(INDEX(samplemethodlookup!$A$2:$D$648,MATCH(collectionMethodDistinct[[#This Row],[Column1]],samplemethodlookup!$A$2:$A$648,FALSE),1),"")</f>
        <v>SuctionSampler</v>
      </c>
    </row>
    <row r="585" spans="1:2" hidden="1" x14ac:dyDescent="0.25">
      <c r="A585" t="s">
        <v>546</v>
      </c>
      <c r="B585" t="str">
        <f>IFERROR(INDEX(samplemethodlookup!$A$2:$D$648,MATCH(collectionMethodDistinct[[#This Row],[Column1]],samplemethodlookup!$A$2:$A$648,FALSE),1),"")</f>
        <v>surface</v>
      </c>
    </row>
    <row r="586" spans="1:2" hidden="1" x14ac:dyDescent="0.25">
      <c r="A586" t="s">
        <v>547</v>
      </c>
      <c r="B586" t="str">
        <f>IFERROR(INDEX(samplemethodlookup!$A$2:$D$648,MATCH(collectionMethodDistinct[[#This Row],[Column1]],samplemethodlookup!$A$2:$A$648,FALSE),1),"")</f>
        <v>surface</v>
      </c>
    </row>
    <row r="587" spans="1:2" hidden="1" x14ac:dyDescent="0.25">
      <c r="A587" t="s">
        <v>548</v>
      </c>
      <c r="B587" t="str">
        <f>IFERROR(INDEX(samplemethodlookup!$A$2:$D$648,MATCH(collectionMethodDistinct[[#This Row],[Column1]],samplemethodlookup!$A$2:$A$648,FALSE),1),"")</f>
        <v>Surface and shallow excavation</v>
      </c>
    </row>
    <row r="588" spans="1:2" hidden="1" x14ac:dyDescent="0.25">
      <c r="A588" t="s">
        <v>549</v>
      </c>
      <c r="B588" t="str">
        <f>IFERROR(INDEX(samplemethodlookup!$A$2:$D$648,MATCH(collectionMethodDistinct[[#This Row],[Column1]],samplemethodlookup!$A$2:$A$648,FALSE),1),"")</f>
        <v>surface collection</v>
      </c>
    </row>
    <row r="589" spans="1:2" hidden="1" x14ac:dyDescent="0.25">
      <c r="A589" t="s">
        <v>550</v>
      </c>
      <c r="B589" t="str">
        <f>IFERROR(INDEX(samplemethodlookup!$A$2:$D$648,MATCH(collectionMethodDistinct[[#This Row],[Column1]],samplemethodlookup!$A$2:$A$648,FALSE),1),"")</f>
        <v>Surface measurement by use of terrestrial LiDAR</v>
      </c>
    </row>
    <row r="590" spans="1:2" hidden="1" x14ac:dyDescent="0.25">
      <c r="A590" t="s">
        <v>551</v>
      </c>
      <c r="B590" t="str">
        <f>IFERROR(INDEX(samplemethodlookup!$A$2:$D$648,MATCH(collectionMethodDistinct[[#This Row],[Column1]],samplemethodlookup!$A$2:$A$648,FALSE),1),"")</f>
        <v>surface samples into plastic bags</v>
      </c>
    </row>
    <row r="591" spans="1:2" hidden="1" x14ac:dyDescent="0.25">
      <c r="A591" t="s">
        <v>552</v>
      </c>
      <c r="B591" t="str">
        <f>IFERROR(INDEX(samplemethodlookup!$A$2:$D$648,MATCH(collectionMethodDistinct[[#This Row],[Column1]],samplemethodlookup!$A$2:$A$648,FALSE),1),"")</f>
        <v>surface sampling</v>
      </c>
    </row>
    <row r="592" spans="1:2" hidden="1" x14ac:dyDescent="0.25">
      <c r="A592" t="s">
        <v>553</v>
      </c>
      <c r="B592" t="str">
        <f>IFERROR(INDEX(samplemethodlookup!$A$2:$D$648,MATCH(collectionMethodDistinct[[#This Row],[Column1]],samplemethodlookup!$A$2:$A$648,FALSE),1),"")</f>
        <v>Suspended sediment</v>
      </c>
    </row>
    <row r="593" spans="1:2" x14ac:dyDescent="0.25">
      <c r="A593" t="s">
        <v>924</v>
      </c>
      <c r="B593" t="str">
        <f>IFERROR(INDEX(samplemethodlookup!$A$2:$D$648,MATCH(collectionMethodDistinct[[#This Row],[Column1]],samplemethodlookup!$A$2:$A$648,FALSE),1),"")</f>
        <v>Suspended sediment sampler</v>
      </c>
    </row>
    <row r="594" spans="1:2" x14ac:dyDescent="0.25">
      <c r="A594" t="s">
        <v>923</v>
      </c>
      <c r="B594" t="str">
        <f>IFERROR(INDEX(samplemethodlookup!$A$2:$D$648,MATCH(collectionMethodDistinct[[#This Row],[Column1]],samplemethodlookup!$A$2:$A$648,FALSE),1),"")</f>
        <v>Synthetic</v>
      </c>
    </row>
    <row r="595" spans="1:2" hidden="1" x14ac:dyDescent="0.25">
      <c r="A595" t="s">
        <v>554</v>
      </c>
      <c r="B595" t="str">
        <f>IFERROR(INDEX(samplemethodlookup!$A$2:$D$648,MATCH(collectionMethodDistinct[[#This Row],[Column1]],samplemethodlookup!$A$2:$A$648,FALSE),1),"")</f>
        <v>syringe</v>
      </c>
    </row>
    <row r="596" spans="1:2" hidden="1" x14ac:dyDescent="0.25">
      <c r="A596" t="s">
        <v>555</v>
      </c>
      <c r="B596" t="str">
        <f>IFERROR(INDEX(samplemethodlookup!$A$2:$D$648,MATCH(collectionMethodDistinct[[#This Row],[Column1]],samplemethodlookup!$A$2:$A$648,FALSE),1),"")</f>
        <v>syringe</v>
      </c>
    </row>
    <row r="597" spans="1:2" x14ac:dyDescent="0.25">
      <c r="A597" t="s">
        <v>922</v>
      </c>
      <c r="B597" t="str">
        <f>IFERROR(INDEX(samplemethodlookup!$A$2:$D$648,MATCH(collectionMethodDistinct[[#This Row],[Column1]],samplemethodlookup!$A$2:$A$648,FALSE),1),"")</f>
        <v>Syringe into soil enrichment</v>
      </c>
    </row>
    <row r="598" spans="1:2" hidden="1" x14ac:dyDescent="0.25">
      <c r="A598" t="s">
        <v>556</v>
      </c>
      <c r="B598" t="str">
        <f>IFERROR(INDEX(samplemethodlookup!$A$2:$D$648,MATCH(collectionMethodDistinct[[#This Row],[Column1]],samplemethodlookup!$A$2:$A$648,FALSE),1),"")</f>
        <v>Syringe, 100 cc</v>
      </c>
    </row>
    <row r="599" spans="1:2" hidden="1" x14ac:dyDescent="0.25">
      <c r="A599" t="s">
        <v>557</v>
      </c>
      <c r="B599" t="str">
        <f>IFERROR(INDEX(samplemethodlookup!$A$2:$D$648,MATCH(collectionMethodDistinct[[#This Row],[Column1]],samplemethodlookup!$A$2:$A$648,FALSE),1),"")</f>
        <v>Syringe, 400 ml</v>
      </c>
    </row>
    <row r="600" spans="1:2" hidden="1" x14ac:dyDescent="0.25">
      <c r="A600" t="s">
        <v>558</v>
      </c>
      <c r="B600" t="str">
        <f>IFERROR(INDEX(samplemethodlookup!$A$2:$D$648,MATCH(collectionMethodDistinct[[#This Row],[Column1]],samplemethodlookup!$A$2:$A$648,FALSE),1),"")</f>
        <v>Tension Lysimeter</v>
      </c>
    </row>
    <row r="601" spans="1:2" hidden="1" x14ac:dyDescent="0.25">
      <c r="A601" t="s">
        <v>559</v>
      </c>
      <c r="B601" t="str">
        <f>IFERROR(INDEX(samplemethodlookup!$A$2:$D$648,MATCH(collectionMethodDistinct[[#This Row],[Column1]],samplemethodlookup!$A$2:$A$648,FALSE),1),"")</f>
        <v>TensionLys1</v>
      </c>
    </row>
    <row r="602" spans="1:2" hidden="1" x14ac:dyDescent="0.25">
      <c r="A602" t="s">
        <v>560</v>
      </c>
      <c r="B602" t="str">
        <f>IFERROR(INDEX(samplemethodlookup!$A$2:$D$648,MATCH(collectionMethodDistinct[[#This Row],[Column1]],samplemethodlookup!$A$2:$A$648,FALSE),1),"")</f>
        <v>Tephra scraped into bag from surface of 1995 flow lobe (so as to constrain age to &lt;1995)</v>
      </c>
    </row>
    <row r="603" spans="1:2" hidden="1" x14ac:dyDescent="0.25">
      <c r="A603" t="s">
        <v>561</v>
      </c>
      <c r="B603" t="str">
        <f>IFERROR(INDEX(samplemethodlookup!$A$2:$D$648,MATCH(collectionMethodDistinct[[#This Row],[Column1]],samplemethodlookup!$A$2:$A$648,FALSE),1),"")</f>
        <v>test</v>
      </c>
    </row>
    <row r="604" spans="1:2" hidden="1" x14ac:dyDescent="0.25">
      <c r="A604" t="s">
        <v>921</v>
      </c>
      <c r="B604" t="str">
        <f>IFERROR(INDEX(samplemethodlookup!$A$2:$D$648,MATCH(collectionMethodDistinct[[#This Row],[Column1]],samplemethodlookup!$A$2:$A$648,FALSE),1),"")</f>
        <v>the soil sample was sieved at &lt;250 µm by mechanical agitation.</v>
      </c>
    </row>
    <row r="605" spans="1:2" hidden="1" x14ac:dyDescent="0.25">
      <c r="A605" t="s">
        <v>562</v>
      </c>
      <c r="B605" t="str">
        <f>IFERROR(INDEX(samplemethodlookup!$A$2:$D$648,MATCH(collectionMethodDistinct[[#This Row],[Column1]],samplemethodlookup!$A$2:$A$648,FALSE),1),"")</f>
        <v>Titanium Major Water Sampler</v>
      </c>
    </row>
    <row r="606" spans="1:2" hidden="1" x14ac:dyDescent="0.25">
      <c r="A606" t="s">
        <v>563</v>
      </c>
      <c r="B606" t="str">
        <f>IFERROR(INDEX(samplemethodlookup!$A$2:$D$648,MATCH(collectionMethodDistinct[[#This Row],[Column1]],samplemethodlookup!$A$2:$A$648,FALSE),1),"")</f>
        <v>Took from section</v>
      </c>
    </row>
    <row r="607" spans="1:2" hidden="1" x14ac:dyDescent="0.25">
      <c r="A607" t="s">
        <v>564</v>
      </c>
      <c r="B607" t="str">
        <f>IFERROR(INDEX(samplemethodlookup!$A$2:$D$648,MATCH(collectionMethodDistinct[[#This Row],[Column1]],samplemethodlookup!$A$2:$A$648,FALSE),1),"")</f>
        <v>towcam</v>
      </c>
    </row>
    <row r="608" spans="1:2" hidden="1" x14ac:dyDescent="0.25">
      <c r="A608" t="s">
        <v>565</v>
      </c>
      <c r="B608" t="str">
        <f>IFERROR(INDEX(samplemethodlookup!$A$2:$D$648,MATCH(collectionMethodDistinct[[#This Row],[Column1]],samplemethodlookup!$A$2:$A$648,FALSE),1),"")</f>
        <v>Trawl</v>
      </c>
    </row>
    <row r="609" spans="1:2" hidden="1" x14ac:dyDescent="0.25">
      <c r="A609" t="s">
        <v>566</v>
      </c>
      <c r="B609" t="str">
        <f>IFERROR(INDEX(samplemethodlookup!$A$2:$D$648,MATCH(collectionMethodDistinct[[#This Row],[Column1]],samplemethodlookup!$A$2:$A$648,FALSE),1),"")</f>
        <v>Trawling&gt;Blake Trawl</v>
      </c>
    </row>
    <row r="610" spans="1:2" hidden="1" x14ac:dyDescent="0.25">
      <c r="A610" t="s">
        <v>567</v>
      </c>
      <c r="B610" t="str">
        <f>IFERROR(INDEX(samplemethodlookup!$A$2:$D$648,MATCH(collectionMethodDistinct[[#This Row],[Column1]],samplemethodlookup!$A$2:$A$648,FALSE),1),"")</f>
        <v>Trawling&gt;BlakeTrawl</v>
      </c>
    </row>
    <row r="611" spans="1:2" hidden="1" x14ac:dyDescent="0.25">
      <c r="A611" t="s">
        <v>568</v>
      </c>
      <c r="B611" t="str">
        <f>IFERROR(INDEX(samplemethodlookup!$A$2:$D$648,MATCH(collectionMethodDistinct[[#This Row],[Column1]],samplemethodlookup!$A$2:$A$648,FALSE),1),"")</f>
        <v>Trawling&gt;OtterTrawl</v>
      </c>
    </row>
    <row r="612" spans="1:2" hidden="1" x14ac:dyDescent="0.25">
      <c r="A612" t="s">
        <v>569</v>
      </c>
      <c r="B612" t="str">
        <f>IFERROR(INDEX(samplemethodlookup!$A$2:$D$648,MATCH(collectionMethodDistinct[[#This Row],[Column1]],samplemethodlookup!$A$2:$A$648,FALSE),1),"")</f>
        <v>Trench, manual</v>
      </c>
    </row>
    <row r="613" spans="1:2" hidden="1" x14ac:dyDescent="0.25">
      <c r="A613" t="s">
        <v>570</v>
      </c>
      <c r="B613" t="str">
        <f>IFERROR(INDEX(samplemethodlookup!$A$2:$D$648,MATCH(collectionMethodDistinct[[#This Row],[Column1]],samplemethodlookup!$A$2:$A$648,FALSE),1),"")</f>
        <v>Triangular Dredge</v>
      </c>
    </row>
    <row r="614" spans="1:2" hidden="1" x14ac:dyDescent="0.25">
      <c r="A614" t="s">
        <v>571</v>
      </c>
      <c r="B614" t="str">
        <f>IFERROR(INDEX(samplemethodlookup!$A$2:$D$648,MATCH(collectionMethodDistinct[[#This Row],[Column1]],samplemethodlookup!$A$2:$A$648,FALSE),1),"")</f>
        <v>Trigger Core</v>
      </c>
    </row>
    <row r="615" spans="1:2" hidden="1" x14ac:dyDescent="0.25">
      <c r="A615" t="s">
        <v>572</v>
      </c>
      <c r="B615" t="str">
        <f>IFERROR(INDEX(samplemethodlookup!$A$2:$D$648,MATCH(collectionMethodDistinct[[#This Row],[Column1]],samplemethodlookup!$A$2:$A$648,FALSE),1),"")</f>
        <v>tripod piston corerer</v>
      </c>
    </row>
    <row r="616" spans="1:2" hidden="1" x14ac:dyDescent="0.25">
      <c r="A616" t="s">
        <v>573</v>
      </c>
      <c r="B616" t="str">
        <f>IFERROR(INDEX(samplemethodlookup!$A$2:$D$648,MATCH(collectionMethodDistinct[[#This Row],[Column1]],samplemethodlookup!$A$2:$A$648,FALSE),1),"")</f>
        <v>Trowel</v>
      </c>
    </row>
    <row r="617" spans="1:2" hidden="1" x14ac:dyDescent="0.25">
      <c r="A617" t="s">
        <v>574</v>
      </c>
      <c r="B617" t="str">
        <f>IFERROR(INDEX(samplemethodlookup!$A$2:$D$648,MATCH(collectionMethodDistinct[[#This Row],[Column1]],samplemethodlookup!$A$2:$A$648,FALSE),1),"")</f>
        <v>truck-mounted drill rig</v>
      </c>
    </row>
    <row r="618" spans="1:2" hidden="1" x14ac:dyDescent="0.25">
      <c r="A618" t="s">
        <v>575</v>
      </c>
      <c r="B618" t="str">
        <f>IFERROR(INDEX(samplemethodlookup!$A$2:$D$648,MATCH(collectionMethodDistinct[[#This Row],[Column1]],samplemethodlookup!$A$2:$A$648,FALSE),1),"")</f>
        <v>Try Net</v>
      </c>
    </row>
    <row r="619" spans="1:2" hidden="1" x14ac:dyDescent="0.25">
      <c r="A619" t="s">
        <v>576</v>
      </c>
      <c r="B619" t="str">
        <f>IFERROR(INDEX(samplemethodlookup!$A$2:$D$648,MATCH(collectionMethodDistinct[[#This Row],[Column1]],samplemethodlookup!$A$2:$A$648,FALSE),1),"")</f>
        <v>tube well</v>
      </c>
    </row>
    <row r="620" spans="1:2" hidden="1" x14ac:dyDescent="0.25">
      <c r="A620" t="s">
        <v>577</v>
      </c>
      <c r="B620" t="str">
        <f>IFERROR(INDEX(samplemethodlookup!$A$2:$D$648,MATCH(collectionMethodDistinct[[#This Row],[Column1]],samplemethodlookup!$A$2:$A$648,FALSE),1),"")</f>
        <v>TV grab sample</v>
      </c>
    </row>
    <row r="621" spans="1:2" hidden="1" x14ac:dyDescent="0.25">
      <c r="A621" t="s">
        <v>578</v>
      </c>
      <c r="B621" t="str">
        <f>IFERROR(INDEX(samplemethodlookup!$A$2:$D$648,MATCH(collectionMethodDistinct[[#This Row],[Column1]],samplemethodlookup!$A$2:$A$648,FALSE),1),"")</f>
        <v>TZM</v>
      </c>
    </row>
    <row r="622" spans="1:2" hidden="1" x14ac:dyDescent="0.25">
      <c r="A622" t="s">
        <v>579</v>
      </c>
      <c r="B622" t="str">
        <f>IFERROR(INDEX(samplemethodlookup!$A$2:$D$648,MATCH(collectionMethodDistinct[[#This Row],[Column1]],samplemethodlookup!$A$2:$A$648,FALSE),1),"")</f>
        <v>U.C. Berkeley Sample Archive</v>
      </c>
    </row>
    <row r="623" spans="1:2" hidden="1" x14ac:dyDescent="0.25">
      <c r="A623" t="s">
        <v>580</v>
      </c>
      <c r="B623" t="str">
        <f>IFERROR(INDEX(samplemethodlookup!$A$2:$D$648,MATCH(collectionMethodDistinct[[#This Row],[Column1]],samplemethodlookup!$A$2:$A$648,FALSE),1),"")</f>
        <v>Unknown</v>
      </c>
    </row>
    <row r="624" spans="1:2" hidden="1" x14ac:dyDescent="0.25">
      <c r="A624" t="s">
        <v>581</v>
      </c>
      <c r="B624" t="str">
        <f>IFERROR(INDEX(samplemethodlookup!$A$2:$D$648,MATCH(collectionMethodDistinct[[#This Row],[Column1]],samplemethodlookup!$A$2:$A$648,FALSE),1),"")</f>
        <v>UWITECH 90</v>
      </c>
    </row>
    <row r="625" spans="1:2" x14ac:dyDescent="0.25">
      <c r="A625" t="s">
        <v>920</v>
      </c>
      <c r="B625" t="str">
        <f>IFERROR(INDEX(samplemethodlookup!$A$2:$D$648,MATCH(collectionMethodDistinct[[#This Row],[Column1]],samplemethodlookup!$A$2:$A$648,FALSE),1),"")</f>
        <v>Vacuum filtration</v>
      </c>
    </row>
    <row r="626" spans="1:2" hidden="1" x14ac:dyDescent="0.25">
      <c r="A626" t="s">
        <v>582</v>
      </c>
      <c r="B626" t="str">
        <f>IFERROR(INDEX(samplemethodlookup!$A$2:$D$648,MATCH(collectionMethodDistinct[[#This Row],[Column1]],samplemethodlookup!$A$2:$A$648,FALSE),1),"")</f>
        <v>Van Veen grab</v>
      </c>
    </row>
    <row r="627" spans="1:2" x14ac:dyDescent="0.25">
      <c r="A627" t="s">
        <v>919</v>
      </c>
      <c r="B627" t="str">
        <f>IFERROR(INDEX(samplemethodlookup!$A$2:$D$648,MATCH(collectionMethodDistinct[[#This Row],[Column1]],samplemethodlookup!$A$2:$A$648,FALSE),1),"")</f>
        <v>Vegetation Community Plot Aboveground NPP Harvest</v>
      </c>
    </row>
    <row r="628" spans="1:2" hidden="1" x14ac:dyDescent="0.25">
      <c r="A628" t="s">
        <v>583</v>
      </c>
      <c r="B628" t="str">
        <f>IFERROR(INDEX(samplemethodlookup!$A$2:$D$648,MATCH(collectionMethodDistinct[[#This Row],[Column1]],samplemethodlookup!$A$2:$A$648,FALSE),1),"")</f>
        <v>vibracore</v>
      </c>
    </row>
    <row r="629" spans="1:2" hidden="1" x14ac:dyDescent="0.25">
      <c r="A629" t="s">
        <v>584</v>
      </c>
      <c r="B629" t="str">
        <f>IFERROR(INDEX(samplemethodlookup!$A$2:$D$648,MATCH(collectionMethodDistinct[[#This Row],[Column1]],samplemethodlookup!$A$2:$A$648,FALSE),1),"")</f>
        <v>vibracore</v>
      </c>
    </row>
    <row r="630" spans="1:2" hidden="1" x14ac:dyDescent="0.25">
      <c r="A630" t="s">
        <v>585</v>
      </c>
      <c r="B630" t="str">
        <f>IFERROR(INDEX(samplemethodlookup!$A$2:$D$648,MATCH(collectionMethodDistinct[[#This Row],[Column1]],samplemethodlookup!$A$2:$A$648,FALSE),1),"")</f>
        <v>vibracorer</v>
      </c>
    </row>
    <row r="631" spans="1:2" x14ac:dyDescent="0.25">
      <c r="A631" t="s">
        <v>918</v>
      </c>
      <c r="B631" t="str">
        <f>IFERROR(INDEX(samplemethodlookup!$A$2:$D$648,MATCH(collectionMethodDistinct[[#This Row],[Column1]],samplemethodlookup!$A$2:$A$648,FALSE),1),"")</f>
        <v>vibrating corer, auger head 5 cm outer/4,5 inner diameter</v>
      </c>
    </row>
    <row r="632" spans="1:2" hidden="1" x14ac:dyDescent="0.25">
      <c r="A632" t="s">
        <v>586</v>
      </c>
      <c r="B632" t="str">
        <f>IFERROR(INDEX(samplemethodlookup!$A$2:$D$648,MATCH(collectionMethodDistinct[[#This Row],[Column1]],samplemethodlookup!$A$2:$A$648,FALSE),1),"")</f>
        <v>Viewing</v>
      </c>
    </row>
    <row r="633" spans="1:2" hidden="1" x14ac:dyDescent="0.25">
      <c r="A633" t="s">
        <v>587</v>
      </c>
      <c r="B633" t="str">
        <f>IFERROR(INDEX(samplemethodlookup!$A$2:$D$648,MATCH(collectionMethodDistinct[[#This Row],[Column1]],samplemethodlookup!$A$2:$A$648,FALSE),1),"")</f>
        <v>Volunteer&gt;HOV</v>
      </c>
    </row>
    <row r="634" spans="1:2" x14ac:dyDescent="0.25">
      <c r="A634" t="s">
        <v>917</v>
      </c>
      <c r="B634" t="str">
        <f>IFERROR(INDEX(samplemethodlookup!$A$2:$D$648,MATCH(collectionMethodDistinct[[#This Row],[Column1]],samplemethodlookup!$A$2:$A$648,FALSE),1),"")</f>
        <v>water displacment method</v>
      </c>
    </row>
    <row r="635" spans="1:2" x14ac:dyDescent="0.25">
      <c r="A635" t="s">
        <v>916</v>
      </c>
      <c r="B635" t="str">
        <f>IFERROR(INDEX(samplemethodlookup!$A$2:$D$648,MATCH(collectionMethodDistinct[[#This Row],[Column1]],samplemethodlookup!$A$2:$A$648,FALSE),1),"")</f>
        <v xml:space="preserve">Water displacment method </v>
      </c>
    </row>
    <row r="636" spans="1:2" hidden="1" x14ac:dyDescent="0.25">
      <c r="A636" t="s">
        <v>588</v>
      </c>
      <c r="B636" t="str">
        <f>IFERROR(INDEX(samplemethodlookup!$A$2:$D$648,MATCH(collectionMethodDistinct[[#This Row],[Column1]],samplemethodlookup!$A$2:$A$648,FALSE),1),"")</f>
        <v>water sample from just below surface</v>
      </c>
    </row>
    <row r="637" spans="1:2" hidden="1" x14ac:dyDescent="0.25">
      <c r="A637" t="s">
        <v>589</v>
      </c>
      <c r="B637" t="str">
        <f>IFERROR(INDEX(samplemethodlookup!$A$2:$D$648,MATCH(collectionMethodDistinct[[#This Row],[Column1]],samplemethodlookup!$A$2:$A$648,FALSE),1),"")</f>
        <v>Water Well Cuttings</v>
      </c>
    </row>
    <row r="638" spans="1:2" x14ac:dyDescent="0.25">
      <c r="A638" t="s">
        <v>915</v>
      </c>
      <c r="B638" t="str">
        <f>IFERROR(INDEX(samplemethodlookup!$A$2:$D$648,MATCH(collectionMethodDistinct[[#This Row],[Column1]],samplemethodlookup!$A$2:$A$648,FALSE),1),"")</f>
        <v>Wax Core</v>
      </c>
    </row>
    <row r="639" spans="1:2" hidden="1" x14ac:dyDescent="0.25">
      <c r="A639" t="s">
        <v>590</v>
      </c>
      <c r="B639" t="str">
        <f>IFERROR(INDEX(samplemethodlookup!$A$2:$D$648,MATCH(collectionMethodDistinct[[#This Row],[Column1]],samplemethodlookup!$A$2:$A$648,FALSE),1),"")</f>
        <v>WaxCorer</v>
      </c>
    </row>
    <row r="640" spans="1:2" hidden="1" x14ac:dyDescent="0.25">
      <c r="A640" t="s">
        <v>591</v>
      </c>
      <c r="B640" t="str">
        <f>IFERROR(INDEX(samplemethodlookup!$A$2:$D$648,MATCH(collectionMethodDistinct[[#This Row],[Column1]],samplemethodlookup!$A$2:$A$648,FALSE),1),"")</f>
        <v>WellSample</v>
      </c>
    </row>
    <row r="641" spans="1:2" hidden="1" x14ac:dyDescent="0.25">
      <c r="A641" t="s">
        <v>592</v>
      </c>
      <c r="B641" t="str">
        <f>IFERROR(INDEX(samplemethodlookup!$A$2:$D$648,MATCH(collectionMethodDistinct[[#This Row],[Column1]],samplemethodlookup!$A$2:$A$648,FALSE),1),"")</f>
        <v>Wick</v>
      </c>
    </row>
    <row r="642" spans="1:2" hidden="1" x14ac:dyDescent="0.25">
      <c r="A642" t="s">
        <v>593</v>
      </c>
      <c r="B642" t="str">
        <f>IFERROR(INDEX(samplemethodlookup!$A$2:$D$648,MATCH(collectionMethodDistinct[[#This Row],[Column1]],samplemethodlookup!$A$2:$A$648,FALSE),1),"")</f>
        <v>XXXXX</v>
      </c>
    </row>
    <row r="643" spans="1:2" hidden="1" x14ac:dyDescent="0.25">
      <c r="A643" t="s">
        <v>594</v>
      </c>
      <c r="B643" t="str">
        <f>IFERROR(INDEX(samplemethodlookup!$A$2:$D$648,MATCH(collectionMethodDistinct[[#This Row],[Column1]],samplemethodlookup!$A$2:$A$648,FALSE),1),"")</f>
        <v>Yokosuka deep-tow dredge</v>
      </c>
    </row>
    <row r="644" spans="1:2" hidden="1" x14ac:dyDescent="0.25">
      <c r="A644" t="s">
        <v>595</v>
      </c>
      <c r="B644" t="str">
        <f>IFERROR(INDEX(samplemethodlookup!$A$2:$D$648,MATCH(collectionMethodDistinct[[#This Row],[Column1]],samplemethodlookup!$A$2:$A$648,FALSE),1),"")</f>
        <v>Zero Tension</v>
      </c>
    </row>
    <row r="645" spans="1:2" hidden="1" x14ac:dyDescent="0.25">
      <c r="A645" t="s">
        <v>596</v>
      </c>
      <c r="B645" t="str">
        <f>IFERROR(INDEX(samplemethodlookup!$A$2:$D$648,MATCH(collectionMethodDistinct[[#This Row],[Column1]],samplemethodlookup!$A$2:$A$648,FALSE),1),"")</f>
        <v>ZeroTension</v>
      </c>
    </row>
    <row r="646" spans="1:2" hidden="1" x14ac:dyDescent="0.25">
      <c r="A646" t="s">
        <v>370</v>
      </c>
      <c r="B646" t="str">
        <f>IFERROR(INDEX(samplemethodlookup!$A$2:$D$648,MATCH(collectionMethodDistinct[[#This Row],[Column1]],samplemethodlookup!$A$2:$A$648,FALSE),1),"")</f>
        <v>NULL</v>
      </c>
    </row>
  </sheetData>
  <phoneticPr fontId="19"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E3D24-E307-4392-A59E-2A5DE01DF001}">
  <dimension ref="A1:K94"/>
  <sheetViews>
    <sheetView topLeftCell="A30" zoomScale="85" zoomScaleNormal="85" workbookViewId="0">
      <selection activeCell="F32" sqref="F32"/>
    </sheetView>
  </sheetViews>
  <sheetFormatPr defaultRowHeight="15" x14ac:dyDescent="0.25"/>
  <cols>
    <col min="1" max="1" width="39.7109375" style="1" customWidth="1"/>
    <col min="2" max="5" width="27.7109375" style="1" customWidth="1"/>
    <col min="6" max="6" width="46.85546875" style="1" customWidth="1"/>
    <col min="7" max="7" width="106" style="1" customWidth="1"/>
    <col min="8" max="10" width="27.7109375" style="1" customWidth="1"/>
    <col min="11" max="11" width="55.7109375" style="1" customWidth="1"/>
    <col min="12" max="16384" width="9.140625" style="1"/>
  </cols>
  <sheetData>
    <row r="1" spans="1:11" x14ac:dyDescent="0.25">
      <c r="A1" s="1" t="s">
        <v>1</v>
      </c>
      <c r="B1" s="1" t="s">
        <v>790</v>
      </c>
      <c r="C1" s="2" t="s">
        <v>616</v>
      </c>
      <c r="D1" s="2" t="s">
        <v>617</v>
      </c>
      <c r="E1" s="2" t="s">
        <v>619</v>
      </c>
      <c r="F1" s="2" t="s">
        <v>828</v>
      </c>
      <c r="G1" s="2" t="s">
        <v>827</v>
      </c>
      <c r="H1" s="2" t="s">
        <v>618</v>
      </c>
      <c r="I1" s="2" t="s">
        <v>620</v>
      </c>
      <c r="J1" s="2" t="s">
        <v>621</v>
      </c>
      <c r="K1" s="2" t="s">
        <v>622</v>
      </c>
    </row>
    <row r="2" spans="1:11" ht="60" x14ac:dyDescent="0.25">
      <c r="A2" s="2" t="s">
        <v>623</v>
      </c>
      <c r="B2" s="1" t="s">
        <v>624</v>
      </c>
      <c r="C2" s="2" t="s">
        <v>625</v>
      </c>
      <c r="D2" s="2" t="s">
        <v>626</v>
      </c>
      <c r="E2" s="3" t="s">
        <v>628</v>
      </c>
      <c r="F2" s="2" t="s">
        <v>629</v>
      </c>
      <c r="G2" s="2" t="str" cm="1">
        <f t="array" ref="G2:G94">"secm:" &amp; ID &amp; "    rdf:type skos:Concept ; skos:prefLabel """ &amp; redux &amp; """@en ; skos:inScheme secm:samplingmethods ; skos:definition """ &amp; scope_note &amp; """; skos:broader secm:" &amp; parentID &amp; " ; dcterms:source """ &amp; source &amp; """@en ; ."</f>
        <v>secm:sm001    rdf:type skos:Concept ; skos:prefLabel "Composite water sample preserved with reagent"@en ; skos:inScheme secm:samplingmethods ; skos:definition "composite water sample  preserved with reagent (e.g. nitric acid  sulfuric acid) as part of sampling process"; skos:broader secm:sm010 ; dcterms:source "e.g. see http://www.azdeq.gov/environ/water/assessment/download/sampling.pdf"@en ; .</v>
      </c>
      <c r="H2" s="2" t="s">
        <v>627</v>
      </c>
      <c r="I2" s="1" t="s">
        <v>630</v>
      </c>
      <c r="J2" s="2" t="s">
        <v>631</v>
      </c>
      <c r="K2" s="1" t="s">
        <v>632</v>
      </c>
    </row>
    <row r="3" spans="1:11" ht="60" x14ac:dyDescent="0.25">
      <c r="A3" s="2" t="s">
        <v>633</v>
      </c>
      <c r="B3" s="1" t="s">
        <v>634</v>
      </c>
      <c r="C3" s="2" t="s">
        <v>625</v>
      </c>
      <c r="D3" s="2" t="s">
        <v>626</v>
      </c>
      <c r="E3" s="3" t="s">
        <v>628</v>
      </c>
      <c r="F3" s="2" t="s">
        <v>635</v>
      </c>
      <c r="G3" s="2" t="str">
        <v>secm:sm002    rdf:type skos:Concept ; skos:prefLabel "Composite water sample  filtered"@en ; skos:inScheme secm:samplingmethods ; skos:definition "composite water sample  filtered as part of the sampling process (in the field or within a very short time period after collection)"; skos:broader secm:sm010 ; dcterms:source "e.g. see http://www.azdeq.gov/environ/water/assessment/download/sampling.pdf"@en ; .</v>
      </c>
      <c r="H3" s="2" t="s">
        <v>627</v>
      </c>
      <c r="I3" s="1" t="s">
        <v>630</v>
      </c>
      <c r="J3" s="2" t="s">
        <v>631</v>
      </c>
      <c r="K3" s="1" t="s">
        <v>632</v>
      </c>
    </row>
    <row r="4" spans="1:11" ht="60" x14ac:dyDescent="0.25">
      <c r="A4" s="2" t="s">
        <v>636</v>
      </c>
      <c r="B4" s="1" t="s">
        <v>637</v>
      </c>
      <c r="C4" s="2" t="s">
        <v>625</v>
      </c>
      <c r="D4" s="2" t="s">
        <v>626</v>
      </c>
      <c r="E4" s="3" t="s">
        <v>628</v>
      </c>
      <c r="F4" s="2" t="s">
        <v>638</v>
      </c>
      <c r="G4" s="2" t="str">
        <v>secm:sm003    rdf:type skos:Concept ; skos:prefLabel "Composite water sample  filtered preserved with reagent"@en ; skos:inScheme secm:samplingmethods ; skos:definition "composite filtered water sample  preserved with reagent (e.g. nitric acid  sulfuric acid) as part of sampling process"; skos:broader secm:sm010 ; dcterms:source "e.g. see http://www.azdeq.gov/environ/water/assessment/download/sampling.pdf"@en ; .</v>
      </c>
      <c r="H4" s="2" t="s">
        <v>627</v>
      </c>
      <c r="I4" s="1" t="s">
        <v>630</v>
      </c>
      <c r="J4" s="1" t="s">
        <v>631</v>
      </c>
      <c r="K4" s="1" t="s">
        <v>632</v>
      </c>
    </row>
    <row r="5" spans="1:11" ht="30" x14ac:dyDescent="0.25">
      <c r="A5" s="2" t="s">
        <v>639</v>
      </c>
      <c r="B5" s="1" t="s">
        <v>640</v>
      </c>
      <c r="C5" s="2" t="s">
        <v>82</v>
      </c>
      <c r="D5" s="2" t="s">
        <v>641</v>
      </c>
      <c r="E5" s="2" t="s">
        <v>642</v>
      </c>
      <c r="F5" s="2" t="s">
        <v>643</v>
      </c>
      <c r="G5" s="2" t="str">
        <v>secm:sm004    rdf:type skos:Concept ; skos:prefLabel "Drilled core"@en ; skos:inScheme secm:samplingmethods ; skos:definition "core extracted from rock or sediment by a rotating hollow cylindrical bit"; skos:broader secm:sm041 ; dcterms:source "SESAR collection method"@en ; .</v>
      </c>
      <c r="H5" s="2" t="s">
        <v>627</v>
      </c>
      <c r="I5" s="2" t="s">
        <v>630</v>
      </c>
      <c r="J5" s="2" t="s">
        <v>644</v>
      </c>
      <c r="K5" s="2" t="s">
        <v>645</v>
      </c>
    </row>
    <row r="6" spans="1:11" ht="60" x14ac:dyDescent="0.25">
      <c r="A6" s="2" t="s">
        <v>646</v>
      </c>
      <c r="B6" s="1" t="s">
        <v>647</v>
      </c>
      <c r="C6" s="2" t="s">
        <v>82</v>
      </c>
      <c r="D6" s="2" t="s">
        <v>641</v>
      </c>
      <c r="E6" s="2" t="s">
        <v>642</v>
      </c>
      <c r="F6" s="2" t="s">
        <v>648</v>
      </c>
      <c r="G6" s="2" t="str">
        <v>secm:sm005    rdf:type skos:Concept ; skos:prefLabel "Soft sediment corer"@en ; skos:inScheme secm:samplingmethods ; skos:definition "General category for methods to extract columnar samples perpendicular to the depositional surface from sediment that is poorly enough consolidated that it can be sampled without drilling."; skos:broader secm:sm041 ; dcterms:source "SESAR collection method"@en ; .</v>
      </c>
      <c r="H6" s="2" t="s">
        <v>627</v>
      </c>
      <c r="I6" s="2" t="s">
        <v>649</v>
      </c>
      <c r="J6" s="1" t="s">
        <v>650</v>
      </c>
      <c r="K6" s="2" t="s">
        <v>645</v>
      </c>
    </row>
    <row r="7" spans="1:11" ht="165" x14ac:dyDescent="0.25">
      <c r="A7" s="2" t="s">
        <v>651</v>
      </c>
      <c r="B7" s="1" t="s">
        <v>652</v>
      </c>
      <c r="C7" s="2" t="s">
        <v>21</v>
      </c>
      <c r="D7" s="2" t="s">
        <v>653</v>
      </c>
      <c r="E7" s="2" t="s">
        <v>654</v>
      </c>
      <c r="F7" s="2" t="s">
        <v>655</v>
      </c>
      <c r="G7" s="2" t="str">
        <v>secm:sm006    rdf:type skos:Concept ; skos:prefLabel "Chain Bag Dredge"@en ; skos:inScheme secm:samplingmethods ; skos:definition "A rock dredge is a large bag made of metal chain links attached to a simple heavy frame that keeps the bag expanded. The dredge is lowered off the back of a ship to the seafloor and dragged along to collect large pieces of rock. Because of the coarse chain links  most of the finer material is washed out of the bag  leaving behind the larger rock and gravel pieces within the chain bag. The dredge is then winched up to the surface and any samples are dumped onto the deck of the ship to be sorted and preserved."; skos:broader secm:sm033 ; dcterms:source "SESAR collection method; http://www.deepreef.org/technology/79-rock-dredge.html"@en ; .</v>
      </c>
      <c r="H7" s="2" t="s">
        <v>627</v>
      </c>
      <c r="I7" s="2" t="s">
        <v>630</v>
      </c>
      <c r="J7" s="2" t="s">
        <v>644</v>
      </c>
      <c r="K7" s="2" t="s">
        <v>632</v>
      </c>
    </row>
    <row r="8" spans="1:11" ht="75" x14ac:dyDescent="0.25">
      <c r="A8" s="2" t="s">
        <v>656</v>
      </c>
      <c r="B8" s="1" t="s">
        <v>657</v>
      </c>
      <c r="C8" s="2" t="s">
        <v>639</v>
      </c>
      <c r="D8" s="2" t="s">
        <v>640</v>
      </c>
      <c r="E8" s="2" t="s">
        <v>658</v>
      </c>
      <c r="F8" s="2" t="s">
        <v>659</v>
      </c>
      <c r="G8" s="2" t="str">
        <v>secm:sm007    rdf:type skos:Concept ; skos:prefLabel "Hand auger coring"@en ; skos:inScheme secm:samplingmethods ; skos:definition "core extracted from sediment or soil by a hand rotated tool with a special bit that extracts short segments of cored sediment; many variations in design. "; skos:broader secm:sm004 ; dcterms:source "this vocabulary; http://www.oakenviro.com/pdfs/Dutch%20Auger%20equipment%20options%20-%20Eijkelkamp.pdf"@en ; .</v>
      </c>
      <c r="H8" s="2" t="s">
        <v>627</v>
      </c>
      <c r="I8" s="2" t="s">
        <v>649</v>
      </c>
      <c r="J8" s="2" t="s">
        <v>660</v>
      </c>
      <c r="K8" s="2" t="s">
        <v>645</v>
      </c>
    </row>
    <row r="9" spans="1:11" ht="60" x14ac:dyDescent="0.25">
      <c r="A9" s="2" t="s">
        <v>661</v>
      </c>
      <c r="B9" s="1" t="s">
        <v>662</v>
      </c>
      <c r="C9" s="2" t="s">
        <v>663</v>
      </c>
      <c r="D9" s="2" t="s">
        <v>664</v>
      </c>
      <c r="E9" s="2"/>
      <c r="F9" s="2" t="s">
        <v>665</v>
      </c>
      <c r="G9" s="2" t="str">
        <v>secm:sm008    rdf:type skos:Concept ; skos:prefLabel "Inverted funnel to evacuated bottle gas collection"@en ; skos:inScheme secm:samplingmethods ; skos:definition "Gas is collected from a bubbling subaqueous gas source by inverting a suitable size and composition funnel over the gas source  connected by a tube to a  evacuated bottle gas collector."; skos:broader secm:sm011 ; dcterms:source ""@en ; .</v>
      </c>
      <c r="H9" s="2" t="s">
        <v>627</v>
      </c>
      <c r="I9" s="1" t="s">
        <v>630</v>
      </c>
      <c r="J9" s="1" t="s">
        <v>666</v>
      </c>
      <c r="K9" s="2" t="s">
        <v>645</v>
      </c>
    </row>
    <row r="10" spans="1:11" ht="60" x14ac:dyDescent="0.25">
      <c r="A10" s="2" t="s">
        <v>667</v>
      </c>
      <c r="B10" s="1" t="s">
        <v>668</v>
      </c>
      <c r="C10" s="2" t="s">
        <v>669</v>
      </c>
      <c r="D10" s="2" t="s">
        <v>670</v>
      </c>
      <c r="E10" s="2"/>
      <c r="F10" s="2" t="s">
        <v>671</v>
      </c>
      <c r="G10" s="2" t="str">
        <v>secm:sm009    rdf:type skos:Concept ; skos:prefLabel "Inverted funnel to flow through bottle gas collection"@en ; skos:inScheme secm:samplingmethods ; skos:definition "Gas is collected from a bubbling subaqueous gas source by inverting a suitable size and composition funnel over the gas source  connected by a tube to a  flow through bottle gas collector."; skos:broader secm:sm012 ; dcterms:source ""@en ; .</v>
      </c>
      <c r="H10" s="2" t="s">
        <v>627</v>
      </c>
      <c r="I10" s="2" t="s">
        <v>630</v>
      </c>
      <c r="J10" s="2" t="s">
        <v>666</v>
      </c>
      <c r="K10" s="2" t="s">
        <v>645</v>
      </c>
    </row>
    <row r="11" spans="1:11" ht="105" x14ac:dyDescent="0.25">
      <c r="A11" s="2" t="s">
        <v>625</v>
      </c>
      <c r="B11" s="1" t="s">
        <v>626</v>
      </c>
      <c r="C11" s="2" t="s">
        <v>672</v>
      </c>
      <c r="D11" s="2" t="s">
        <v>673</v>
      </c>
      <c r="E11" s="3" t="s">
        <v>628</v>
      </c>
      <c r="F11" s="2" t="s">
        <v>674</v>
      </c>
      <c r="G11" s="2" t="str">
        <v>secm:sm010    rdf:type skos:Concept ; skos:prefLabel "Composite water sample"@en ; skos:inScheme secm:samplingmethods ; skos:definition "water sample collected through some documented process over an extended water volume  meant to characterize that volume  e.g. a profile in a lake  a stream cross section  or some volume in the ocean. Many different processes may be used to collect subsamples and aggregate them into a representative single sample."; skos:broader secm:sm043 ; dcterms:source "e.g. see http://www.azdeq.gov/environ/water/assessment/download/sampling.pdf"@en ; .</v>
      </c>
      <c r="H11" s="2" t="s">
        <v>627</v>
      </c>
      <c r="I11" s="2" t="s">
        <v>630</v>
      </c>
      <c r="J11" s="2" t="s">
        <v>631</v>
      </c>
      <c r="K11" s="2" t="s">
        <v>632</v>
      </c>
    </row>
    <row r="12" spans="1:11" ht="315" x14ac:dyDescent="0.25">
      <c r="A12" s="2" t="s">
        <v>663</v>
      </c>
      <c r="B12" s="1" t="s">
        <v>664</v>
      </c>
      <c r="C12" s="2" t="s">
        <v>672</v>
      </c>
      <c r="D12" s="2" t="s">
        <v>673</v>
      </c>
      <c r="E12" s="3" t="s">
        <v>675</v>
      </c>
      <c r="F12" s="2" t="s">
        <v>676</v>
      </c>
      <c r="G12" s="2" t="str">
        <v>secm:sm011    rdf:type skos:Concept ; skos:prefLabel "Evacuated bottle gas sampling"@en ; skos:inScheme secm:samplingmethods ; skos:definition "Insert a suitable chemically inert and durable tube (e.g. titanium  quartz  alumina  or mullite) into gas source. After allowing the tube to heat until condensation in the tube has reached equilibrium with the escaping gases  usually about 5 minutes   a specially-designed bottle with a high-vacuum stopcock and sample port is attached to the collection tube. Before arriving at the sampling site  the bottle is partially filled with concentrated aqueous sodium hydroxide  carefully weighed  and evacuated with a vacuum pump. As gases bubble through the alkaline solution  acid gases  such as CO2  H2S  SO2  HCl  and HF dissolve into the liquid. The remaining gases  such as N2  O2  H2  CO  and He  collect in the headspace of the bottle. For gas is composed mostly of water and condensable acid gases  many liters of gas can be collected in a single bottle. This method concentrates gases in the solution and headspace  and thereby promotes better analytical precision. Typically used for hot (volcanic  geothermal) gas collection."; skos:broader secm:sm043 ; dcterms:source "http://volcanoes.usgs.gov/activity/methods/gas/sample.php"@en ; .</v>
      </c>
      <c r="H12" s="2" t="s">
        <v>627</v>
      </c>
      <c r="I12" s="1" t="s">
        <v>677</v>
      </c>
      <c r="J12" s="1" t="s">
        <v>666</v>
      </c>
      <c r="K12" s="1" t="s">
        <v>645</v>
      </c>
    </row>
    <row r="13" spans="1:11" ht="240" x14ac:dyDescent="0.25">
      <c r="A13" s="2" t="s">
        <v>669</v>
      </c>
      <c r="B13" s="1" t="s">
        <v>670</v>
      </c>
      <c r="C13" s="2" t="s">
        <v>672</v>
      </c>
      <c r="D13" s="2" t="s">
        <v>673</v>
      </c>
      <c r="E13" s="3" t="s">
        <v>675</v>
      </c>
      <c r="F13" s="2" t="s">
        <v>678</v>
      </c>
      <c r="G13" s="2" t="str">
        <v>secm:sm012    rdf:type skos:Concept ; skos:prefLabel "Flow through bottle gas sampling"@en ; skos:inScheme secm:samplingmethods ; skos:definition "Insert a suitable chemically inert and durable tube (e.g. titanium  quartz  alumina  or mullite) into gas source. After allowing the tube to heat until condensation in the tube has reached equilibrium with the escaping gases  usually about 5 minutes  a specially-designed flow-through sample bottle with a stopcock at each end and a hand-operated pump is attached to the collection tubing.  The hand pump flushes out air and draws the gas into the bottle. This collection method is faster that the evacuated bottle method. It is used when a complete gas analysis is not necessary  or where field conditions are too hazardous to safely make an evacuated-bottle collection. Sulfur gases are stable for only a short time so this type of sample must be analyzed within a few hours of collection."; skos:broader secm:sm043 ; dcterms:source "http://volcanoes.usgs.gov/activity/methods/gas/sample.php"@en ; .</v>
      </c>
      <c r="H13" s="2" t="s">
        <v>627</v>
      </c>
      <c r="I13" s="1" t="s">
        <v>677</v>
      </c>
      <c r="J13" s="1" t="s">
        <v>666</v>
      </c>
      <c r="K13" s="1" t="s">
        <v>645</v>
      </c>
    </row>
    <row r="14" spans="1:11" x14ac:dyDescent="0.25">
      <c r="A14" s="2" t="s">
        <v>679</v>
      </c>
      <c r="B14" s="1" t="s">
        <v>680</v>
      </c>
      <c r="C14" s="2" t="s">
        <v>672</v>
      </c>
      <c r="D14" s="2" t="s">
        <v>673</v>
      </c>
      <c r="E14" s="2" t="s">
        <v>681</v>
      </c>
      <c r="F14" s="2" t="s">
        <v>682</v>
      </c>
      <c r="G14" s="2" t="str">
        <v>secm:sm013    rdf:type skos:Concept ; skos:prefLabel "Other gas sampling apparatus"@en ; skos:inScheme secm:samplingmethods ; skos:definition "general class for gas sampling methods"; skos:broader secm:sm043 ; dcterms:source "this vocabulary"@en ; .</v>
      </c>
      <c r="H14" s="2" t="s">
        <v>627</v>
      </c>
      <c r="I14" s="1" t="s">
        <v>546</v>
      </c>
      <c r="J14" s="2" t="s">
        <v>666</v>
      </c>
      <c r="K14" s="2" t="s">
        <v>683</v>
      </c>
    </row>
    <row r="15" spans="1:11" ht="90" x14ac:dyDescent="0.25">
      <c r="A15" s="2" t="s">
        <v>684</v>
      </c>
      <c r="B15" s="1" t="s">
        <v>685</v>
      </c>
      <c r="C15" s="2" t="s">
        <v>672</v>
      </c>
      <c r="D15" s="2" t="s">
        <v>673</v>
      </c>
      <c r="E15" s="3" t="s">
        <v>628</v>
      </c>
      <c r="F15" s="2" t="s">
        <v>686</v>
      </c>
      <c r="G15" s="2" t="str">
        <v>secm:sm014    rdf:type skos:Concept ; skos:prefLabel "Simple water sample"@en ; skos:inScheme secm:samplingmethods ; skos:definition "water collected into a suitable container from a single sampling point. Includes grab sample from stream  samples collected by machines that open and close sampling bottles as the device is lowered through water column. e.g. Van Dorn bottles  Kemmerer Water Sampler"; skos:broader secm:sm043 ; dcterms:source "e.g. see http://www.azdeq.gov/environ/water/assessment/download/sampling.pdf"@en ; .</v>
      </c>
      <c r="H15" s="2" t="s">
        <v>627</v>
      </c>
      <c r="I15" s="2" t="s">
        <v>630</v>
      </c>
      <c r="J15" s="1" t="s">
        <v>631</v>
      </c>
      <c r="K15" s="1" t="s">
        <v>645</v>
      </c>
    </row>
    <row r="16" spans="1:11" ht="210" x14ac:dyDescent="0.25">
      <c r="A16" s="2" t="s">
        <v>687</v>
      </c>
      <c r="B16" s="1" t="s">
        <v>688</v>
      </c>
      <c r="C16" s="2" t="s">
        <v>689</v>
      </c>
      <c r="D16" s="2" t="s">
        <v>690</v>
      </c>
      <c r="E16" s="2" t="s">
        <v>691</v>
      </c>
      <c r="F16" s="2" t="s">
        <v>692</v>
      </c>
      <c r="G16" s="2" t="str">
        <v>secm:sm015    rdf:type skos:Concept ; skos:prefLabel "Channel sample"@en ; skos:inScheme secm:samplingmethods ; skos:definition "chip an approximately 3-inch by 3-inch (7.5 cm by 7.5 cm) channel accross the sampled feature (e.g. a coal bed) with a chisel or pick-point hammer  producing  fragments 2 inches (5 cm) or less across. Positioning a horizontal plastic sheet below the level of channel cutting is sometimes helpful.  May also be applied to sampling at regular intervals along a channel or trench cut across a surface."; skos:broader secm:sm035 ; dcterms:source "USGS Circular; Vernon E. Swanson and Claude Huffman  Jr.  1976  GUIDELINES FOR SAMPLE COLLECTING AND ANALYTICAL METHODS USED IN THE U.S. GEOLOGICAL SURVEY FOR DETERMINING CHEMICAL COMPOSITION OF COAL: U. S. Geological Survey  CIRCULAR 735. accessed at http://energy.er.usgs.gov/products/databases/CoalQual/Docs/c735.pdf"@en ; .</v>
      </c>
      <c r="H16" s="2" t="s">
        <v>627</v>
      </c>
      <c r="I16" s="1" t="s">
        <v>546</v>
      </c>
      <c r="J16" s="2" t="s">
        <v>683</v>
      </c>
      <c r="K16" s="2" t="s">
        <v>632</v>
      </c>
    </row>
    <row r="17" spans="1:11" ht="45" x14ac:dyDescent="0.25">
      <c r="A17" s="2" t="s">
        <v>693</v>
      </c>
      <c r="B17" s="1" t="s">
        <v>694</v>
      </c>
      <c r="C17" s="2" t="s">
        <v>689</v>
      </c>
      <c r="D17" s="2" t="s">
        <v>690</v>
      </c>
      <c r="E17" s="2" t="s">
        <v>681</v>
      </c>
      <c r="F17" s="2" t="s">
        <v>695</v>
      </c>
      <c r="G17" s="2" t="str">
        <v>secm:sm016    rdf:type skos:Concept ; skos:prefLabel "Collected from outcrop"@en ; skos:inScheme secm:samplingmethods ; skos:definition "specimen obtained by breaking piece(s) of rock from rock outcrop  on surface  or in a subsurface tunnel"; skos:broader secm:sm035 ; dcterms:source "this vocabulary"@en ; .</v>
      </c>
      <c r="H17" s="2" t="s">
        <v>627</v>
      </c>
      <c r="I17" s="2" t="s">
        <v>546</v>
      </c>
      <c r="J17" s="2" t="s">
        <v>696</v>
      </c>
      <c r="K17" s="2" t="s">
        <v>645</v>
      </c>
    </row>
    <row r="18" spans="1:11" ht="30" x14ac:dyDescent="0.25">
      <c r="A18" s="2" t="s">
        <v>697</v>
      </c>
      <c r="B18" s="1" t="s">
        <v>698</v>
      </c>
      <c r="C18" s="2" t="s">
        <v>689</v>
      </c>
      <c r="D18" s="2" t="s">
        <v>690</v>
      </c>
      <c r="E18" s="2" t="s">
        <v>681</v>
      </c>
      <c r="F18" s="2" t="s">
        <v>699</v>
      </c>
      <c r="G18" s="2" t="str">
        <v>secm:sm017    rdf:type skos:Concept ; skos:prefLabel "Manual surface grab"@en ; skos:inScheme secm:samplingmethods ; skos:definition "specimen obtained from loose material on surface  e.g. from talus  colluvium  mine heap."; skos:broader secm:sm035 ; dcterms:source "this vocabulary"@en ; .</v>
      </c>
      <c r="H18" s="2" t="s">
        <v>627</v>
      </c>
      <c r="I18" s="2" t="s">
        <v>546</v>
      </c>
      <c r="J18" s="2" t="s">
        <v>696</v>
      </c>
      <c r="K18" s="2" t="s">
        <v>683</v>
      </c>
    </row>
    <row r="19" spans="1:11" ht="120" x14ac:dyDescent="0.25">
      <c r="A19" s="2" t="s">
        <v>514</v>
      </c>
      <c r="B19" s="1" t="s">
        <v>700</v>
      </c>
      <c r="C19" s="2" t="s">
        <v>701</v>
      </c>
      <c r="D19" s="2" t="s">
        <v>702</v>
      </c>
      <c r="E19" s="2" t="s">
        <v>703</v>
      </c>
      <c r="F19" s="2" t="s">
        <v>704</v>
      </c>
      <c r="G19" s="2" t="str">
        <v>secm:sm018    rdf:type skos:Concept ; skos:prefLabel "Sediment trap"@en ; skos:inScheme secm:samplingmethods ; skos:definition "Sediment traps are containers that scientists place in the water to collect particles falling toward the sea floor. The basic sediment trap consists of a broad funnel with a collecting jar at the bottom. The funnel opening covers a standard area (such as 0.25 square meter [2.7 square feet]) and has baffles at the top to keep out very large objects that might clog the funnel. "; skos:broader secm:sm044 ; dcterms:source "SESAR collection method; http://www.whoi.edu/instruments/viewInstrument.do?id=10286"@en ; .</v>
      </c>
      <c r="H19" s="2" t="s">
        <v>627</v>
      </c>
      <c r="I19" s="2" t="s">
        <v>630</v>
      </c>
      <c r="J19" s="2" t="s">
        <v>650</v>
      </c>
      <c r="K19" s="2" t="s">
        <v>645</v>
      </c>
    </row>
    <row r="20" spans="1:11" ht="45" x14ac:dyDescent="0.25">
      <c r="A20" s="2" t="s">
        <v>705</v>
      </c>
      <c r="B20" s="1" t="s">
        <v>706</v>
      </c>
      <c r="C20" s="2" t="s">
        <v>707</v>
      </c>
      <c r="D20" s="2" t="s">
        <v>708</v>
      </c>
      <c r="E20" s="2" t="s">
        <v>681</v>
      </c>
      <c r="F20" s="2" t="s">
        <v>709</v>
      </c>
      <c r="G20" s="2" t="str">
        <v>secm:sm019    rdf:type skos:Concept ; skos:prefLabel "Panned concentrate"@en ; skos:inScheme secm:samplingmethods ; skos:definition "use of a gold-miners pan to concentrate heavy minerals from a loose sediment (typcially stream sediment) sample"; skos:broader secm:sm045 ; dcterms:source "this vocabulary"@en ; .</v>
      </c>
      <c r="H20" s="2" t="s">
        <v>627</v>
      </c>
      <c r="I20" s="2" t="s">
        <v>710</v>
      </c>
      <c r="J20" s="2" t="s">
        <v>650</v>
      </c>
      <c r="K20" s="1" t="s">
        <v>645</v>
      </c>
    </row>
    <row r="21" spans="1:11" ht="60" x14ac:dyDescent="0.25">
      <c r="A21" s="2" t="s">
        <v>711</v>
      </c>
      <c r="B21" s="1" t="s">
        <v>712</v>
      </c>
      <c r="C21" s="2" t="s">
        <v>707</v>
      </c>
      <c r="D21" s="2" t="s">
        <v>708</v>
      </c>
      <c r="E21" s="2" t="s">
        <v>681</v>
      </c>
      <c r="F21" s="2" t="s">
        <v>713</v>
      </c>
      <c r="G21" s="2" t="str">
        <v>secm:sm020    rdf:type skos:Concept ; skos:prefLabel "Split processed sample"@en ; skos:inScheme secm:samplingmethods ; skos:definition "mechanical separation of part a processed sample; e.g. taking grains from a mineral separate  splitting a powdered sample  splitting a crushed sample"; skos:broader secm:sm045 ; dcterms:source "this vocabulary"@en ; .</v>
      </c>
      <c r="H21" s="2" t="s">
        <v>627</v>
      </c>
      <c r="I21" s="2"/>
      <c r="J21" s="2" t="s">
        <v>683</v>
      </c>
      <c r="K21" s="2" t="s">
        <v>714</v>
      </c>
    </row>
    <row r="22" spans="1:11" ht="30" x14ac:dyDescent="0.25">
      <c r="A22" s="2" t="s">
        <v>715</v>
      </c>
      <c r="B22" s="1" t="s">
        <v>716</v>
      </c>
      <c r="C22" s="2" t="s">
        <v>707</v>
      </c>
      <c r="D22" s="2" t="s">
        <v>708</v>
      </c>
      <c r="E22" s="2" t="s">
        <v>717</v>
      </c>
      <c r="F22" s="2" t="s">
        <v>718</v>
      </c>
      <c r="G22" s="2" t="str">
        <v>secm:sm021    rdf:type skos:Concept ; skos:prefLabel "Suspended sediment separate"@en ; skos:inScheme secm:samplingmethods ; skos:definition "suspended sediment separated from containing water by filtration or centrifuge."; skos:broader secm:sm045 ; dcterms:source "SESAR collection method; this vocabulary"@en ; .</v>
      </c>
      <c r="H22" s="2" t="s">
        <v>627</v>
      </c>
      <c r="I22" s="2" t="s">
        <v>630</v>
      </c>
      <c r="J22" s="2" t="s">
        <v>650</v>
      </c>
      <c r="K22" s="2" t="s">
        <v>645</v>
      </c>
    </row>
    <row r="23" spans="1:11" ht="60" x14ac:dyDescent="0.25">
      <c r="A23" s="2" t="s">
        <v>719</v>
      </c>
      <c r="B23" s="1" t="s">
        <v>720</v>
      </c>
      <c r="C23" s="2" t="s">
        <v>684</v>
      </c>
      <c r="D23" s="2" t="s">
        <v>685</v>
      </c>
      <c r="E23" s="3" t="s">
        <v>628</v>
      </c>
      <c r="F23" s="2" t="s">
        <v>721</v>
      </c>
      <c r="G23" s="2" t="str">
        <v>secm:sm022    rdf:type skos:Concept ; skos:prefLabel "Simple water sample preserved with reagent"@en ; skos:inScheme secm:samplingmethods ; skos:definition "simple water sample  preserved with reagent (e.g. nitric acid  sulfuric acid) as part of sampling process"; skos:broader secm:sm014 ; dcterms:source "e.g. see http://www.azdeq.gov/environ/water/assessment/download/sampling.pdf"@en ; .</v>
      </c>
      <c r="H23" s="2" t="s">
        <v>627</v>
      </c>
      <c r="I23" s="2" t="s">
        <v>630</v>
      </c>
      <c r="J23" s="2" t="s">
        <v>631</v>
      </c>
      <c r="K23" s="2" t="s">
        <v>645</v>
      </c>
    </row>
    <row r="24" spans="1:11" ht="60" x14ac:dyDescent="0.25">
      <c r="A24" s="2" t="s">
        <v>722</v>
      </c>
      <c r="B24" s="1" t="s">
        <v>723</v>
      </c>
      <c r="C24" s="2" t="s">
        <v>684</v>
      </c>
      <c r="D24" s="2" t="s">
        <v>685</v>
      </c>
      <c r="E24" s="3" t="s">
        <v>628</v>
      </c>
      <c r="F24" s="2" t="s">
        <v>724</v>
      </c>
      <c r="G24" s="2" t="str">
        <v>secm:sm023    rdf:type skos:Concept ; skos:prefLabel "Simple water sample  filtered"@en ; skos:inScheme secm:samplingmethods ; skos:definition "simple water sample  filtered as part of the sampling process (in the field or within a very short time period after collection)"; skos:broader secm:sm014 ; dcterms:source "e.g. see http://www.azdeq.gov/environ/water/assessment/download/sampling.pdf"@en ; .</v>
      </c>
      <c r="H24" s="2" t="s">
        <v>627</v>
      </c>
      <c r="I24" s="2" t="s">
        <v>630</v>
      </c>
      <c r="J24" s="1" t="s">
        <v>631</v>
      </c>
      <c r="K24" s="1" t="s">
        <v>645</v>
      </c>
    </row>
    <row r="25" spans="1:11" ht="60" x14ac:dyDescent="0.25">
      <c r="A25" s="2" t="s">
        <v>725</v>
      </c>
      <c r="B25" s="1" t="s">
        <v>726</v>
      </c>
      <c r="C25" s="2" t="s">
        <v>684</v>
      </c>
      <c r="D25" s="2" t="s">
        <v>685</v>
      </c>
      <c r="E25" s="3" t="s">
        <v>628</v>
      </c>
      <c r="F25" s="2" t="s">
        <v>727</v>
      </c>
      <c r="G25" s="2" t="str">
        <v>secm:sm024    rdf:type skos:Concept ; skos:prefLabel "Simple water sample  filtered preserved with reagent"@en ; skos:inScheme secm:samplingmethods ; skos:definition "simple filtered water sample  preserved with reagent (e.g. nitric acid  sulfuric acid) as part of sampling process"; skos:broader secm:sm014 ; dcterms:source "e.g. see http://www.azdeq.gov/environ/water/assessment/download/sampling.pdf"@en ; .</v>
      </c>
      <c r="H25" s="2" t="s">
        <v>627</v>
      </c>
      <c r="I25" s="2" t="s">
        <v>630</v>
      </c>
      <c r="J25" s="2" t="s">
        <v>631</v>
      </c>
      <c r="K25" s="2" t="s">
        <v>645</v>
      </c>
    </row>
    <row r="26" spans="1:11" ht="135" x14ac:dyDescent="0.25">
      <c r="A26" s="2" t="s">
        <v>728</v>
      </c>
      <c r="B26" s="1" t="s">
        <v>729</v>
      </c>
      <c r="C26" s="2" t="s">
        <v>646</v>
      </c>
      <c r="D26" s="2" t="s">
        <v>647</v>
      </c>
      <c r="E26" s="2" t="s">
        <v>730</v>
      </c>
      <c r="F26" s="2" t="s">
        <v>731</v>
      </c>
      <c r="G26" s="2" t="str">
        <v>secm:sm025    rdf:type skos:Concept ; skos:prefLabel "Box Corer"@en ; skos:inScheme secm:samplingmethods ; skos:definition " A box core uses trigger plates that contact the seafloor to close the top and bottom of a metal box plunged into the seabed. This device neatly extracts a plug of sediment that is mostly undisturbed and allows scientists to examine the layers of sediment carefully and any marine life found within.  Use this category for Eckman Dredge samples as well"; skos:broader secm:sm005 ; dcterms:source "SESAR collection method; http://www.deepreef.org/technology/9-grab.html; http://www.eu-hermione.net/box-core; http://www.azdeq.gov/environ/water/assessment/download/sampling.pdf (Eckman dredge)"@en ; .</v>
      </c>
      <c r="H26" s="2" t="s">
        <v>627</v>
      </c>
      <c r="I26" s="2" t="s">
        <v>649</v>
      </c>
      <c r="J26" s="2" t="s">
        <v>650</v>
      </c>
      <c r="K26" s="2" t="s">
        <v>645</v>
      </c>
    </row>
    <row r="27" spans="1:11" ht="105" x14ac:dyDescent="0.25">
      <c r="A27" s="2" t="s">
        <v>270</v>
      </c>
      <c r="B27" s="1" t="s">
        <v>732</v>
      </c>
      <c r="C27" s="2" t="s">
        <v>646</v>
      </c>
      <c r="D27" s="2" t="s">
        <v>647</v>
      </c>
      <c r="E27" s="2" t="s">
        <v>733</v>
      </c>
      <c r="F27" s="2" t="s">
        <v>734</v>
      </c>
      <c r="G27" s="2" t="str">
        <v>secm:sm026    rdf:type skos:Concept ; skos:prefLabel "Gravity Corer"@en ; skos:inScheme secm:samplingmethods ; skos:definition "A gravity corer is just a weighted pipe that is allowed to free fall into the water."; skos:broader secm:sm005 ; dcterms:source "SESAR collection method; http://www.whoi.edu/instruments/viewInstrument.do?id=8087  http://www.whoi.edu/instruments/viewInstrument.do?id=1079"@en ; .</v>
      </c>
      <c r="H27" s="2" t="s">
        <v>627</v>
      </c>
      <c r="I27" s="2" t="s">
        <v>649</v>
      </c>
      <c r="J27" s="2" t="s">
        <v>650</v>
      </c>
      <c r="K27" s="2" t="s">
        <v>645</v>
      </c>
    </row>
    <row r="28" spans="1:11" ht="45" x14ac:dyDescent="0.25">
      <c r="A28" s="2" t="s">
        <v>735</v>
      </c>
      <c r="B28" s="1" t="s">
        <v>736</v>
      </c>
      <c r="C28" s="2" t="s">
        <v>646</v>
      </c>
      <c r="D28" s="2" t="s">
        <v>647</v>
      </c>
      <c r="E28" s="2" t="s">
        <v>642</v>
      </c>
      <c r="F28" s="2" t="s">
        <v>737</v>
      </c>
      <c r="G28" s="2" t="str">
        <v>secm:sm027    rdf:type skos:Concept ; skos:prefLabel "Hand Held Corer"@en ; skos:inScheme secm:samplingmethods ; skos:definition "collects core by operator pushing the core tube into the sediment to be sampled; may be assisted by vibration induced in the core tube"; skos:broader secm:sm005 ; dcterms:source "SESAR collection method"@en ; .</v>
      </c>
      <c r="H28" s="2" t="s">
        <v>627</v>
      </c>
      <c r="I28" s="2" t="s">
        <v>649</v>
      </c>
      <c r="J28" s="2" t="s">
        <v>650</v>
      </c>
      <c r="K28" s="2" t="s">
        <v>645</v>
      </c>
    </row>
    <row r="29" spans="1:11" ht="126" customHeight="1" x14ac:dyDescent="0.25">
      <c r="A29" s="2" t="s">
        <v>738</v>
      </c>
      <c r="B29" s="1" t="s">
        <v>739</v>
      </c>
      <c r="C29" s="2" t="s">
        <v>646</v>
      </c>
      <c r="D29" s="2" t="s">
        <v>647</v>
      </c>
      <c r="E29" s="2" t="s">
        <v>740</v>
      </c>
      <c r="F29" s="2" t="s">
        <v>791</v>
      </c>
      <c r="G29" s="2" t="str">
        <v>secm:sm028    rdf:type skos:Concept ; skos:prefLabel "MultiCorer"@en ; skos:inScheme secm:samplingmethods ; skos:definition "sampling by pushing a device into seafloor sediments that extracts many tubular samples of sediment at once. The multicore has a cone-shaped aluminum frame. In the middle are eight plastic tubes. When the frame settles on the floor  the center of the multicore slowly and evenly pushes the tubes into the sediment. The tubes are capped at the top and bottom and the multicore comes back to the surface with eight samples of sediment."; skos:broader secm:sm005 ; dcterms:source "SESAR collection method; http://polardiscovery.whoi.edu/expedition5/tools_multicore.html"@en ; .</v>
      </c>
      <c r="H29" s="2" t="s">
        <v>627</v>
      </c>
      <c r="I29" s="2" t="s">
        <v>649</v>
      </c>
      <c r="J29" s="2" t="s">
        <v>650</v>
      </c>
      <c r="K29" s="2" t="s">
        <v>741</v>
      </c>
    </row>
    <row r="30" spans="1:11" ht="87.75" customHeight="1" x14ac:dyDescent="0.25">
      <c r="A30" s="2" t="s">
        <v>742</v>
      </c>
      <c r="B30" s="1" t="s">
        <v>743</v>
      </c>
      <c r="C30" s="2" t="s">
        <v>646</v>
      </c>
      <c r="D30" s="2" t="s">
        <v>647</v>
      </c>
      <c r="E30" s="2" t="s">
        <v>744</v>
      </c>
      <c r="F30" s="2" t="s">
        <v>834</v>
      </c>
      <c r="G30" s="2" t="str">
        <v>secm:sm029    rdf:type skos:Concept ; skos:prefLabel "Piston Corer"@en ; skos:inScheme secm:samplingmethods ; skos:definition "Piston corers have a piston mechanism that is triggered when the corer hits the bottom. The piston helps to avoid disturbing the sediment. As the piston corer penetrates the seafloor  the piston inside stops at the sediment surface. The action of the piston creates a pressure differential at the top of the sediment column. This allows the soft material to enter the core liner without disruption. A piston corer uses a _free fall_ of the coring rig to achieve a greater initial force on impact than gravity coring  and a sliding piston inside the core barrel to reduce inside wall friction with the sediment and to assist in the evacuation of displaced water from the top of the corer. The piston-coring rig is comprised of a trigger assembly  the coring weight assembly  core barrels  tip assembly  and piston."; skos:broader secm:sm005 ; dcterms:source "SESAR collection method; http://www.whoi.edu/instruments/gallery.do?mainid=17288&amp;iid=8087; http://www.tdi-bi.com/field_services/sge_info/piston_coring.htm"@en ; .</v>
      </c>
      <c r="H30" s="2" t="s">
        <v>627</v>
      </c>
      <c r="I30" s="2" t="s">
        <v>649</v>
      </c>
      <c r="J30" s="2" t="s">
        <v>650</v>
      </c>
      <c r="K30" s="2" t="s">
        <v>645</v>
      </c>
    </row>
    <row r="31" spans="1:11" ht="90" x14ac:dyDescent="0.25">
      <c r="A31" s="2" t="s">
        <v>745</v>
      </c>
      <c r="B31" s="1" t="s">
        <v>746</v>
      </c>
      <c r="C31" s="2" t="s">
        <v>646</v>
      </c>
      <c r="D31" s="2" t="s">
        <v>647</v>
      </c>
      <c r="E31" s="2" t="s">
        <v>747</v>
      </c>
      <c r="F31" s="2" t="s">
        <v>748</v>
      </c>
      <c r="G31" s="2" t="str">
        <v>secm:sm030    rdf:type skos:Concept ; skos:prefLabel "Probe core"@en ; skos:inScheme secm:samplingmethods ; skos:definition "Soil or sediment collected by pneumatically pushing or pounding a sleeve  through soft sediments via a rig mounted on the back of a pick-up truck or on an ATV.  Note: Sediment in cores commonly is compressed to 30-50% of the in situ volume. Wildco corer."; skos:broader secm:sm005 ; dcterms:source "SESAR collection method; http://www.fandm.edu/earth-and-environment/sediment-sampling-methods"@en ; .</v>
      </c>
      <c r="H31" s="2" t="s">
        <v>627</v>
      </c>
      <c r="I31" s="2" t="s">
        <v>649</v>
      </c>
      <c r="J31" s="2" t="s">
        <v>650</v>
      </c>
      <c r="K31" s="2" t="s">
        <v>645</v>
      </c>
    </row>
    <row r="32" spans="1:11" ht="165" x14ac:dyDescent="0.25">
      <c r="A32" s="2" t="s">
        <v>50</v>
      </c>
      <c r="B32" s="1" t="s">
        <v>749</v>
      </c>
      <c r="C32" s="2" t="s">
        <v>646</v>
      </c>
      <c r="D32" s="2" t="s">
        <v>647</v>
      </c>
      <c r="E32" s="2" t="s">
        <v>750</v>
      </c>
      <c r="F32" s="2" t="s">
        <v>835</v>
      </c>
      <c r="G32" s="2" t="str">
        <v>secm:sm031    rdf:type skos:Concept ; skos:prefLabel "Vibrating Corer"@en ; skos:inScheme secm:samplingmethods ; skos:definition "Vibracoring (or vibrocoring) is a technology and a technique for collecting core samples of underwater sediments and wetland soils.  The vibrating mechanism of a vibracorer  sometimes called the _vibrahead_  operates on hydraulic  pneumatic  mechanical or electrical power from an external source.  The attached core tube is driven into sediment by the force of gravity  enhanced by vibration energy.  When the insertion is completed  the vibracorer is turned off  and the tube is withdrawn with the aid of hoist equipment. "; skos:broader secm:sm005 ; dcterms:source "SESAR collection method; http://www.vibracoring.com/vcconcepts.html"@en ; .</v>
      </c>
      <c r="H32" s="2" t="s">
        <v>627</v>
      </c>
      <c r="I32" s="2" t="s">
        <v>649</v>
      </c>
      <c r="J32" s="2" t="s">
        <v>650</v>
      </c>
      <c r="K32" s="2" t="s">
        <v>645</v>
      </c>
    </row>
    <row r="33" spans="1:11" ht="60" x14ac:dyDescent="0.25">
      <c r="A33" s="2" t="s">
        <v>38</v>
      </c>
      <c r="B33" s="1" t="s">
        <v>751</v>
      </c>
      <c r="C33" s="2" t="s">
        <v>752</v>
      </c>
      <c r="D33" s="1" t="s">
        <v>753</v>
      </c>
      <c r="E33" s="2" t="s">
        <v>642</v>
      </c>
      <c r="F33" s="2" t="s">
        <v>754</v>
      </c>
      <c r="G33" s="2" t="str">
        <v>secm:sm032    rdf:type skos:Concept ; skos:prefLabel "Blasting"@en ; skos:inScheme secm:samplingmethods ; skos:definition "sample collected from rock material freed from outcrop by explosives; similar to surface grab in that precise location of specimen in the rock body is not precisely known"; skos:broader secm:sm047 ; dcterms:source "SESAR collection method"@en ; .</v>
      </c>
      <c r="H33" s="2" t="s">
        <v>627</v>
      </c>
      <c r="I33" s="2" t="s">
        <v>546</v>
      </c>
      <c r="J33" s="1" t="s">
        <v>696</v>
      </c>
      <c r="K33" s="2" t="s">
        <v>755</v>
      </c>
    </row>
    <row r="34" spans="1:11" ht="65.25" customHeight="1" x14ac:dyDescent="0.25">
      <c r="A34" s="2" t="s">
        <v>21</v>
      </c>
      <c r="B34" s="1" t="s">
        <v>653</v>
      </c>
      <c r="C34" s="2" t="s">
        <v>752</v>
      </c>
      <c r="D34" s="1" t="s">
        <v>753</v>
      </c>
      <c r="E34" s="2" t="s">
        <v>642</v>
      </c>
      <c r="F34" s="2" t="s">
        <v>829</v>
      </c>
      <c r="G34" s="2" t="str">
        <v>secm:sm033    rdf:type skos:Concept ; skos:prefLabel "Dredging"@en ; skos:inScheme secm:samplingmethods ; skos:definition "samples _grabbed_ from submarine surface by dragging a basket with an enclosed bottom (solid or open-chain) along the bottome of the water body."; skos:broader secm:sm047 ; dcterms:source "SESAR collection method"@en ; .</v>
      </c>
      <c r="H34" s="2" t="s">
        <v>627</v>
      </c>
      <c r="I34" s="2" t="s">
        <v>630</v>
      </c>
      <c r="J34" s="2" t="s">
        <v>644</v>
      </c>
      <c r="K34" s="2" t="s">
        <v>632</v>
      </c>
    </row>
    <row r="35" spans="1:11" ht="104.25" customHeight="1" x14ac:dyDescent="0.25">
      <c r="A35" s="2" t="s">
        <v>756</v>
      </c>
      <c r="B35" s="1" t="s">
        <v>757</v>
      </c>
      <c r="C35" s="2" t="s">
        <v>752</v>
      </c>
      <c r="D35" s="1" t="s">
        <v>753</v>
      </c>
      <c r="E35" s="2" t="s">
        <v>681</v>
      </c>
      <c r="F35" s="2" t="s">
        <v>758</v>
      </c>
      <c r="G35" s="2" t="str">
        <v>secm:sm034    rdf:type skos:Concept ; skos:prefLabel "Grab from trench"@en ; skos:inScheme secm:samplingmethods ; skos:definition "loose sediment collected into bag from the wall of a trench  stream bank  or pit--any vertical cut that provides access to a near surface soil and sediment profile; common for sampling soil horizons. "; skos:broader secm:sm047 ; dcterms:source "this vocabulary"@en ; .</v>
      </c>
      <c r="H35" s="2" t="s">
        <v>627</v>
      </c>
      <c r="I35" s="2" t="s">
        <v>546</v>
      </c>
      <c r="J35" s="2" t="s">
        <v>650</v>
      </c>
      <c r="K35" s="1" t="s">
        <v>645</v>
      </c>
    </row>
    <row r="36" spans="1:11" ht="45" x14ac:dyDescent="0.25">
      <c r="A36" s="2" t="s">
        <v>689</v>
      </c>
      <c r="B36" s="1" t="s">
        <v>690</v>
      </c>
      <c r="C36" s="2" t="s">
        <v>752</v>
      </c>
      <c r="D36" s="1" t="s">
        <v>753</v>
      </c>
      <c r="E36" s="2" t="s">
        <v>642</v>
      </c>
      <c r="F36" s="2" t="s">
        <v>759</v>
      </c>
      <c r="G36" s="2" t="str">
        <v>secm:sm035    rdf:type skos:Concept ; skos:prefLabel "Manual grab"@en ; skos:inScheme secm:samplingmethods ; skos:definition "speciment is obtained by pickup up an object by hand"; skos:broader secm:sm047 ; dcterms:source "SESAR collection method"@en ; .</v>
      </c>
      <c r="H36" s="2" t="s">
        <v>627</v>
      </c>
      <c r="I36" s="2" t="s">
        <v>760</v>
      </c>
      <c r="J36" s="2" t="s">
        <v>644</v>
      </c>
      <c r="K36" s="2" t="s">
        <v>645</v>
      </c>
    </row>
    <row r="37" spans="1:11" ht="225" x14ac:dyDescent="0.25">
      <c r="A37" s="2" t="s">
        <v>761</v>
      </c>
      <c r="B37" s="1" t="s">
        <v>762</v>
      </c>
      <c r="C37" s="2" t="s">
        <v>752</v>
      </c>
      <c r="D37" s="1" t="s">
        <v>753</v>
      </c>
      <c r="E37" s="4" t="s">
        <v>763</v>
      </c>
      <c r="F37" s="2" t="s">
        <v>764</v>
      </c>
      <c r="G37" s="2" t="str">
        <v>secm:sm036    rdf:type skos:Concept ; skos:prefLabel "Sediment grab"@en ; skos:inScheme secm:samplingmethods ; skos:definition "Sediment grabs come in all shapes and sizes  but they all do much the same thing  to collect a sample of sediment from the seabed. Sediment grabs are often named after their inventors. For example  the Smith-MacIntyre grab is lowered from ships  and on contact with the seabed  a split cylindrical bucket is triggered which scoops up about 10 litres of sediment. Another is the Van-Veen grab  like a giant pair of tongs which closes two halves of the bucket together as the winch draws the cable in. Sediment is then evenly scooped into the large buckets. A sediment grab does not attempt to preserve the internal structure of the sediment  which disginguishes it from soft sediment coring."; skos:broader secm:sm047 ; dcterms:source "http://www.deepreef.org/technology/9-grab.html"@en ; .</v>
      </c>
      <c r="H37" s="2" t="s">
        <v>627</v>
      </c>
      <c r="I37" s="2" t="s">
        <v>677</v>
      </c>
      <c r="J37" s="2" t="s">
        <v>650</v>
      </c>
      <c r="K37" s="2" t="s">
        <v>645</v>
      </c>
    </row>
    <row r="38" spans="1:11" ht="45" x14ac:dyDescent="0.25">
      <c r="A38" s="2" t="s">
        <v>765</v>
      </c>
      <c r="B38" s="1" t="s">
        <v>766</v>
      </c>
      <c r="C38" s="2" t="s">
        <v>752</v>
      </c>
      <c r="D38" s="1" t="s">
        <v>753</v>
      </c>
      <c r="E38" s="2" t="s">
        <v>681</v>
      </c>
      <c r="F38" s="2" t="s">
        <v>767</v>
      </c>
      <c r="G38" s="2" t="str">
        <v>secm:sm037    rdf:type skos:Concept ; skos:prefLabel "Stream sediment composite"@en ; skos:inScheme secm:samplingmethods ; skos:definition "composite of several single grab sediment samples collected from a stream channel  agregatted in the field"; skos:broader secm:sm047 ; dcterms:source "this vocabulary"@en ; .</v>
      </c>
      <c r="H38" s="2" t="s">
        <v>627</v>
      </c>
      <c r="I38" s="2" t="s">
        <v>710</v>
      </c>
      <c r="J38" s="2" t="s">
        <v>650</v>
      </c>
      <c r="K38" s="1" t="s">
        <v>632</v>
      </c>
    </row>
    <row r="39" spans="1:11" ht="45" x14ac:dyDescent="0.25">
      <c r="A39" s="2" t="s">
        <v>768</v>
      </c>
      <c r="B39" s="1" t="s">
        <v>769</v>
      </c>
      <c r="C39" s="2" t="s">
        <v>752</v>
      </c>
      <c r="D39" s="1" t="s">
        <v>753</v>
      </c>
      <c r="E39" s="2" t="s">
        <v>681</v>
      </c>
      <c r="F39" s="2" t="s">
        <v>770</v>
      </c>
      <c r="G39" s="2" t="str">
        <v>secm:sm038    rdf:type skos:Concept ; skos:prefLabel "Stream sediment single grab"@en ; skos:inScheme secm:samplingmethods ; skos:definition "stream sediment collected from bed of a  stream (dry or flowing) at a single location;"; skos:broader secm:sm047 ; dcterms:source "this vocabulary"@en ; .</v>
      </c>
      <c r="H39" s="2" t="s">
        <v>627</v>
      </c>
      <c r="I39" s="2" t="s">
        <v>710</v>
      </c>
      <c r="J39" s="2" t="s">
        <v>650</v>
      </c>
      <c r="K39" s="1" t="s">
        <v>645</v>
      </c>
    </row>
    <row r="40" spans="1:11" ht="60" x14ac:dyDescent="0.25">
      <c r="A40" s="2" t="s">
        <v>771</v>
      </c>
      <c r="B40" s="1" t="s">
        <v>772</v>
      </c>
      <c r="C40" s="2" t="s">
        <v>752</v>
      </c>
      <c r="D40" s="1" t="s">
        <v>753</v>
      </c>
      <c r="E40" s="2" t="s">
        <v>642</v>
      </c>
      <c r="F40" s="2" t="s">
        <v>830</v>
      </c>
      <c r="G40" s="2" t="str">
        <v>secm:sm039    rdf:type skos:Concept ; skos:prefLabel "Submarine grab"@en ; skos:inScheme secm:samplingmethods ; skos:definition "Samples _grabbed_ from submarine surface by mechanical submersible; specific location of acquisition is know"; skos:broader secm:sm047 ; dcterms:source "SESAR collection method"@en ; .</v>
      </c>
      <c r="H40" s="2" t="s">
        <v>627</v>
      </c>
      <c r="I40" s="2" t="s">
        <v>630</v>
      </c>
      <c r="J40" s="2" t="s">
        <v>696</v>
      </c>
      <c r="K40" s="2" t="s">
        <v>645</v>
      </c>
    </row>
    <row r="41" spans="1:11" ht="75" x14ac:dyDescent="0.25">
      <c r="A41" s="2" t="s">
        <v>773</v>
      </c>
      <c r="B41" s="1" t="s">
        <v>774</v>
      </c>
      <c r="C41" s="2" t="s">
        <v>775</v>
      </c>
      <c r="D41" s="2" t="s">
        <v>753</v>
      </c>
      <c r="E41" s="2" t="s">
        <v>681</v>
      </c>
      <c r="F41" s="2" t="s">
        <v>776</v>
      </c>
      <c r="G41" s="2" t="str">
        <v>secm:sm040    rdf:type skos:Concept ; skos:prefLabel "Lag sample"@en ; skos:inScheme secm:samplingmethods ; skos:definition "Sample collected by sweeping up surface lag material over some area and bagging it.  Generally only used in arid or semi-arid environments where surface lag is representative in some way of underlying bedrock."; skos:broader secm:sm047 ; dcterms:source "this vocabulary"@en ; .</v>
      </c>
      <c r="H41" s="2" t="s">
        <v>627</v>
      </c>
      <c r="I41" s="1" t="s">
        <v>546</v>
      </c>
      <c r="J41" s="1" t="s">
        <v>644</v>
      </c>
      <c r="K41" s="1" t="s">
        <v>645</v>
      </c>
    </row>
    <row r="42" spans="1:11" ht="105" x14ac:dyDescent="0.25">
      <c r="A42" s="2" t="s">
        <v>82</v>
      </c>
      <c r="B42" s="1" t="s">
        <v>641</v>
      </c>
      <c r="C42" s="2" t="s">
        <v>777</v>
      </c>
      <c r="D42" s="1" t="s">
        <v>627</v>
      </c>
      <c r="E42" s="1" t="s">
        <v>681</v>
      </c>
      <c r="F42" s="2" t="s">
        <v>831</v>
      </c>
      <c r="G42" s="2" t="str">
        <v>secm:sm041    rdf:type skos:Concept ; skos:prefLabel "Coring"@en ; skos:inScheme secm:samplingmethods ; skos:definition "Sample is removed from sampling feature by extracting an undisturbed provile  typically as a long cylinder  meant to preserve the internal structure of the sampled sediment or rock.  sample extracted as a cylinder of material drilled out of the feature of interest; diameter can range from mm to m, lengths mm to 100_s of m."; skos:broader secm:sm100 ; dcterms:source "this vocabulary"@en ; .</v>
      </c>
      <c r="H42" s="2" t="s">
        <v>627</v>
      </c>
      <c r="I42" s="1" t="s">
        <v>677</v>
      </c>
      <c r="J42" s="1" t="s">
        <v>778</v>
      </c>
      <c r="K42" s="1" t="s">
        <v>645</v>
      </c>
    </row>
    <row r="43" spans="1:11" ht="75" x14ac:dyDescent="0.25">
      <c r="A43" s="2" t="s">
        <v>779</v>
      </c>
      <c r="B43" s="1" t="s">
        <v>780</v>
      </c>
      <c r="C43" s="2" t="s">
        <v>777</v>
      </c>
      <c r="D43" s="1" t="s">
        <v>627</v>
      </c>
      <c r="E43" s="2" t="s">
        <v>681</v>
      </c>
      <c r="F43" s="2" t="s">
        <v>781</v>
      </c>
      <c r="G43" s="2" t="str">
        <v>secm:sm042    rdf:type skos:Concept ; skos:prefLabel "Drill cuttings"@en ; skos:inScheme secm:samplingmethods ; skos:definition "sample collected from  material from return flow from borehole drilling. Commonly screened from mud or drilling liquid in reverse circulation drilling.  Sample is a composite of chips from rock bit is currently cutting and recently cut units."; skos:broader secm:sm100 ; dcterms:source "this vocabulary"@en ; .</v>
      </c>
      <c r="H43" s="2" t="s">
        <v>627</v>
      </c>
      <c r="I43" s="1" t="s">
        <v>677</v>
      </c>
      <c r="J43" s="2" t="s">
        <v>644</v>
      </c>
      <c r="K43" s="1" t="s">
        <v>632</v>
      </c>
    </row>
    <row r="44" spans="1:11" ht="45" x14ac:dyDescent="0.25">
      <c r="A44" s="2" t="s">
        <v>672</v>
      </c>
      <c r="B44" s="1" t="s">
        <v>673</v>
      </c>
      <c r="C44" s="2" t="s">
        <v>777</v>
      </c>
      <c r="D44" s="1" t="s">
        <v>627</v>
      </c>
      <c r="E44" s="2" t="s">
        <v>681</v>
      </c>
      <c r="F44" s="2" t="s">
        <v>782</v>
      </c>
      <c r="G44" s="2" t="str">
        <v>secm:sm043    rdf:type skos:Concept ; skos:prefLabel "Fluid collected into container"@en ; skos:inScheme secm:samplingmethods ; skos:definition "General category for gas and water sampling procedures that obtain a specimen in a sealed container. "; skos:broader secm:sm100 ; dcterms:source "this vocabulary"@en ; .</v>
      </c>
      <c r="H44" s="2" t="s">
        <v>627</v>
      </c>
      <c r="I44" s="2" t="s">
        <v>677</v>
      </c>
      <c r="J44" s="2" t="s">
        <v>783</v>
      </c>
      <c r="K44" s="2" t="s">
        <v>683</v>
      </c>
    </row>
    <row r="45" spans="1:11" ht="45" x14ac:dyDescent="0.25">
      <c r="A45" s="2" t="s">
        <v>701</v>
      </c>
      <c r="B45" s="1" t="s">
        <v>702</v>
      </c>
      <c r="C45" s="2" t="s">
        <v>777</v>
      </c>
      <c r="D45" s="1" t="s">
        <v>627</v>
      </c>
      <c r="E45" s="2" t="s">
        <v>681</v>
      </c>
      <c r="F45" s="2" t="s">
        <v>784</v>
      </c>
      <c r="G45" s="2" t="str">
        <v>secm:sm044    rdf:type skos:Concept ; skos:prefLabel "Other sampling appartus"@en ; skos:inScheme secm:samplingmethods ; skos:definition "Specimen obtained using some mechnical process not identified in this vocabulary"; skos:broader secm:sm100 ; dcterms:source "this vocabulary"@en ; .</v>
      </c>
      <c r="H45" s="2" t="s">
        <v>627</v>
      </c>
      <c r="I45" s="1" t="s">
        <v>677</v>
      </c>
      <c r="J45" s="2" t="s">
        <v>683</v>
      </c>
      <c r="K45" s="1" t="s">
        <v>683</v>
      </c>
    </row>
    <row r="46" spans="1:11" ht="90" x14ac:dyDescent="0.25">
      <c r="A46" s="2" t="s">
        <v>707</v>
      </c>
      <c r="B46" s="1" t="s">
        <v>708</v>
      </c>
      <c r="C46" s="2" t="s">
        <v>777</v>
      </c>
      <c r="D46" s="1" t="s">
        <v>627</v>
      </c>
      <c r="E46" s="2" t="s">
        <v>681</v>
      </c>
      <c r="F46" s="2" t="s">
        <v>832</v>
      </c>
      <c r="G46" s="2" t="str">
        <v>secm:sm045    rdf:type skos:Concept ; skos:prefLabel "Processed separation"@en ; skos:inScheme secm:samplingmethods ; skos:definition "separation of part of a sample by some lab technique; have to look at processing method for details. E.g. density separation  magnetic separation  insoluble residue  hand picking.  Too many possibilities to categorize each subsampling method."; skos:broader secm:sm100 ; dcterms:source "this vocabulary"@en ; .</v>
      </c>
      <c r="H46" s="2" t="s">
        <v>627</v>
      </c>
      <c r="I46" s="2"/>
      <c r="J46" s="2" t="s">
        <v>683</v>
      </c>
      <c r="K46" s="1" t="s">
        <v>714</v>
      </c>
    </row>
    <row r="47" spans="1:11" ht="60" x14ac:dyDescent="0.25">
      <c r="A47" s="2" t="s">
        <v>785</v>
      </c>
      <c r="B47" s="1" t="s">
        <v>786</v>
      </c>
      <c r="C47" s="2" t="s">
        <v>777</v>
      </c>
      <c r="D47" s="1" t="s">
        <v>627</v>
      </c>
      <c r="E47" s="2" t="s">
        <v>681</v>
      </c>
      <c r="F47" s="2" t="s">
        <v>787</v>
      </c>
      <c r="G47" s="2" t="str">
        <v>secm:sm046    rdf:type skos:Concept ; skos:prefLabel "Split bulk sample"@en ; skos:inScheme secm:samplingmethods ; skos:definition "mechanical separation of part of a bulk sample. E.g. breaking a hand sample up with a hammer and taking pieces  splitting material in a bagged sample"; skos:broader secm:sm100 ; dcterms:source "this vocabulary"@en ; .</v>
      </c>
      <c r="H47" s="2" t="s">
        <v>627</v>
      </c>
      <c r="I47" s="2"/>
      <c r="J47" s="2" t="s">
        <v>683</v>
      </c>
      <c r="K47" s="2" t="s">
        <v>714</v>
      </c>
    </row>
    <row r="48" spans="1:11" ht="60" x14ac:dyDescent="0.25">
      <c r="A48" s="2" t="s">
        <v>775</v>
      </c>
      <c r="B48" s="1" t="s">
        <v>753</v>
      </c>
      <c r="C48" s="2" t="s">
        <v>777</v>
      </c>
      <c r="D48" s="1" t="s">
        <v>627</v>
      </c>
      <c r="E48" s="2" t="s">
        <v>681</v>
      </c>
      <c r="F48" s="2" t="s">
        <v>788</v>
      </c>
      <c r="G48" s="2" t="str">
        <v>secm:sm047    rdf:type skos:Concept ; skos:prefLabel "Surface grab "@en ; skos:inScheme secm:samplingmethods ; skos:definition "Specimen obtained by picking up material from a surface; may involve breaking material away from outcrop  or picking up loose material on surface"; skos:broader secm:sm100 ; dcterms:source "this vocabulary"@en ; .</v>
      </c>
      <c r="H48" s="2" t="s">
        <v>627</v>
      </c>
      <c r="I48" s="2" t="s">
        <v>677</v>
      </c>
      <c r="J48" s="2" t="s">
        <v>644</v>
      </c>
      <c r="K48" s="2" t="s">
        <v>683</v>
      </c>
    </row>
    <row r="49" spans="1:11" ht="30" x14ac:dyDescent="0.25">
      <c r="A49" s="2" t="s">
        <v>777</v>
      </c>
      <c r="B49" s="1" t="s">
        <v>627</v>
      </c>
      <c r="C49" s="2" t="s">
        <v>777</v>
      </c>
      <c r="D49" s="1" t="s">
        <v>627</v>
      </c>
      <c r="E49" s="2"/>
      <c r="F49" s="2" t="s">
        <v>789</v>
      </c>
      <c r="G49" s="2" t="str">
        <v>secm:sm100    rdf:type skos:Concept ; skos:prefLabel "Top"@en ; skos:inScheme secm:samplingmethods ; skos:definition "top concept"; skos:broader secm:sm100 ; dcterms:source ""@en ; .</v>
      </c>
      <c r="H49" s="2" t="s">
        <v>627</v>
      </c>
      <c r="I49" s="2"/>
      <c r="J49" s="2"/>
      <c r="K49" s="2"/>
    </row>
    <row r="50" spans="1:11" ht="30" x14ac:dyDescent="0.25">
      <c r="A50" s="1" t="s">
        <v>2</v>
      </c>
      <c r="B50" s="1" t="s">
        <v>792</v>
      </c>
      <c r="C50" s="2" t="s">
        <v>777</v>
      </c>
      <c r="D50" s="1" t="s">
        <v>627</v>
      </c>
      <c r="G50" s="1" t="str">
        <v>secm:ses200    rdf:type skos:Concept ; skos:prefLabel "Agassiz trawl"@en ; skos:inScheme secm:samplingmethods ; skos:definition ""; skos:broader secm:sm100 ; dcterms:source ""@en ; .</v>
      </c>
    </row>
    <row r="51" spans="1:11" ht="30" x14ac:dyDescent="0.25">
      <c r="A51" s="1" t="s">
        <v>4</v>
      </c>
      <c r="B51" s="1" t="s">
        <v>793</v>
      </c>
      <c r="C51" s="2" t="s">
        <v>752</v>
      </c>
      <c r="D51" s="1" t="s">
        <v>753</v>
      </c>
      <c r="G51" s="1" t="str">
        <v>secm:ses201    rdf:type skos:Concept ; skos:prefLabel "ALVIN grab"@en ; skos:inScheme secm:samplingmethods ; skos:definition ""; skos:broader secm:sm047 ; dcterms:source ""@en ; .</v>
      </c>
    </row>
    <row r="52" spans="1:11" ht="30" x14ac:dyDescent="0.25">
      <c r="A52" s="1" t="s">
        <v>6</v>
      </c>
      <c r="B52" s="1" t="s">
        <v>794</v>
      </c>
      <c r="C52" s="2" t="s">
        <v>777</v>
      </c>
      <c r="D52" s="1" t="s">
        <v>627</v>
      </c>
      <c r="G52" s="1" t="str">
        <v>secm:ses202    rdf:type skos:Concept ; skos:prefLabel "Backhoe"@en ; skos:inScheme secm:samplingmethods ; skos:definition ""; skos:broader secm:sm100 ; dcterms:source ""@en ; .</v>
      </c>
    </row>
    <row r="53" spans="1:11" ht="30" x14ac:dyDescent="0.25">
      <c r="A53" s="1" t="s">
        <v>8</v>
      </c>
      <c r="B53" s="1" t="s">
        <v>795</v>
      </c>
      <c r="C53" s="2" t="s">
        <v>777</v>
      </c>
      <c r="D53" s="1" t="s">
        <v>627</v>
      </c>
      <c r="G53" s="1" t="str">
        <v>secm:ses203    rdf:type skos:Concept ; skos:prefLabel "Beam Trawl"@en ; skos:inScheme secm:samplingmethods ; skos:definition ""; skos:broader secm:sm100 ; dcterms:source ""@en ; .</v>
      </c>
    </row>
    <row r="54" spans="1:11" ht="30" x14ac:dyDescent="0.25">
      <c r="A54" s="1" t="s">
        <v>9</v>
      </c>
      <c r="B54" s="1" t="s">
        <v>796</v>
      </c>
      <c r="C54" s="2" t="s">
        <v>777</v>
      </c>
      <c r="D54" s="1" t="s">
        <v>627</v>
      </c>
      <c r="G54" s="1" t="str">
        <v>secm:ses204    rdf:type skos:Concept ; skos:prefLabel "Blake Trawl"@en ; skos:inScheme secm:samplingmethods ; skos:definition ""; skos:broader secm:sm100 ; dcterms:source ""@en ; .</v>
      </c>
    </row>
    <row r="55" spans="1:11" ht="30" x14ac:dyDescent="0.25">
      <c r="A55" s="1" t="s">
        <v>11</v>
      </c>
      <c r="B55" s="1" t="s">
        <v>797</v>
      </c>
      <c r="C55" s="2" t="s">
        <v>752</v>
      </c>
      <c r="D55" s="1" t="s">
        <v>753</v>
      </c>
      <c r="G55" s="1" t="str">
        <v>secm:ses205    rdf:type skos:Concept ; skos:prefLabel "Campbell Grab"@en ; skos:inScheme secm:samplingmethods ; skos:definition ""; skos:broader secm:sm047 ; dcterms:source ""@en ; .</v>
      </c>
    </row>
    <row r="56" spans="1:11" ht="45" x14ac:dyDescent="0.25">
      <c r="A56" s="1" t="s">
        <v>603</v>
      </c>
      <c r="B56" s="1" t="s">
        <v>798</v>
      </c>
      <c r="C56" s="2" t="s">
        <v>672</v>
      </c>
      <c r="D56" s="2" t="s">
        <v>673</v>
      </c>
      <c r="F56" s="1" t="s">
        <v>604</v>
      </c>
      <c r="G56" s="1" t="str">
        <v>secm:ses206    rdf:type skos:Concept ; skos:prefLabel "Cartridge filter filtrate"@en ; skos:inScheme secm:samplingmethods ; skos:definition "liquid that has been passed through a cartridge filter"; skos:broader secm:sm043 ; dcterms:source ""@en ; .</v>
      </c>
    </row>
    <row r="57" spans="1:11" ht="106.5" customHeight="1" x14ac:dyDescent="0.25">
      <c r="A57" s="1" t="s">
        <v>599</v>
      </c>
      <c r="B57" s="1" t="s">
        <v>799</v>
      </c>
      <c r="C57" s="2" t="s">
        <v>777</v>
      </c>
      <c r="D57" s="1" t="s">
        <v>627</v>
      </c>
      <c r="F57" s="1" t="s">
        <v>602</v>
      </c>
      <c r="G57" s="1" t="str">
        <v>secm:ses207    rdf:type skos:Concept ; skos:prefLabel "Cartridge filter residue"@en ; skos:inScheme secm:samplingmethods ; skos:definition "material left behind when liquid passed throught cartridge filter"; skos:broader secm:sm100 ; dcterms:source ""@en ; .</v>
      </c>
    </row>
    <row r="58" spans="1:11" ht="66" customHeight="1" x14ac:dyDescent="0.25">
      <c r="A58" s="1" t="s">
        <v>13</v>
      </c>
      <c r="B58" s="1" t="s">
        <v>800</v>
      </c>
      <c r="C58" s="2" t="s">
        <v>777</v>
      </c>
      <c r="D58" s="1" t="s">
        <v>627</v>
      </c>
      <c r="G58" s="1" t="str">
        <v>secm:ses208    rdf:type skos:Concept ; skos:prefLabel "Chain saw"@en ; skos:inScheme secm:samplingmethods ; skos:definition ""; skos:broader secm:sm100 ; dcterms:source ""@en ; .</v>
      </c>
    </row>
    <row r="59" spans="1:11" ht="47.25" customHeight="1" x14ac:dyDescent="0.25">
      <c r="A59" s="1" t="s">
        <v>612</v>
      </c>
      <c r="B59" s="1" t="s">
        <v>801</v>
      </c>
      <c r="C59" s="2" t="s">
        <v>777</v>
      </c>
      <c r="D59" s="1" t="s">
        <v>627</v>
      </c>
      <c r="F59" s="1" t="s">
        <v>613</v>
      </c>
      <c r="G59" s="1" t="str">
        <v>secm:ses209    rdf:type skos:Concept ; skos:prefLabel "Channel sampling"@en ; skos:inScheme secm:samplingmethods ; skos:definition "sampling material along a channel through a feature of interest."; skos:broader secm:sm100 ; dcterms:source ""@en ; .</v>
      </c>
    </row>
    <row r="60" spans="1:11" ht="45" x14ac:dyDescent="0.25">
      <c r="A60" s="1" t="s">
        <v>614</v>
      </c>
      <c r="B60" s="1" t="s">
        <v>802</v>
      </c>
      <c r="C60" s="2" t="s">
        <v>777</v>
      </c>
      <c r="D60" s="1" t="s">
        <v>627</v>
      </c>
      <c r="F60" s="1" t="s">
        <v>615</v>
      </c>
      <c r="G60" s="1" t="str">
        <v>secm:ses210    rdf:type skos:Concept ; skos:prefLabel "Chip sampling"@en ; skos:inScheme secm:samplingmethods ; skos:definition "sampling over an area of a feature off interest by breaking off small pieces; produces an aggregate"; skos:broader secm:sm100 ; dcterms:source ""@en ; .</v>
      </c>
    </row>
    <row r="61" spans="1:11" ht="54.75" customHeight="1" x14ac:dyDescent="0.25">
      <c r="A61" s="1" t="s">
        <v>608</v>
      </c>
      <c r="B61" s="1" t="s">
        <v>803</v>
      </c>
      <c r="C61" s="2" t="s">
        <v>777</v>
      </c>
      <c r="D61" s="1" t="s">
        <v>627</v>
      </c>
      <c r="G61" s="1" t="str">
        <v>secm:ses211    rdf:type skos:Concept ; skos:prefLabel "Core catcher"@en ; skos:inScheme secm:samplingmethods ; skos:definition ""; skos:broader secm:sm100 ; dcterms:source ""@en ; .</v>
      </c>
    </row>
    <row r="62" spans="1:11" ht="77.25" customHeight="1" x14ac:dyDescent="0.25">
      <c r="A62" s="1" t="s">
        <v>17</v>
      </c>
      <c r="B62" s="1" t="s">
        <v>804</v>
      </c>
      <c r="C62" s="2" t="s">
        <v>646</v>
      </c>
      <c r="D62" s="2" t="s">
        <v>647</v>
      </c>
      <c r="G62" s="1" t="str">
        <v>secm:ses212    rdf:type skos:Concept ; skos:prefLabel "Core&gt;Syringe"@en ; skos:inScheme secm:samplingmethods ; skos:definition ""; skos:broader secm:sm005 ; dcterms:source ""@en ; .</v>
      </c>
    </row>
    <row r="63" spans="1:11" ht="69" customHeight="1" x14ac:dyDescent="0.25">
      <c r="A63" s="1" t="s">
        <v>19</v>
      </c>
      <c r="B63" s="1" t="s">
        <v>805</v>
      </c>
      <c r="C63" s="2" t="s">
        <v>777</v>
      </c>
      <c r="D63" s="1" t="s">
        <v>627</v>
      </c>
      <c r="G63" s="1" t="str">
        <v>secm:ses213    rdf:type skos:Concept ; skos:prefLabel "Crab Trap"@en ; skos:inScheme secm:samplingmethods ; skos:definition ""; skos:broader secm:sm100 ; dcterms:source ""@en ; .</v>
      </c>
    </row>
    <row r="64" spans="1:11" ht="30" x14ac:dyDescent="0.25">
      <c r="A64" s="1" t="s">
        <v>606</v>
      </c>
      <c r="B64" s="1" t="s">
        <v>806</v>
      </c>
      <c r="C64" s="2" t="s">
        <v>672</v>
      </c>
      <c r="D64" s="2" t="s">
        <v>673</v>
      </c>
      <c r="G64" s="1" t="str">
        <v>secm:ses214    rdf:type skos:Concept ; skos:prefLabel "Gas tight bottle"@en ; skos:inScheme secm:samplingmethods ; skos:definition ""; skos:broader secm:sm043 ; dcterms:source ""@en ; .</v>
      </c>
    </row>
    <row r="65" spans="1:7" ht="30" x14ac:dyDescent="0.25">
      <c r="A65" s="1" t="s">
        <v>24</v>
      </c>
      <c r="B65" s="1" t="s">
        <v>807</v>
      </c>
      <c r="C65" s="2" t="s">
        <v>672</v>
      </c>
      <c r="D65" s="2" t="s">
        <v>673</v>
      </c>
      <c r="G65" s="1" t="str">
        <v>secm:ses215    rdf:type skos:Concept ; skos:prefLabel "Ghostbuster fluid sampler"@en ; skos:inScheme secm:samplingmethods ; skos:definition ""; skos:broader secm:sm043 ; dcterms:source ""@en ; .</v>
      </c>
    </row>
    <row r="66" spans="1:7" ht="30" x14ac:dyDescent="0.25">
      <c r="A66" s="1" t="s">
        <v>607</v>
      </c>
      <c r="B66" s="1" t="s">
        <v>808</v>
      </c>
      <c r="C66" s="2" t="s">
        <v>777</v>
      </c>
      <c r="D66" s="1" t="s">
        <v>627</v>
      </c>
      <c r="G66" s="1" t="str">
        <v>secm:ses216    rdf:type skos:Concept ; skos:prefLabel "Hammer from outcrop"@en ; skos:inScheme secm:samplingmethods ; skos:definition ""; skos:broader secm:sm100 ; dcterms:source ""@en ; .</v>
      </c>
    </row>
    <row r="67" spans="1:7" ht="30" x14ac:dyDescent="0.25">
      <c r="A67" s="1" t="s">
        <v>282</v>
      </c>
      <c r="B67" s="1" t="s">
        <v>809</v>
      </c>
      <c r="C67" s="2" t="s">
        <v>777</v>
      </c>
      <c r="D67" s="1" t="s">
        <v>627</v>
      </c>
      <c r="G67" s="1" t="str">
        <v>secm:ses217    rdf:type skos:Concept ; skos:prefLabel "Hand auger"@en ; skos:inScheme secm:samplingmethods ; skos:definition ""; skos:broader secm:sm100 ; dcterms:source ""@en ; .</v>
      </c>
    </row>
    <row r="68" spans="1:7" ht="45" x14ac:dyDescent="0.25">
      <c r="A68" s="1" t="s">
        <v>609</v>
      </c>
      <c r="B68" s="1" t="s">
        <v>810</v>
      </c>
      <c r="C68" s="2" t="s">
        <v>777</v>
      </c>
      <c r="D68" s="1" t="s">
        <v>627</v>
      </c>
      <c r="F68" s="1" t="s">
        <v>605</v>
      </c>
      <c r="G68" s="1" t="str">
        <v>secm:ses218    rdf:type skos:Concept ; skos:prefLabel "Human grab from surface"@en ; skos:inScheme secm:samplingmethods ; skos:definition "subaerial or subaqueous solid earth boundary surface"; skos:broader secm:sm100 ; dcterms:source ""@en ; .</v>
      </c>
    </row>
    <row r="69" spans="1:7" ht="30" x14ac:dyDescent="0.25">
      <c r="A69" s="1" t="s">
        <v>29</v>
      </c>
      <c r="B69" s="1" t="s">
        <v>811</v>
      </c>
      <c r="C69" s="2" t="s">
        <v>646</v>
      </c>
      <c r="D69" s="2" t="s">
        <v>647</v>
      </c>
      <c r="G69" s="1" t="str">
        <v>secm:ses219    rdf:type skos:Concept ; skos:prefLabel "Jumbo Piston Corer"@en ; skos:inScheme secm:samplingmethods ; skos:definition ""; skos:broader secm:sm005 ; dcterms:source ""@en ; .</v>
      </c>
    </row>
    <row r="70" spans="1:7" ht="30" x14ac:dyDescent="0.25">
      <c r="A70" s="1" t="s">
        <v>30</v>
      </c>
      <c r="B70" s="1" t="s">
        <v>812</v>
      </c>
      <c r="C70" s="2" t="s">
        <v>646</v>
      </c>
      <c r="D70" s="2" t="s">
        <v>647</v>
      </c>
      <c r="G70" s="1" t="str">
        <v>secm:ses220    rdf:type skos:Concept ; skos:prefLabel "Jumbo Trigger Corer"@en ; skos:inScheme secm:samplingmethods ; skos:definition ""; skos:broader secm:sm005 ; dcterms:source ""@en ; .</v>
      </c>
    </row>
    <row r="71" spans="1:7" ht="30" x14ac:dyDescent="0.25">
      <c r="A71" s="1" t="s">
        <v>32</v>
      </c>
      <c r="B71" s="1" t="s">
        <v>813</v>
      </c>
      <c r="C71" s="2" t="s">
        <v>646</v>
      </c>
      <c r="D71" s="2" t="s">
        <v>647</v>
      </c>
      <c r="G71" s="1" t="str">
        <v>secm:ses221    rdf:type skos:Concept ; skos:prefLabel "Kasten Corer"@en ; skos:inScheme secm:samplingmethods ; skos:definition ""; skos:broader secm:sm005 ; dcterms:source ""@en ; .</v>
      </c>
    </row>
    <row r="72" spans="1:7" ht="45" x14ac:dyDescent="0.25">
      <c r="A72" s="1" t="s">
        <v>610</v>
      </c>
      <c r="B72" s="1" t="s">
        <v>814</v>
      </c>
      <c r="C72" s="2" t="s">
        <v>777</v>
      </c>
      <c r="D72" s="1" t="s">
        <v>627</v>
      </c>
      <c r="F72" s="1" t="s">
        <v>611</v>
      </c>
      <c r="G72" s="1" t="str">
        <v>secm:ses222    rdf:type skos:Concept ; skos:prefLabel "Mechanical grab from surface"@en ; skos:inScheme secm:samplingmethods ; skos:definition "under water or atmosphere"; skos:broader secm:sm100 ; dcterms:source ""@en ; .</v>
      </c>
    </row>
    <row r="73" spans="1:7" ht="30" x14ac:dyDescent="0.25">
      <c r="A73" s="1" t="s">
        <v>33</v>
      </c>
      <c r="B73" s="1" t="s">
        <v>815</v>
      </c>
      <c r="C73" s="2" t="s">
        <v>777</v>
      </c>
      <c r="D73" s="1" t="s">
        <v>627</v>
      </c>
      <c r="G73" s="1" t="str">
        <v>secm:ses223    rdf:type skos:Concept ; skos:prefLabel "Menzie Trawl"@en ; skos:inScheme secm:samplingmethods ; skos:definition ""; skos:broader secm:sm100 ; dcterms:source ""@en ; .</v>
      </c>
    </row>
    <row r="74" spans="1:7" ht="30" x14ac:dyDescent="0.25">
      <c r="A74" s="1" t="s">
        <v>35</v>
      </c>
      <c r="B74" s="1" t="s">
        <v>816</v>
      </c>
      <c r="C74" s="2" t="s">
        <v>777</v>
      </c>
      <c r="D74" s="1" t="s">
        <v>627</v>
      </c>
      <c r="G74" s="1" t="str">
        <v>secm:ses224    rdf:type skos:Concept ; skos:prefLabel "Micropillar Compression"@en ; skos:inScheme secm:samplingmethods ; skos:definition ""; skos:broader secm:sm100 ; dcterms:source ""@en ; .</v>
      </c>
    </row>
    <row r="75" spans="1:7" ht="30" x14ac:dyDescent="0.25">
      <c r="A75" s="1" t="s">
        <v>37</v>
      </c>
      <c r="B75" s="1" t="s">
        <v>817</v>
      </c>
      <c r="C75" s="2" t="s">
        <v>672</v>
      </c>
      <c r="D75" s="2" t="s">
        <v>673</v>
      </c>
      <c r="G75" s="1" t="str">
        <v>secm:ses225    rdf:type skos:Concept ; skos:prefLabel "Niskin Water Sampler"@en ; skos:inScheme secm:samplingmethods ; skos:definition ""; skos:broader secm:sm043 ; dcterms:source ""@en ; .</v>
      </c>
    </row>
    <row r="76" spans="1:7" ht="30" x14ac:dyDescent="0.25">
      <c r="A76" s="1" t="s">
        <v>600</v>
      </c>
      <c r="B76" s="1" t="s">
        <v>818</v>
      </c>
      <c r="C76" s="2" t="s">
        <v>777</v>
      </c>
      <c r="D76" s="1" t="s">
        <v>627</v>
      </c>
      <c r="F76" s="1" t="s">
        <v>601</v>
      </c>
      <c r="G76" s="1" t="str">
        <v>secm:ses226    rdf:type skos:Concept ; skos:prefLabel "Pulverize"@en ; skos:inScheme secm:samplingmethods ; skos:definition "reduce to powder"; skos:broader secm:sm100 ; dcterms:source ""@en ; .</v>
      </c>
    </row>
    <row r="77" spans="1:7" ht="135" x14ac:dyDescent="0.25">
      <c r="A77" s="1" t="s">
        <v>508</v>
      </c>
      <c r="B77" s="1" t="s">
        <v>819</v>
      </c>
      <c r="C77" s="2" t="s">
        <v>777</v>
      </c>
      <c r="D77" s="1" t="s">
        <v>627</v>
      </c>
      <c r="F77" s="1" t="s">
        <v>833</v>
      </c>
      <c r="G77" s="1" t="str">
        <v>secm:ses227    rdf:type skos:Concept ; skos:prefLabel "Scoop"@en ; skos:inScheme secm:samplingmethods ; skos:definition "Interpret to mean collecting some amount of a liquid or fine-grained aggregate using a spoon-like instrument (scoop); size can range from milligram to kilogram mass.  Metallurgy: _A shallow, spherical 1.25-inch diameter disc is sawed out of the feature of interest._ https://www.stress.com/services/materials-engineering/field-inspection-and-testing/non-destructive-scoop-sampling/."; skos:broader secm:sm100 ; dcterms:source ""@en ; .</v>
      </c>
    </row>
    <row r="78" spans="1:7" ht="30" x14ac:dyDescent="0.25">
      <c r="A78" s="1" t="s">
        <v>41</v>
      </c>
      <c r="B78" s="1" t="s">
        <v>820</v>
      </c>
      <c r="C78" s="2" t="s">
        <v>777</v>
      </c>
      <c r="D78" s="1" t="s">
        <v>627</v>
      </c>
      <c r="G78" s="1" t="str">
        <v>secm:ses228    rdf:type skos:Concept ; skos:prefLabel "Settlement Plate"@en ; skos:inScheme secm:samplingmethods ; skos:definition ""; skos:broader secm:sm100 ; dcterms:source ""@en ; .</v>
      </c>
    </row>
    <row r="79" spans="1:7" ht="30" x14ac:dyDescent="0.25">
      <c r="A79" s="1" t="s">
        <v>42</v>
      </c>
      <c r="B79" s="1" t="s">
        <v>821</v>
      </c>
      <c r="C79" s="2" t="s">
        <v>777</v>
      </c>
      <c r="D79" s="1" t="s">
        <v>627</v>
      </c>
      <c r="G79" s="1" t="str">
        <v>secm:ses229    rdf:type skos:Concept ; skos:prefLabel "Shaker table"@en ; skos:inScheme secm:samplingmethods ; skos:definition ""; skos:broader secm:sm100 ; dcterms:source ""@en ; .</v>
      </c>
    </row>
    <row r="80" spans="1:7" ht="30" x14ac:dyDescent="0.25">
      <c r="A80" s="1" t="s">
        <v>520</v>
      </c>
      <c r="B80" s="1" t="s">
        <v>822</v>
      </c>
      <c r="C80" s="2" t="s">
        <v>777</v>
      </c>
      <c r="D80" s="1" t="s">
        <v>627</v>
      </c>
      <c r="G80" s="1" t="str">
        <v>secm:ses230    rdf:type skos:Concept ; skos:prefLabel "Shovel"@en ; skos:inScheme secm:samplingmethods ; skos:definition ""; skos:broader secm:sm100 ; dcterms:source ""@en ; .</v>
      </c>
    </row>
    <row r="81" spans="1:7" ht="30" x14ac:dyDescent="0.25">
      <c r="A81" s="1" t="s">
        <v>597</v>
      </c>
      <c r="B81" s="1" t="s">
        <v>823</v>
      </c>
      <c r="C81" s="2" t="s">
        <v>777</v>
      </c>
      <c r="D81" s="1" t="s">
        <v>627</v>
      </c>
      <c r="G81" s="1" t="str">
        <v>secm:ses231    rdf:type skos:Concept ; skos:prefLabel "Sieved aggregate"@en ; skos:inScheme secm:samplingmethods ; skos:definition ""; skos:broader secm:sm100 ; dcterms:source ""@en ; .</v>
      </c>
    </row>
    <row r="82" spans="1:7" ht="30" x14ac:dyDescent="0.25">
      <c r="A82" s="1" t="s">
        <v>598</v>
      </c>
      <c r="B82" s="1" t="s">
        <v>824</v>
      </c>
      <c r="C82" s="2" t="s">
        <v>646</v>
      </c>
      <c r="D82" s="2" t="s">
        <v>647</v>
      </c>
      <c r="G82" s="1" t="str">
        <v>secm:ses232    rdf:type skos:Concept ; skos:prefLabel "Slide hammer corer"@en ; skos:inScheme secm:samplingmethods ; skos:definition ""; skos:broader secm:sm005 ; dcterms:source ""@en ; .</v>
      </c>
    </row>
    <row r="83" spans="1:7" ht="30" x14ac:dyDescent="0.25">
      <c r="A83" s="1" t="s">
        <v>48</v>
      </c>
      <c r="B83" s="1" t="s">
        <v>825</v>
      </c>
      <c r="C83" s="2" t="s">
        <v>777</v>
      </c>
      <c r="D83" s="1" t="s">
        <v>627</v>
      </c>
      <c r="G83" s="1" t="str">
        <v>secm:ses233    rdf:type skos:Concept ; skos:prefLabel "Suction Sampler"@en ; skos:inScheme secm:samplingmethods ; skos:definition ""; skos:broader secm:sm100 ; dcterms:source ""@en ; .</v>
      </c>
    </row>
    <row r="84" spans="1:7" ht="30" x14ac:dyDescent="0.25">
      <c r="A84" s="1" t="s">
        <v>52</v>
      </c>
      <c r="B84" s="1" t="s">
        <v>826</v>
      </c>
      <c r="C84" s="2" t="s">
        <v>777</v>
      </c>
      <c r="D84" s="1" t="s">
        <v>627</v>
      </c>
      <c r="G84" s="1" t="str">
        <v>secm:ses234    rdf:type skos:Concept ; skos:prefLabel "Wax Corer"@en ; skos:inScheme secm:samplingmethods ; skos:definition ""; skos:broader secm:sm100 ; dcterms:source ""@en ; .</v>
      </c>
    </row>
    <row r="85" spans="1:7" ht="30" x14ac:dyDescent="0.25">
      <c r="G85" s="1" t="str">
        <v>secm:    rdf:type skos:Concept ; skos:prefLabel ""@en ; skos:inScheme secm:samplingmethods ; skos:definition ""; skos:broader secm: ; dcterms:source ""@en ; .</v>
      </c>
    </row>
    <row r="86" spans="1:7" ht="30" x14ac:dyDescent="0.25">
      <c r="G86" s="1" t="str">
        <v>secm:    rdf:type skos:Concept ; skos:prefLabel ""@en ; skos:inScheme secm:samplingmethods ; skos:definition ""; skos:broader secm: ; dcterms:source ""@en ; .</v>
      </c>
    </row>
    <row r="87" spans="1:7" ht="30" x14ac:dyDescent="0.25">
      <c r="G87" s="1" t="str">
        <v>secm:    rdf:type skos:Concept ; skos:prefLabel ""@en ; skos:inScheme secm:samplingmethods ; skos:definition ""; skos:broader secm: ; dcterms:source ""@en ; .</v>
      </c>
    </row>
    <row r="88" spans="1:7" ht="30" x14ac:dyDescent="0.25">
      <c r="G88" s="1" t="str">
        <v>secm:    rdf:type skos:Concept ; skos:prefLabel ""@en ; skos:inScheme secm:samplingmethods ; skos:definition ""; skos:broader secm: ; dcterms:source ""@en ; .</v>
      </c>
    </row>
    <row r="89" spans="1:7" ht="30" x14ac:dyDescent="0.25">
      <c r="G89" s="1" t="str">
        <v>secm:    rdf:type skos:Concept ; skos:prefLabel ""@en ; skos:inScheme secm:samplingmethods ; skos:definition ""; skos:broader secm: ; dcterms:source ""@en ; .</v>
      </c>
    </row>
    <row r="90" spans="1:7" ht="30" x14ac:dyDescent="0.25">
      <c r="G90" s="1" t="str">
        <v>secm:    rdf:type skos:Concept ; skos:prefLabel ""@en ; skos:inScheme secm:samplingmethods ; skos:definition ""; skos:broader secm: ; dcterms:source ""@en ; .</v>
      </c>
    </row>
    <row r="91" spans="1:7" ht="30" x14ac:dyDescent="0.25">
      <c r="G91" s="1" t="str">
        <v>secm:    rdf:type skos:Concept ; skos:prefLabel ""@en ; skos:inScheme secm:samplingmethods ; skos:definition ""; skos:broader secm: ; dcterms:source ""@en ; .</v>
      </c>
    </row>
    <row r="92" spans="1:7" ht="30" x14ac:dyDescent="0.25">
      <c r="G92" s="1" t="str">
        <v>secm:    rdf:type skos:Concept ; skos:prefLabel ""@en ; skos:inScheme secm:samplingmethods ; skos:definition ""; skos:broader secm: ; dcterms:source ""@en ; .</v>
      </c>
    </row>
    <row r="93" spans="1:7" ht="30" x14ac:dyDescent="0.25">
      <c r="G93" s="1" t="str">
        <v>secm:    rdf:type skos:Concept ; skos:prefLabel ""@en ; skos:inScheme secm:samplingmethods ; skos:definition ""; skos:broader secm: ; dcterms:source ""@en ; .</v>
      </c>
    </row>
    <row r="94" spans="1:7" ht="30" x14ac:dyDescent="0.25">
      <c r="G94" s="1" t="str">
        <v>secm:    rdf:type skos:Concept ; skos:prefLabel ""@en ; skos:inScheme secm:samplingmethods ; skos:definition ""; skos:broader secm: ; dcterms:source ""@en ; .</v>
      </c>
    </row>
  </sheetData>
  <sortState xmlns:xlrd2="http://schemas.microsoft.com/office/spreadsheetml/2017/richdata2" ref="A2:K84">
    <sortCondition ref="B2:B84"/>
    <sortCondition ref="D2:D84"/>
  </sortState>
  <phoneticPr fontId="19" type="noConversion"/>
  <hyperlinks>
    <hyperlink ref="E37" r:id="rId1" xr:uid="{B4EE1B73-F01C-4B52-B134-6AD27F9318F6}"/>
    <hyperlink ref="E13" r:id="rId2" xr:uid="{21C039F9-BFFE-4ABB-B441-59682CBEC197}"/>
    <hyperlink ref="E12" r:id="rId3" xr:uid="{D3557026-0D29-4E2F-B898-63433C2046B1}"/>
    <hyperlink ref="E15" r:id="rId4" display="http://www.azdeq.gov/environ/water/assessment/download/sampling.pdf" xr:uid="{DBD964DC-3990-49E1-AD11-D78BB0653D58}"/>
  </hyperlinks>
  <pageMargins left="0.7" right="0.7" top="0.75" bottom="0.75" header="0.3" footer="0.3"/>
  <legacy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0498039-1E4E-4FBF-88A4-914E74A7A35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samplemethodlookup</vt:lpstr>
      <vt:lpstr>collectionMethodDistinct</vt:lpstr>
      <vt:lpstr>vocab</vt:lpstr>
      <vt:lpstr>ID</vt:lpstr>
      <vt:lpstr>parent_term</vt:lpstr>
      <vt:lpstr>parentID</vt:lpstr>
      <vt:lpstr>redux</vt:lpstr>
      <vt:lpstr>scope_note</vt:lpstr>
      <vt:lpstr>source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Richard</dc:creator>
  <cp:lastModifiedBy>Stephen Richard</cp:lastModifiedBy>
  <dcterms:created xsi:type="dcterms:W3CDTF">2024-09-11T04:59:55Z</dcterms:created>
  <dcterms:modified xsi:type="dcterms:W3CDTF">2025-01-09T16:03:47Z</dcterms:modified>
</cp:coreProperties>
</file>