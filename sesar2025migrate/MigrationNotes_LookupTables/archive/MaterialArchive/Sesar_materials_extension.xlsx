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https://d.docs.live.net/944a82e2ddcde9eb/Documents/GithubC/IEDA/sesar2/MigrationNotes_LookupTables/Material/"/>
    </mc:Choice>
  </mc:AlternateContent>
  <xr:revisionPtr revIDLastSave="174" documentId="8_{C5738E9C-7681-48B2-90B8-072335FD6EDF}" xr6:coauthVersionLast="47" xr6:coauthVersionMax="47" xr10:uidLastSave="{E3C34F35-C96C-4754-9F21-319185DA005A}"/>
  <bookViews>
    <workbookView xWindow="1005" yWindow="645" windowWidth="18135" windowHeight="9540" activeTab="1" xr2:uid="{C67801D3-E3C9-4647-AF31-184F9E9DCC24}"/>
  </bookViews>
  <sheets>
    <sheet name="Sesar_materials_vocabulary-uniq" sheetId="1" r:id="rId1"/>
    <sheet name="Sesar_materials_vocabulary-all" sheetId="2" r:id="rId2"/>
  </sheets>
  <externalReferences>
    <externalReference r:id="rId3"/>
  </externalReferences>
  <definedNames>
    <definedName name="_xlnm._FilterDatabase" localSheetId="1" hidden="1">'Sesar_materials_vocabulary-all'!$A$1:$D$429</definedName>
    <definedName name="_xlnm._FilterDatabase" localSheetId="0" hidden="1">'Sesar_materials_vocabulary-uniq'!$A$1:$D$237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1" l="1"/>
  <c r="A12" i="1" s="1"/>
  <c r="D68" i="1"/>
  <c r="D10" i="1"/>
  <c r="A10" i="1" s="1"/>
  <c r="D69" i="1"/>
  <c r="D4" i="1"/>
  <c r="A4" i="1" s="1"/>
  <c r="D64" i="1"/>
  <c r="A64" i="1" s="1"/>
  <c r="D21" i="1"/>
  <c r="A21" i="1" s="1"/>
  <c r="D33" i="1"/>
  <c r="A33" i="1" s="1"/>
  <c r="D3" i="1"/>
  <c r="A3" i="1" s="1"/>
  <c r="D70" i="1"/>
  <c r="D44" i="1"/>
  <c r="A44" i="1" s="1"/>
  <c r="D46" i="1"/>
  <c r="A46" i="1" s="1"/>
  <c r="D71" i="1"/>
  <c r="D9" i="1"/>
  <c r="A9" i="1" s="1"/>
  <c r="D49" i="1"/>
  <c r="A49" i="1" s="1"/>
  <c r="D2" i="1"/>
  <c r="A2" i="1" s="1"/>
  <c r="D8" i="1"/>
  <c r="A8" i="1" s="1"/>
  <c r="D7" i="1"/>
  <c r="A7" i="1" s="1"/>
  <c r="D5" i="1"/>
  <c r="A5" i="1" s="1"/>
  <c r="D72" i="1"/>
  <c r="D73" i="1"/>
  <c r="D74" i="1"/>
  <c r="D75" i="1"/>
  <c r="D76" i="1"/>
  <c r="D77" i="1"/>
  <c r="D78" i="1"/>
  <c r="D79" i="1"/>
  <c r="D80" i="1"/>
  <c r="D81" i="1"/>
  <c r="D82" i="1"/>
  <c r="D83" i="1"/>
  <c r="D84" i="1"/>
  <c r="D85" i="1"/>
  <c r="D86" i="1"/>
  <c r="D87" i="1"/>
  <c r="D88" i="1"/>
  <c r="D89" i="1"/>
  <c r="D90" i="1"/>
  <c r="D91" i="1"/>
  <c r="D92" i="1"/>
  <c r="D93" i="1"/>
  <c r="D94" i="1"/>
  <c r="D18" i="1"/>
  <c r="A18" i="1" s="1"/>
  <c r="D19" i="1"/>
  <c r="A19" i="1" s="1"/>
  <c r="D95" i="1"/>
  <c r="D96" i="1"/>
  <c r="D97" i="1"/>
  <c r="D98" i="1"/>
  <c r="D99" i="1"/>
  <c r="D100" i="1"/>
  <c r="D101" i="1"/>
  <c r="D102" i="1"/>
  <c r="D103" i="1"/>
  <c r="D22" i="1"/>
  <c r="A22" i="1" s="1"/>
  <c r="D104" i="1"/>
  <c r="D105" i="1"/>
  <c r="D106" i="1"/>
  <c r="D107" i="1"/>
  <c r="D108" i="1"/>
  <c r="D109" i="1"/>
  <c r="D110" i="1"/>
  <c r="D111" i="1"/>
  <c r="D112" i="1"/>
  <c r="D113" i="1"/>
  <c r="D26" i="1"/>
  <c r="A26" i="1" s="1"/>
  <c r="D28" i="1"/>
  <c r="A28" i="1" s="1"/>
  <c r="D30" i="1"/>
  <c r="A30" i="1" s="1"/>
  <c r="D114" i="1"/>
  <c r="D115" i="1"/>
  <c r="D116" i="1"/>
  <c r="D117" i="1"/>
  <c r="D118" i="1"/>
  <c r="D38" i="1"/>
  <c r="A38" i="1" s="1"/>
  <c r="D41" i="1"/>
  <c r="A41" i="1" s="1"/>
  <c r="D119" i="1"/>
  <c r="D120" i="1"/>
  <c r="D121" i="1"/>
  <c r="D122" i="1"/>
  <c r="D123" i="1"/>
  <c r="D124" i="1"/>
  <c r="D125" i="1"/>
  <c r="D126" i="1"/>
  <c r="D48" i="1"/>
  <c r="A48" i="1" s="1"/>
  <c r="D127" i="1"/>
  <c r="D128" i="1"/>
  <c r="D47" i="1"/>
  <c r="A47" i="1" s="1"/>
  <c r="D129" i="1"/>
  <c r="D130" i="1"/>
  <c r="D131" i="1"/>
  <c r="D132" i="1"/>
  <c r="D133" i="1"/>
  <c r="D134" i="1"/>
  <c r="D135" i="1"/>
  <c r="D136" i="1"/>
  <c r="D137" i="1"/>
  <c r="D54" i="1"/>
  <c r="A54" i="1" s="1"/>
  <c r="D138" i="1"/>
  <c r="D139" i="1"/>
  <c r="D140" i="1"/>
  <c r="D55" i="1"/>
  <c r="A55" i="1" s="1"/>
  <c r="D141" i="1"/>
  <c r="D142" i="1"/>
  <c r="D59" i="1"/>
  <c r="A59" i="1" s="1"/>
  <c r="D143" i="1"/>
  <c r="D144" i="1"/>
  <c r="D145" i="1"/>
  <c r="D11" i="1"/>
  <c r="A11" i="1" s="1"/>
  <c r="D146" i="1"/>
  <c r="D147" i="1"/>
  <c r="D148" i="1"/>
  <c r="D149" i="1"/>
  <c r="D150" i="1"/>
  <c r="D151" i="1"/>
  <c r="D152" i="1"/>
  <c r="D153" i="1"/>
  <c r="D6" i="1"/>
  <c r="A6" i="1" s="1"/>
  <c r="D154" i="1"/>
  <c r="D155" i="1"/>
  <c r="D156" i="1"/>
  <c r="D157" i="1"/>
  <c r="D158" i="1"/>
  <c r="D13" i="1"/>
  <c r="A13" i="1" s="1"/>
  <c r="D159" i="1"/>
  <c r="D160" i="1"/>
  <c r="D161" i="1"/>
  <c r="D162" i="1"/>
  <c r="D163" i="1"/>
  <c r="D14" i="1"/>
  <c r="A14" i="1" s="1"/>
  <c r="D164" i="1"/>
  <c r="D165" i="1"/>
  <c r="D166" i="1"/>
  <c r="D167" i="1"/>
  <c r="D15" i="1"/>
  <c r="A15" i="1" s="1"/>
  <c r="D168" i="1"/>
  <c r="D65" i="1"/>
  <c r="A65" i="1" s="1"/>
  <c r="D169" i="1"/>
  <c r="D170" i="1"/>
  <c r="D171" i="1"/>
  <c r="D172" i="1"/>
  <c r="D173" i="1"/>
  <c r="D174" i="1"/>
  <c r="D175" i="1"/>
  <c r="D16" i="1"/>
  <c r="A16" i="1" s="1"/>
  <c r="D17" i="1"/>
  <c r="A17" i="1" s="1"/>
  <c r="D176" i="1"/>
  <c r="D177" i="1"/>
  <c r="D60" i="1"/>
  <c r="A60" i="1" s="1"/>
  <c r="D20" i="1"/>
  <c r="A20" i="1" s="1"/>
  <c r="D178" i="1"/>
  <c r="D179" i="1"/>
  <c r="D180" i="1"/>
  <c r="D181" i="1"/>
  <c r="D23" i="1"/>
  <c r="A23" i="1" s="1"/>
  <c r="D182" i="1"/>
  <c r="D24" i="1"/>
  <c r="A24" i="1" s="1"/>
  <c r="D25" i="1"/>
  <c r="A25" i="1" s="1"/>
  <c r="D183" i="1"/>
  <c r="D184" i="1"/>
  <c r="D185" i="1"/>
  <c r="D186" i="1"/>
  <c r="D27" i="1"/>
  <c r="A27" i="1" s="1"/>
  <c r="D29" i="1"/>
  <c r="A29" i="1" s="1"/>
  <c r="D187" i="1"/>
  <c r="D188" i="1"/>
  <c r="D189" i="1"/>
  <c r="D190" i="1"/>
  <c r="D191" i="1"/>
  <c r="D192" i="1"/>
  <c r="D61" i="1"/>
  <c r="A61" i="1" s="1"/>
  <c r="D31" i="1"/>
  <c r="A31" i="1" s="1"/>
  <c r="D32" i="1"/>
  <c r="A32" i="1" s="1"/>
  <c r="D193" i="1"/>
  <c r="D194" i="1"/>
  <c r="D195" i="1"/>
  <c r="D196" i="1"/>
  <c r="D197" i="1"/>
  <c r="D62" i="1"/>
  <c r="A62" i="1" s="1"/>
  <c r="D34" i="1"/>
  <c r="A34" i="1" s="1"/>
  <c r="D35" i="1"/>
  <c r="A35" i="1" s="1"/>
  <c r="D36" i="1"/>
  <c r="A36" i="1" s="1"/>
  <c r="D37" i="1"/>
  <c r="A37" i="1" s="1"/>
  <c r="D198" i="1"/>
  <c r="D199" i="1"/>
  <c r="D39" i="1"/>
  <c r="A39" i="1" s="1"/>
  <c r="D200" i="1"/>
  <c r="D40" i="1"/>
  <c r="A40" i="1" s="1"/>
  <c r="D42" i="1"/>
  <c r="A42" i="1" s="1"/>
  <c r="D201" i="1"/>
  <c r="D66" i="1"/>
  <c r="A66" i="1" s="1"/>
  <c r="D202" i="1"/>
  <c r="D203" i="1"/>
  <c r="D43" i="1"/>
  <c r="A43" i="1" s="1"/>
  <c r="D204" i="1"/>
  <c r="D45" i="1"/>
  <c r="A45" i="1" s="1"/>
  <c r="D205" i="1"/>
  <c r="D206" i="1"/>
  <c r="D207" i="1"/>
  <c r="D208" i="1"/>
  <c r="D209" i="1"/>
  <c r="D210" i="1"/>
  <c r="D211" i="1"/>
  <c r="D212" i="1"/>
  <c r="D213" i="1"/>
  <c r="D63" i="1"/>
  <c r="A63" i="1" s="1"/>
  <c r="D214" i="1"/>
  <c r="D215" i="1"/>
  <c r="D216" i="1"/>
  <c r="D217" i="1"/>
  <c r="D218" i="1"/>
  <c r="D219" i="1"/>
  <c r="D220" i="1"/>
  <c r="D221" i="1"/>
  <c r="D222" i="1"/>
  <c r="D223" i="1"/>
  <c r="D224" i="1"/>
  <c r="D50" i="1"/>
  <c r="A50" i="1" s="1"/>
  <c r="D51" i="1"/>
  <c r="A51" i="1" s="1"/>
  <c r="D52" i="1"/>
  <c r="A52" i="1" s="1"/>
  <c r="D225" i="1"/>
  <c r="D226" i="1"/>
  <c r="D227" i="1"/>
  <c r="D228" i="1"/>
  <c r="D229" i="1"/>
  <c r="D230" i="1"/>
  <c r="D231" i="1"/>
  <c r="D232" i="1"/>
  <c r="D53" i="1"/>
  <c r="A53" i="1" s="1"/>
  <c r="D233" i="1"/>
  <c r="D234" i="1"/>
  <c r="D235" i="1"/>
  <c r="D56" i="1"/>
  <c r="A56" i="1" s="1"/>
  <c r="D57" i="1"/>
  <c r="A57" i="1" s="1"/>
  <c r="D236" i="1"/>
  <c r="D58" i="1"/>
  <c r="A58" i="1" s="1"/>
  <c r="D237" i="1"/>
  <c r="D67" i="1"/>
  <c r="H122"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tc={19AE9CA8-0237-42EB-9337-C730880CACDC}</author>
    <author>Stephen Richard</author>
  </authors>
  <commentList>
    <comment ref="B1" authorId="0" shapeId="0" xr:uid="{19AE9CA8-0237-42EB-9337-C730880CACDC}">
      <text>
        <t>[Threaded comment]
Your version of Excel allows you to read this threaded comment; however, any edits to it will get removed if the file is opened in a newer version of Excel. Learn more: https://go.microsoft.com/fwlink/?linkid=870924
Comment:
    Vocabualry_uniq includes selected terms, leaving out most granular classes.</t>
      </text>
    </comment>
    <comment ref="D1" authorId="1" shapeId="0" xr:uid="{EAF0578C-994C-4A91-ADD0-C8215DEC0FE3}">
      <text>
        <r>
          <rPr>
            <b/>
            <sz val="11"/>
            <color indexed="81"/>
            <rFont val="Tahoma"/>
            <charset val="1"/>
          </rPr>
          <t>Stephen Richard:</t>
        </r>
        <r>
          <rPr>
            <sz val="11"/>
            <color indexed="81"/>
            <rFont val="Tahoma"/>
            <charset val="1"/>
          </rPr>
          <t xml:space="preserve">
=IFERROR(INDEX([SESAR_material_type.xlsx]Material_vocabulary!$A$2:$E$4300,MATCH(B2,[SESAR_material_type.xlsx]Material_vocabulary!$E$2:$E$4300,FALSE),1),"")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Stephen Richard</author>
  </authors>
  <commentList>
    <comment ref="A1" authorId="0" shapeId="0" xr:uid="{3625C3C1-D98E-488C-9EC1-6F79BD593A49}">
      <text>
        <r>
          <rPr>
            <b/>
            <sz val="11"/>
            <color indexed="81"/>
            <rFont val="Tahoma"/>
            <charset val="1"/>
          </rPr>
          <t>Stephen Richard:</t>
        </r>
        <r>
          <rPr>
            <sz val="11"/>
            <color indexed="81"/>
            <rFont val="Tahoma"/>
            <charset val="1"/>
          </rPr>
          <t xml:space="preserve">
=IFERROR(INDEX('Sesar_materials_vocabulary-uniq'!$A$2:$B$240,MATCH(B2,'Sesar_materials_vocabulary-uniq'!$B$2:$B$240,FALSE),1),"")</t>
        </r>
      </text>
    </comment>
    <comment ref="B1" authorId="0" shapeId="0" xr:uid="{AF3B5F1D-9881-481E-915D-90C8A3B733BB}">
      <text>
        <r>
          <rPr>
            <b/>
            <sz val="11"/>
            <color indexed="81"/>
            <rFont val="Tahoma"/>
            <charset val="1"/>
          </rPr>
          <t>Stephen Richard:</t>
        </r>
        <r>
          <rPr>
            <sz val="11"/>
            <color indexed="81"/>
            <rFont val="Tahoma"/>
            <charset val="1"/>
          </rPr>
          <t xml:space="preserve">
=IFERROR(INDEX($A$2:$D$437,MATCH(D2,$B$2:$B$437,FALSE),1),"")</t>
        </r>
      </text>
    </comment>
  </commentList>
</comments>
</file>

<file path=xl/sharedStrings.xml><?xml version="1.0" encoding="utf-8"?>
<sst xmlns="http://schemas.openxmlformats.org/spreadsheetml/2006/main" count="2683" uniqueCount="1201">
  <si>
    <t>label</t>
  </si>
  <si>
    <t>sesrs:Acidic_Igneous_Material</t>
  </si>
  <si>
    <t>acidic igneous material</t>
  </si>
  <si>
    <t>rksd:Acidic_Igneous_Rock</t>
  </si>
  <si>
    <t>acidic igneous rock</t>
  </si>
  <si>
    <t>rksd:Alkali_Feldspar_Granite</t>
  </si>
  <si>
    <t>alkali feldspar granite</t>
  </si>
  <si>
    <t>sesrs:altered_rock</t>
  </si>
  <si>
    <t xml:space="preserve">Altered, type not specified </t>
  </si>
  <si>
    <t>sesrs:amphibolite</t>
  </si>
  <si>
    <t>amphibolite</t>
  </si>
  <si>
    <t>rksd:Andesite</t>
  </si>
  <si>
    <t>andesite</t>
  </si>
  <si>
    <t>rksd:Anorthositic_Rock</t>
  </si>
  <si>
    <t>anorthositic rock</t>
  </si>
  <si>
    <t>mat:anyanthropogenicmaterial</t>
  </si>
  <si>
    <t>Anthropogenic material</t>
  </si>
  <si>
    <t>mat:anthropogenicmetal</t>
  </si>
  <si>
    <t xml:space="preserve">Anthropogenic metal material </t>
  </si>
  <si>
    <t>sesrs:Anthropogenic_Unconsolidated_Material</t>
  </si>
  <si>
    <t>Anthropogenic unconsolidated material</t>
  </si>
  <si>
    <t>mat:anyice</t>
  </si>
  <si>
    <t>Any ice</t>
  </si>
  <si>
    <t>rksd:Aphanite</t>
  </si>
  <si>
    <t>Aphanite</t>
  </si>
  <si>
    <t>rksd:Aplite</t>
  </si>
  <si>
    <t>aplite</t>
  </si>
  <si>
    <t>sesrs:Arenite</t>
  </si>
  <si>
    <t>arenite</t>
  </si>
  <si>
    <t>sesrs:Argillite</t>
  </si>
  <si>
    <t>argillite</t>
  </si>
  <si>
    <t>sesrs:Ash_And_Lapilli</t>
  </si>
  <si>
    <t>ash and lapilli</t>
  </si>
  <si>
    <t>sesrs:Ash_Breccia_Bomb_Or_Block_Tephra</t>
  </si>
  <si>
    <t>ash breccia bomb or block tephra</t>
  </si>
  <si>
    <t>sesrs:Ash_Tuff_Lapillistone_And_Lapilli_Tuff</t>
  </si>
  <si>
    <t>ash tuff lapillistone and lapilli tuff</t>
  </si>
  <si>
    <t>rksd:Basalt</t>
  </si>
  <si>
    <t>basalt</t>
  </si>
  <si>
    <t>sesrs:Basic_Igneous_Material</t>
  </si>
  <si>
    <t>basic igneous material</t>
  </si>
  <si>
    <t>rksd:Basic_Igneous_Rock</t>
  </si>
  <si>
    <t>basic igneous rock</t>
  </si>
  <si>
    <t>sesrs:bauxite</t>
  </si>
  <si>
    <t>Bauxite</t>
  </si>
  <si>
    <t>sesrs:biogenic_material</t>
  </si>
  <si>
    <t>Biogenic material</t>
  </si>
  <si>
    <t>mat:biogenicnonorganicmaterial</t>
  </si>
  <si>
    <t>Biogenic non-organic material</t>
  </si>
  <si>
    <t>rksd:Biogenic_Sediment</t>
  </si>
  <si>
    <t>biogenic sediment</t>
  </si>
  <si>
    <t>sesrs:Biogenic_Silica_Sedimentary_Rock</t>
  </si>
  <si>
    <t>biogenic silica sedimentary rock</t>
  </si>
  <si>
    <t>sesrs:Glaucophane_Lawsonite_Epidote_Metamorphic_Rock</t>
  </si>
  <si>
    <t>blueschist</t>
  </si>
  <si>
    <t>sesrs:Boninite</t>
  </si>
  <si>
    <t>boninite</t>
  </si>
  <si>
    <t>rksd:Breccia</t>
  </si>
  <si>
    <t>Breccia</t>
  </si>
  <si>
    <t>rksd:breccia_gouge_series</t>
  </si>
  <si>
    <t>breccia gouge series</t>
  </si>
  <si>
    <t>sesrs:Calcsilicate_Metamorphic_Rock</t>
  </si>
  <si>
    <t>calc silicate metamorphic rock</t>
  </si>
  <si>
    <t>sesrs:Calcareous_Carbonate_Sediment</t>
  </si>
  <si>
    <t>calcareous carbonate sediment</t>
  </si>
  <si>
    <t>sesrs:Calcareous_Carbonate_Sedimentary_Material</t>
  </si>
  <si>
    <t>calcareous carbonate sedimentary material</t>
  </si>
  <si>
    <t>sesrs:Calcareous_Carbonate_Sedimentary_Rock</t>
  </si>
  <si>
    <t>calcareous carbonate sedimentary rock</t>
  </si>
  <si>
    <t>sesrs:Carbonate_Mud</t>
  </si>
  <si>
    <t>carbonate mud</t>
  </si>
  <si>
    <t>sesrs:Carbonate_Mudstone</t>
  </si>
  <si>
    <t>carbonate mudstone</t>
  </si>
  <si>
    <t>sesrs:Carbonate_Ooze</t>
  </si>
  <si>
    <t>carbonate ooze</t>
  </si>
  <si>
    <t>sesrs:Carbonate_Rich_Mud</t>
  </si>
  <si>
    <t>carbonate rich mud</t>
  </si>
  <si>
    <t>sesrs:Carbonate_Rich_Mudstone</t>
  </si>
  <si>
    <t>carbonate rich mudstone</t>
  </si>
  <si>
    <t>rksd:Carbonate_Sediment</t>
  </si>
  <si>
    <t>carbonate sediment</t>
  </si>
  <si>
    <t>sesrs:Carbonate_Sedimentary_Material</t>
  </si>
  <si>
    <t>Carbonate sedimentary material</t>
  </si>
  <si>
    <t>rksd:Carbonate_Sedimentary_Rock</t>
  </si>
  <si>
    <t>carbonate sedimentary rock</t>
  </si>
  <si>
    <t>sesrs:Carbonatite</t>
  </si>
  <si>
    <t>carbonatite</t>
  </si>
  <si>
    <t>rksd:Cataclasite_Series</t>
  </si>
  <si>
    <t>cataclasite series</t>
  </si>
  <si>
    <t>rksd:Chemical_Sedimentary_Material</t>
  </si>
  <si>
    <t>chemical sedimentary material</t>
  </si>
  <si>
    <t>rksd:Clastic_Sediment</t>
  </si>
  <si>
    <t>clastic sediment</t>
  </si>
  <si>
    <t>sesrs:Clastic_Sedimentary_Material</t>
  </si>
  <si>
    <t>clastic sedimentary material</t>
  </si>
  <si>
    <t>rksd:Clastic_Sedimentary_Rock</t>
  </si>
  <si>
    <t>clastic sedimentary rock</t>
  </si>
  <si>
    <t>sesrs:Claystone</t>
  </si>
  <si>
    <t>claystone</t>
  </si>
  <si>
    <t>rksd:Coal</t>
  </si>
  <si>
    <t>coal</t>
  </si>
  <si>
    <t>sesrs:composite_genesis_material</t>
  </si>
  <si>
    <t>Composite genesis material</t>
  </si>
  <si>
    <t>sesrs:composite_genesis_rock</t>
  </si>
  <si>
    <t>Composite genesis rock</t>
  </si>
  <si>
    <t>sesrs:Concrete</t>
  </si>
  <si>
    <t>Concrete</t>
  </si>
  <si>
    <t>sesrs:Clastic_Conglomerate</t>
  </si>
  <si>
    <t>conglomerate</t>
  </si>
  <si>
    <t>rksd:Dacite</t>
  </si>
  <si>
    <t>dacite</t>
  </si>
  <si>
    <t>rksd:Diamictite</t>
  </si>
  <si>
    <t>diamictite</t>
  </si>
  <si>
    <t>rksd:Diamicton</t>
  </si>
  <si>
    <t>diamicton</t>
  </si>
  <si>
    <t>rksd:Dioritoid</t>
  </si>
  <si>
    <t>dioritoid</t>
  </si>
  <si>
    <t>mat:dispersedmedia</t>
  </si>
  <si>
    <t>Dispersed media</t>
  </si>
  <si>
    <t>rksd:Doleritic_Rock</t>
  </si>
  <si>
    <t>doleritic rock</t>
  </si>
  <si>
    <t>sesrs:Dolostone</t>
  </si>
  <si>
    <t>dolomite</t>
  </si>
  <si>
    <t>sesrs:Dolomitic_Or_Magnesian_Sedimentary_Material</t>
  </si>
  <si>
    <t>dolomitic or magnesian sedimentary material</t>
  </si>
  <si>
    <t>sesrs:Dolomitic_Or_Magnesian_Sedimentary_Rock</t>
  </si>
  <si>
    <t>dolomitic or magnesian sedimentary rock</t>
  </si>
  <si>
    <t>sesrs:Dolomitic_Sediment</t>
  </si>
  <si>
    <t>dolomitic sediment</t>
  </si>
  <si>
    <t>sesrs:duricrust</t>
  </si>
  <si>
    <t>Duricrust</t>
  </si>
  <si>
    <t>sesrs:Eclogite</t>
  </si>
  <si>
    <t>eclogite</t>
  </si>
  <si>
    <t>sesrs:evaporite</t>
  </si>
  <si>
    <t>Evaporite</t>
  </si>
  <si>
    <t>sesrs:Exotic_Alkaline_Rock</t>
  </si>
  <si>
    <t>exotic alkaline rock</t>
  </si>
  <si>
    <t>rksd:Exotic_Composition_Igneous_Rock</t>
  </si>
  <si>
    <t>exotic composition igneous rock</t>
  </si>
  <si>
    <t>sesrs:exotic_evaporite</t>
  </si>
  <si>
    <t>exotic evaporite</t>
  </si>
  <si>
    <t>rksd:Fault_Related_Material</t>
  </si>
  <si>
    <t>Fault related material</t>
  </si>
  <si>
    <t>sesrs:Felsic_Volcanic_Material</t>
  </si>
  <si>
    <t>Felsic volcanic material</t>
  </si>
  <si>
    <t>rksd:Fine_Grained_Igneous_Rock</t>
  </si>
  <si>
    <t>fine grained igneous rock</t>
  </si>
  <si>
    <t>mat:fluid</t>
  </si>
  <si>
    <t>Fluid material</t>
  </si>
  <si>
    <t>rksd:Foid_Dioritoid</t>
  </si>
  <si>
    <t>foid dioritoid</t>
  </si>
  <si>
    <t>rksd:Foid_Gabbroid</t>
  </si>
  <si>
    <t>foid gabbroid</t>
  </si>
  <si>
    <t>rksd:Foid_Syenitoid</t>
  </si>
  <si>
    <t>foid syenitoid</t>
  </si>
  <si>
    <t>rksd:Foiditoid</t>
  </si>
  <si>
    <t>foiditoid</t>
  </si>
  <si>
    <t>rksd:Foidolite</t>
  </si>
  <si>
    <t>foidolite</t>
  </si>
  <si>
    <t>sesrs:Foliated_Metamorphic_Rock</t>
  </si>
  <si>
    <t>foliated metamorphic rock</t>
  </si>
  <si>
    <t>sesrs:Fragmental_Igneous_Material</t>
  </si>
  <si>
    <t>fragmental igneous material</t>
  </si>
  <si>
    <t>rksd:Fragmental_Igneous_Rock</t>
  </si>
  <si>
    <t>fragmental igneous rock</t>
  </si>
  <si>
    <t>sesrs:Framestone</t>
  </si>
  <si>
    <t>framestone</t>
  </si>
  <si>
    <t>mat:waterice</t>
  </si>
  <si>
    <t>Frozen water</t>
  </si>
  <si>
    <t>rksd:Gabbroic_Rock</t>
  </si>
  <si>
    <t>gabbroic rock</t>
  </si>
  <si>
    <t>rksd:Gabbroid</t>
  </si>
  <si>
    <t>gabbroid</t>
  </si>
  <si>
    <t>mat:gas</t>
  </si>
  <si>
    <t>Gaseous material</t>
  </si>
  <si>
    <t>rksd:Generic_Conglomerate</t>
  </si>
  <si>
    <t>generic conglomerate</t>
  </si>
  <si>
    <t>rksd:Generic_Mudstone</t>
  </si>
  <si>
    <t>generic mudstone</t>
  </si>
  <si>
    <t>rksd:Generic_Sandstone</t>
  </si>
  <si>
    <t>Generic sandstone</t>
  </si>
  <si>
    <t>rksd:Glass_Rich_Igneous_Rock</t>
  </si>
  <si>
    <t>glass rich igneous rock</t>
  </si>
  <si>
    <t>sesrs:Gneiss</t>
  </si>
  <si>
    <t>gneiss</t>
  </si>
  <si>
    <t>sesrs:Grainstone</t>
  </si>
  <si>
    <t>grainstone</t>
  </si>
  <si>
    <t>rksd:Granite</t>
  </si>
  <si>
    <t>granite</t>
  </si>
  <si>
    <t>rksd:Granitoid</t>
  </si>
  <si>
    <t>granitoid</t>
  </si>
  <si>
    <t>rksd:Granodiorite</t>
  </si>
  <si>
    <t>granodiorite</t>
  </si>
  <si>
    <t>sesrs:Granofels</t>
  </si>
  <si>
    <t>granofels</t>
  </si>
  <si>
    <t>sesrs:Granulite</t>
  </si>
  <si>
    <t>granulite</t>
  </si>
  <si>
    <t>sesrs:Gravel</t>
  </si>
  <si>
    <t>gravel</t>
  </si>
  <si>
    <t>rksd:Gravel_Size_Sediment</t>
  </si>
  <si>
    <t>gravel size sediment</t>
  </si>
  <si>
    <t>sesrs:greenstone</t>
  </si>
  <si>
    <t>greenstone</t>
  </si>
  <si>
    <t>sesrs:greisen</t>
  </si>
  <si>
    <t>Greisen</t>
  </si>
  <si>
    <t>sesrs:rock_gypsum_or_anhydrite</t>
  </si>
  <si>
    <t>gypsum or anhydrite</t>
  </si>
  <si>
    <t>rksd:High_Magnesium_Fine_Grained_Igneous_Rock</t>
  </si>
  <si>
    <t>high magnesium fine grained igneous rock</t>
  </si>
  <si>
    <t>rksd:Hornblendite</t>
  </si>
  <si>
    <t>hornblendite</t>
  </si>
  <si>
    <t>sesrs:Hornfels</t>
  </si>
  <si>
    <t>hornfels</t>
  </si>
  <si>
    <t>rksd:Hybrid_Sediment</t>
  </si>
  <si>
    <t>Hybrid sediment</t>
  </si>
  <si>
    <t>rksd:Hybrid_Sedimentary_Rock</t>
  </si>
  <si>
    <t>hybrid sedimentary rock</t>
  </si>
  <si>
    <t>sesrs:hydrothermal_massive_sulphide</t>
  </si>
  <si>
    <t>Hydrothermal Massive Sulphide</t>
  </si>
  <si>
    <t>rksd:Hypabyssal_Intrusive_Rock</t>
  </si>
  <si>
    <t>hypabyssal intrusive rock</t>
  </si>
  <si>
    <t>sesrs:igneous_material</t>
  </si>
  <si>
    <t>Igneous material</t>
  </si>
  <si>
    <t>rksd:Igneous_Rock</t>
  </si>
  <si>
    <t>Igneous rock</t>
  </si>
  <si>
    <t>rksd:Impact_Generated_Material</t>
  </si>
  <si>
    <t>Impact generated material</t>
  </si>
  <si>
    <t>sesrs:Impure_Calcareous_Carbonate_Sediment</t>
  </si>
  <si>
    <t>impure calcareous carbonate sediment</t>
  </si>
  <si>
    <t>sesrs:Impure_Carbonate_Sedimentary_Rock</t>
  </si>
  <si>
    <t>impure carbonate sedimentary rock</t>
  </si>
  <si>
    <t>sesrs:Impure_Dolostone</t>
  </si>
  <si>
    <t>impure dolomite</t>
  </si>
  <si>
    <t>sesrs:Impure_Dolomitic_Sediment</t>
  </si>
  <si>
    <t>impure dolomitic sediment</t>
  </si>
  <si>
    <t>sesrs:Impure_Limestone</t>
  </si>
  <si>
    <t>impure limestone</t>
  </si>
  <si>
    <t>sesrs:intermediate_volcanic_material</t>
  </si>
  <si>
    <t>Intermediate color volcanic material</t>
  </si>
  <si>
    <t>sesrs:Intermediate_Composition_Igneous_Material</t>
  </si>
  <si>
    <t>intermediate composition igneous material</t>
  </si>
  <si>
    <t>rksd:Intermediate_Composition_Igneous_Rock</t>
  </si>
  <si>
    <t>intermediate composition igneous rock</t>
  </si>
  <si>
    <t>rksd:Iron_Rich_Sediment</t>
  </si>
  <si>
    <t>iron rich sediment</t>
  </si>
  <si>
    <t>sesrs:iron_rich_sedimentary_material</t>
  </si>
  <si>
    <t>Iron rich sedimentary material</t>
  </si>
  <si>
    <t>rksd:Iron_Rich_Sedimentary_Rock</t>
  </si>
  <si>
    <t>iron rich sedimentary rock</t>
  </si>
  <si>
    <t>sesrs:Kalsilitic_And_Melilitic_Rock</t>
  </si>
  <si>
    <t>kalsilitic and melilitic rocks</t>
  </si>
  <si>
    <t>sesrs:Komatiitic_Rock</t>
  </si>
  <si>
    <t>komatiitic rock</t>
  </si>
  <si>
    <t>sesrs:Lava</t>
  </si>
  <si>
    <t>Lava</t>
  </si>
  <si>
    <t>sesrs:Lignite</t>
  </si>
  <si>
    <t>lignite</t>
  </si>
  <si>
    <t>sesrs:Limestone</t>
  </si>
  <si>
    <t>limestone</t>
  </si>
  <si>
    <t>mat:liquidwater</t>
  </si>
  <si>
    <t>Liquid water</t>
  </si>
  <si>
    <t>sesrs:mafic_volcanic_material</t>
  </si>
  <si>
    <t>Mafic volcanic material</t>
  </si>
  <si>
    <t>sesrs:manganese_rich_sedimentary_material</t>
  </si>
  <si>
    <t>Manganese rich sedimentary material</t>
  </si>
  <si>
    <t>sesrs:Manufactured_Chemical_Substance</t>
  </si>
  <si>
    <t>Manufactured chemical substance</t>
  </si>
  <si>
    <t>sesrs:marble</t>
  </si>
  <si>
    <t>marble</t>
  </si>
  <si>
    <t>rksd:Massive_Sulphide</t>
  </si>
  <si>
    <t>Massive sulphide</t>
  </si>
  <si>
    <t>sesrs:material_formed_in_surficial_environment</t>
  </si>
  <si>
    <t>Material formed in surficial environment</t>
  </si>
  <si>
    <t>sesrs:Matte</t>
  </si>
  <si>
    <t xml:space="preserve">Matte </t>
  </si>
  <si>
    <t>rksd:Metamorphic_Rock</t>
  </si>
  <si>
    <t>Metamorphic rock</t>
  </si>
  <si>
    <t>sesrs:meta_ultramafic_rock</t>
  </si>
  <si>
    <t>metamorphosed ultramafic rock</t>
  </si>
  <si>
    <t>sesrs:metaplutonic_rock</t>
  </si>
  <si>
    <t>metaplutonic rock</t>
  </si>
  <si>
    <t>sesrs:metasedimentary_rock</t>
  </si>
  <si>
    <t>metasedimentary rock</t>
  </si>
  <si>
    <t>rksd:Metasomatic_Rock</t>
  </si>
  <si>
    <t>metasomatic rock</t>
  </si>
  <si>
    <t>sesrs:metavolcanic_rock</t>
  </si>
  <si>
    <t>metavolcanic rock</t>
  </si>
  <si>
    <t>sesrs:migmatite</t>
  </si>
  <si>
    <t>migmatite</t>
  </si>
  <si>
    <t>mat:mineral</t>
  </si>
  <si>
    <t xml:space="preserve">Mineral </t>
  </si>
  <si>
    <t>sesrs:Mineral_Processing_Product</t>
  </si>
  <si>
    <t>Mineral processing product</t>
  </si>
  <si>
    <t>mat:mixedsoilsedimentrock</t>
  </si>
  <si>
    <t>Mixed soil sediment or rock</t>
  </si>
  <si>
    <t>rksd:Monzogabbroic_Rock</t>
  </si>
  <si>
    <t>monzogabbroic rock</t>
  </si>
  <si>
    <t>sesrs:Mud</t>
  </si>
  <si>
    <t>mud</t>
  </si>
  <si>
    <t>rksd:Mud_Size_Sediment</t>
  </si>
  <si>
    <t>mud size sediment</t>
  </si>
  <si>
    <t>sesrs:Clastic_Mudstone</t>
  </si>
  <si>
    <t>mudstone</t>
  </si>
  <si>
    <t>rksd:Mylonitic_Rock</t>
  </si>
  <si>
    <t>mylonitic rock</t>
  </si>
  <si>
    <t>mat:earthmaterial</t>
  </si>
  <si>
    <t>Natural Solid Material</t>
  </si>
  <si>
    <t>sesrs:Natural_Unconsolidated_Material</t>
  </si>
  <si>
    <t>Natural unconsolidated material</t>
  </si>
  <si>
    <t>rksd:Non_Clastic_Siliceous_Sediment</t>
  </si>
  <si>
    <t>non clastic siliceous sediment</t>
  </si>
  <si>
    <t>sesrs:Non_Clastic_Siliceous_Sedimentary_Material</t>
  </si>
  <si>
    <t>non clastic siliceous sedimentary material</t>
  </si>
  <si>
    <t>rksd:Non_Clastic_Siliceous_Sedimentary_Rock</t>
  </si>
  <si>
    <t>non clastic siliceous sedimentary rock</t>
  </si>
  <si>
    <t>mat:nonaqueousliquid</t>
  </si>
  <si>
    <t xml:space="preserve">Non-aqueous liquid material </t>
  </si>
  <si>
    <t>sesrs:Ooze</t>
  </si>
  <si>
    <t>ooze</t>
  </si>
  <si>
    <t>sesrs:ore</t>
  </si>
  <si>
    <t>Ore</t>
  </si>
  <si>
    <t>sesrs:Organic_Bearing_Mudstone</t>
  </si>
  <si>
    <t>organic bearing mudstone</t>
  </si>
  <si>
    <t>mat:organicmaterial</t>
  </si>
  <si>
    <t>Organic material</t>
  </si>
  <si>
    <t>sesrs:Organic_Rich_Sediment</t>
  </si>
  <si>
    <t>organic rich sediment</t>
  </si>
  <si>
    <t>sesrs:Organic_Rich_Sedimentary_Material</t>
  </si>
  <si>
    <t>organic rich sedimentary material</t>
  </si>
  <si>
    <t>rksd:Organic_Rich_Sedimentary_Rock</t>
  </si>
  <si>
    <t>organic rich sedimentary rock</t>
  </si>
  <si>
    <t>sesrs:Orthogneiss</t>
  </si>
  <si>
    <t>orthogneiss</t>
  </si>
  <si>
    <t>mat:otheranthropogenicmaterial</t>
  </si>
  <si>
    <t>Other anthropogenic material</t>
  </si>
  <si>
    <t>sesrs:Paragneiss</t>
  </si>
  <si>
    <t>paragneiss</t>
  </si>
  <si>
    <t>mat:particulate</t>
  </si>
  <si>
    <t>Particulate</t>
  </si>
  <si>
    <t>sesrs:Peat</t>
  </si>
  <si>
    <t>peat</t>
  </si>
  <si>
    <t>rksd:Pegmatite</t>
  </si>
  <si>
    <t>pegmatite</t>
  </si>
  <si>
    <t>rksd:Peridotite</t>
  </si>
  <si>
    <t>peridotite</t>
  </si>
  <si>
    <t>rksd:Phonolitoid</t>
  </si>
  <si>
    <t>phonolitoid</t>
  </si>
  <si>
    <t>rksd:Phosphate_Rich_Sediment</t>
  </si>
  <si>
    <t>phosphate rich sediment</t>
  </si>
  <si>
    <t>sesrs:Phosphate_Rich_Sedimentary_Material</t>
  </si>
  <si>
    <t>phosphate rich sedimentary material</t>
  </si>
  <si>
    <t>rksd:Phosphorite</t>
  </si>
  <si>
    <t>phosphorite</t>
  </si>
  <si>
    <t>sesrs:Phyllite</t>
  </si>
  <si>
    <t>phyllite</t>
  </si>
  <si>
    <t>rksd:Phaneritic_Igneous_Rock</t>
  </si>
  <si>
    <t>plutonic rock</t>
  </si>
  <si>
    <t>rksd:Porphyry</t>
  </si>
  <si>
    <t>porphyry</t>
  </si>
  <si>
    <t>sesrs:Pure_Calcareous_Carbonate_Sediment</t>
  </si>
  <si>
    <t>pure calcareous carbonate sediment</t>
  </si>
  <si>
    <t>sesrs:Pure_Carbonate_Mudstone</t>
  </si>
  <si>
    <t>pure carbonate mudstone</t>
  </si>
  <si>
    <t>sesrs:Pure_Carbonate_Sedimentary_Rock</t>
  </si>
  <si>
    <t>pure carbonate sedimentary rock</t>
  </si>
  <si>
    <t>sesrs:Pure_Dolomitic_Sediment</t>
  </si>
  <si>
    <t>pure dolomitic sediment</t>
  </si>
  <si>
    <t>sesrs:Pyroclastic_Material</t>
  </si>
  <si>
    <t>Pyroclastic material</t>
  </si>
  <si>
    <t>rksd:Pyroclastic_Rock</t>
  </si>
  <si>
    <t>pyroclastic rock</t>
  </si>
  <si>
    <t>rksd:Pyroxenite</t>
  </si>
  <si>
    <t>pyroxenite</t>
  </si>
  <si>
    <t>rksd:Quartz_Rich_Igneous_Rock</t>
  </si>
  <si>
    <t>quartz rich igneous rock</t>
  </si>
  <si>
    <t>sesrs:quartzite</t>
  </si>
  <si>
    <t>quartzite</t>
  </si>
  <si>
    <t>rksd:residual_material</t>
  </si>
  <si>
    <t>residual material</t>
  </si>
  <si>
    <t>rksd:Rhyolitoid</t>
  </si>
  <si>
    <t>rhyolitoid</t>
  </si>
  <si>
    <t>mat:rock</t>
  </si>
  <si>
    <t>Rock</t>
  </si>
  <si>
    <t>mat:rockorsediment</t>
  </si>
  <si>
    <t>Rock or sediment</t>
  </si>
  <si>
    <t>sesrs:rock_salt</t>
  </si>
  <si>
    <t>rock salt</t>
  </si>
  <si>
    <t>sesrs:rodingite</t>
  </si>
  <si>
    <t>Rodingite</t>
  </si>
  <si>
    <t>sesrs:Sand</t>
  </si>
  <si>
    <t>sand</t>
  </si>
  <si>
    <t>rksd:Sand_Size_Sediment</t>
  </si>
  <si>
    <t>sand size sediment</t>
  </si>
  <si>
    <t>sesrs:Clastic_Sandstone</t>
  </si>
  <si>
    <t>sandstone</t>
  </si>
  <si>
    <t>sesrs:Sapropel</t>
  </si>
  <si>
    <t>sapropel</t>
  </si>
  <si>
    <t>sesrs:Schist</t>
  </si>
  <si>
    <t>schist</t>
  </si>
  <si>
    <t>mat:sediment</t>
  </si>
  <si>
    <t>Sediment</t>
  </si>
  <si>
    <t>sesrs:sedimentary_massive_sulphide</t>
  </si>
  <si>
    <t>Sedimentary Massive Sulphide</t>
  </si>
  <si>
    <t>sesrs:sedimentary_material</t>
  </si>
  <si>
    <t>Sedimentary material</t>
  </si>
  <si>
    <t>rksd:Sedimentary_Rock</t>
  </si>
  <si>
    <t>Sedimentary rock</t>
  </si>
  <si>
    <t>sesrs:Serpentinite</t>
  </si>
  <si>
    <t>serpentinite</t>
  </si>
  <si>
    <t>sesrs:Shale</t>
  </si>
  <si>
    <t>shale</t>
  </si>
  <si>
    <t>sesrs:Silicate_Mud</t>
  </si>
  <si>
    <t>silicate mud</t>
  </si>
  <si>
    <t>sesrs:Silicate_Mudstone</t>
  </si>
  <si>
    <t>silicate mudstone</t>
  </si>
  <si>
    <t>sesrs:Siliceous_Ooze</t>
  </si>
  <si>
    <t>siliceous ooze</t>
  </si>
  <si>
    <t>sesrs:Siltstone</t>
  </si>
  <si>
    <t>siltstone</t>
  </si>
  <si>
    <t>sesrs:skarn</t>
  </si>
  <si>
    <t>skarn</t>
  </si>
  <si>
    <t>sesrs:Slag</t>
  </si>
  <si>
    <t xml:space="preserve">Slag </t>
  </si>
  <si>
    <t>sesrs:Slate</t>
  </si>
  <si>
    <t>slate</t>
  </si>
  <si>
    <t>mat:soil</t>
  </si>
  <si>
    <t>Soil</t>
  </si>
  <si>
    <t>sesrs:Spilite</t>
  </si>
  <si>
    <t>spilite</t>
  </si>
  <si>
    <t>rksd:Syenitoid</t>
  </si>
  <si>
    <t>syenitoid</t>
  </si>
  <si>
    <t>rksd:Tephra</t>
  </si>
  <si>
    <t>Tephra</t>
  </si>
  <si>
    <t>rksd:Tephritoid</t>
  </si>
  <si>
    <t>tephritoid</t>
  </si>
  <si>
    <t>rksd:Tonalite</t>
  </si>
  <si>
    <t>tonalite</t>
  </si>
  <si>
    <t>rksd:Trachytoid</t>
  </si>
  <si>
    <t>trachytoid</t>
  </si>
  <si>
    <t>sesrs:Travertine</t>
  </si>
  <si>
    <t>Travertine</t>
  </si>
  <si>
    <t>sesrs:Tuff_Breccia_Agglomerate_Or_Pyroclastic_Breccia</t>
  </si>
  <si>
    <t>tuff breccia agglomerate or pyroclastic breccia</t>
  </si>
  <si>
    <t>rksd:Tuffite</t>
  </si>
  <si>
    <t>Tuffite</t>
  </si>
  <si>
    <t>rksd:Ultrabasic_Igneous_Rock</t>
  </si>
  <si>
    <t>ultrabasic igneous rock</t>
  </si>
  <si>
    <t>rksd:Ultramafic_Igneous_Rock</t>
  </si>
  <si>
    <t>ultramafic igneous rock</t>
  </si>
  <si>
    <t>sesrs:ultramafic_plutonic_rock</t>
  </si>
  <si>
    <t>Ultramafic plutonic rock</t>
  </si>
  <si>
    <t>sesrs:ultramafic_volcanic_material</t>
  </si>
  <si>
    <t>Ultramafic volcanic material</t>
  </si>
  <si>
    <t>sesrs:Unconsolidated_Material</t>
  </si>
  <si>
    <t>Unconsolidated material</t>
  </si>
  <si>
    <t>sesrs:Volcanic_Material</t>
  </si>
  <si>
    <t>Volcanic Material</t>
  </si>
  <si>
    <t>rksd:Volcanic_Rock</t>
  </si>
  <si>
    <t>Volcanic rock</t>
  </si>
  <si>
    <t>sesrs:Wacke</t>
  </si>
  <si>
    <t>wacke</t>
  </si>
  <si>
    <t>LeMaitre et al. 2002</t>
  </si>
  <si>
    <t>Ultramafic, magnesium-rich volcanic rock, typically with spinifex texture of intergrown skeletal and bladed olivine and pyroxene crystals set in abundant glass. Includes komatiite and meimechite.</t>
  </si>
  <si>
    <t>Ultramafic phaneritic igneous rock composed almost entirely of one or more pyroxenes and occasionally biotite, hornblende and olivine. Includes rocks defined modally in the ultramafic rock classification as olivine pyroxenite, olivine-hornblende pyroxenite, pyroxenite, orthopyroxenite, clinopyroxenite and websterite.</t>
  </si>
  <si>
    <t>Ultramafic rock consisting of more than 40 percent (by volume) olivine with pyroxene and/or amphibole and little or no feldspar. commonly altered to serpentinite. Includes rocks defined modally in the ultramafic rock classification as dunite, harzburgite, lherzolite, wehrlite, olivinite, pyroxene peridotite, pyroxene hornblende peridotite or hornblende peridotite.</t>
  </si>
  <si>
    <t>Ultramafic rock that consists of greater than 40 percent hornblende plus pyroxene and has a hornblende to pyroxene ratio greater than 1. Includes olivine hornblendite, olivine-pyroxene hornblendite, pyroxene hornblendite, and hornblendite.</t>
  </si>
  <si>
    <t>SLTTs 2004</t>
  </si>
  <si>
    <t>Sedimentary material in which at least 50 percent of the primary and/or recrystallized constituents are phosphate minerals.</t>
  </si>
  <si>
    <t>Sedimentary material in which 50 percent or more of the primary sedimentary material is organic carbon.</t>
  </si>
  <si>
    <t>Sedimentary material that consists of at least 50 percent silicate mineral material, deposited directly by chemical or biological processes at the depositional surface, or in particles formed by chemical or biological processes within the basin of deposition.</t>
  </si>
  <si>
    <t>SLTTs 2004; Neuendorf et al. 2005</t>
  </si>
  <si>
    <t>Sedimentary material of unspecified consolidation state in which at least 50 percent of the constituent particles were derived from erosion, weathering, or mass-wasting of pre-existing earth materials, and transported to the place of deposition by mechanical agents such as water, wind, ice and gravity.</t>
  </si>
  <si>
    <t>Sedimentary material that consists of at least 50 percent material produced by inorganic chemical processes within the basin of deposition. Includes inorganic siliceous, carbonate, evaporite, iron-rich, and phosphatic sediment classes, as well as chemical sediments associated with submarine hot springs ('black smokers'). Note that these sediments might crystallize as a solid as they are deposited, thus similar to rock....</t>
  </si>
  <si>
    <t>Rock formed by accumulation and cementation of solid fragmental material deposited by air, water or ice, or as a result of other natural agents, such as precipitation from solution, the accumulation of organic material, or from biogenic processes, including secretion by organisms. Includes epiclastic deposits.</t>
  </si>
  <si>
    <t>Unconsolidated material consisting of an aggregation of particles transported or deposited by air, water or ice, or that accumulated by other natural agents, such as chemical precipitation, and that forms in layers on the Earth's surface. Includes epiclastic deposits.</t>
  </si>
  <si>
    <t>Solid granular material transported by wind, water, or gravity, not modified by interaction with biosphere or atmosphere (to differentiate from soil). Particles might be derived by erosion of pre-existing rock, from shell or other body parts from organisms, precipitated chemically in the surficial environment, or generated by explosive volcanic activity. (http://resource.geosciml.org/classifier/cgi/lithology/sediment). Sediment is not consolidated, i.e. the particulate constituents do not adhere to each other strongly enough that the aggregate can be considered a solid material in its own right. Similar to http://purl.obolibrary.org/obo/ENVO_00002007</t>
  </si>
  <si>
    <t>Solid granular material transported by wind, water, or gravity, not modified by interaction with biosphere or atmosphere (to differentiate from soil). Particles derived by erosion of pre-existing rock, from shell or other body parts from organisms, precipitated chemically in the surficial environment, or generated by explosive volcanic activity. (http://resource.geosciml.org/classifier/cgi/lithology/sediment). Sediment is not consolidated, i.e. Particulate constituents of a compound material do not adhere to each other strongly enough that the aggregate can be considered a solid material in its own right. Similar to http://purl.obolibrary.org/obo/ENVO_00002007</t>
  </si>
  <si>
    <t>Sedimentary material in which at least 50 percent of the primary and/or recrystallized constituents are composed of one (or more) of the carbonate minerals calcite, aragonite and dolomite, in particles of intrabasinal origin.</t>
  </si>
  <si>
    <t>Neuendorf et al. 2005</t>
  </si>
  <si>
    <t>Rock consisting of more than 75 percent serpentine-group minerals, eg. antigorite, chrysotile or lizardite; accessory chlorite, talc and magnetite may be present; derived from hydration of ferromagnesian silicate minerals such as olivine and pyroxene.</t>
  </si>
  <si>
    <t>This vocabulary</t>
  </si>
  <si>
    <t>Material of composite origin resulting from weathering processes at the Earth's surface, with genesis dominated by removal of chemical constituents by aqueous leaching. Minor clastic, chemical, or organic input may also contribute. Consolidation state is not inherent in definition, but typically material is unconsolidated or weakly consolidated.</t>
  </si>
  <si>
    <t>Mixed granular mineral and organic matter modified by interaction between earth material, biosphere, and atmosphere, consisting of varying proportions of sand, silt, and clay, organic material such as humus, gases, liquids, and a broad range of resident micro- and macroorganisms. (https://en.wikipedia.org/wiki/Soil) Soil consists of horizons near the Earth's surface that, in contrast to the underlying parent material, have been altered by the interactions of climate, relief, and living organisms over time. (http://www.nrcs.usda.gov/wps/portal/nrcs/detail/soils/edu/?cid=nrcs142p2_054280) (http://purl.obolibrary.org/obo/ENVO_00001998)</t>
  </si>
  <si>
    <t>Rock forming a hard crust or layer at or near the Earth's surface at the time of formation, e.g. in the upper horizons of a soil, characterized by structures indicative of pedogenic origin.</t>
  </si>
  <si>
    <t>Hallsworth and Knox 1999; SLTTs 2004</t>
  </si>
  <si>
    <t>Sedimentary rock that consists of at least 50 percent iron-bearing minerals (hematite, magnetite, limonite-group, siderite, iron-sulfides), as determined by hand-lens or petrographic analysis. Corresponds to a rock typically containing 15 percent iron by weight.</t>
  </si>
  <si>
    <t>Sediment that consists of at least 50 percent iron-bearing minerals (hematite, magnetite, limonite-group, siderite, iron-sulfides), as determined by hand-lens or petrographic analysis. Corresponds to a rock typically containing 15 percent iron by weight.</t>
  </si>
  <si>
    <t>after LeMaitre et al. 2002</t>
  </si>
  <si>
    <t>Igneous material with between 52 and 63 percent SiO2.</t>
  </si>
  <si>
    <t>CGI concept definition task group</t>
  </si>
  <si>
    <t>igneous_material of unspecified consolidation state in which greater than 75 percent of the rock consists of fragments produced as a result of igneous rock-forming process.</t>
  </si>
  <si>
    <t>Igneous material with between 45 and 52 percent SiO2.</t>
  </si>
  <si>
    <t>Igneous material with more than 63 percent SiO2.</t>
  </si>
  <si>
    <t>Material exhibiting features demonstrating an extrusive igneous origin. Consolidated or non-consolidated</t>
  </si>
  <si>
    <t>Neuendorf et al 2005</t>
  </si>
  <si>
    <t>rock formed as a result of igneous processes, for example intrusion and cooling of magma in the crust, or volcanic eruption.</t>
  </si>
  <si>
    <t>Evaporite composed of at least 50 percent halite.</t>
  </si>
  <si>
    <t>Evaporite composed of at least 50 percent gypsum or anhydrite.</t>
  </si>
  <si>
    <t>Evaporite that is not 50 percent halite or 50 percent gypsum or anhydrite.</t>
  </si>
  <si>
    <t>Rock that has fabric and composition indicating open-system mineralogical and chemical changes in response to interaction with a fluid phase, typically water rich.</t>
  </si>
  <si>
    <t>Sibson, 1977; Scholz, 1990; Snoke and Tullis, 1998; Barker, 1998 Appendix II; NADM SLTTm, 2004</t>
  </si>
  <si>
    <t>Fault-related rock that maintained primary cohesion during deformation, with matrix comprising greater than 10 percent of rock mass; matrix is fine-grained material formed through grain size reduction by fracture as opposed to crystal plastic process that operate in mylonitic rock. Includes cataclasite, protocataclasite and ultracataclasite.</t>
  </si>
  <si>
    <t>Jackson 1997</t>
  </si>
  <si>
    <t>Rock formed by solid-state mineralogical, chemical and/or structural changes to a pre-existing rock, in response to marked changes in temperature, pressure, shearing stress and chemical environment.</t>
  </si>
  <si>
    <t>Material that is the product of weathering processes operating on pre-existing rocks or deposits, analogous to hydrothermal or metasomatic rocks, but formed at ambient Earth surface temperature and pressure.</t>
  </si>
  <si>
    <t>St÷ffler and Grieve 2007; Jackson 1997</t>
  </si>
  <si>
    <t>Material that contains features indicative of shock metamorphism, such as microscopic planar deformation features within grains or shatter cones, interpreted to be the result of extraterrestrial bolide impact. Includes breccias and melt rocks.</t>
  </si>
  <si>
    <t>This vocabulary; SLTTm 2004</t>
  </si>
  <si>
    <t>Material formed as a result brittle faulting, composed of greater than 10 percent matrix; matrix is fine-grained material caused by tectonic grainsize reduction. Includes cohesive (cataclasite series, mylonitic rocks) and non-cohesive (breccia-gouge series) material.</t>
  </si>
  <si>
    <t>SLTTm 2004</t>
  </si>
  <si>
    <t>Rock formed by geological modification of pre-existing rocks outside the realm of igneous and sedimentary processes. Includes rocks formed by impact metamorphism, standard dynamothermal metamorphism, brittle deformation, weathering, metasomatism and hydrothermal alteration (diagenesis is a sedimentary process in this context).</t>
  </si>
  <si>
    <t>Material derived from living organisms and composed primarily of one or more very large molecules of biological origin. Examples: body (animal or plant), body part, fecal matter, seeds, wood, tissue, biological fluids, biological waste, algal material, biofilm, necromass, plankton. source: http://purl.obolibrary.org/obo/ENVO_01000155</t>
  </si>
  <si>
    <t>Material produced by an organism but not composed of 'very large molecules of biological origin.' E.g. bone, tooth, shell, coral skeleton,</t>
  </si>
  <si>
    <t>CGI alterationtype SKOS vocabulary 2012-11-24</t>
  </si>
  <si>
    <t>definition missing</t>
  </si>
  <si>
    <t>zeolitic altered rock</t>
  </si>
  <si>
    <t>sesrs:zeolitic_altered_rock</t>
  </si>
  <si>
    <t>uralitised rock</t>
  </si>
  <si>
    <t>sesrs:uralitised_rock</t>
  </si>
  <si>
    <t>silicificed rock</t>
  </si>
  <si>
    <t>sesrs:silicified_rock</t>
  </si>
  <si>
    <t>serpentinised rock</t>
  </si>
  <si>
    <t>sesrs:serpentinised_rock</t>
  </si>
  <si>
    <t>https://en.wikipedia.org/wiki/Sericitic_alteration</t>
  </si>
  <si>
    <t>Rock in which plagioclase feldspar has been converted to sericite, an informal term for  fine-grained white phyllosilicate minerals. Commonly associated with phyllic altered rocks, used to describe less intense alteration.</t>
  </si>
  <si>
    <t>sericitic altered rock</t>
  </si>
  <si>
    <t>sesrs:sericitic_altered_rock</t>
  </si>
  <si>
    <t>https://www.britannica.com/science/saussuritization</t>
  </si>
  <si>
    <t>Rock in which calcium-bearing plagioclase feldspar is altered to an assemblage of minerals called saussurite, typically including zoisite, chlorite, amphibole, and carbonate minerals. Residual fluids present during the late stages of magmatic crystallization can react with previously formed plagioclase feldspar to form saussurite; the saussurite will be spread through the plagioclase or located near its outer margin. The plagioclase may be reconstituted into a more sodium-rich variety (albite), although the original form of the crystal is retained. Later hydrothermal alteration can produce the same result. Mafic rocks are especially susceptible to saussuritization owing to their high calcium content; the more calcium-rich portions of plagioclase in acidic rocks also are often saussuritized.</t>
  </si>
  <si>
    <t>saussuritised rock</t>
  </si>
  <si>
    <t>sesrs:saussuritised_rock</t>
  </si>
  <si>
    <t>pyritic altered rock</t>
  </si>
  <si>
    <t>sesrs:pyritic_altered_rock</t>
  </si>
  <si>
    <t>propylitic altered rock</t>
  </si>
  <si>
    <t>sesrs:propylitic_altered_rock</t>
  </si>
  <si>
    <t>potassic altered rock</t>
  </si>
  <si>
    <t>sesrs:potassic_altered_rock</t>
  </si>
  <si>
    <t>https://en.wikipedia.org/wiki/Phyllic_alteration</t>
  </si>
  <si>
    <t>Altered rock characterised by the assemblage of quartz + sericite + pyrite, and occurs at high temperatures and moderately acidic (low pH) conditions. Typically associated with copper porphyry ore deposits in calc-alkaline rocks.</t>
  </si>
  <si>
    <t>phyllic altered rock</t>
  </si>
  <si>
    <t>sesrs:phyllic_altered_rock</t>
  </si>
  <si>
    <t>kaolinitic altered rock</t>
  </si>
  <si>
    <t>sesrs:kaolinitic_altered_rock</t>
  </si>
  <si>
    <t>Williams, P.J., 1994, Aust. J. Earth Science, v41, p381-382</t>
  </si>
  <si>
    <t>Alteration characterized by finely dispersed hematite</t>
  </si>
  <si>
    <t>hematitic altered rock</t>
  </si>
  <si>
    <t>sesrs:hematitic_altered_rock</t>
  </si>
  <si>
    <t>epidote altered rock</t>
  </si>
  <si>
    <t>sesrs:epidote_altered_rock</t>
  </si>
  <si>
    <t>deuteric altered rock</t>
  </si>
  <si>
    <t>sesrs:deuteric_altered_rock</t>
  </si>
  <si>
    <t>chloritic altered rock</t>
  </si>
  <si>
    <t>sesrs:chloritic_altered_rock</t>
  </si>
  <si>
    <t>carbonate altered rock</t>
  </si>
  <si>
    <t>sesrs:carbonate_altered_rock</t>
  </si>
  <si>
    <t>calcsilicate altered rock</t>
  </si>
  <si>
    <t>sesrs:calcsilicate_altered_rock</t>
  </si>
  <si>
    <t>https://en.wikipedia.org/wiki/Argillic_alteration</t>
  </si>
  <si>
    <t>Argillic alteration is hydrothermal alteration of wall rock which introduces clay minerals including kaolinite, smectite and illite. The process generally occurs at low temperatures and may occur in atmospheric conditions. Argillic alteration is representative of supergene environments where low temperature groundwater becomes acidic. Argillic assemblages include kaolinite replacing plagioclase and montmorillonite replacing amphibole and plagioclase. Orthoclase is generally stable and unaffected. Argillic grades into phyllic alteration at higher temperatures in an ore deposit hydrothermal system.</t>
  </si>
  <si>
    <t>argillic altered rock</t>
  </si>
  <si>
    <t>sesrs:argillic_altered_rock</t>
  </si>
  <si>
    <t>alunitic altered rock</t>
  </si>
  <si>
    <t>sesrs:alunitic_altered_rock</t>
  </si>
  <si>
    <t>albitic altered rock</t>
  </si>
  <si>
    <t>sesrs:albitic_altered_rock</t>
  </si>
  <si>
    <t>Antonio Arribas, Jeffrey Hedenquist, 2019, Environments of advanced argillic alteration: II) steam-heated, and exploration implications: Conference: Society of Resource Geology Annual SymposiumAt: University of Tokyo, Tokyo (Japan)Volume: 69, accessed at https://www.researchgate.net/publication/334230797_Environments_of_advanced_argillic_alteration_II_steam-heated_and_exploration_implications#fullTextFileContent; Constantinos Mavrogonatos et al., 2018, Mineralogical Study of the Advanced Argillic Alteration Zone at the Konos Hill MoûCuûReûAu Porphyry Prospect, NE Greece: Minerals, 8, 479; doi:10.3390/min8110479;  https://en.wikipedia.org/wiki/Argillic_alteration</t>
  </si>
  <si>
    <t>Advanced argillic alteration occurs under lower pH and higher temperature conditions than argillic alteration. Kaolinite and dickite occur at lower temperatures whereas pyrophyllite and andalusite occur under high temperature conditions (T &gt; 300░C). Quartz deposition is common. Alunite, topaz, zunyite, tourmaline, enargite and tennantite may also occur. In many cases, advanced argillic alteration zones, or ôlithocapsö, develop at shallow levels above porphyry CuûAu deposits (e.g., Lepanto-Far Southeast, Philippines; Maricunga, Chile). Advanced argillic alteration mineral assemblages precipitate from SO2- and HCl-rich magmatic vapor, which arises from an underlying intrusive source, and can also form in supergene environments, due to post-hydrothermal weathering and oxidation of pyrite, locally creating pH&lt;1 liquid due to high concentrations of H2SO4 within the vadose zone, where kaolinite and alunite plus Fe hydroxides form.</t>
  </si>
  <si>
    <t>advanced argillic altered rock</t>
  </si>
  <si>
    <t>sesrs:advanced_argillic_altered_rock</t>
  </si>
  <si>
    <t>Rock that exhibits direct evidence of extrusive igneous processes in its genesis.</t>
  </si>
  <si>
    <t>material produced by volcanic processes that consists of greater than 90 percent mafic minerals.</t>
  </si>
  <si>
    <t>Fragmental igneous material that consists of more than 75 percent of particles formed by disruption as a direct result of volcanic action.</t>
  </si>
  <si>
    <t>https://www.mindat.org/glossary/mafic</t>
  </si>
  <si>
    <t>Dark-colored material produced by volcanic processes, containing an abundance of ferromagnesian rock-forming silicates, especially Pyroxene Group, Amphibole Supergroup, olivine and biotite</t>
  </si>
  <si>
    <t>Material produced by volcanic processes, that has sub-equal proportion of light and dark colored mineral. Not recommended for usage with new sample registrations. (see acid, basic, intermediate composition categories)</t>
  </si>
  <si>
    <t>https://www.mindat.org/glossary/felsic</t>
  </si>
  <si>
    <t>light-colored material produced by volcanic processes, containing an abundance of quartz, feldspar, muscovite, or felspathoid (light-colored minerals).</t>
  </si>
  <si>
    <t>Unconsolidated material known to have natural, ie. not human-made, origin.</t>
  </si>
  <si>
    <t>Unconsolidated material known to have artificial (human-related) origin.</t>
  </si>
  <si>
    <t>sesrs:Trachytic_Rock</t>
  </si>
  <si>
    <t>Trachytoid that has a plagioclase to total feldspar ratio between 0.1 and 0.35, between 0 and 5 percent quartz in the QAPF fraction, and no feldspathoid minerals. QAPF field 7.</t>
  </si>
  <si>
    <t>trachyte</t>
  </si>
  <si>
    <t>sesrs:Trachyte</t>
  </si>
  <si>
    <t>Trachytic rock that contains between 5 and 20 percent quartz in the QAPF fraction. QAPF field 7*.</t>
  </si>
  <si>
    <t>quartz trachyte</t>
  </si>
  <si>
    <t>sesrs:Quartz_Trachyte</t>
  </si>
  <si>
    <t>Trachytic rock that contains between 0 and 10 percent feldspathoid in the QAPF fraction, and no quartz. QAPF field 7'.</t>
  </si>
  <si>
    <t>foid bearing trachyte</t>
  </si>
  <si>
    <t>sesrs:Foid_Bearing_Trachyte</t>
  </si>
  <si>
    <t>sesrs:Syenitic_Rock</t>
  </si>
  <si>
    <t>Syenitic rock that contains between 0 and 5 percent quartz and no feldspathoid mineral in the QAPF fraction. Defined modally in QAPF Field 7.</t>
  </si>
  <si>
    <t>syenite</t>
  </si>
  <si>
    <t>sesrs:Syenite</t>
  </si>
  <si>
    <t>Syenitic rock that contains between 5 and 20 percent quartz in the QAPF fraction. Defined modally in QAPF Field 7*.</t>
  </si>
  <si>
    <t>quartz syenite</t>
  </si>
  <si>
    <t>sesrs:Quartz_Syenite</t>
  </si>
  <si>
    <t>Syenitic rock that contains between 0 and 10 percent feldspathoid mineral and no quartz in the QAPF fraction. Defined modally in QAPF Field 7'.</t>
  </si>
  <si>
    <t>foid bearing syenite</t>
  </si>
  <si>
    <t>sesrs:Foid_Bearing_Syenite</t>
  </si>
  <si>
    <t>Ooze that consists of more than 50 percent siliceous skeletal remains</t>
  </si>
  <si>
    <t>A schist that consists of more than 50 percent mica minerals, typically muscovite or biotite. Special type included to distinguish this common variety of schist.</t>
  </si>
  <si>
    <t>mica schist</t>
  </si>
  <si>
    <t>sesrs:Mica_Schist</t>
  </si>
  <si>
    <t>based on LeMaitre et al. 2002</t>
  </si>
  <si>
    <t>Fragmental igneous rock that consists of greater than 75 percent fragments produced as a direct result of eruption or extrusion of magma from within the earth onto its surface. Includes autobreccia associated with lava flows and excludes deposits reworked by epiclastic processes.</t>
  </si>
  <si>
    <t>Hallsworth and Knox 1999; LeMaitre et al. 2002</t>
  </si>
  <si>
    <t>Unconsolidated pyroclastic material in which greater than 75 percent of the fragments are deposited as a direct result of volcanic processes and the deposit has not been reworked by epiclastic processes. Includes ash, lapilli tephra, bomb tephra, block tephra and unconsolidated agglomerate.</t>
  </si>
  <si>
    <t>Dunham 1962</t>
  </si>
  <si>
    <t>Mudstone that consists of greater than 90 percent carbonate minerals of intrabasinal orign in the mud fraction, and contains less than 10 percent allochems. The original depositional texture is preserved and fabric is matrix supported. Carbonate mudstone of Dunham (1962)</t>
  </si>
  <si>
    <t>Pure carbonate sedimentary rock with a calcite (plus aragonite) to dolomite ratio greater than 1 to 1. Includes limestone and dolomitic limestone.</t>
  </si>
  <si>
    <t>Pure carbonate sedimentary rock with a ratio of magnesium carbonate to calcite (plus aragonite) greater than 1 to 1.</t>
  </si>
  <si>
    <t>sesrs:Pure_Carbonate_Sediment</t>
  </si>
  <si>
    <t>Carbonate sediment in which greater than 90 percent of the constituents are composed of one (or more) of the carbonate minerals in particles of intrabasinal origin, and a ratio of magnesium carbonate to calcite (plus aragonite) greater than 1 to 1.</t>
  </si>
  <si>
    <t>Carbonate sediment in which greater than 90 percent of the constituents are composed of one (or more) of the carbonate minerals in particles of intrabasinal origin, and a calcite (plus aragonite) to dolomite ratio greater than 1 to 1.</t>
  </si>
  <si>
    <t>HallsworthandKnox 1999, Jackson 1997</t>
  </si>
  <si>
    <t>Sedimentary rock in which at least 50 percent of the primary or recrystallized constituents are phosphate minerals. Most commonly occurs as a bedded primary or reworked secondary marine rock, composed of microcrystalline carbonate fluorapatite in the form of lamina, pellets, oolites and nodules, and skeletal, shell and bone fragments.</t>
  </si>
  <si>
    <t>Sediment in which at least 50 percent of the primary and/or recrystallized constituents are phosphate minerals.</t>
  </si>
  <si>
    <t>Sedimentary rock with color, composition, texture and apparent density indicating greater than 50 percent organic content by weight on a moisture-free basis.</t>
  </si>
  <si>
    <t>Sediment with color, composition, texture and apparent density indicating greater than 50 percent organic content by weight on a moisture-free basis.</t>
  </si>
  <si>
    <t>Jelly like organic rich sediment composed of plant remains, usually algal. Liptinite to Inertinite ratio is greater than one (Economic commission for Europe, committee on Sustainable Energy- United Nations (ECE-UN), 1998, International Classification of in-Seam Coals: Energy 19, 41 pp.)</t>
  </si>
  <si>
    <t>Hallsworth and Knox 1999</t>
  </si>
  <si>
    <t>Unconsolidated organic-rich sediment composed of at least 50 percent semi-carbonised plant remains; individual remains commonly seen with unaided eye; yellowish brown to brownish black; generally fibrous texture; can be plastic or friable. In its natural state it can be readily cut and has a very high moisture content, generally greater than 90 percent. Liptinite to Inertinite ratio is less than one (Economic commission for Europe, committee on Sustainable Energy- United Nations (ECE-UN), 1998, International Classification of in-Seam Coals: Energy 19, 41 pp.)</t>
  </si>
  <si>
    <t>ooze that consists of more than 50 percent carbonate skeletal remains</t>
  </si>
  <si>
    <t>modified from SLTTs 2004</t>
  </si>
  <si>
    <t>Sedimentary rock that consists of at least 50 percent silicate mineral material, deposited directly by chemical or biological processes at the depositional surface, in particles formed by chemical or biological processes within the basin of deposition, or formed by diagenetic processes. Includes chert and flint found in carbonate rocks.</t>
  </si>
  <si>
    <t>NGMDB 2008; Hallsworth and Knox 1999</t>
  </si>
  <si>
    <t>Sediment that consists of at least 50 percent silicate mineral material, deposited directly by chemical or biological processes at the depositional surface, or in particles formed by chemical or biological processes within the basin of deposition.</t>
  </si>
  <si>
    <t>based on SLTTs 2004; Neuendorf et al. 2005; particle size from Wentworth grade scale</t>
  </si>
  <si>
    <t>Mud that consists of greater than 50 percent silt-size grains.</t>
  </si>
  <si>
    <t>silt</t>
  </si>
  <si>
    <t>sesrs:Silt</t>
  </si>
  <si>
    <t>Mud that consists of greater than 50 percent particles with grain size less than 0.004 mm</t>
  </si>
  <si>
    <t>clay</t>
  </si>
  <si>
    <t>sesrs:Clay</t>
  </si>
  <si>
    <t>sesrs:Monzonitic_Rock</t>
  </si>
  <si>
    <t>Monzonitic rock that contains 5-20 percent quartz iin the QAPF fraction. Includes rocks defined modally in QAPF Field 8*.</t>
  </si>
  <si>
    <t>quartz monzonite</t>
  </si>
  <si>
    <t>sesrs:Quartz_Monzonite</t>
  </si>
  <si>
    <t>Monzonitic rock that contains 0-5 percent quartz and no feldspathoid mineral in the QAPF fraction. Includes rocks defined modally in QAPF Field 8.</t>
  </si>
  <si>
    <t>monzonite</t>
  </si>
  <si>
    <t>sesrs:Monzonite</t>
  </si>
  <si>
    <t>Monzonitic rock that contains 0-10 percent feldspathoid mineral and no quartz in the QAPF fraction. Includes rocks defined modally in QAPF Field 8'.</t>
  </si>
  <si>
    <t>foid bearing monzonite</t>
  </si>
  <si>
    <t>sesrs:Foid_Bearing_Monzonite</t>
  </si>
  <si>
    <t>sesrs:Monzodioritic_Rock</t>
  </si>
  <si>
    <t>Monzodioritic rock that contains between 5 and 20 percent quartz.</t>
  </si>
  <si>
    <t>quartz monzodiorite</t>
  </si>
  <si>
    <t>sesrs:Quartz_Monzodiorite</t>
  </si>
  <si>
    <t>Phaneritic crystalline igneous rock consisting of sodic plagioclase (An0 to An50), alkali feldspar, hornblende and biotite, with or without pyroxene, and 0 to 5 percent quartz. Includes rocks defined modally in QAPF field 9.</t>
  </si>
  <si>
    <t>monzodiorite</t>
  </si>
  <si>
    <t>sesrs:Monzodiorite</t>
  </si>
  <si>
    <t>Monzodioritic rock that contains between 0 and 10 percent feldspathoid mineral.</t>
  </si>
  <si>
    <t>foid bearing monzodiorite</t>
  </si>
  <si>
    <t>sesrs:Foid_Bearing_Monzodiorite</t>
  </si>
  <si>
    <t>molten metal sulfide phases typically formed during smelting of copper, nickel, and other base metals (https://en.wikipedia.org/wiki/Matte_(metallurgy) )</t>
  </si>
  <si>
    <t>http://en.wikipedia.org/wiki/Chalk; C.S. Harris, 2009, unpublished web page, http://www.geologyshop.co.uk/chalk.htm</t>
  </si>
  <si>
    <t>A generally soft, white, very fine-grained, extremely pure, porous limestone. It forms under marine conditions from the gradual accumulation of skeletal elements from minute planktonic green algae (cocoliths), associated with varying proportions of larger microscopic fragments of bivalves, foraminifera and ostracods. It is common to find flint and chert nodules embedded in chalk.</t>
  </si>
  <si>
    <t>chalk</t>
  </si>
  <si>
    <t>sesrs:Chalk</t>
  </si>
  <si>
    <t>Neuendorf et al. 2005; http://en.wikipedia.org/wiki/Travertine; Chafetz, H.S., and Folk, R.L., 1984, Travertine: Depositional morphology an dthe bacterially constructed constituents: J. Sed. Petrology, v. 126, p.57-74.</t>
  </si>
  <si>
    <t>Biotically or abiotically precipitated calcium carbonate, from spring-fed, heated, or ambient-temperature water. May be white and spongy, various shades of orange, tan or gray, and ranges to dense, banded or laminated rock. Macrophytes, bryophytes, algae, cyanobacteria and other organisms often colonize the surface of travertine and may be preserved, to produce the porous varieties.</t>
  </si>
  <si>
    <t>sesrs:Latitic_Rock</t>
  </si>
  <si>
    <t>Latitic rock that contains between 5 and 20 percent quartz in the QAPF fraction. QAPF field 8*.</t>
  </si>
  <si>
    <t>quartz latite</t>
  </si>
  <si>
    <t>sesrs:Quartz_Latite</t>
  </si>
  <si>
    <t>Latitic rock that contains between 0 and 5 percent quartz and no feldspathoid in the QAPF fraction. QAPF field 8.</t>
  </si>
  <si>
    <t>latite</t>
  </si>
  <si>
    <t>sesrs:Latite</t>
  </si>
  <si>
    <t>Latitic rock that contains no quartz and between 0 and 10 percent feldspathoid minerals in the QAPF fraction. QAPF field 8'.</t>
  </si>
  <si>
    <t>foid bearing latite</t>
  </si>
  <si>
    <t>sesrs:Foid_Bearing_Latite</t>
  </si>
  <si>
    <t>Igneous rock with between 52 and 63 percent SiO2.</t>
  </si>
  <si>
    <t>Impure carbonate sedimentary rock with a calcite (plus aragonite) to dolomite ratio greater than 1 to 1.</t>
  </si>
  <si>
    <t>Impure carbonate sedimentary rock with a ratio of magnesium carbonate to calcite (plus aragonite) greater than 1 to 1.</t>
  </si>
  <si>
    <t>sesrs:Impure_Carbonate_Sediment</t>
  </si>
  <si>
    <t>Carbonate sediment in which between 50 and 90 percent of the constituents are composed of one (or more) of the carbonate minerals in particles of intrabasinal origin, and the ratio of magnesium carbonate to calcite (plus aragonite) greater than 1 to 1.</t>
  </si>
  <si>
    <t>Carbonate sediment in which between 50 and 90 percent of the constituents are composed of one (or more) of the carbonate minerals in particles of intrabasinal origin, and a calcite (plus aragonite) to dolomite ratio greater than 1 to 1.</t>
  </si>
  <si>
    <t>IUGS SCMR 2007 (http://www.bgs.ac.uk/SCMR/)</t>
  </si>
  <si>
    <t>Granofels formed by contact metamorphism, composed of a mosaic of equidimensional grains in a characteristically granoblastic or decussate matrix; porphyroblasts or relict phenocrysts may be present. Typically fine grained.</t>
  </si>
  <si>
    <t>A gneiss with mineralogy and texture indicating derivation from a sedimentary rock protolith. Typically consists of abundant quartz, mica, or calcsilicate minerals; aluminosilicate minerals or garnet commonly present. composition of rock tends to be more variable on a decimetric scale that in orthogneiss.</t>
  </si>
  <si>
    <t>A gneiss with mineralogy and texture indicating derivation from a phaneritic igneous rock protolith. Typically consists of abundant feldspar, with quartz, and variable hornblende, biotite, and muscovite, with a relatively homogeneous character.</t>
  </si>
  <si>
    <t>Igneous rock in which greater than 75 percent of the rock consists of fragments produced as a result of igneous rock-forming process. Includes pyroclastic rocks, autobreccia associated with lava flows and intrusive breccias. Excludes deposits reworked by epiclastic processes (see Tuffite)</t>
  </si>
  <si>
    <t>NADM metamorphic rock vocabulary SLTTm1.0; Neuendorf et al. 2005</t>
  </si>
  <si>
    <t>compact, fine grained rock with an average grain size less than 0.032 millimeter and a well developed schistosity (slaty cleavage), and hence can be split into slabs or thin plates.</t>
  </si>
  <si>
    <t>SLTTm 2004; Neuendorf et al. 2005</t>
  </si>
  <si>
    <t>Foliated phaneritic metamorphic rock with well developed, continuous schistosity, meaning that greater than 50 percent of the rock by volume is mineral grains with a thin tabular, lamellar, or acicular prismatic crystallographic habit that are oriented in a continuous planar or linear fabric.</t>
  </si>
  <si>
    <t>Rock with a well developed, continuous schistosity, an average grain size between 0.1 and 0.5 millimeters, and a silvery sheen on cleavage surfaces. Individual phyllosilicate grains are barely visible with the unaided eye.</t>
  </si>
  <si>
    <t>Marshak and Mitra 1988</t>
  </si>
  <si>
    <t>Metamorphic rock characterised by a foliation resulting from tectonic grain size reduction, in which more than 10 percent of the rock volume has undergone grain size reduction. Includes protomylonite, mylonite, ultramylonite, and blastomylonite.</t>
  </si>
  <si>
    <t>Foliated metamorphic rock with bands or lenticles rich in granular minerals alternating with bands or lenticles rich in minerals with a flaky or elongate prismatic habit. Mylonitic foliation or well developed, continuous schistosity (greater than 50 percent of the rock consists of grains participate in a planar or linear fabric) precludes classification with this concept.</t>
  </si>
  <si>
    <t>after SLTTs 2004, Hallsworth and Knox 1999</t>
  </si>
  <si>
    <t>Carbonate sediment with a ratio of magnesium carbonate to calcite (plus aragonite) greater than 1 to 1.</t>
  </si>
  <si>
    <t>Carbonate sedimentary rock with a ratio of magnesium carbonate to calcite (plus aragonite) greater than 1 to 1. Includes dolostone, lime dolostone and magnesite-stone.</t>
  </si>
  <si>
    <t>sesrs:Dioritic_Rock</t>
  </si>
  <si>
    <t>Dioritic rock that contains between 5 to 20 percent quartz in the QAPF fraction. QAPF field 10*.</t>
  </si>
  <si>
    <t>quartz diorite</t>
  </si>
  <si>
    <t>sesrs:Quartz_Diorite</t>
  </si>
  <si>
    <t>Dioritic rock that contains between 0 and 10 percent feldspathoid minerals in the QAPF fraction. QAPF field 10'.</t>
  </si>
  <si>
    <t>foid bearing diorite</t>
  </si>
  <si>
    <t>sesrs:Foid_Bearing_Diorite</t>
  </si>
  <si>
    <t>Phaneritic crystalline rock consisting of intermediate plagioclase, commonly with hornblende and often with biotite or augite; colour index M less than 90, sodic plagioclase (An0-An50), no feldspathoid, and between 0 and 5 percent quartz. Includes rocks defined modally in QAPF field 10 as diorite.</t>
  </si>
  <si>
    <t>diorite</t>
  </si>
  <si>
    <t>sesrs:Diorite</t>
  </si>
  <si>
    <t>Sedimentary rock in which at least 50 percent of the constituent particles were derived from erosion, weathering, or mass-wasting of pre-existing earth materials, and transported to the place of deposition by mechanical agents such as water, wind, ice and gravity.</t>
  </si>
  <si>
    <t>Sediment in which at least 50 percent of the constituent particles were derived from erosion, weathering, or mass-wasting of pre-existing earth materials, and transported to the place of deposition by mechanical agents such as water, wind, ice and gravity.</t>
  </si>
  <si>
    <t>Pettijohn, Potter, Siever, 1972, Sand and Sandstone: New York, Springer Verlag, 681 p.</t>
  </si>
  <si>
    <t>Clastic sandstone with more than 10 percent matrix of indeterminate detrital or diagenetic nature. Matrix is mud size silicate minerals (clay, feldspar, quartz, rock fragments, and alteration products).</t>
  </si>
  <si>
    <t>Clastic sandstone that contains less than 10 percent matrix. Matrix is mud-size silicate minerals (clay, feldspar, quartz, rock fragments, and alteration products) of detrital or diagenetic nature.</t>
  </si>
  <si>
    <t>Mudstone that contains detectable silt. (see comments)</t>
  </si>
  <si>
    <t>NADM SLTT sedimentary, 2004</t>
  </si>
  <si>
    <t>Laminated mudstone that will part or break along thin, closely spaced layers parallel to stratification.</t>
  </si>
  <si>
    <t>Mudstone that contains no detectable silt, inferred to consist virtually entirely of clay-size particles.</t>
  </si>
  <si>
    <t>Carbonate sedimentary material of unspecified consolidation degree with a ratio of magnesium carbonate to calcite (plus aragonite) greater than 1 to 1. Includes dolomite sediment, dolostone, lime dolostone and magnesite-stone.</t>
  </si>
  <si>
    <t>Sedimentary rock in which at least 50 percent of the primary and/or recrystallized constituents are composed of one (or more) of the carbonate minerals calcite, aragonite, magnesite or dolomite.</t>
  </si>
  <si>
    <t>Sediment in which at least 50 percent of the primary and/or recrystallized constituents are composed of one (or more) of the carbonate minerals calcite, aragonite and dolomite, in particles of intrabasinal origin.</t>
  </si>
  <si>
    <t>after Hallsworth and Knox 1999</t>
  </si>
  <si>
    <t>Carbonate sedimentary material of unspecified consolidation state with a calcite (plus aragonite) to dolomite ratio greater than 1 to 1. Includes lime-sediments, limestone and dolomitic limestone.</t>
  </si>
  <si>
    <t>SLTTs 2004; Hallsworth and Knox 1999</t>
  </si>
  <si>
    <t>Carbonate sedimentary rock with a calcite (plus aragonite) to dolomite ratio greater than 1 to 1. Includes limestone and dolomitic limestone.</t>
  </si>
  <si>
    <t>Carbonate sediment with a calcite (plus aragonite) to dolomite ratio greater than 1 to 1. Includes lime-sediments.</t>
  </si>
  <si>
    <t>Igneous rock with between 45 and 52 percent SiO2.</t>
  </si>
  <si>
    <t>Neuendorf et al 2005; LeMaitre et al. 2002; Gillespie and Styles 1999</t>
  </si>
  <si>
    <t>sesrs:Alkali_Feldspar_Trachytic_Rock</t>
  </si>
  <si>
    <t>Alkali feldspar trachytic rock that contains and between 5 and 20 percent quartz mineral in the QAPF fraction. QAPF field 6*.</t>
  </si>
  <si>
    <t>quartz alkali feldspar trachyte</t>
  </si>
  <si>
    <t>sesrs:Quartz_Alkali_Feldspar_Trachyte</t>
  </si>
  <si>
    <t>Alkali feldspar trachytic rock that contains no quartz and between 0 and 10 percent feldspathoid mineral in the QAPF fraction. QAPF field 6'.</t>
  </si>
  <si>
    <t>foid bearing alkali feldspar trachyte</t>
  </si>
  <si>
    <t>sesrs:Foid_Bearing_Alkali_Feldspar_Trachyte</t>
  </si>
  <si>
    <t>Trachytoid that has a plagioclase to total feldspar ratio less than 0.1, between 0 and 5 percent quartz in the QAPF fraction, and no feldspathoid minerals. QAPF field 6.</t>
  </si>
  <si>
    <t>alkali feldspar trachyte</t>
  </si>
  <si>
    <t>sesrs:Alkali_Feldspar_Trachyte</t>
  </si>
  <si>
    <t>sesrs:Alkali_Feldspar_Syenitic_Rock</t>
  </si>
  <si>
    <t>Alkali feldspar syenitic rock that contains 5 to 20 percent quartz and no feldspathoid in the QAPF fraction. QAPF field 6*.</t>
  </si>
  <si>
    <t>quartz alkali feldspar syenite</t>
  </si>
  <si>
    <t>sesrs:Quartz_Alkali_Feldspar_Syenite</t>
  </si>
  <si>
    <t>Alkali feldspar syenitic rock that contains 0-10 percent feldspathoid mineral and no quartz in the QAPF fraction. QAPF field 6'.</t>
  </si>
  <si>
    <t>foid bearing alkali feldspar syenite</t>
  </si>
  <si>
    <t>sesrs:Foid_Bearing_Alkali_Feldspar_Syenite</t>
  </si>
  <si>
    <t>Alkali feldspar syenitic rock that contains 0-5 percent quartz and no feldspathoid in the QAPF fraction. QAPF field 6.</t>
  </si>
  <si>
    <t>alkali feldspar syenite</t>
  </si>
  <si>
    <t>sesrs:Alkali_Feldspar_Syenite</t>
  </si>
  <si>
    <t>Igneous rock with more than 63 percent SiO2.</t>
  </si>
  <si>
    <t>Neuendorf et al. 2005 ; particle sizes defined from Krumbein phi scale (W C Krumbein and L L Sloss, Stratigraphy and Sedimentation, 2nd edition, Freeman, San Francisco, 1963; Krumbein and Pettijohn, 1938, Manual of Sedimentary Petrography: New York, Appleton Century Co., Inc.)</t>
  </si>
  <si>
    <t>Sediment in which less than 30 percent of particles are gravel (greater than 2 mm in diameter) and the sand to mud ratio is at least 1. composition or genesis of clasts not specified.</t>
  </si>
  <si>
    <t>based on SLTTs 2004; Neuendorf et al. 2005; particle sizes defined from Krumbein phi scale (W C Krumbein and L L Sloss, Stratigraphy and Sedimentation, 2nd edition, Freeman, San Francisco, 1963; Krumbein and Pettijohn, 1938, Manual of Sedimentary Petrography: New York, Appleton Century Co., Inc.)</t>
  </si>
  <si>
    <t>Sediment consisting of less than 30 percent gravel-size (2 mm) particles and with a mud-size to sand-size particle ratio greater than 1. Clasts may be of any composition or origin.  BGS  (Hallsworth and Knox, 1999, p. 9) define the  'upper size limit of mud ... at 32 micrometers (.032 mm)', but Wentworth scale and Krumbein scale put boundary at .064 or .062 mm (inidistinguishable difference in rocks...) BGS 'mud-grade sediment' or sedimentary rock definition is 'over 75% of the clasts smaller than  .032 mm', which is narrower than the definition here.</t>
  </si>
  <si>
    <t>Sediment consisting of less than 30 percent gravel-size (2 mm) particles and with a mud-size to sand-size particle ratio greater than 1. Clasts may be of any composition or origin.</t>
  </si>
  <si>
    <t>SLTTs 2004; particle sizes defined from Krumbein phi scale (W C Krumbein and L L Sloss, Stratigraphy and Sedimentation, 2nd edition, Freeman, San Francisco, 1963; Krumbein and Pettijohn, 1938, Manual of Sedimentary Petrography: New York, Appleton Century Co., Inc.)</t>
  </si>
  <si>
    <t>Sediment containing greater than 30 percent gravel-size particles (greater than 2.0 mm diameter). Composition or gensis of clasts not specified.</t>
  </si>
  <si>
    <t>Sediment composed of greater than 50 percent material of biogenic origin. Because the biogenic material may be skeletal remains that are not organic, all biogenic sediment is not necessarily organic-rich.</t>
  </si>
  <si>
    <t>Hallsworth and Knox, 1999</t>
  </si>
  <si>
    <t>Sediment that does not fit any of the other sediment composition/genesis categories. Sediment consisting of three or more components which form more than 5 percent but less than 50 precent of the material.</t>
  </si>
  <si>
    <t>Material formed by accumulation of solid fragmental material deposited by air, water or ice, or material that accumulated by other natural agents such as chemical precipitation from solution or secretion by organisms. Includes both sediment and sedimentary rock. Includes epiclastic deposits. All stated composition criteria are based on the mineral/ compound material (GeoSciML term)/particulate fraction of the material, irrespective of porosity or the pore-fluid. No distinctions are made based on porosity or pore fluid composition (except organic rich sediment in which liquid hydrocarbon content may be considered).</t>
  </si>
  <si>
    <t>Jackson, 1997; NADM C1 2004; Neuendorf et al 2005</t>
  </si>
  <si>
    <t>Consolidated aggregate of particles (grains) of rock, mineral (including native elements), mineraloid, or solid organic material. Includes mineral aggregates such as granite, shale, marble; natural glass such as obsidian; organic material formed by geologic processes such a coal;  extraterrestrial material in meteorites; and  crushed rock fragments like drill cuttings from rock.  (based on http://resource.geosciml.org/classifier/cgi/lithology/rock, same as http://purl.obolibrary.org/obo/ENVO_00001995)</t>
  </si>
  <si>
    <t>Consolidated aggregate of one or more EarthMaterials, or a body of undifferentiated mineral matter, or of solid organic material. Includes mineral aggregates such as granite, shale, marble; glassy matter such as obsidian; and organic material such a coal. Excludes unconsolidated materials.</t>
  </si>
  <si>
    <t>A natural Earth material containing a potentially economic quantity of extractable metals or other commodities.</t>
  </si>
  <si>
    <t>Earth material formed as a result of igneous processes, eg. intrusion and cooling of magma in the crust, volcanic eruption.</t>
  </si>
  <si>
    <t>Material of unspecified consolidation state formed by geological modification of pre-existing materials outside the realm of igneous and sedimentary processes. Includes rocks formed by impact metamorphism, standard dynamothermal metamorphism, brittle deformation, weathering, metasomatism and hydrothermal alteration (diagenesis is a sedimentary process in this context).</t>
  </si>
  <si>
    <t>Coarse-grained material composed of angular broken rock fragments; the fragments typically have sharp edges and unworn corners. The fragments may be held together by a mineral cement or in a fine-grained matrix, and consolidated or nonconsolidated. Clasts may be of any composition or origin. In sedimentary environments, breccia is used for material that consists entirely of angular fragments, mostly derived from a single source rock body, as in a rock avalanche deposit, and matrix is interpreted to be the product of comminution of clasts during transport. Diamictite or diamicton is used when the material reflects mixing of rock from a variety of sources, some sub angular or subrounded clasts may be present, and matrix is pre-existing fine grained material that is not a direct product of the brecciation/deposition process.</t>
  </si>
  <si>
    <t>LeMaitre et al. 2002; Murawski and Meyer 1998</t>
  </si>
  <si>
    <t>Rock consists of more than 50 percent particles of indeterminate pyroclastic or epiclastic origin and less than 75 percent particles of clearly pyroclastic origin. commonly the rock is laminated or exhibits size grading. (based on LeMaitre et al. 2002; Murawski and Meyer 1998).</t>
  </si>
  <si>
    <t>Provisional SMR 2020-06-07</t>
  </si>
  <si>
    <t>rock consisting of greater than 50% sulphide or sulfosalt minerals formed by any processes. Includes hydrothermal and sedimentary ehalative sulfide.</t>
  </si>
  <si>
    <t>Rock that is too fine grained to categorize in more detail.</t>
  </si>
  <si>
    <t>tuffit</t>
  </si>
  <si>
    <t>mat:material</t>
  </si>
  <si>
    <t>compoundMaterial composed of an aggregation of particles that do not adhere to each other strongly enough that the aggregate can be considered a solid in its own right.</t>
  </si>
  <si>
    <t>A naturally occurring solid material that is not anthropogenic, biogenic, or ice.</t>
  </si>
  <si>
    <t>Substance that continually deforms (flows) under an applied shear stress, or external force. Fluids are a phase of matter and include liquids, gases and plasmas. They are substances with zero or small shear modulus, and flow at a perceptible rate under any shear force applied to them. (https://en.wikipedia.org/wiki/Fluid)</t>
  </si>
  <si>
    <t>Material that contains discrete elements of some material dispersed in a continuous fluid medium.  The dispersed component can be a gas, a liquid or a solid (based on https://en.wikipedia.org/wiki/Dispersed_media). Does not include mixtures of granular material like soil, sediment, particulate, or solids that would be considered  rock material.</t>
  </si>
  <si>
    <t>Material formed by a living organism, organic or inorganic composition</t>
  </si>
  <si>
    <t>a material that is in a solid state under the temperature and pressure conditions of the preserved sample, but is a liquid or gas at Standard Temperature and Pressure (STP).</t>
  </si>
  <si>
    <t>Material produced by human activity.</t>
  </si>
  <si>
    <t>Liquid composed dominantly of material other than water. Includes liquids that do not fit in any other category. E.g. alcohol, petroleum.</t>
  </si>
  <si>
    <t>A material primarily composed of dihydrogen oxide in its liquid form; infer that the sample is curated in some kind of container.</t>
  </si>
  <si>
    <t>Material composed of one or more chemical entities that has neither independent shape nor volume but tends to expand indefinitely (http://purl.obolibrary.org/obo/ENVO_01000797). Infer that the sample is curated in some kind of container.</t>
  </si>
  <si>
    <t>Material is rock, sediment, or other non-consolidated igneous or composite gensis material.</t>
  </si>
  <si>
    <t>Material consists of microscopic particulate material derived by precipitation, filtering, or settling from suspension in a fluid, e.g. filtrate from water, deposition from atmosphere, astro material particles. Might include mineral, organic, or biological material. ENVO definition (ENVO_01000060) has "composed of microscopic portions of solid or liquid material suspended in another environmental material." Refine here to define as the solid particles, distinct from a material in which they are suspended. A material that includes solid or liquid particles suspended in another material would be a dispersed_media in this scheme, not defined in ENVO. Human manufactured particulates (e.g. rock powder) should be categorized as 'Anthropogenic material' as well as 'Particulate'</t>
  </si>
  <si>
    <t>Material is mixed aggregation of fragments of undifferentiated soil, sediment or rock origin. e.g. cuttings from some boreholes (rock fragments and caved soil or sediment).</t>
  </si>
  <si>
    <t>Material consists of a single mineral or mineraloid phase.  'A mineral is an element or chemical compound that is normally crystalline and that has been formed as a result of geological processes.' (Nickel, Ernest H. (1995), The definition of a mineral, The Canadian Mineralogist. 33 (3): 689û90). Include mineraloids. ... A material primarily composed of some substance that is naturally occurring, solid and stable at room temperature, representable by a chemical formula, usually abiogenic, and that has an ordered atomic structure. (http://purl.obolibrary.org/obo/ENVO_01000256). The identity of a mineral species is defined by a crystal structure and a chemical composition that might include various specific elemental substitutions in that structure. Mineraloid: A naturally occurring mineral-like substance that does not demonstrate crystallinity. Mineraloids possess chemical compositions that vary beyond the generally accepted ranges for specific minerals. Examples: obsidian, Opal. (https://en.wikipedia.org/wiki/Mineraloid)</t>
  </si>
  <si>
    <t>Water that is in a solid state.</t>
  </si>
  <si>
    <t>Non-metallic material produced by human activity. Organic products of agricultural activity are both anthropogenic and organic. Include lab preparations like XRF pellet and rock powders. Examples: ceramics, (anthropogenic) glass, waste.</t>
  </si>
  <si>
    <t>Includes tailings, slag, matte, concentrate etc, materials resulting from mineral processing for resource extraction</t>
  </si>
  <si>
    <t>material is an artifically produced sustance consisting of a single chemical entity</t>
  </si>
  <si>
    <t>https://en.wikipedia.org/wiki/Concrete</t>
  </si>
  <si>
    <t>Material composed of coarse- to medium-grained particulate material bonded together with a fluid cement that cures to a solid over time.</t>
  </si>
  <si>
    <t>Metal that has been produced or used by humans. Samples of naturally occurring metallic material (e.g. native copper, gold nuggets) should be considered mineral material. Metallic material is material that when polished or fractured, shows a lustrous appearance, and conducts electricity and heat relatively well. Metals are typically malleable (they can be hammered into thin sheets) or ductile (can be drawn into wires). The boundaries between metals, nonmetals, and metalloids fluctuate slightly due to a lack of universally accepted definitions of the categories involved. (https://en.wikipedia.org/wiki/Metal, c.f. http://purl.obolibrary.org/obo/ENVO_01001069)</t>
  </si>
  <si>
    <t>Eggleton 2001</t>
  </si>
  <si>
    <t>Highly aluminous material containing abundant aluminium hydroxides (gibbsite, less commonly boehmite, diaspore) and aluminium-substituted iron oxides or hydroxides and generally minor or negligible kaolin minerals; may contain up to 20 percent quartz. commonly has a pisolitic or nodular texture, and may be cemented.</t>
  </si>
  <si>
    <t>Volcanic Rock with features indicating origin by extrusive lava flow.</t>
  </si>
  <si>
    <t>Trachytoid that has a plagioclase to total feldspar ratio between 0.1 and 0.35. QAPF fields 7, 7', and 7*.</t>
  </si>
  <si>
    <t>trachytic rock</t>
  </si>
  <si>
    <t>Trachytoid that has a plagioclase to total feldspar ratio between 0.35 and 0.65. QAPF fields 8, 8' and 8*.</t>
  </si>
  <si>
    <t>latitic rock</t>
  </si>
  <si>
    <t>Trachytoid that has a plagioclase to total feldspar ratio less than 0.1. QAPF fields 6, 6', and 6*.</t>
  </si>
  <si>
    <t>alkali feldspar trachytic rock</t>
  </si>
  <si>
    <t>Tephritoid that has a plagioclase to total feldspar ratio greater than 0.9, and contains less than 10 percent normative (CIPW) olivine.</t>
  </si>
  <si>
    <t>tephrite</t>
  </si>
  <si>
    <t>sesrs:Tephrite</t>
  </si>
  <si>
    <t>Tephritoid that has a plagioclase to total feldspar ratio between 0.5 and 0.9, and contains less than 10 percent normative (CIPW) olivine.</t>
  </si>
  <si>
    <t>phonolitic tephrite</t>
  </si>
  <si>
    <t>sesrs:Phonolitic_Tephrite</t>
  </si>
  <si>
    <t>Tephritoid that has a plagioclase to total feldspar ratio between 0.5 and 0.9, and contains more than 10 percent normative (CIPW) olivine.</t>
  </si>
  <si>
    <t>phonolitic basanite</t>
  </si>
  <si>
    <t>sesrs:Phonolitic_Basanite</t>
  </si>
  <si>
    <t>Tephritoid that has a plagioclase to total feldspar ratio greater than 0.9, and contains more than 10 percent normative (CIPW) olivine.</t>
  </si>
  <si>
    <t>basanite</t>
  </si>
  <si>
    <t>sesrs:Basanite</t>
  </si>
  <si>
    <t>Schmid 1981; LeMaitre et al. 2002</t>
  </si>
  <si>
    <t>Tephra in which more than 25 percent of particles are greater than 64 mm in largest dimension. Includes ash breccia, bomb tephra and block tephra of Gillespie and Styles (1999)</t>
  </si>
  <si>
    <t>Tephra in which less than 25 percent of fragments are greater than 64 mm in longest dimension</t>
  </si>
  <si>
    <t>Syenitoid with a plagioclase to total feldspar ratio between 0.1 and 0.35. Includes rocks in QAPF fields 7, 7*, and 7'.</t>
  </si>
  <si>
    <t>syenitic rock</t>
  </si>
  <si>
    <t>Syenitoid with a plagioclase to total feldspar ratio between 0.35 and 0.65. Includes rocks in QAPF fields 8, 8*, and 8'.</t>
  </si>
  <si>
    <t>monzonitic rock</t>
  </si>
  <si>
    <t>Syenitoid with a plagioclase to total feldspar ratio of less than 0.1. QAPF fields 6, 6*, and 6'.</t>
  </si>
  <si>
    <t>alkali feldspar syenitic rock</t>
  </si>
  <si>
    <t>Sedimentary rock that does not fit any of the other composition/genesis categories. Sedimentary rock consisting of three or more components which form more than 5 percent but less than 50 precent of the material.</t>
  </si>
  <si>
    <t>Pettijohn et al. 1987 referenced in Hallsworth and Knox 1999; extrapolated from Folk, 1954, Figure 1a; particle sizes defined from Krumbein phi scale (W C Krumbein and L L Sloss, Stratigraphy and Sedimentation, 2nd edition, Freeman, San Francisco, 1963; Krumbein and Pettijohn, 1938, Manual of Sedimentary Petrography: New York, Appleton Century Co., Inc.)</t>
  </si>
  <si>
    <t>Sedimentary rock consisting of less than 30 percent gravel-size (2 mm) particles and with a mud to sand ratio greater than 1. Clasts may be of any composition or origin.</t>
  </si>
  <si>
    <t>Neuendorf et al. 2005; SLTTs 2004; particle sizes defined from Krumbein phi scale (W C Krumbein and L L Sloss, Stratigraphy and Sedimentation, 2nd edition, Freeman, San Francisco, 1963; Krumbein and Pettijohn, 1938, Manual of Sedimentary Petrography: New York, Appleton Century Co., Inc.)</t>
  </si>
  <si>
    <t>Sedimentary rock composed of at least 30 percent rounded to subangular fragments larger than 2 mm in diameter; typically contains finer grained material in interstices between larger fragments. If more than 15 percent of the fine grained matrix is of indeterminant clastic or diagenetic origin and the fabric is matrix supported, may also be categorized as wackestone. If rock has unsorted or poorly sorted texture with a wide range of particle sizes, may also be categorized as diamictite.</t>
  </si>
  <si>
    <t>SLTTs 2004; Neuendorf et al. 2005; particle sizes defined from Krumbein phi scale (W C Krumbein and L L Sloss, Stratigraphy and Sedimentation, 2nd edition, Freeman, San Francisco, 1963; Krumbein and Pettijohn, 1938, Manual of Sedimentary Petrography: New York, Appleton Century Co., Inc.)</t>
  </si>
  <si>
    <t>Sedimentary rock in which less than 30 percent of particles are greater than 2 mm in diameter (gravel) and the sand to mud ratio is at least 1.</t>
  </si>
  <si>
    <t>definition of sand from SLTTs 2004 sandy sediment; particle sizes defined from Krumbein phi scale (W C Krumbein and L L Sloss, Stratigraphy and Sedimentation, 2nd edition, Freeman, San Francisco, 1963; Krumbein and Pettijohn, 1938, Manual of Sedimentary Petrography: New York, Appleton Century Co., Inc.)</t>
  </si>
  <si>
    <t>Clastic sediment in which less than 30 percent of particles are gravel (greater than 2 mm in diameter) and the sand to mud ratio is at least 1. More than half of the particles are of epiclastic origin.</t>
  </si>
  <si>
    <t>rhyolitoid in which the ratio of plagioclase to total feldspar is between 0.1 and 0.65.</t>
  </si>
  <si>
    <t>rhyolite</t>
  </si>
  <si>
    <t>sesrs:Rhyolite</t>
  </si>
  <si>
    <t>Rhyolitoid in which the ratio of plagioclase to total feldspar is less than 0.1. QAPF field 2.</t>
  </si>
  <si>
    <t>alkali feldspar rhyolite</t>
  </si>
  <si>
    <t>sesrs:Alkali_Feldspar_Rhyolite</t>
  </si>
  <si>
    <t>Pyroclastic rock in which greater than 25 percent of particles are greater than 64 mm in largest dimension. Includes agglomerate, pyroclastic breccia of Gillespie and Styles (1999)</t>
  </si>
  <si>
    <t>Pyroclastic rock in which less than 25 percent of rock by volume are more than 64 mm in longest diameter. Includes tuff, lapilli tuff, and lapillistone.</t>
  </si>
  <si>
    <t>Phonolitoid that has a plagioclase to total feldspar ratio between 0.1 and 0.5. Broadly corresponds to TAS tephriphonolite of TAS field U3.</t>
  </si>
  <si>
    <t>tephritic phonolite</t>
  </si>
  <si>
    <t>sesrs:Tephritic_Phonolite</t>
  </si>
  <si>
    <t>Phonolitoid in which the plagioclase to total feldspar ratio is less than 0.1. Rock consists of alkali feldspar, feldspathoid minerals, and mafic minerals.</t>
  </si>
  <si>
    <t>phonolite</t>
  </si>
  <si>
    <t>sesrs:Phonolilte</t>
  </si>
  <si>
    <t>Phaneritic crystalline igneous rock with M less than 90, consisting mainly of alkali feldspar and plagioclase; minor quartz or nepheline may be present, along with pyroxene, amphibole or biotite. Ratio of plagioclase to total feldspar is less than 0.65, quartz forms less than 20 percent of QAPF fraction, and feldspathoid minerals form less than 10 percent of QAPF fraction. Includes rocks classified in QAPF fields 6, 7 and 8 and their subdivisions.</t>
  </si>
  <si>
    <t>Gillespie and Styles 1999; LeMaitre et al. 2002</t>
  </si>
  <si>
    <t>Phaneritic crystalline igneous rock that contains less than 90 percent mafic minerals and contains greater than 60 percent quartz in the QAPF fraction.</t>
  </si>
  <si>
    <t>Exceptionally coarse grained crystalline rock with interlocking crystals; most grains are 1cm or more diameter; composition is generally that of granite, but the term may refer to the coarse grained facies of any type of igneous rock;usually found as irregular dikes, lenses, or veins associated with plutons or batholiths.</t>
  </si>
  <si>
    <t>Phaneritic crystalline igneous rock consisting of quartz, alkali feldspar and/or plagioclase. Includes rocks defined modally in QAPF fields 2, 3, 4 and 5 as alkali feldspar granite, granite, granodiorite or tonalite.</t>
  </si>
  <si>
    <t>Phaneritic crystalline igneous rock that contains less than 90 percent mafic minerals, and up to 20 percent quartz or up to 10 percent feldspathoid in the QAPF fraction. The ratio of plagioclase to total feldspar is greater than 0.65, and anorthite content of the plagioclase is greater than 50 percent. Includes rocks defined modally in QAPF fields 9 and 10 and their subdivisions.</t>
  </si>
  <si>
    <t>Phaneritic crystalline rock containing more than 60 percent feldspathoid minerals in the QAPF fraction. Includes rocks defined modally in QAPF field 15</t>
  </si>
  <si>
    <t>Phaneritic crystalline igneous rock with M less than 90, contains between 10 and 60 percent feldspathoid mineral in the QAPF fraction, and has a plagioclase to total feldspar ratio less than 0.5. Includes QAPF fields 11 and 12.</t>
  </si>
  <si>
    <t>Phaneritic crystalline igneous rock in which M is less than 90, the plagioclase to total feldspar ratio is greater than 0.5, feldspathoids form 10-60 percent of the QAPF fraction, and plagioclase has anorthite content greater than 50 percent. These rocks typically contain large amounts of mafic minerals. Includes rocks defined modally in QAPF fields 13 and 14.</t>
  </si>
  <si>
    <t>Phaneritic crystalline igneous rock in which M is less than 90, the plagioclase to total feldspar ratio is greater than 0.5, feldspathoid minerals form 10-60 percent of the QAPF fraction, plagioclase has anorthite content less than 50 percent. These rocks typically contain large amounts of mafic minerals. Includes rocks defined modally in QAPF fields 13 and 14.</t>
  </si>
  <si>
    <t>Phaneritic crystalline igneous rock with M less than 90, consisting of intermediate plagioclase, commonly with hornblende and often with biotite or augite. Plagioclase to total feldspar ratio is greater that 0.65, and anorthite content of plagioclase is less than 50 percent. Less than 10 percent feldspathoid mineral and less than 20 percent quartz in the QAPF fraction. Includes rocks defined modally in QAPF fields 9 and 10 (and their subdivisions).</t>
  </si>
  <si>
    <t>Light coloured crystalline rock, characterized by a fine grained allotriomorphic-granular (aplitic, saccharoidal or xenomorphic) texture; typically granitic composition, consisting of quartz, alkali feldspar and sodic plagioclase.</t>
  </si>
  <si>
    <t>LeMaitre et al. 2002; This vocabulary</t>
  </si>
  <si>
    <t>Leucocratic phaneritic crystalline igneous rock consisting essentially of plagioclase, often with small amounts of pyroxene. By definition, colour index M is less than 10, and plagiclase to total feldspar ratio is greater than 0.9. Less than 20 percent quartz and less than 10 percent feldspathoid in the QAPF fraction. QAPF field 10, 10*, and 10'.</t>
  </si>
  <si>
    <t>Anorthositic rock term invented to label the combined QAPF fields 10, 10*, and 10', in order to construct hierarchy in this vocabulary.</t>
  </si>
  <si>
    <t>Plutonic rock that consists of greater than 90 percent ferromagnesian rock-forming silicates, especially Pyroxene Group, Amphibole Supergroup, olivine and biotite.</t>
  </si>
  <si>
    <t>Dark-colored plutonic rock containing an abundance of ferromagnesian rock-forming silicates, especially Pyroxene Group, Amphibole Supergroup, olivine and biotite</t>
  </si>
  <si>
    <t>Mafic plutonic rock</t>
  </si>
  <si>
    <t>sesrs:mafic_plutonic_rock</t>
  </si>
  <si>
    <t>Plutonic rock that has sub-equal proportion of light and dark colored mineral. Not recommended for usage with new sample registrations. (see acid, basic, intermediate composition categories)</t>
  </si>
  <si>
    <t>Intermediate color plutonic rock</t>
  </si>
  <si>
    <t>sesrs:intermediate_plutonic_rock</t>
  </si>
  <si>
    <t>light-colored plutonic rock containing an abundance of quartz, feldspar, muscovite, or felspathoid</t>
  </si>
  <si>
    <t>Felsic plutonic rock</t>
  </si>
  <si>
    <t>sesrs:felsic_plutonic_rock</t>
  </si>
  <si>
    <t>Economic commission for Europe, committee on Sustainable Energy- United Nations (ECE-UN), 1998, International Classification of in-Seam Coals: Energy 19, 41 pp.</t>
  </si>
  <si>
    <t>A consolidated organic sedimentary material having less than 75% moisture. This category includes low, medium, and high rank coals according to International Classification of In-Seam Coal (United Nations, 1998), thus including lignite. Sapropelic coal is not distinguished in this category from humic coals. Formed from the compaction or induration of variously altered plant remains similar to those of peaty deposits.</t>
  </si>
  <si>
    <t>kohle</t>
  </si>
  <si>
    <t>based on NADM SLTT sedimentary; Hallsworth and Knox 1999</t>
  </si>
  <si>
    <t>Sedimentary rock that consists of at least 50 percent silicate mineral material, deposited directly by biological processes at the depositional surface, or in particles formed by biological processes within the basin of deposition. Includes radiolarian chert, diatomite, novaculite.</t>
  </si>
  <si>
    <t>NADM metamorphic rock vocabulary SLTTm1.0; Marshak and Mitra 1988</t>
  </si>
  <si>
    <t>Mylonitic rock composed largely of fine-grained mica that imparts a sheen to foliation surfaces; may have flaser lamination, isoclinal folding, and deformed veins, which indicate significant shearing. Macroscopically resembles phyllite, but formed by mechanical degradation of initially coarser rock.</t>
  </si>
  <si>
    <t>phyllonite</t>
  </si>
  <si>
    <t>sesrs:phyllonite</t>
  </si>
  <si>
    <t>Mud size sediment that consists of less than 50 percent carbonate minerals and less than 50 percent clastic particles.</t>
  </si>
  <si>
    <t>based on Bates and Jackson 1987 and Hallsworth and Knox 1999</t>
  </si>
  <si>
    <t>Biogenic sediment consisting of less than 1 percent gravel-size (greater than or equal to 2 mm) particles, with a sand to mud ratio less than 1 to 9, and less than 50 percent carbonate minerals.</t>
  </si>
  <si>
    <t>definition of mud from SLTTs 2004 muddy sediment; particle sizes defined from Krumbein phi scale (W C Krumbein and L L Sloss, Stratigraphy and Sedimentation, 2nd edition, Freeman, San Francisco, 1963; Krumbein and Pettijohn, 1938, Manual of Sedimentary Petrography: New York, Appleton Century Co., Inc.)</t>
  </si>
  <si>
    <t>Clastic sediment consisting of less than 30 percent gravel-size (2 mm) particles and with a mud-size to sand-size particle ratio greater than 1. More than half of the particles are of epiclastic origin.</t>
  </si>
  <si>
    <t>Mud size sediment that contains between 10 and 50 percent carbonate minerals in any size fraction. Carbonate origin is not specified.</t>
  </si>
  <si>
    <t>follow pattern used for clastic sand and mud categories, based on SLTTs 2004</t>
  </si>
  <si>
    <t>Carbonate sediment composed of less than 25 percent clasts that have a maximum diameter more than 2 mm, and the ratio of sand size to mud size clasts is less than one.</t>
  </si>
  <si>
    <t>Monzogabbroic rock that contains between 5 and 20 percent quartz in the QAPF fraction. QAPF field 9*.</t>
  </si>
  <si>
    <t>quartz monzogabbro</t>
  </si>
  <si>
    <t>sesrs:Quartz_Monzogabbro</t>
  </si>
  <si>
    <t>LeMaitre et al. 2002, This vocabulary</t>
  </si>
  <si>
    <t>Monzogabbroic rock that contains between 0 an 5 percent quartz and no feldspathoid mineral in the QAPF fraction. Includes rocks defined modally in QAPF field 9 .</t>
  </si>
  <si>
    <t>monzogabbro</t>
  </si>
  <si>
    <t>sesrs:Monzogabbro</t>
  </si>
  <si>
    <t>Monzogabbroic rock that contains 0 to 10 percent feldspathoid mineral in the QAPF fraction. QAPF field 9'.</t>
  </si>
  <si>
    <t>foid bearing monzogabbro</t>
  </si>
  <si>
    <t>sesrs:Foid_Bearing_Monzogabbro</t>
  </si>
  <si>
    <t>Fettes and Desmon, 2007; Best, M.G., 1982, Igneous and metamorphic petrology: New York, W.H. Freeman and company, p. 398; Neuendorf et al. 2005, p. 619.</t>
  </si>
  <si>
    <t>Altered basic to intermediate composition fine-grained igneous rock in which the feldspar is partially or completely composed of of albite, typically accompanied by chlorite, calcite, quartz, epidote, prehnite, and low-tempaerature hydrous crystallization products. Preservation of eruptive volcanic features is typical.</t>
  </si>
  <si>
    <t>Fettes and Desmons, 2007, p195</t>
  </si>
  <si>
    <t>Metasomatic rock consisting mainly of Ca-, Mg-, Fe-, or Mn-silicate minerals, which are free from or poor in water. Typically formed at the contact between a silicate rock or magma and a carbonate rock.</t>
  </si>
  <si>
    <t>Rodingite is a metasomatic rock composed of grossular-andradite garnet, calcic pyroxene, vesuvianite, epidote and scapolite. Rodingites are common where mafic rocks are in proximity to serpentinized ultramafic rocks. The mafic rocks are altered by high pH, Ca2+ and OH? fluids, which are a byproduct of the serpentinization process, and become rodingites. The mineral content of rodingites is highly variable, their high calcium, low silicon and environment of formation being their defining characteristic. Rodingites are common in ophiolites, serpentinite mΘlanges, ocean floor peridotites and eclogite massifs. https://en.wikipedia.org/wiki/Rodingite</t>
  </si>
  <si>
    <t>provisional by SMR 2020-06-07</t>
  </si>
  <si>
    <t>Rock consisting of greater that 50% sulphide or sulfosalt minerals formed by hydrothermal mineralization processes.</t>
  </si>
  <si>
    <t>https://en.wikipedia.org/wiki/Greisen</t>
  </si>
  <si>
    <t>Greisen is a class of endoskarn,  formed by self-generated alteration of a granite. Greisens appear as partly coarse, crystalline granite, partly vuggy with miarolitic cavities, disseminated halide minerals such as fluorite, and occasionally metallic oxide and sulfide ore minerals, borate minerals (tourmaline) and accessory phases such as sphene, beryl or topaz.</t>
  </si>
  <si>
    <t>Rock material has been changed by some subsurface alteration process, but the nature of the alteration is not specified.</t>
  </si>
  <si>
    <t>after Neuendorf et al. 2005</t>
  </si>
  <si>
    <t>Metamorphic rock consisting of greater than or equal to 75 percent quartz; typically granoblastic texture.</t>
  </si>
  <si>
    <t>Fette and Desmons (2007) (http://www.bgs.ac.uk/SCMR/)</t>
  </si>
  <si>
    <t>Silicate metamorphic rock that is pervasively heterogeneous on a decimeter to meter scale that typically consists of darker and lighter parts; the darker parts usually exhibit features of metamorphic rocks whereas the lighter parts are of igneous-looking appearance.</t>
  </si>
  <si>
    <t>Rock formed by metamorphism of an extrusive igneous protolith.</t>
  </si>
  <si>
    <t>Rock formed by metamorphism of a sedimentary protolith.</t>
  </si>
  <si>
    <t>Rock formed by metamorphism of a plutonic igneous protolith.</t>
  </si>
  <si>
    <t>Metamorphic rock with a protolith that is a ultramafic rock.</t>
  </si>
  <si>
    <t>IUGS SCMR 2007 (http://www.bgs.ac.uk/SCMR/), SLTTm1.0 2004</t>
  </si>
  <si>
    <t>Metamorphic rock consisting of greater than 75 percent fine- to coarse-grained recrystallized calcite and/or dolomite; usually with a granoblastic, saccharoidal texture.</t>
  </si>
  <si>
    <t>Metamorphic rock characterized by 50 percent or more of combined chlorite, actinolite and epidote. Category for rocks generally named greenschist or greenstone.</t>
  </si>
  <si>
    <t>Fettes and Desmons (2007). See also Wimmenauer (1985), Winkler (1979) (D.R. Bowes (1989), The Encyclopedia of Igneous and Metamorphic Petrology; Van Nostrand Reinhold ISBN: 0-442-20623-2 ; wikipedia, http://en.wikipedia.org/wiki/Granulite accessed 5/30/09</t>
  </si>
  <si>
    <t>Metamorphic rock of high metamorphic grade in which Fe-Mg silicate minerals are dominantly hydroxl-free; feldspar must be present, and muscovite is absent; rock contains less than 90 percent mafic minerals, less than 75 percent calcite and/or dolomite, less than 75 percent quartz, less than 50 percent iron-bearing minerals (hematite, magnetite, limonite-group, siderite, iron-sulfides), and less than 50 percent calc-silicate minerals.</t>
  </si>
  <si>
    <t>Metamorphic rock with granoblastic fabric and very little or no foliation (less than 10 percent of the mineral grains in the rock are elements in a planar or linear fabric). Grainsize not specified.</t>
  </si>
  <si>
    <t>based on NADM SLTT metamorphic</t>
  </si>
  <si>
    <t>Metamorphic rock in which 10 percent or more of the contained mineral grains are elements in a planar or linear fabric. Cataclastic or glassy character precludes classification with this concept.</t>
  </si>
  <si>
    <t>Metamorphic rock composed of 75 percent or more (by volume) omphacite and garnet, both of which are present as major constituents, the amount of neither of them being higher than 75 percent (by volume); the presence of plagioclase precludes classification as an eclogite.</t>
  </si>
  <si>
    <t>metamorphic rock containing abundant calcium-silicate minerals</t>
  </si>
  <si>
    <t>A metamorphic rock of roughly basaltic composition, defined by the presence of glaucophane with lawsonite or epidote. Other minerals that may be present include jadeite, albite, chlorite, garnet, and muscovite (phengitic white mica). Typically fine-grained, dark colored. Category for rocks commonly referred to as blueschist.</t>
  </si>
  <si>
    <t>Neuendorf et al, 2004, provisional SMR 2020-06-11</t>
  </si>
  <si>
    <t>A weakly metamorphosed argillaceous rock (Flawn, 1953, AAPG Bull v37 p.563-664).  Rock is very fine-grained to aphanitic, compact, indurated, and massive (lacks fissility or cleavage) (Neuendorf et al, 2004). Claystone and Siltstone are related, non-metamorphosed sedimentary rocks. Like Aphanite but sedimentary protolith is determined. In contact metamorphic environments would be Hornfels.</t>
  </si>
  <si>
    <t>Coutinho et al. 2007, IUGS SCMR chapter 8 (http://www.bgs.ac.uk/SCMR/)</t>
  </si>
  <si>
    <t>Metamorphic rock mainly consisting of green, brown or black amphibole and plagioclase (including albite), which combined form 75 percent or more of the rock, and both of which are present as major constituents. The amphibole constitutes 50 percent or more of the total mafic constituents and is present in an amount of 30 percent or more; other common minerals include quartz, clinopyroxene, garnet, epidote-group minerals, biotite, titanite and scapolite.</t>
  </si>
  <si>
    <t>smr provisional 2020-06-07</t>
  </si>
  <si>
    <t>rock consisting of greater than 50% sulphide or sulfosalt minerals formed by sedimentary exhalative processes.</t>
  </si>
  <si>
    <t>Fine-grained igneous rock with less than 20 percent quartz and less than 10 percent feldspathoid minerals in the QAPF fraction, in which the ratio of plagioclase to total feldspar is greater 0.65. Includes rocks defined modally in QAPF fields 9 and 10 or chemically in TAS field O2 as andesite. Basalt and andesite, which share the same QAPF fields, are distinguished chemically based on silica content, with basalt defined to contain less than 52 weight percent silica. If chemical data are not available, the color index is used to distinguish the categories, with basalt defined to contain greater than 35 percent mafic minerals by volume or greater than 40 percent mafic minerals by weight. Typically consists of plagioclase (frequently zoned from labradorite to oligoclase), pyroxene, hornblende and/or biotite. Fine grained equivalent of dioritic rock.</t>
  </si>
  <si>
    <t>LeMaitre et al. 2002; Gillespie and Styles 1999</t>
  </si>
  <si>
    <t>Igneous rock that consists of greater than 90 percent mafic minerals.</t>
  </si>
  <si>
    <t>Igneous rock with less than 45 percent SiO2.</t>
  </si>
  <si>
    <t>Igneous rock that contains conspicuous phenocrysts in a finer grained groundmass; groundmass itself may be phaneritic or fine-grained.</t>
  </si>
  <si>
    <t>Instrusive igneous rock formed by crystallisation of magma far enough below Earth surface that complete crystallization of magma bodies forms holocrystalline medium to coarse grained igneous rock, wall rocks generally do not include volcanic products related to the magma, and some contact metamorphism is typically developed at intrusive contacts.</t>
  </si>
  <si>
    <t>Igneous rock in which the framework of the rock consists of individual crystals that can be discerned with the unaided eye. Bounding grain size is on the order of 32 to 100 microns. Igneous rocks with 'exotic' composition are excluded from this concept.</t>
  </si>
  <si>
    <t>Igneous rocks formed by crystallisation close to the Earth's surface, characterized by more rapid cooling than plutonic setting to produce generally fine-grained intrusive igneous rock, commonly associated with co-magmatic volcanic rocks.</t>
  </si>
  <si>
    <t>This vocabulary, based on Gillespie and Styles 1999</t>
  </si>
  <si>
    <t>Igneous rock that contains greater than 50 percent massive glass.</t>
  </si>
  <si>
    <t>Igneous rock in which the framework of the rock consists of crystals that are too small to determine mineralogy with the unaided eye; framework may include up to 50 percent glass. A significant percentage of the rock by volume may be phenocrysts. Includes rocks that are generally called volcanic rocks.</t>
  </si>
  <si>
    <t>Rock or tephra with exotic mineralogical, textural or field setting characteristics; typically dark colored, with abundant phenocrysts. Criteria include: presence of greater than 10 percent melilite or leucite, or presence of kalsilite, or greater than 50 percent carbonate minerals. Includes Carbonatite, Melilitic rock, Kalsilitic rocks, Kimberlite, Lamproite, Leucitic rock and Lamprophyres. @en ;</t>
  </si>
  <si>
    <t>Dark colored gabbroic (basaltic) or dioritic (andesitic) rock intermediate in grain size between basalt and gabbro and composed of plagioclase, pyroxene and opaque minerals; often with ophitic texture. Typically occurs as hypabyssal intrusions. Includes dolerite, microdiorite, diabase and microgabbro.</t>
  </si>
  <si>
    <t>andesitic rock that contains more than 8 percent MgO. Typically consists of phenocrysts of protoenstatite, orthopyroxene, clinopyroxene, and olivine in a glassy base full of crystallites, and exhibits textures characterisitc of rapid crystal growth.</t>
  </si>
  <si>
    <t>Wentworth size scale</t>
  </si>
  <si>
    <t>Sediment containing greater than 30 percent pebble-size particles (2.0 -64 mm in diameter)</t>
  </si>
  <si>
    <t>pebble gravel size sediment</t>
  </si>
  <si>
    <t>sesrs:Pebble_Gravel_Size_Sediment</t>
  </si>
  <si>
    <t>definition of gravel from SLTTs 2004; particle sizes defined from Krumbein phi scale (W C Krumbein and L L Sloss, Stratigraphy and Sedimentation, 2nd edition, Freeman, San Francisco, 1963; Krumbein and Pettijohn, 1938, Manual of Sedimentary Petrography: New York, Appleton Century Co., Inc.)</t>
  </si>
  <si>
    <t>Clastic sediment containing greater than 30 percent gravel-size particles (greater than 2.0 mm diameter). Gravel in which more than half of the particles are of epiclastic origin</t>
  </si>
  <si>
    <t>Sediment containing greater than 30 percent cobble-size particles (64-256 mm in diameter)</t>
  </si>
  <si>
    <t>cobble gravel size sediment</t>
  </si>
  <si>
    <t>sesrs:Cobble_Gravel_Size_Sediment</t>
  </si>
  <si>
    <t>Sediment containing greater than 30 percent boulder-size particles (greater than 256 mm in diameter)</t>
  </si>
  <si>
    <t>boulder gravel size sediment</t>
  </si>
  <si>
    <t>sesrs:Boulder_Gravel_Size_Sediment</t>
  </si>
  <si>
    <t>Granitoid consisting of quartz and intermediate plagioclase, usually with biotite and amphibole. Includes rocks defined modally in QAPF field 5; ratio of plagioclase to total feldspar is greater than 0.9.</t>
  </si>
  <si>
    <t>Phaneritic crystalline rock consisting essentially of quartz, sodic plagioclase and lesser amounts of alkali feldspar with minor hornblende and biotite. Includes rocks defined modally in QAPF field 4.</t>
  </si>
  <si>
    <t>Phaneritic crystalline rock consisting of quartz, alkali feldspar and plagioclase (typically sodic) in variable amounts, usually with biotite and/or hornblende. Includes rocks defined modally in QAPF Field 3.</t>
  </si>
  <si>
    <t>Granitic rock that has a plagioclase to total feldspar ratio less than 0.1. QAPF field 2.</t>
  </si>
  <si>
    <t>Granite that has a plagiolcase to total feldspar ratio between 0.10 and 0.35. QAPF field 3a.</t>
  </si>
  <si>
    <t>syenogranite</t>
  </si>
  <si>
    <t>sesrs:Syenogranite</t>
  </si>
  <si>
    <t>Granite that has a plagiolcase to total feldspar ratio between 0.35 and 0.65. QAPF field 3b.</t>
  </si>
  <si>
    <t>monzogranite</t>
  </si>
  <si>
    <t>sesrs:Monzogranite</t>
  </si>
  <si>
    <t>Igneous rock that consists of greater than 80 percent massive glass.</t>
  </si>
  <si>
    <t>glassy igneous rock</t>
  </si>
  <si>
    <t>sesrs:Glassy_Igneous_Rock</t>
  </si>
  <si>
    <t>SLTTs 2004; Neuendorf et al. 2005; particle size from Wentworth grade scale</t>
  </si>
  <si>
    <t>Clastic sedimentary rock in which less than 30 percent of particles are greater than 2 mm in diameter (gravel) and the sand to mud ratio is at least 1.</t>
  </si>
  <si>
    <t>Mudstone that contains less than 10 percent carbonate minerals.</t>
  </si>
  <si>
    <t>Neuendorf et al. 2005; http://en.wikipedia.org/wiki/Oil_shale</t>
  </si>
  <si>
    <t>Mudstone that contains a significant amount of organic carbon, typically kerogen. commonly finely laminated, brown or black in color.</t>
  </si>
  <si>
    <t>Pettijohn et al. 1987 referenced in Hallsworth and Knox 1999.</t>
  </si>
  <si>
    <t>Clastic sedimentary rock consisting of less than 30 percent gravel-size (2 mm) particles and with a mud to sand ratio greater than 1.</t>
  </si>
  <si>
    <t>Mudstone that contains between 10 and 50 percent carbonate minerals in the mud size fraction. Carbonate origin is not specified.</t>
  </si>
  <si>
    <t>Mudstone that consists of greater than 50 percent carbonate minerals of any origin in the mud size fraction.</t>
  </si>
  <si>
    <t>Neuendorf et al. 2005; SLTTs 2004</t>
  </si>
  <si>
    <t>Clastic sedimentary rock composed of at least 30 percent rounded to subangular fragments larger than 2 mm in diameter; typically contains finer grained material in interstices between larger fragments. If more than 15 percent of the fine grained matrix is of indeterminant clastic or diagenetic origin and the fabric is matrix supported, may also be categorized as wackestone. If rock has unsorted or poorly sorted texture with a wide range of particle sizes, may also be categorized as diamictite.</t>
  </si>
  <si>
    <t>Gabbroid with a plagioclase to total feldspar ratio between 0.65 and 0.9. QAPF field 9, 9 prime and 9 asterisk</t>
  </si>
  <si>
    <t>Gabbroid that has a plagioclase to total feldspar ratio greater than 0.9 in the QAPF fraction. Includes QAPF fields 10*, 10, and 10'. This category includes the various categories defined in LeMaitre et al. (2002) based on the mafic mineralogy, but apparently not subdivided based on the quartz/feldspathoid content.</t>
  </si>
  <si>
    <t>Gabbroic rock that contains between 5 and 20 percent quartz in the QAPF fraction. QAPF field 10*.</t>
  </si>
  <si>
    <t>quartz gabbro</t>
  </si>
  <si>
    <t>sesrs:Quartz_Gabbro</t>
  </si>
  <si>
    <t>Gabbroic rock that contains between 0 and 5 percent quartz and no feldspathoid mineral in the QAPF fraction. Includes rocks defined modally in QAPF Field 10 as gabbro.</t>
  </si>
  <si>
    <t>gabbro</t>
  </si>
  <si>
    <t>sesrs:Gabbro</t>
  </si>
  <si>
    <t>Gabbroic rock that contains 0-10 percent feldspathoid minerals and no quartz in the QAPF fraction. QAPF field 10'.</t>
  </si>
  <si>
    <t>foid bearing gabbro</t>
  </si>
  <si>
    <t>sesrs:Foid_Bearing_Gabbro</t>
  </si>
  <si>
    <t>Foiditoid that contains less than 90 percent feldspathoid minerals in the QAPF fraction, and has a plagioclase to total feldspar ratio that is greater than 0.5, with less than 10 percent normative olivine</t>
  </si>
  <si>
    <t>tephritic foidite</t>
  </si>
  <si>
    <t>sesrs:Tephritic_Foidite</t>
  </si>
  <si>
    <t>Foiditoid that contains less than 90 percent feldspathoid minerals in the QAPF fraction, and has a plagioclase to total feldspar ratio that is less than 0.5</t>
  </si>
  <si>
    <t>phonolitic foidite</t>
  </si>
  <si>
    <t>sesrs:Phonolitic_Foidite</t>
  </si>
  <si>
    <t>Foiditoid that contains greater than 90 percent feldspathoid minerals in the QAPF fraction.</t>
  </si>
  <si>
    <t>foidite</t>
  </si>
  <si>
    <t>sesrs:Foidite</t>
  </si>
  <si>
    <t>Foiditoid that contains less than 90 percent feldspathoid minerals in the QAPF fraction, and has a plagioclase to total feldspar ratio that is greater than 0.5, with greater than 10 percent normative olivine.</t>
  </si>
  <si>
    <t>basanitic foidite</t>
  </si>
  <si>
    <t>sesrs:Basanitic_Foidite</t>
  </si>
  <si>
    <t>Foid syenitoid that has a plagioclase to total feldspar ratio of less than 0.1. Includes rocks defined modally in QAPF field 11.</t>
  </si>
  <si>
    <t>foid syenite</t>
  </si>
  <si>
    <t>sesrs:Foid_Syenite</t>
  </si>
  <si>
    <t>Foid syenitoid rock that has a plagioclase to total feldspar ratio of between 0.1 and 0.5. Includes rocks defined modally in QAPF Field 12.</t>
  </si>
  <si>
    <t>foid monzosyenite</t>
  </si>
  <si>
    <t>sesrs:Foid_Monzosyenite</t>
  </si>
  <si>
    <t>Foid gabbroid that has a plagioclase to total feldspar ratio between 0.5 and 0.9. Includes rocks defined modally in QAPF field 13.</t>
  </si>
  <si>
    <t>foid monzogabbro</t>
  </si>
  <si>
    <t>sesrs:Foid_Monzogabbro</t>
  </si>
  <si>
    <t>Foid gabbroid that has a plagioclase to total feldspar ratio greater than 0.9. Includes rocks defined modally in QAPF field 14.</t>
  </si>
  <si>
    <t>foid gabbro</t>
  </si>
  <si>
    <t>sesrs:Foid_Gabbro</t>
  </si>
  <si>
    <t>Foid dioritoid in which the plagioclase to total feldspar ratio is between 0.1 and 0.9. Includes rocks defined modally in QAPF field 13.</t>
  </si>
  <si>
    <t>foid monzodiorite</t>
  </si>
  <si>
    <t>sesrs:Foid_Monzodiorite</t>
  </si>
  <si>
    <t>Foid dioritoid in which the plagioclase to total feldspar ratio is greater than 0.9. Includes rocks defined modally in QAPF field 14.</t>
  </si>
  <si>
    <t>foid diorite</t>
  </si>
  <si>
    <t>sesrs:Foid_Diorite</t>
  </si>
  <si>
    <t>Fine grained igneous rock than contains less than 90 percent mafic minerals, less than 10 percent feldspathoid mineral and less than 20 percent quartz in the QAPF fraction and has a plagioclase to total feldspar ratio less than 0.65. Mafic minerals typically include amphibole or mica; typically porphyritic. Includes rocks defined modally in QAPF fields 6, 7 and 8 (with subdivisions) or chemically in TAS Field T as trachyte or latite.</t>
  </si>
  <si>
    <t>Fine grained igneous rock than contains less than 90 percent mafic minerals, between 10 and 60 percent feldspathoid mineral in the QAPF fraction and has a plagioclase to total feldspar ratio greater than 0.5. Includes rocks classified in QAPF field 13 and 14 or chemically in TAS field U1 as basanite or tephrite.</t>
  </si>
  <si>
    <t>fine_grained_igneous_rock consisting of quartz and alkali feldspar, with minor plagioclase and biotite, in a microcrystalline, cryptocrystalline or glassy groundmass. Flow texture is common. Includes rocks defined modally in QAPF fields 2 and 3 or chemically in TAS Field R as rhyolite. QAPF normative definition is based on modal mineralogy thus: less than 90 percent mafic minerals, between 20 and 60 percent quartz in the QAPF fraction, and ratio of plagioclse to total feldspar is less than 0.65.</t>
  </si>
  <si>
    <t>Fine grained igneous rock than contains less than 90 percent mafic minerals, between 10 and 60 percent feldspathoid mineral in the QAPF fraction and has a plagioclase to total feldspar ratio less than 0.5. Includes rocks defined modally in QAPF fields 11 and 12, and TAS field Ph.</t>
  </si>
  <si>
    <t>fine-grained igneous rock that contains unusually high concentration of MgO. For rocks that contain greater than 52 percent silica, MgO must be greater than 8 percent. For rocks containing less than 52 percent silica, MgO must be greater than 12 percent.</t>
  </si>
  <si>
    <t>Fine grained crystalline rock containing less than 90 percent mafic minerals and more than 60 percent feldspathoid minerals in the QAPF fraction. Includes rocks defined modally in QAPF field 15 or chemically in TAS field F.</t>
  </si>
  <si>
    <t>Fine grained or porphyritic crystalline rock that contains less than 90 percent mafic minerals, between 20 and 60 percent quartz in the QAPF fraction, and has a plagioclase to total feldspar ratio greater than 0.65. Includes rocks defined modally in QAPF fields 4 and 5 or chemically in TAS Field O3. Typically composed of quartz and sodic plagioclase with minor amounts of biotite and/or hornblende and/or pyroxene; fine-grained equivalent of granodiorite and tonalite.</t>
  </si>
  <si>
    <t>Fine-grained or porphyritic igneous rock with less than 20 percent quartz, and less than 10 percent feldspathoid minerals, in which the ratio of plagioclase to total feldspar is greater 0.65. Typically composed of calcic plagioclase and clinopyroxene; phenocrysts typically include one or more of calcic plagioclase, clinopyroxene, orthopyroxene, and olivine. Includes rocks defined modally in QAPF fields 9 and 10 or chemically in TAS field B as basalt. Basalt and andesite are distinguished chemically based on silica content, with basalt defined to contain less than 52 weight percent silica. If chemical data are not available, the color index is used to distinguish the categories, with basalt defined to contain greater than 35 percent mafic minerals by volume or greater than 40 percent mafic minerals by weight.</t>
  </si>
  <si>
    <t>Fault-related material with features such as void spaces (filled or unfilled), or unconsolidated matrix material between fragments, indicating loss of cohesion during deformation. Includes fault-related breccia and gouge.</t>
  </si>
  <si>
    <t>Igneous rock containing greater than 10 percent melilite or kalsilite. Typically undersaturated, ultrapotassic (kalsilitic rocks) or calcium-rich (melilitic rocks) mafic or ultramafic rocks.</t>
  </si>
  <si>
    <t>Kimberlite, lamproite, or lamprophyre. Generally are potassic, mafic or ultramafic rocks. Olivine (commonly serpentinized in kimberlite), and phlogopite are significant constituents.</t>
  </si>
  <si>
    <t>Igneous rock composed of more than 50 percent modal carbonate minerals.</t>
  </si>
  <si>
    <t>This vocabulary; LeMaitre et al. 2002</t>
  </si>
  <si>
    <t>Phaneritic crystalline igneous rock consisting of sodic plagioclase (An0 to An50), alkali feldspar, hornblende and biotite, with or without pyroxene, and 0 to 10 percent feldspathoid or 0 to 20 percent quartz in the QAPF fraction. Plagioclase to total feldspar ratio in the QAPF fraction is between 0.65 and 0.9. Includes rocks defined modally in QAPF field 9, 9' and 9* as monzodiorite, foid-beaing monzodiorite, and quartz monzodiorite.</t>
  </si>
  <si>
    <t>monzodioritic rock</t>
  </si>
  <si>
    <t>Phaneritic crystalline rock with M less than 90, consisting of intermediate plagioclase, commonly with hornblende and often with biotite or augite. A dioritoid with a plagioclase to total feldspar ratio (in the QAPF fraction) greater than 0.9. Includes rocks defined modally in QAPF fields 10, 10' and 10*.</t>
  </si>
  <si>
    <t>dioritic rock</t>
  </si>
  <si>
    <t>Coal that has a gross calorific value less than 24 MJ/kg (determined in conformance with ISO 1928), and vitrinite mean random reflectance less than 0.6% (determined in conformance with ISO 7404-5). Gross calorific value is recalculated to a moist, ash free basis using bed moisture (determined according to ISO 1015 or ISO 5068). Includes all low-rank coals, including sub-bitiminous coal. A consolidated, dull, soft brown to black coal having many readily discernible plant fragments set in a finer grained organic matrix. Tends to crack and fall apart on drying. Operationally sub-bituminous and bitiminous coal are qualitatively distinguished based on brown streak for sub-bitiminous coal and black streak for bituminous coal.</t>
  </si>
  <si>
    <t>Economic commission for Europe, committee on Sustainable Energy- United Nations (ECE-UN), 1998, International Classification of in-Seam Coals: Energy 19, 41 pp; see also http://en.wikipedia.org/wiki/Coal#Types_of_coal; Eberhard Lindner; Chemie fⁿr Ingenieure; Lindner Verlag Karlsruhe, S. 258</t>
  </si>
  <si>
    <t>Coal that has vitrinite mean random reflectance greater than 0.6% and less than 2.0% (determined in conformance with ISO 7404-5), or has a gross calorific value greater than 24 MJ/kg (determined in conformance with ISO 1928). Hard, black, organic rich sedimentary rock; contains less than 91 percent fixed carbon on a dry, mineral-matter-free basis, and greater than 13-14 percent volatiles (dry, ash free). Formed from the compaction or induration of variously altered plant remains similar to those of peaty deposits.</t>
  </si>
  <si>
    <t>bituminous coal</t>
  </si>
  <si>
    <t>sesrs:Bituminous_Coal</t>
  </si>
  <si>
    <t>Economic commission for Europe, committee on Sustainable Energy- United Nations (ECE-UN), 1998, International Classification of in-Seam Coals: Energy 19, 41 pp; see also Neuendorf et al. 2005; http://en.wikipedia.org/wiki/Coal#Types_of_coal; Eberhard Lindner; Chemie fⁿr Ingenieure; Lindner Verlag Karlsruhe, S. 258</t>
  </si>
  <si>
    <t>Coal that has vitrinite mean random reflectance greater than 2.0% (determined in conformance with ISO 7404-5). Less than 12-14 percent volatiles (dry, ash free), greater than 91 percent fixed carbon (dry, ash free basis). The highest rank coal; very hard, glossy, black, with semimetallic luster, semi conchoidal fracture.</t>
  </si>
  <si>
    <t>anthracite</t>
  </si>
  <si>
    <t>sesrs:Anthracite_Coal</t>
  </si>
  <si>
    <t>anthrazit</t>
  </si>
  <si>
    <t>Fairbridge and Bourgeois 1978</t>
  </si>
  <si>
    <t>Unsorted or poorly sorted, clastic sedimentary rock with a wide range of particle sizes including a muddy matrix. Biogenic materials that have such texture are excluded. Distinguished from conglomerate, sandstone, mudstone based on polymodality and lack of structures related to transport and deposition of sediment by moving air or water. If more than 10 percent of the fine grained matrix is of indeterminant clastic or diagenetic origin and the fabric is matrix supported, may also be categorized as wacke.</t>
  </si>
  <si>
    <t>Unsorted or poorly sorted, clastic sediment with a wide range of particle sizes, including a muddy matrix. Biogenic materials that have such texture are excluded. Distinguished from conglomerate, sandstone, mudstone based on polymodality and lack of structures related to transport and deposition of sediment by moving air or water. Assignment to an other size class can be used in conjunction to indicate the dominant grain size.</t>
  </si>
  <si>
    <t>Sedimentary material of unspecified consolidation state that consists of at least 50 percent manganese-bearing minerals, as determined by hand-lens or petrographic analysis.</t>
  </si>
  <si>
    <t>Sedimentary material of unspecified consolidation state that consists of at least 50 percent iron-bearing minerals (hematite, magnetite, limonite-group, siderite, iron-sulfides), as determined by hand-lens or petrographic analysis. Corresponds to a rock typically containing 15 percent iron by weight.</t>
  </si>
  <si>
    <t>Jackson 1997; SLTTs 2004</t>
  </si>
  <si>
    <t>Nonclastic sedimentary rock composed of at least 50 percent non-carbonate salts, including chloride, sulfate or borate minerals; formed through precipitation of mineral salts from a saline solution (non-carbonate salt rock).</t>
  </si>
  <si>
    <t>Sedimentary rock in which greater than 90 percent of the primary and/or recrystallized constituents are carbonate minerals.</t>
  </si>
  <si>
    <t>Carbonate sedimentary rock with discernible grain supported depositional texture, containing greater than 10 percent grains, and constituent particles are of intrabasinal origin; intergranular spaces are filled by matrix.</t>
  </si>
  <si>
    <t>packstone</t>
  </si>
  <si>
    <t>sesrs:Packstone</t>
  </si>
  <si>
    <t>Sedimentary rock in which between 50 and 90 percent of the primary and/or recrystallized constituents are composed of carbonate minerals.</t>
  </si>
  <si>
    <t>Carbonate sedimentary rock with recognizable depositional fabric that is grain-supported, and constituent particles are of intrabasinal origin; contains little or no mud matrix. Distinction from sandstone is based on interpretation of intrabasinal origin of clasts and grain-supported fabric, but grainstone definition does not include a grain size criteria.</t>
  </si>
  <si>
    <t>Hallsworth and Knox 1999; SLTTs 2004, Table 15-3-1</t>
  </si>
  <si>
    <t>Carbonate reef rock consisting of a rigid framework of colonies, shells or skeletons, with internal cavities filled with fine sediment; usually created through the activities of colonial organisms.</t>
  </si>
  <si>
    <t>Carbonate rock of indeterminate mineralogy in which diagenetic processes have obliterated any original depositional texture.</t>
  </si>
  <si>
    <t>crystalline carbonate</t>
  </si>
  <si>
    <t>sesrs:Crystalline_Carbonate</t>
  </si>
  <si>
    <t>Carbonate sedimentary rock with discernible mud supported depositional texture and containing greater than 10 percent allochems, and constituent particles are of intrabasinal origin. If particles are not intrabasinal, categorization as a mudstone or wackestone should be considered.</t>
  </si>
  <si>
    <t>carbonate wackestone</t>
  </si>
  <si>
    <t>sesrs:Carbonate_Wackestone</t>
  </si>
  <si>
    <t>Sedimentary carbonate rock with preserved biogenic texture, whose original components were bound and encrusted together during deposition by the action of plants and animals during deposition, and remained substantially in the position of growth.</t>
  </si>
  <si>
    <t>boundstone</t>
  </si>
  <si>
    <t>sesrs:Boundstone</t>
  </si>
  <si>
    <t>Carbonate sediment in which greater than 90 percent of the constituents are composed of one (or more) of the carbonate minerals in particles of intrabasinal origin.</t>
  </si>
  <si>
    <t>pure carbonate sediment</t>
  </si>
  <si>
    <t>Carbonate sediment in which between 50 and 90 percent of the constituents are composed of one (or more) of the carbonate minerals in particles of intrabasinal origin.</t>
  </si>
  <si>
    <t>impure carbonate sediment</t>
  </si>
  <si>
    <t>http://en.wikipedia.org/wiki/Basalt; Carmichael, I.S. Turner, F.J., Verhoogen, John, 1974, Igneous petrology: New York, McGraw HIll Book Co., p.42-43.</t>
  </si>
  <si>
    <t>Tholeiitic basalt is defined here to contain 2 pyroxene phases and interstitial quartz or tridymite or cristobalite in the groundmass. Pyroxene (augite and orthopyroxene or pigeonite) and calcium-rich plagioclase are common phenocryst minerals. Olivine may also be a phenocryst, and when present, may have rims of pigeonite. Only in tholeiitic basalt is olivine in reaction relationship with melt. Interstitial siliceous residue may be present, and is often glassy. Tholeiitic basalt is relatively poor in sodium. This category includes most basalts of the ocean floor, most large oceanic islands, and continental flood basalts such as the Columbia River Plateau.</t>
  </si>
  <si>
    <t>tholeiitic basalt</t>
  </si>
  <si>
    <t>sesrs:Tholeiitic_Basalt</t>
  </si>
  <si>
    <t>Alkali olivine basalt is silica-undersaturated, characterized by the absence of orthopyroxene, absence of quartz, presence of olivine, and typically contains some feldspathoid mineral, alkali feldspar or phlogopite in the groundmass. Feldspar phenocrysts typically are labradorite to andesine in composition. Augite is rich in titanium compared to augite in tholeiitic basalt. Alkali olivine basalt is relatively rich in sodium.</t>
  </si>
  <si>
    <t>alkali olivine basalt</t>
  </si>
  <si>
    <t>sesrs:Alkali-Olivine_Basalt</t>
  </si>
  <si>
    <t>Anorthositic rock that contains between 5 and 20 percent quartz in the QAPF fraction. QAPF field 10*.</t>
  </si>
  <si>
    <t>quartz anorthosite</t>
  </si>
  <si>
    <t>sesrs:Quartz_Anorthosite</t>
  </si>
  <si>
    <t>Anorthositic rock that contains between 0 and 10 percent feldspathoid mineral and no quartz in the QAPF fraction. QAPF field 10'.</t>
  </si>
  <si>
    <t>foid bearing anorthosite</t>
  </si>
  <si>
    <t>sesrs:Foid_Bearing_Anorthosite</t>
  </si>
  <si>
    <t>Anorthositic rock that contains between 0 and 5 percent quartz and no feldspathoid mineral in the QAPF fraction. QAPF field 10.</t>
  </si>
  <si>
    <t>anorthosite</t>
  </si>
  <si>
    <t>sesrs:Anorthosite</t>
  </si>
  <si>
    <t>source</t>
  </si>
  <si>
    <t>def</t>
  </si>
  <si>
    <t>material_id</t>
  </si>
  <si>
    <t>URI</t>
  </si>
  <si>
    <t>broader_URI</t>
  </si>
  <si>
    <t>skos</t>
  </si>
  <si>
    <t>sesrs:animal_tissue</t>
  </si>
  <si>
    <t>Animal tissue</t>
  </si>
  <si>
    <t>Organic material that is tissue from the body of an animal.</t>
  </si>
  <si>
    <t>sesrs:other_biogenic_organic_material</t>
  </si>
  <si>
    <t>Other biogenic organic material</t>
  </si>
  <si>
    <t>Biogenic organic material that is not animal tissue or from a plant.</t>
  </si>
  <si>
    <t>sesrs:plant_material</t>
  </si>
  <si>
    <t>Plant material</t>
  </si>
  <si>
    <t>Organic material produced by a plant</t>
  </si>
  <si>
    <t>sesrs:acidic_igneous_material</t>
  </si>
  <si>
    <t>sesrs:anthropogenic_unconsolidated_material</t>
  </si>
  <si>
    <t>sesrs:arenite</t>
  </si>
  <si>
    <t>sesrs:argillite</t>
  </si>
  <si>
    <t>sesrs:ash_and_lapilli</t>
  </si>
  <si>
    <t>sesrs:ash_breccia_bomb_or_block_tephra</t>
  </si>
  <si>
    <t>sesrs:ash_tuff_lapillistone_and_lapilli_tuff</t>
  </si>
  <si>
    <t>sesrs:basic_igneous_material</t>
  </si>
  <si>
    <t>sesrs:biogenic_silica_sedimentary_rock</t>
  </si>
  <si>
    <t>sesrs:boninite</t>
  </si>
  <si>
    <t>sesrs:calcareous_carbonate_sediment</t>
  </si>
  <si>
    <t>sesrs:calcareous_carbonate_sedimentary_material</t>
  </si>
  <si>
    <t>sesrs:calcareous_carbonate_sedimentary_rock</t>
  </si>
  <si>
    <t>sesrs:calcsilicate_metamorphic_rock</t>
  </si>
  <si>
    <t>sesrs:carbonate_mud</t>
  </si>
  <si>
    <t>sesrs:carbonate_mudstone</t>
  </si>
  <si>
    <t>sesrs:carbonate_ooze</t>
  </si>
  <si>
    <t>sesrs:carbonate_rich_mud</t>
  </si>
  <si>
    <t>sesrs:carbonate_rich_mudstone</t>
  </si>
  <si>
    <t>sesrs:carbonate_sedimentary_material</t>
  </si>
  <si>
    <t>sesrs:carbonatite</t>
  </si>
  <si>
    <t>sesrs:clastic_conglomerate</t>
  </si>
  <si>
    <t>sesrs:clastic_mudstone</t>
  </si>
  <si>
    <t>sesrs:clastic_sandstone</t>
  </si>
  <si>
    <t>sesrs:clastic_sedimentary_material</t>
  </si>
  <si>
    <t>sesrs:claystone</t>
  </si>
  <si>
    <t>sesrs:concrete</t>
  </si>
  <si>
    <t>sesrs:dolomitic_or_magnesian_sedimentary_material</t>
  </si>
  <si>
    <t>sesrs:dolomitic_or_magnesian_sedimentary_rock</t>
  </si>
  <si>
    <t>sesrs:dolomitic_sediment</t>
  </si>
  <si>
    <t>sesrs:dolostone</t>
  </si>
  <si>
    <t>sesrs:eclogite</t>
  </si>
  <si>
    <t>sesrs:exotic_alkaline_rock</t>
  </si>
  <si>
    <t>sesrs:felsic_volcanic_material</t>
  </si>
  <si>
    <t>sesrs:foliated_metamorphic_rock</t>
  </si>
  <si>
    <t>sesrs:fragmental_igneous_material</t>
  </si>
  <si>
    <t>sesrs:framestone</t>
  </si>
  <si>
    <t>sesrs:glaucophane_lawsonite_epidote_metamorphic_rock</t>
  </si>
  <si>
    <t>sesrs:gneiss</t>
  </si>
  <si>
    <t>sesrs:grainstone</t>
  </si>
  <si>
    <t>sesrs:granofels</t>
  </si>
  <si>
    <t>sesrs:granulite</t>
  </si>
  <si>
    <t>sesrs:gravel</t>
  </si>
  <si>
    <t>sesrs:hornfels</t>
  </si>
  <si>
    <t>sesrs:impure_calcareous_carbonate_sediment</t>
  </si>
  <si>
    <t>sesrs:impure_carbonate_sedimentary_rock</t>
  </si>
  <si>
    <t>sesrs:impure_dolomitic_sediment</t>
  </si>
  <si>
    <t>sesrs:impure_dolostone</t>
  </si>
  <si>
    <t>sesrs:impure_limestone</t>
  </si>
  <si>
    <t>sesrs:intermediate_composition_igneous_material</t>
  </si>
  <si>
    <t>sesrs:kalsilitic_and_melilitic_rock</t>
  </si>
  <si>
    <t>sesrs:komatiitic_rock</t>
  </si>
  <si>
    <t>sesrs:lava</t>
  </si>
  <si>
    <t>sesrs:lignite</t>
  </si>
  <si>
    <t>sesrs:limestone</t>
  </si>
  <si>
    <t>sesrs:manufactured_chemical_substance</t>
  </si>
  <si>
    <t>sesrs:matte</t>
  </si>
  <si>
    <t>sesrs:mineral_processing_product</t>
  </si>
  <si>
    <t>sesrs:mud</t>
  </si>
  <si>
    <t>sesrs:natural_unconsolidated_material</t>
  </si>
  <si>
    <t>sesrs:non_clastic_siliceous_sedimentary_material</t>
  </si>
  <si>
    <t>sesrs:ooze</t>
  </si>
  <si>
    <t>sesrs:organic_bearing_mudstone</t>
  </si>
  <si>
    <t>sesrs:organic_rich_sediment</t>
  </si>
  <si>
    <t>sesrs:organic_rich_sedimentary_material</t>
  </si>
  <si>
    <t>sesrs:orthogneiss</t>
  </si>
  <si>
    <t>sesrs:paragneiss</t>
  </si>
  <si>
    <t>sesrs:peat</t>
  </si>
  <si>
    <t>sesrs:phosphate_rich_sedimentary_material</t>
  </si>
  <si>
    <t>sesrs:phyllite</t>
  </si>
  <si>
    <t>sesrs:pure_calcareous_carbonate_sediment</t>
  </si>
  <si>
    <t>sesrs:pure_carbonate_mudstone</t>
  </si>
  <si>
    <t>sesrs:pure_carbonate_sedimentary_rock</t>
  </si>
  <si>
    <t>sesrs:pure_dolomitic_sediment</t>
  </si>
  <si>
    <t>sesrs:pyroclastic_material</t>
  </si>
  <si>
    <t>sesrs:sand</t>
  </si>
  <si>
    <t>sesrs:sapropel</t>
  </si>
  <si>
    <t>sesrs:schist</t>
  </si>
  <si>
    <t>sesrs:serpentinite</t>
  </si>
  <si>
    <t>sesrs:shale</t>
  </si>
  <si>
    <t>sesrs:silicate_mud</t>
  </si>
  <si>
    <t>sesrs:silicate_mudstone</t>
  </si>
  <si>
    <t>sesrs:siliceous_ooze</t>
  </si>
  <si>
    <t>sesrs:siltstone</t>
  </si>
  <si>
    <t>sesrs:slag</t>
  </si>
  <si>
    <t>sesrs:slate</t>
  </si>
  <si>
    <t>sesrs:spilite</t>
  </si>
  <si>
    <t>sesrs:travertine</t>
  </si>
  <si>
    <t>sesrs:tuff_breccia_agglomerate_or_pyroclastic_breccia</t>
  </si>
  <si>
    <t>sesrs:unconsolidated_material</t>
  </si>
  <si>
    <t>sesrs:volcanic_material</t>
  </si>
  <si>
    <t>sesrs:wacke</t>
  </si>
  <si>
    <t>broader_id</t>
  </si>
  <si>
    <t/>
  </si>
  <si>
    <t>lookuup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</si>
</sst>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81"/>
      <name val="Tahoma"/>
      <charset val="1"/>
    </font>
    <font>
      <b/>
      <sz val="11"/>
      <color indexed="81"/>
      <name val="Tahoma"/>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944a82e2ddcde9eb/Documents/GithubC/IEDA/sesar2/MigrationNotes_LookupTables/Material/SESAR_material_type.xlsx" TargetMode="External"/><Relationship Id="rId1" Type="http://schemas.openxmlformats.org/officeDocument/2006/relationships/externalLinkPath" Target="SESAR_material_typ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SAR_material_lookup"/>
      <sheetName val="Material_vocabulary"/>
      <sheetName val="SESAR_classification_table"/>
    </sheetNames>
    <sheetDataSet>
      <sheetData sheetId="0"/>
      <sheetData sheetId="1">
        <row r="2">
          <cell r="A2">
            <v>5111</v>
          </cell>
          <cell r="B2">
            <v>1</v>
          </cell>
          <cell r="C2" t="str">
            <v>Igneous material</v>
          </cell>
          <cell r="D2" t="str">
            <v>Earth material formed as a result of igneous processes, eg. intrusion and cooling of magma in the crust, volcanic eruption.</v>
          </cell>
          <cell r="E2" t="str">
            <v>sesrs:igneous_material</v>
          </cell>
        </row>
        <row r="3">
          <cell r="A3">
            <v>5160</v>
          </cell>
          <cell r="B3">
            <v>1</v>
          </cell>
          <cell r="C3" t="str">
            <v>Ore</v>
          </cell>
          <cell r="D3" t="str">
            <v xml:space="preserve">A natural Earth material containing a potentially economic quantity of extractable metals or other commodities. </v>
          </cell>
          <cell r="E3" t="str">
            <v>sesrs:ore</v>
          </cell>
        </row>
        <row r="4">
          <cell r="A4">
            <v>5191</v>
          </cell>
          <cell r="B4">
            <v>1</v>
          </cell>
          <cell r="C4" t="str">
            <v>Rock</v>
          </cell>
          <cell r="D4" t="str">
            <v>Consolidated aggregate of one or more EarthMaterials, or a body of undifferentiated mineral matter, or of solid organic material. Includes mineral aggregates such as granite, shale, marble; glassy matter such as obsidian; and organic material such a coal. Excludes unconsolidated materials.</v>
          </cell>
          <cell r="E4" t="str">
            <v>mat:rock</v>
          </cell>
        </row>
        <row r="5">
          <cell r="A5">
            <v>5202</v>
          </cell>
          <cell r="B5">
            <v>1</v>
          </cell>
          <cell r="C5" t="str">
            <v>Sedimentary material</v>
          </cell>
          <cell r="D5" t="str">
            <v>Material formed by accumulation of solid fragmental material deposited by air, water or ice, or material that accumulated by other natural agents such as chemical precipitation from solution or secretion by organisms. Includes both sediment and sedimentary rock. Includes epiclastic deposits. All stated composition criteria are based on the mineral/ compound material (GeoSciML term)/particulate fraction of the material, irrespective of porosity or the pore-fluid. No distinctions are made based on porosity or pore fluid composition (except organic rich sediment in which liquid hydrocarbon content may be considered).</v>
          </cell>
          <cell r="E5" t="str">
            <v>sesrs:sedimentary_material</v>
          </cell>
        </row>
        <row r="6">
          <cell r="A6">
            <v>5249</v>
          </cell>
          <cell r="B6">
            <v>1</v>
          </cell>
          <cell r="C6" t="str">
            <v>Composite genesis material</v>
          </cell>
          <cell r="D6" t="str">
            <v xml:space="preserve">Material of unspecified consolidation state formed by geological modification of pre-existing materials outside the realm of igneous and sedimentary processes. Includes rocks formed by impact metamorphism, standard dynamothermal metamorphism, brittle deformation, weathering, metasomatism and hydrothermal alteration (diagenesis is a sedimentary process in this context). </v>
          </cell>
          <cell r="E6" t="str">
            <v>sesrs:composite_genesis_material</v>
          </cell>
        </row>
        <row r="7">
          <cell r="A7">
            <v>6014</v>
          </cell>
          <cell r="B7">
            <v>1</v>
          </cell>
          <cell r="C7" t="str">
            <v>Breccia</v>
          </cell>
          <cell r="D7" t="str">
            <v>Coarse-grained material composed of angular broken rock fragments; the fragments typically have sharp edges and unworn corners. The fragments may be held together by a mineral cement or in a fine-grained matrix, and consolidated or nonconsolidated. Clasts may be of any composition or origin. In sedimentary environments, breccia is used for material that consists entirely of angular fragments, mostly derived from a single source rock body, as in a rock avalanche deposit, and matrix is interpreted to be the product of comminution of clasts during transport. Diamictite or diamicton is used when the material reflects mixing of rock from a variety of sources, some sub angular or subrounded clasts may be present, and matrix is pre-existing fine grained material that is not a direct product of the brecciation/deposition process.</v>
          </cell>
          <cell r="E7" t="str">
            <v>rksd:Breccia</v>
          </cell>
        </row>
        <row r="8">
          <cell r="A8">
            <v>72</v>
          </cell>
          <cell r="B8">
            <v>2</v>
          </cell>
          <cell r="C8" t="str">
            <v>Wupatkiite</v>
          </cell>
          <cell r="E8" t="str">
            <v>https://www.mindat.org/1:1:7372:7</v>
          </cell>
        </row>
        <row r="9">
          <cell r="A9">
            <v>76</v>
          </cell>
          <cell r="B9">
            <v>2</v>
          </cell>
          <cell r="C9" t="str">
            <v>Wycheproofite</v>
          </cell>
          <cell r="E9" t="str">
            <v>https://www.mindat.org/1:1:4320:1</v>
          </cell>
        </row>
        <row r="10">
          <cell r="A10">
            <v>87</v>
          </cell>
          <cell r="B10">
            <v>2</v>
          </cell>
          <cell r="C10" t="str">
            <v>Xiangjiangite</v>
          </cell>
          <cell r="E10" t="str">
            <v>https://www.mindat.org/1:1:4334:8</v>
          </cell>
        </row>
        <row r="11">
          <cell r="A11">
            <v>88</v>
          </cell>
          <cell r="B11">
            <v>2</v>
          </cell>
          <cell r="C11" t="str">
            <v>Xifengite</v>
          </cell>
          <cell r="E11" t="str">
            <v>https://www.mindat.org/1:1:4335:5</v>
          </cell>
        </row>
        <row r="12">
          <cell r="A12">
            <v>89</v>
          </cell>
          <cell r="B12">
            <v>2</v>
          </cell>
          <cell r="C12" t="str">
            <v>Xilingoite</v>
          </cell>
          <cell r="E12" t="str">
            <v/>
          </cell>
        </row>
        <row r="13">
          <cell r="A13">
            <v>91</v>
          </cell>
          <cell r="B13">
            <v>2</v>
          </cell>
          <cell r="C13" t="str">
            <v>Ximengite</v>
          </cell>
          <cell r="E13" t="str">
            <v>https://www.mindat.org/1:1:4337:9</v>
          </cell>
        </row>
        <row r="14">
          <cell r="A14">
            <v>93</v>
          </cell>
          <cell r="B14">
            <v>2</v>
          </cell>
          <cell r="C14" t="str">
            <v>Xitieshanite</v>
          </cell>
          <cell r="E14" t="str">
            <v>https://www.mindat.org/1:1:4341:6</v>
          </cell>
        </row>
        <row r="15">
          <cell r="A15">
            <v>96</v>
          </cell>
          <cell r="B15">
            <v>2</v>
          </cell>
          <cell r="C15" t="str">
            <v>Yafsoanite</v>
          </cell>
          <cell r="E15" t="str">
            <v>https://www.mindat.org/1:1:4349:2</v>
          </cell>
        </row>
        <row r="16">
          <cell r="A16">
            <v>97</v>
          </cell>
          <cell r="B16">
            <v>2</v>
          </cell>
          <cell r="C16" t="str">
            <v>Yagiite</v>
          </cell>
          <cell r="E16" t="str">
            <v/>
          </cell>
        </row>
        <row r="17">
          <cell r="A17">
            <v>98</v>
          </cell>
          <cell r="B17">
            <v>2</v>
          </cell>
          <cell r="C17" t="str">
            <v>Yakhontovite</v>
          </cell>
          <cell r="E17" t="str">
            <v>https://www.mindat.org/1:1:4351:5</v>
          </cell>
        </row>
        <row r="18">
          <cell r="A18">
            <v>100</v>
          </cell>
          <cell r="B18">
            <v>2</v>
          </cell>
          <cell r="C18" t="str">
            <v>Yaroslavite</v>
          </cell>
          <cell r="E18" t="str">
            <v>https://www.mindat.org/1:1:4353:9</v>
          </cell>
        </row>
        <row r="19">
          <cell r="A19">
            <v>103</v>
          </cell>
          <cell r="B19">
            <v>2</v>
          </cell>
          <cell r="C19" t="str">
            <v>Ye'elimite</v>
          </cell>
          <cell r="E19" t="str">
            <v>https://www.mindat.org/1:1:4356:0</v>
          </cell>
        </row>
        <row r="20">
          <cell r="A20">
            <v>107</v>
          </cell>
          <cell r="B20">
            <v>2</v>
          </cell>
          <cell r="C20" t="str">
            <v>Yftisite-(Y)</v>
          </cell>
          <cell r="E20" t="str">
            <v/>
          </cell>
        </row>
        <row r="21">
          <cell r="A21">
            <v>108</v>
          </cell>
          <cell r="B21">
            <v>2</v>
          </cell>
          <cell r="C21" t="str">
            <v>Yimengite</v>
          </cell>
          <cell r="E21" t="str">
            <v>https://www.mindat.org/1:1:4361:4</v>
          </cell>
        </row>
        <row r="22">
          <cell r="A22">
            <v>109</v>
          </cell>
          <cell r="B22">
            <v>2</v>
          </cell>
          <cell r="C22" t="str">
            <v>Yingjiangite</v>
          </cell>
          <cell r="E22" t="str">
            <v>https://www.mindat.org/1:1:4362:1</v>
          </cell>
        </row>
        <row r="23">
          <cell r="A23">
            <v>110</v>
          </cell>
          <cell r="B23">
            <v>2</v>
          </cell>
          <cell r="C23" t="str">
            <v>Yixunite</v>
          </cell>
          <cell r="E23" t="str">
            <v>https://www.mindat.org/1:1:7378:9</v>
          </cell>
        </row>
        <row r="24">
          <cell r="A24">
            <v>114</v>
          </cell>
          <cell r="B24">
            <v>2</v>
          </cell>
          <cell r="C24" t="str">
            <v>Yoshiokaite</v>
          </cell>
          <cell r="E24" t="str">
            <v/>
          </cell>
        </row>
        <row r="25">
          <cell r="A25">
            <v>116</v>
          </cell>
          <cell r="B25">
            <v>2</v>
          </cell>
          <cell r="C25" t="str">
            <v>Yttrobetafite-(Y)</v>
          </cell>
          <cell r="E25" t="str">
            <v/>
          </cell>
        </row>
        <row r="26">
          <cell r="A26">
            <v>117</v>
          </cell>
          <cell r="B26">
            <v>2</v>
          </cell>
          <cell r="C26" t="str">
            <v>Yttrocolumbite-(Y)</v>
          </cell>
          <cell r="E26" t="str">
            <v>https://www.mindat.org/1:1:4369:0</v>
          </cell>
        </row>
        <row r="27">
          <cell r="A27">
            <v>130</v>
          </cell>
          <cell r="B27">
            <v>2</v>
          </cell>
          <cell r="C27" t="str">
            <v>Watkinsonite</v>
          </cell>
          <cell r="E27" t="str">
            <v>https://www.mindat.org/1:1:4247:1</v>
          </cell>
        </row>
        <row r="28">
          <cell r="A28">
            <v>132</v>
          </cell>
          <cell r="B28">
            <v>2</v>
          </cell>
          <cell r="C28" t="str">
            <v>Wattevilleite</v>
          </cell>
          <cell r="E28" t="str">
            <v>https://www.mindat.org/1:1:4249:5</v>
          </cell>
        </row>
        <row r="29">
          <cell r="A29">
            <v>133</v>
          </cell>
          <cell r="B29">
            <v>2</v>
          </cell>
          <cell r="C29" t="str">
            <v>Wattevillite</v>
          </cell>
          <cell r="E29" t="str">
            <v/>
          </cell>
        </row>
        <row r="30">
          <cell r="A30">
            <v>144</v>
          </cell>
          <cell r="B30">
            <v>2</v>
          </cell>
          <cell r="C30" t="str">
            <v>Weinebeneite</v>
          </cell>
          <cell r="E30" t="str">
            <v>https://www.mindat.org/1:1:4260:0</v>
          </cell>
        </row>
        <row r="31">
          <cell r="A31">
            <v>145</v>
          </cell>
          <cell r="B31">
            <v>2</v>
          </cell>
          <cell r="C31" t="str">
            <v>Weishanite</v>
          </cell>
          <cell r="E31" t="str">
            <v>https://www.mindat.org/1:1:4261:7</v>
          </cell>
        </row>
        <row r="32">
          <cell r="A32">
            <v>154</v>
          </cell>
          <cell r="B32">
            <v>2</v>
          </cell>
          <cell r="C32" t="str">
            <v>Werdingite</v>
          </cell>
          <cell r="E32" t="str">
            <v>https://www.mindat.org/1:1:4270:9</v>
          </cell>
        </row>
        <row r="33">
          <cell r="A33">
            <v>170</v>
          </cell>
          <cell r="B33">
            <v>2</v>
          </cell>
          <cell r="C33" t="str">
            <v>Widenmannite</v>
          </cell>
          <cell r="E33" t="str">
            <v>https://www.mindat.org/1:1:4285:3</v>
          </cell>
        </row>
        <row r="34">
          <cell r="A34">
            <v>171</v>
          </cell>
          <cell r="B34">
            <v>2</v>
          </cell>
          <cell r="C34" t="str">
            <v>Widgiemoolthalite</v>
          </cell>
          <cell r="E34" t="str">
            <v>https://www.mindat.org/1:1:4286:0</v>
          </cell>
        </row>
        <row r="35">
          <cell r="A35">
            <v>176</v>
          </cell>
          <cell r="B35">
            <v>2</v>
          </cell>
          <cell r="C35" t="str">
            <v>Wilkmanite</v>
          </cell>
          <cell r="E35" t="str">
            <v>https://www.mindat.org/1:1:4291:4</v>
          </cell>
        </row>
        <row r="36">
          <cell r="A36">
            <v>189</v>
          </cell>
          <cell r="B36">
            <v>2</v>
          </cell>
          <cell r="C36" t="str">
            <v>Woehlerite</v>
          </cell>
          <cell r="E36" t="str">
            <v/>
          </cell>
        </row>
        <row r="37">
          <cell r="A37">
            <v>193</v>
          </cell>
          <cell r="B37">
            <v>2</v>
          </cell>
          <cell r="C37" t="str">
            <v>Wolframoixiolite</v>
          </cell>
          <cell r="E37" t="str">
            <v/>
          </cell>
        </row>
        <row r="38">
          <cell r="A38">
            <v>199</v>
          </cell>
          <cell r="B38">
            <v>2</v>
          </cell>
          <cell r="C38" t="str">
            <v>Woodallite</v>
          </cell>
          <cell r="E38" t="str">
            <v>https://www.mindat.org/1:1:10319:0</v>
          </cell>
        </row>
        <row r="39">
          <cell r="A39">
            <v>209</v>
          </cell>
          <cell r="B39">
            <v>2</v>
          </cell>
          <cell r="C39" t="str">
            <v>Zemkorite</v>
          </cell>
          <cell r="E39" t="str">
            <v>https://www.mindat.org/1:1:4393:5</v>
          </cell>
        </row>
        <row r="40">
          <cell r="A40">
            <v>210</v>
          </cell>
          <cell r="B40">
            <v>2</v>
          </cell>
          <cell r="C40" t="str">
            <v>Zenzenite</v>
          </cell>
          <cell r="E40" t="str">
            <v/>
          </cell>
        </row>
        <row r="41">
          <cell r="A41">
            <v>214</v>
          </cell>
          <cell r="B41">
            <v>2</v>
          </cell>
          <cell r="C41" t="str">
            <v>Zhanghengite</v>
          </cell>
          <cell r="E41" t="str">
            <v>https://www.mindat.org/1:1:4398:0</v>
          </cell>
        </row>
        <row r="42">
          <cell r="A42">
            <v>215</v>
          </cell>
          <cell r="B42">
            <v>2</v>
          </cell>
          <cell r="C42" t="str">
            <v>Zharchikhite</v>
          </cell>
          <cell r="E42" t="str">
            <v>https://www.mindat.org/1:1:4399:7</v>
          </cell>
        </row>
        <row r="43">
          <cell r="A43">
            <v>216</v>
          </cell>
          <cell r="B43">
            <v>2</v>
          </cell>
          <cell r="C43" t="str">
            <v>Zhemchuzhnikovite</v>
          </cell>
          <cell r="E43" t="str">
            <v>https://www.mindat.org/1:1:4400:0</v>
          </cell>
        </row>
        <row r="44">
          <cell r="A44">
            <v>217</v>
          </cell>
          <cell r="B44">
            <v>2</v>
          </cell>
          <cell r="C44" t="str">
            <v>Zhonghuacerite-(Ce)</v>
          </cell>
          <cell r="E44" t="str">
            <v/>
          </cell>
        </row>
        <row r="45">
          <cell r="A45">
            <v>218</v>
          </cell>
          <cell r="B45">
            <v>2</v>
          </cell>
          <cell r="C45" t="str">
            <v>Ziesite</v>
          </cell>
          <cell r="E45" t="str">
            <v>https://www.mindat.org/1:1:4402:4</v>
          </cell>
        </row>
        <row r="46">
          <cell r="A46">
            <v>222</v>
          </cell>
          <cell r="B46">
            <v>2</v>
          </cell>
          <cell r="C46" t="str">
            <v>Zinc-melanterite</v>
          </cell>
          <cell r="E46" t="str">
            <v/>
          </cell>
        </row>
        <row r="47">
          <cell r="A47">
            <v>223</v>
          </cell>
          <cell r="B47">
            <v>2</v>
          </cell>
          <cell r="C47" t="str">
            <v>Zinc-zippeite</v>
          </cell>
          <cell r="E47" t="str">
            <v/>
          </cell>
        </row>
        <row r="48">
          <cell r="A48">
            <v>225</v>
          </cell>
          <cell r="B48">
            <v>2</v>
          </cell>
          <cell r="C48" t="str">
            <v>Zincgartrellite</v>
          </cell>
          <cell r="E48" t="str">
            <v>https://www.mindat.org/1:1:7043:6</v>
          </cell>
        </row>
        <row r="49">
          <cell r="A49">
            <v>228</v>
          </cell>
          <cell r="B49">
            <v>2</v>
          </cell>
          <cell r="C49" t="str">
            <v>Zincochromite</v>
          </cell>
          <cell r="E49" t="str">
            <v>https://www.mindat.org/1:1:4412:3</v>
          </cell>
        </row>
        <row r="50">
          <cell r="A50">
            <v>230</v>
          </cell>
          <cell r="B50">
            <v>2</v>
          </cell>
          <cell r="C50" t="str">
            <v>Zincovoltaite</v>
          </cell>
          <cell r="E50" t="str">
            <v>https://www.mindat.org/1:1:4438:3</v>
          </cell>
        </row>
        <row r="51">
          <cell r="A51">
            <v>231</v>
          </cell>
          <cell r="B51">
            <v>2</v>
          </cell>
          <cell r="C51" t="str">
            <v>Zincowoodwardite</v>
          </cell>
          <cell r="E51" t="str">
            <v>https://www.mindat.org/1:1:10811:3</v>
          </cell>
        </row>
        <row r="52">
          <cell r="A52">
            <v>243</v>
          </cell>
          <cell r="B52">
            <v>2</v>
          </cell>
          <cell r="C52" t="str">
            <v>Zircophyllite</v>
          </cell>
          <cell r="E52" t="str">
            <v>https://www.mindat.org/1:1:4423:9</v>
          </cell>
        </row>
        <row r="53">
          <cell r="A53">
            <v>248</v>
          </cell>
          <cell r="B53">
            <v>2</v>
          </cell>
          <cell r="C53" t="str">
            <v>Zlatogorite</v>
          </cell>
          <cell r="E53" t="str">
            <v>https://www.mindat.org/1:1:7387:1</v>
          </cell>
        </row>
        <row r="54">
          <cell r="A54">
            <v>253</v>
          </cell>
          <cell r="B54">
            <v>2</v>
          </cell>
          <cell r="C54" t="str">
            <v>Zoubekite</v>
          </cell>
          <cell r="E54" t="str">
            <v>https://www.mindat.org/1:1:4432:1</v>
          </cell>
        </row>
        <row r="55">
          <cell r="A55">
            <v>260</v>
          </cell>
          <cell r="B55">
            <v>2</v>
          </cell>
          <cell r="C55" t="str">
            <v>Zzap</v>
          </cell>
          <cell r="E55" t="str">
            <v/>
          </cell>
        </row>
        <row r="56">
          <cell r="A56">
            <v>261</v>
          </cell>
          <cell r="B56">
            <v>2</v>
          </cell>
          <cell r="C56" t="str">
            <v>Ferruvite</v>
          </cell>
          <cell r="E56" t="str">
            <v/>
          </cell>
        </row>
        <row r="57">
          <cell r="A57">
            <v>263</v>
          </cell>
          <cell r="B57">
            <v>2</v>
          </cell>
          <cell r="C57" t="str">
            <v>Vanadiumdravite</v>
          </cell>
          <cell r="E57" t="str">
            <v/>
          </cell>
        </row>
        <row r="58">
          <cell r="A58">
            <v>265</v>
          </cell>
          <cell r="B58">
            <v>2</v>
          </cell>
          <cell r="C58" t="str">
            <v>Other Mineral</v>
          </cell>
          <cell r="E58" t="str">
            <v/>
          </cell>
        </row>
        <row r="59">
          <cell r="A59">
            <v>266</v>
          </cell>
          <cell r="B59">
            <v>2</v>
          </cell>
          <cell r="C59" t="str">
            <v>Temagamite</v>
          </cell>
          <cell r="E59" t="str">
            <v>https://www.mindat.org/1:1:3908:2</v>
          </cell>
        </row>
        <row r="60">
          <cell r="A60">
            <v>267</v>
          </cell>
          <cell r="B60">
            <v>2</v>
          </cell>
          <cell r="C60" t="str">
            <v>Tengchongite</v>
          </cell>
          <cell r="E60" t="str">
            <v>https://www.mindat.org/1:1:3909:9</v>
          </cell>
        </row>
        <row r="61">
          <cell r="A61">
            <v>273</v>
          </cell>
          <cell r="B61">
            <v>2</v>
          </cell>
          <cell r="C61" t="str">
            <v>Ternesite</v>
          </cell>
          <cell r="E61" t="str">
            <v>https://www.mindat.org/1:1:7330:7</v>
          </cell>
        </row>
        <row r="62">
          <cell r="A62">
            <v>274</v>
          </cell>
          <cell r="B62">
            <v>2</v>
          </cell>
          <cell r="C62" t="str">
            <v>Ternovite</v>
          </cell>
          <cell r="E62" t="str">
            <v>https://www.mindat.org/1:1:7331:4</v>
          </cell>
        </row>
        <row r="63">
          <cell r="A63">
            <v>275</v>
          </cell>
          <cell r="B63">
            <v>2</v>
          </cell>
          <cell r="C63" t="str">
            <v>Terranovaite</v>
          </cell>
          <cell r="E63" t="str">
            <v>https://www.mindat.org/1:1:7332:1</v>
          </cell>
        </row>
        <row r="64">
          <cell r="A64">
            <v>280</v>
          </cell>
          <cell r="B64">
            <v>2</v>
          </cell>
          <cell r="C64" t="str">
            <v>Testibiopalladite</v>
          </cell>
          <cell r="E64" t="str">
            <v/>
          </cell>
        </row>
        <row r="65">
          <cell r="A65">
            <v>281</v>
          </cell>
          <cell r="B65">
            <v>2</v>
          </cell>
          <cell r="C65" t="str">
            <v>Tetra-auricupride</v>
          </cell>
          <cell r="E65" t="str">
            <v>https://www.mindat.org/1:1:3920:4</v>
          </cell>
        </row>
        <row r="66">
          <cell r="A66">
            <v>283</v>
          </cell>
          <cell r="B66">
            <v>2</v>
          </cell>
          <cell r="C66" t="str">
            <v>Tetra-ferriphlogophite</v>
          </cell>
          <cell r="E66" t="str">
            <v/>
          </cell>
        </row>
        <row r="67">
          <cell r="A67">
            <v>287</v>
          </cell>
          <cell r="B67">
            <v>2</v>
          </cell>
          <cell r="C67" t="str">
            <v>Tetrahedrite Group</v>
          </cell>
          <cell r="E67" t="str">
            <v/>
          </cell>
        </row>
        <row r="68">
          <cell r="A68">
            <v>290</v>
          </cell>
          <cell r="B68">
            <v>2</v>
          </cell>
          <cell r="C68" t="str">
            <v>Tetrarooseveltite</v>
          </cell>
          <cell r="E68" t="str">
            <v>https://www.mindat.org/1:1:3926:6</v>
          </cell>
        </row>
        <row r="69">
          <cell r="A69">
            <v>291</v>
          </cell>
          <cell r="B69">
            <v>2</v>
          </cell>
          <cell r="C69" t="str">
            <v>Tetrataenite</v>
          </cell>
          <cell r="E69" t="str">
            <v>https://www.mindat.org/1:1:3927:3</v>
          </cell>
        </row>
        <row r="70">
          <cell r="A70">
            <v>294</v>
          </cell>
          <cell r="B70">
            <v>2</v>
          </cell>
          <cell r="C70" t="str">
            <v>Thalcusite</v>
          </cell>
          <cell r="E70" t="str">
            <v>https://www.mindat.org/1:1:3930:3</v>
          </cell>
        </row>
        <row r="71">
          <cell r="A71">
            <v>296</v>
          </cell>
          <cell r="B71">
            <v>2</v>
          </cell>
          <cell r="C71" t="str">
            <v>Thalfenisite</v>
          </cell>
          <cell r="E71" t="str">
            <v>https://www.mindat.org/1:1:3932:7</v>
          </cell>
        </row>
        <row r="72">
          <cell r="A72">
            <v>302</v>
          </cell>
          <cell r="B72">
            <v>2</v>
          </cell>
          <cell r="C72" t="str">
            <v>Yuanfuliite</v>
          </cell>
          <cell r="E72" t="str">
            <v>https://www.mindat.org/1:1:4375:1</v>
          </cell>
        </row>
        <row r="73">
          <cell r="A73">
            <v>303</v>
          </cell>
          <cell r="B73">
            <v>2</v>
          </cell>
          <cell r="C73" t="str">
            <v>Yuanjiangite</v>
          </cell>
          <cell r="E73" t="str">
            <v>https://www.mindat.org/1:1:7381:9</v>
          </cell>
        </row>
        <row r="74">
          <cell r="A74">
            <v>307</v>
          </cell>
          <cell r="B74">
            <v>2</v>
          </cell>
          <cell r="C74" t="str">
            <v>Yushkinite</v>
          </cell>
          <cell r="E74" t="str">
            <v>https://www.mindat.org/1:1:4379:9</v>
          </cell>
        </row>
        <row r="75">
          <cell r="A75">
            <v>309</v>
          </cell>
          <cell r="B75">
            <v>2</v>
          </cell>
          <cell r="C75" t="str">
            <v>Zairite</v>
          </cell>
          <cell r="E75" t="str">
            <v/>
          </cell>
        </row>
        <row r="76">
          <cell r="A76">
            <v>310</v>
          </cell>
          <cell r="B76">
            <v>2</v>
          </cell>
          <cell r="C76" t="str">
            <v>Zajacite</v>
          </cell>
          <cell r="E76" t="str">
            <v/>
          </cell>
        </row>
        <row r="77">
          <cell r="A77">
            <v>311</v>
          </cell>
          <cell r="B77">
            <v>2</v>
          </cell>
          <cell r="C77" t="str">
            <v>Zajacite-(Ce)</v>
          </cell>
          <cell r="E77" t="str">
            <v/>
          </cell>
        </row>
        <row r="78">
          <cell r="A78">
            <v>313</v>
          </cell>
          <cell r="B78">
            <v>2</v>
          </cell>
          <cell r="C78" t="str">
            <v>Zalesiite</v>
          </cell>
          <cell r="E78" t="str">
            <v/>
          </cell>
        </row>
        <row r="79">
          <cell r="A79">
            <v>333</v>
          </cell>
          <cell r="B79">
            <v>2</v>
          </cell>
          <cell r="C79" t="str">
            <v>Svetlozarite</v>
          </cell>
          <cell r="E79" t="str">
            <v/>
          </cell>
        </row>
        <row r="80">
          <cell r="A80">
            <v>334</v>
          </cell>
          <cell r="B80">
            <v>2</v>
          </cell>
          <cell r="C80" t="str">
            <v>Svyatoslavite</v>
          </cell>
          <cell r="E80" t="str">
            <v>https://www.mindat.org/1:1:3840:5</v>
          </cell>
        </row>
        <row r="81">
          <cell r="A81">
            <v>335</v>
          </cell>
          <cell r="B81">
            <v>2</v>
          </cell>
          <cell r="C81" t="str">
            <v>Svyazhinite</v>
          </cell>
          <cell r="E81" t="str">
            <v>https://www.mindat.org/1:1:3841:2</v>
          </cell>
        </row>
        <row r="82">
          <cell r="A82">
            <v>336</v>
          </cell>
          <cell r="B82">
            <v>2</v>
          </cell>
          <cell r="C82" t="str">
            <v>Swaknoite</v>
          </cell>
          <cell r="E82" t="str">
            <v>https://www.mindat.org/1:1:3842:9</v>
          </cell>
        </row>
        <row r="83">
          <cell r="A83">
            <v>345</v>
          </cell>
          <cell r="B83">
            <v>2</v>
          </cell>
          <cell r="C83" t="str">
            <v>Symesite</v>
          </cell>
          <cell r="E83" t="str">
            <v>https://www.mindat.org/1:1:11033:0</v>
          </cell>
        </row>
        <row r="84">
          <cell r="A84">
            <v>357</v>
          </cell>
          <cell r="B84">
            <v>2</v>
          </cell>
          <cell r="C84" t="str">
            <v>Szymanskiite</v>
          </cell>
          <cell r="E84" t="str">
            <v>https://www.mindat.org/1:1:3860:3</v>
          </cell>
        </row>
        <row r="85">
          <cell r="A85">
            <v>367</v>
          </cell>
          <cell r="B85">
            <v>2</v>
          </cell>
          <cell r="C85" t="str">
            <v>Taimyrite</v>
          </cell>
          <cell r="E85" t="str">
            <v/>
          </cell>
        </row>
        <row r="86">
          <cell r="A86">
            <v>370</v>
          </cell>
          <cell r="B86">
            <v>2</v>
          </cell>
          <cell r="C86" t="str">
            <v>Takedaite</v>
          </cell>
          <cell r="E86" t="str">
            <v>https://www.mindat.org/1:1:3872:6</v>
          </cell>
        </row>
        <row r="87">
          <cell r="A87">
            <v>376</v>
          </cell>
          <cell r="B87">
            <v>2</v>
          </cell>
          <cell r="C87" t="str">
            <v>Tamaite</v>
          </cell>
          <cell r="E87" t="str">
            <v>https://www.mindat.org/1:1:7080:1</v>
          </cell>
        </row>
        <row r="88">
          <cell r="A88">
            <v>384</v>
          </cell>
          <cell r="B88">
            <v>2</v>
          </cell>
          <cell r="C88" t="str">
            <v>Tantite</v>
          </cell>
          <cell r="E88" t="str">
            <v>https://www.mindat.org/1:1:3884:9</v>
          </cell>
        </row>
        <row r="89">
          <cell r="A89">
            <v>391</v>
          </cell>
          <cell r="B89">
            <v>2</v>
          </cell>
          <cell r="C89" t="str">
            <v>Tarasovite</v>
          </cell>
          <cell r="E89" t="str">
            <v/>
          </cell>
        </row>
        <row r="90">
          <cell r="A90">
            <v>393</v>
          </cell>
          <cell r="B90">
            <v>2</v>
          </cell>
          <cell r="C90" t="str">
            <v>Tatarskite</v>
          </cell>
          <cell r="E90" t="str">
            <v>https://www.mindat.org/1:1:3894:8</v>
          </cell>
        </row>
        <row r="91">
          <cell r="A91">
            <v>394</v>
          </cell>
          <cell r="B91">
            <v>2</v>
          </cell>
          <cell r="C91" t="str">
            <v>Tatyanaite</v>
          </cell>
          <cell r="E91" t="str">
            <v>https://www.mindat.org/1:1:7013:9</v>
          </cell>
        </row>
        <row r="92">
          <cell r="A92">
            <v>395</v>
          </cell>
          <cell r="B92">
            <v>2</v>
          </cell>
          <cell r="C92" t="str">
            <v>Tauriscite</v>
          </cell>
          <cell r="E92" t="str">
            <v/>
          </cell>
        </row>
        <row r="93">
          <cell r="A93">
            <v>401</v>
          </cell>
          <cell r="B93">
            <v>2</v>
          </cell>
          <cell r="C93" t="str">
            <v>Tegengrenite</v>
          </cell>
          <cell r="E93" t="str">
            <v>https://www.mindat.org/1:1:7072:6</v>
          </cell>
        </row>
        <row r="94">
          <cell r="A94">
            <v>403</v>
          </cell>
          <cell r="B94">
            <v>2</v>
          </cell>
          <cell r="C94" t="str">
            <v>Telargpalite</v>
          </cell>
          <cell r="E94" t="str">
            <v>https://www.mindat.org/1:1:3903:7</v>
          </cell>
        </row>
        <row r="95">
          <cell r="A95">
            <v>404</v>
          </cell>
          <cell r="B95">
            <v>2</v>
          </cell>
          <cell r="C95" t="str">
            <v>Telluornevskite</v>
          </cell>
          <cell r="E95" t="str">
            <v/>
          </cell>
        </row>
        <row r="96">
          <cell r="A96">
            <v>409</v>
          </cell>
          <cell r="B96">
            <v>2</v>
          </cell>
          <cell r="C96" t="str">
            <v>Tellurohauchecornite</v>
          </cell>
          <cell r="E96" t="str">
            <v>https://www.mindat.org/1:1:3898:6</v>
          </cell>
        </row>
        <row r="97">
          <cell r="A97">
            <v>413</v>
          </cell>
          <cell r="B97">
            <v>2</v>
          </cell>
          <cell r="C97" t="str">
            <v>Stannomicrolite</v>
          </cell>
          <cell r="E97" t="str">
            <v/>
          </cell>
        </row>
        <row r="98">
          <cell r="A98">
            <v>414</v>
          </cell>
          <cell r="B98">
            <v>2</v>
          </cell>
          <cell r="C98" t="str">
            <v>Stannopalladinite</v>
          </cell>
          <cell r="E98" t="str">
            <v>https://www.mindat.org/1:1:3750:7</v>
          </cell>
        </row>
        <row r="99">
          <cell r="A99">
            <v>423</v>
          </cell>
          <cell r="B99">
            <v>2</v>
          </cell>
          <cell r="C99" t="str">
            <v>Stepanovite</v>
          </cell>
          <cell r="E99" t="str">
            <v>https://www.mindat.org/1:1:3763:7</v>
          </cell>
        </row>
        <row r="100">
          <cell r="A100">
            <v>434</v>
          </cell>
          <cell r="B100">
            <v>2</v>
          </cell>
          <cell r="C100" t="str">
            <v>Stibiobetafite</v>
          </cell>
          <cell r="E100" t="str">
            <v/>
          </cell>
        </row>
        <row r="101">
          <cell r="A101">
            <v>435</v>
          </cell>
          <cell r="B101">
            <v>2</v>
          </cell>
          <cell r="C101" t="str">
            <v>Stibiocolumbite</v>
          </cell>
          <cell r="E101" t="str">
            <v>https://www.mindat.org/1:1:3778:1</v>
          </cell>
        </row>
        <row r="102">
          <cell r="A102">
            <v>436</v>
          </cell>
          <cell r="B102">
            <v>2</v>
          </cell>
          <cell r="C102" t="str">
            <v>Stibiocolusite</v>
          </cell>
          <cell r="E102" t="str">
            <v>https://www.mindat.org/1:1:3779:8</v>
          </cell>
        </row>
        <row r="103">
          <cell r="A103">
            <v>437</v>
          </cell>
          <cell r="B103">
            <v>2</v>
          </cell>
          <cell r="C103" t="str">
            <v>Stibiomicrolite</v>
          </cell>
          <cell r="E103" t="str">
            <v/>
          </cell>
        </row>
        <row r="104">
          <cell r="A104">
            <v>452</v>
          </cell>
          <cell r="B104">
            <v>2</v>
          </cell>
          <cell r="C104" t="str">
            <v>Stistaite</v>
          </cell>
          <cell r="E104" t="str">
            <v>https://www.mindat.org/1:1:3791:0</v>
          </cell>
        </row>
        <row r="105">
          <cell r="A105">
            <v>455</v>
          </cell>
          <cell r="B105">
            <v>2</v>
          </cell>
          <cell r="C105" t="str">
            <v>Stolen</v>
          </cell>
          <cell r="E105" t="str">
            <v/>
          </cell>
        </row>
        <row r="106">
          <cell r="A106">
            <v>457</v>
          </cell>
          <cell r="B106">
            <v>2</v>
          </cell>
          <cell r="C106" t="str">
            <v>Stoppaniite</v>
          </cell>
          <cell r="E106" t="str">
            <v>https://www.mindat.org/1:1:7315:4</v>
          </cell>
        </row>
        <row r="107">
          <cell r="A107">
            <v>463</v>
          </cell>
          <cell r="B107">
            <v>2</v>
          </cell>
          <cell r="C107" t="str">
            <v>Strelkinite</v>
          </cell>
          <cell r="E107" t="str">
            <v>https://www.mindat.org/1:1:3800:9</v>
          </cell>
        </row>
        <row r="108">
          <cell r="A108">
            <v>470</v>
          </cell>
          <cell r="B108">
            <v>2</v>
          </cell>
          <cell r="C108" t="str">
            <v>Strontioborite</v>
          </cell>
          <cell r="E108" t="str">
            <v/>
          </cell>
        </row>
        <row r="109">
          <cell r="A109">
            <v>475</v>
          </cell>
          <cell r="B109">
            <v>2</v>
          </cell>
          <cell r="C109" t="str">
            <v>Strontiomelane</v>
          </cell>
          <cell r="E109" t="str">
            <v>https://www.mindat.org/1:1:7317:8</v>
          </cell>
        </row>
        <row r="110">
          <cell r="A110">
            <v>476</v>
          </cell>
          <cell r="B110">
            <v>2</v>
          </cell>
          <cell r="C110" t="str">
            <v>Strontiopiemontite</v>
          </cell>
          <cell r="E110" t="str">
            <v/>
          </cell>
        </row>
        <row r="111">
          <cell r="A111">
            <v>477</v>
          </cell>
          <cell r="B111">
            <v>2</v>
          </cell>
          <cell r="C111" t="str">
            <v>Strontiopyrochlore</v>
          </cell>
          <cell r="E111" t="str">
            <v/>
          </cell>
        </row>
        <row r="112">
          <cell r="A112">
            <v>478</v>
          </cell>
          <cell r="B112">
            <v>2</v>
          </cell>
          <cell r="C112" t="str">
            <v>Strontiowhitlockite</v>
          </cell>
          <cell r="E112" t="str">
            <v>https://www.mindat.org/1:1:3742:2</v>
          </cell>
        </row>
        <row r="113">
          <cell r="A113">
            <v>479</v>
          </cell>
          <cell r="B113">
            <v>2</v>
          </cell>
          <cell r="C113" t="str">
            <v>Strontium-apatite</v>
          </cell>
          <cell r="E113" t="str">
            <v/>
          </cell>
        </row>
        <row r="114">
          <cell r="A114">
            <v>484</v>
          </cell>
          <cell r="B114">
            <v>2</v>
          </cell>
          <cell r="C114" t="str">
            <v>Studenitsite</v>
          </cell>
          <cell r="E114" t="str">
            <v>https://www.mindat.org/1:1:3814:6</v>
          </cell>
        </row>
        <row r="115">
          <cell r="A115">
            <v>486</v>
          </cell>
          <cell r="B115">
            <v>2</v>
          </cell>
          <cell r="C115" t="str">
            <v>Stumpflite</v>
          </cell>
          <cell r="E115" t="str">
            <v>https://www.mindat.org/1:1:3816:0</v>
          </cell>
        </row>
        <row r="116">
          <cell r="A116">
            <v>490</v>
          </cell>
          <cell r="B116">
            <v>2</v>
          </cell>
          <cell r="C116" t="str">
            <v>Sudburyite</v>
          </cell>
          <cell r="E116" t="str">
            <v>https://www.mindat.org/1:1:3819:1</v>
          </cell>
        </row>
        <row r="117">
          <cell r="A117">
            <v>492</v>
          </cell>
          <cell r="B117">
            <v>2</v>
          </cell>
          <cell r="C117" t="str">
            <v>Sudovikovite</v>
          </cell>
          <cell r="E117" t="str">
            <v>https://www.mindat.org/1:1:7321:5</v>
          </cell>
        </row>
        <row r="118">
          <cell r="A118">
            <v>493</v>
          </cell>
          <cell r="B118">
            <v>2</v>
          </cell>
          <cell r="C118" t="str">
            <v>Suessite</v>
          </cell>
          <cell r="E118" t="str">
            <v>https://www.mindat.org/1:1:3821:4</v>
          </cell>
        </row>
        <row r="119">
          <cell r="A119">
            <v>498</v>
          </cell>
          <cell r="B119">
            <v>2</v>
          </cell>
          <cell r="C119" t="str">
            <v>Sulphotsumoite</v>
          </cell>
          <cell r="E119" t="str">
            <v>https://www.mindat.org/1:1:3825:2</v>
          </cell>
        </row>
        <row r="120">
          <cell r="A120">
            <v>504</v>
          </cell>
          <cell r="B120">
            <v>2</v>
          </cell>
          <cell r="C120" t="str">
            <v>Silvialite</v>
          </cell>
          <cell r="E120" t="str">
            <v>https://www.mindat.org/1:1:7296:6</v>
          </cell>
        </row>
        <row r="121">
          <cell r="A121">
            <v>505</v>
          </cell>
          <cell r="B121">
            <v>2</v>
          </cell>
          <cell r="C121" t="str">
            <v>Simferite</v>
          </cell>
          <cell r="E121" t="str">
            <v>https://www.mindat.org/1:1:3665:4</v>
          </cell>
        </row>
        <row r="122">
          <cell r="A122">
            <v>506</v>
          </cell>
          <cell r="B122">
            <v>2</v>
          </cell>
          <cell r="C122" t="str">
            <v>Simmonsite</v>
          </cell>
          <cell r="E122" t="str">
            <v>https://www.mindat.org/1:1:7297:3</v>
          </cell>
        </row>
        <row r="123">
          <cell r="A123">
            <v>508</v>
          </cell>
          <cell r="B123">
            <v>2</v>
          </cell>
          <cell r="C123" t="str">
            <v>Simonite</v>
          </cell>
          <cell r="E123" t="str">
            <v>https://www.mindat.org/1:1:3667:8</v>
          </cell>
        </row>
        <row r="124">
          <cell r="A124">
            <v>514</v>
          </cell>
          <cell r="B124">
            <v>2</v>
          </cell>
          <cell r="C124" t="str">
            <v>Sinjarite</v>
          </cell>
          <cell r="E124" t="str">
            <v>https://www.mindat.org/1:1:3673:9</v>
          </cell>
        </row>
        <row r="125">
          <cell r="A125">
            <v>521</v>
          </cell>
          <cell r="B125">
            <v>2</v>
          </cell>
          <cell r="C125" t="str">
            <v>Skippenite</v>
          </cell>
          <cell r="E125" t="str">
            <v>https://www.mindat.org/1:1:3680:7</v>
          </cell>
        </row>
        <row r="126">
          <cell r="A126">
            <v>527</v>
          </cell>
          <cell r="B126">
            <v>2</v>
          </cell>
          <cell r="C126" t="str">
            <v>Smirnite</v>
          </cell>
          <cell r="E126" t="str">
            <v>https://www.mindat.org/1:1:3686:9</v>
          </cell>
        </row>
        <row r="127">
          <cell r="A127">
            <v>531</v>
          </cell>
          <cell r="B127">
            <v>2</v>
          </cell>
          <cell r="C127" t="str">
            <v>Smrkovecite</v>
          </cell>
          <cell r="E127" t="str">
            <v>https://www.mindat.org/1:1:7299:7</v>
          </cell>
        </row>
        <row r="128">
          <cell r="A128">
            <v>533</v>
          </cell>
          <cell r="B128">
            <v>2</v>
          </cell>
          <cell r="C128" t="str">
            <v>Sobolevite</v>
          </cell>
          <cell r="E128" t="str">
            <v>https://www.mindat.org/1:1:3699:9</v>
          </cell>
        </row>
        <row r="129">
          <cell r="A129">
            <v>534</v>
          </cell>
          <cell r="B129">
            <v>2</v>
          </cell>
          <cell r="C129" t="str">
            <v>Sobolevskite</v>
          </cell>
          <cell r="E129" t="str">
            <v>https://www.mindat.org/1:1:3700:2</v>
          </cell>
        </row>
        <row r="130">
          <cell r="A130">
            <v>538</v>
          </cell>
          <cell r="B130">
            <v>2</v>
          </cell>
          <cell r="C130" t="str">
            <v>Sodic-ferripedrizite</v>
          </cell>
          <cell r="E130" t="str">
            <v/>
          </cell>
        </row>
        <row r="131">
          <cell r="A131">
            <v>539</v>
          </cell>
          <cell r="B131">
            <v>2</v>
          </cell>
          <cell r="C131" t="str">
            <v>Sodic-ferro-anthophyllite</v>
          </cell>
          <cell r="E131" t="str">
            <v/>
          </cell>
        </row>
        <row r="132">
          <cell r="A132">
            <v>540</v>
          </cell>
          <cell r="B132">
            <v>2</v>
          </cell>
          <cell r="C132" t="str">
            <v>Sodicanthophyllite</v>
          </cell>
          <cell r="E132" t="str">
            <v/>
          </cell>
        </row>
        <row r="133">
          <cell r="A133">
            <v>541</v>
          </cell>
          <cell r="B133">
            <v>2</v>
          </cell>
          <cell r="C133" t="str">
            <v>Sodicgedrite</v>
          </cell>
          <cell r="E133" t="str">
            <v/>
          </cell>
        </row>
        <row r="134">
          <cell r="A134">
            <v>542</v>
          </cell>
          <cell r="B134">
            <v>2</v>
          </cell>
          <cell r="C134" t="str">
            <v>Sodiumalum</v>
          </cell>
          <cell r="E134" t="str">
            <v/>
          </cell>
        </row>
        <row r="135">
          <cell r="A135">
            <v>543</v>
          </cell>
          <cell r="B135">
            <v>2</v>
          </cell>
          <cell r="C135" t="str">
            <v>Sodiumautunite</v>
          </cell>
          <cell r="E135" t="str">
            <v/>
          </cell>
        </row>
        <row r="136">
          <cell r="A136">
            <v>544</v>
          </cell>
          <cell r="B136">
            <v>2</v>
          </cell>
          <cell r="C136" t="str">
            <v>Sodiumbetpakdalite</v>
          </cell>
          <cell r="E136" t="str">
            <v/>
          </cell>
        </row>
        <row r="137">
          <cell r="A137">
            <v>545</v>
          </cell>
          <cell r="B137">
            <v>2</v>
          </cell>
          <cell r="C137" t="str">
            <v>Sodiumboltwoodite</v>
          </cell>
          <cell r="E137" t="str">
            <v/>
          </cell>
        </row>
        <row r="138">
          <cell r="A138">
            <v>547</v>
          </cell>
          <cell r="B138">
            <v>2</v>
          </cell>
          <cell r="C138" t="str">
            <v>Sodiummeta-autunite</v>
          </cell>
          <cell r="E138" t="str">
            <v/>
          </cell>
        </row>
        <row r="139">
          <cell r="A139">
            <v>548</v>
          </cell>
          <cell r="B139">
            <v>2</v>
          </cell>
          <cell r="C139" t="str">
            <v>Sodiumpharmacosiderite</v>
          </cell>
          <cell r="E139" t="str">
            <v/>
          </cell>
        </row>
        <row r="140">
          <cell r="A140">
            <v>549</v>
          </cell>
          <cell r="B140">
            <v>2</v>
          </cell>
          <cell r="C140" t="str">
            <v>Sodiumphlogopite</v>
          </cell>
          <cell r="E140" t="str">
            <v/>
          </cell>
        </row>
        <row r="141">
          <cell r="A141">
            <v>550</v>
          </cell>
          <cell r="B141">
            <v>2</v>
          </cell>
          <cell r="C141" t="str">
            <v>Sodiumuranospinite</v>
          </cell>
          <cell r="E141" t="str">
            <v/>
          </cell>
        </row>
        <row r="142">
          <cell r="A142">
            <v>551</v>
          </cell>
          <cell r="B142">
            <v>2</v>
          </cell>
          <cell r="C142" t="str">
            <v>Sodium-gedrite</v>
          </cell>
          <cell r="E142" t="str">
            <v/>
          </cell>
        </row>
        <row r="143">
          <cell r="A143">
            <v>552</v>
          </cell>
          <cell r="B143">
            <v>2</v>
          </cell>
          <cell r="C143" t="str">
            <v>Sodium-zippeite</v>
          </cell>
          <cell r="E143" t="str">
            <v/>
          </cell>
        </row>
        <row r="144">
          <cell r="A144">
            <v>555</v>
          </cell>
          <cell r="B144">
            <v>2</v>
          </cell>
          <cell r="C144" t="str">
            <v>Solongoite</v>
          </cell>
          <cell r="E144" t="str">
            <v>https://www.mindat.org/1:1:3710:1</v>
          </cell>
        </row>
        <row r="145">
          <cell r="A145">
            <v>558</v>
          </cell>
          <cell r="B145">
            <v>2</v>
          </cell>
          <cell r="C145" t="str">
            <v>Sopcheite</v>
          </cell>
          <cell r="E145" t="str">
            <v>https://www.mindat.org/1:1:3713:2</v>
          </cell>
        </row>
        <row r="146">
          <cell r="A146">
            <v>559</v>
          </cell>
          <cell r="B146">
            <v>2</v>
          </cell>
          <cell r="C146" t="str">
            <v>Sophiite</v>
          </cell>
          <cell r="E146" t="str">
            <v/>
          </cell>
        </row>
        <row r="147">
          <cell r="A147">
            <v>562</v>
          </cell>
          <cell r="B147">
            <v>2</v>
          </cell>
          <cell r="C147" t="str">
            <v>Sorosite</v>
          </cell>
          <cell r="E147" t="str">
            <v>https://www.mindat.org/1:1:7307:9</v>
          </cell>
        </row>
        <row r="148">
          <cell r="A148">
            <v>563</v>
          </cell>
          <cell r="B148">
            <v>2</v>
          </cell>
          <cell r="C148" t="str">
            <v>Sosedkoite</v>
          </cell>
          <cell r="E148" t="str">
            <v>https://www.mindat.org/1:1:3717:0</v>
          </cell>
        </row>
        <row r="149">
          <cell r="A149">
            <v>572</v>
          </cell>
          <cell r="B149">
            <v>2</v>
          </cell>
          <cell r="C149" t="str">
            <v>Sphaerobismoite</v>
          </cell>
          <cell r="E149" t="str">
            <v>https://www.mindat.org/1:1:7308:6</v>
          </cell>
        </row>
        <row r="150">
          <cell r="A150">
            <v>575</v>
          </cell>
          <cell r="B150">
            <v>2</v>
          </cell>
          <cell r="C150" t="str">
            <v>Spheniscidite</v>
          </cell>
          <cell r="E150" t="str">
            <v>https://www.mindat.org/1:1:3728:6</v>
          </cell>
        </row>
        <row r="151">
          <cell r="A151">
            <v>582</v>
          </cell>
          <cell r="B151">
            <v>2</v>
          </cell>
          <cell r="C151" t="str">
            <v>Springcreekite</v>
          </cell>
          <cell r="E151" t="str">
            <v>https://www.mindat.org/1:1:7061:0</v>
          </cell>
        </row>
        <row r="152">
          <cell r="A152">
            <v>588</v>
          </cell>
          <cell r="B152">
            <v>2</v>
          </cell>
          <cell r="C152" t="str">
            <v>Stanekite</v>
          </cell>
          <cell r="E152" t="str">
            <v>https://www.mindat.org/1:1:7310:9</v>
          </cell>
        </row>
        <row r="153">
          <cell r="A153">
            <v>589</v>
          </cell>
          <cell r="B153">
            <v>2</v>
          </cell>
          <cell r="C153" t="str">
            <v>Stanfieldite</v>
          </cell>
          <cell r="E153" t="str">
            <v>https://www.mindat.org/1:1:3745:3</v>
          </cell>
        </row>
        <row r="154">
          <cell r="A154">
            <v>600</v>
          </cell>
          <cell r="B154">
            <v>2</v>
          </cell>
          <cell r="C154" t="str">
            <v>Schuilingite-(Nd)</v>
          </cell>
          <cell r="E154" t="str">
            <v>https://www.mindat.org/1:1:3588:6</v>
          </cell>
        </row>
        <row r="155">
          <cell r="A155">
            <v>605</v>
          </cell>
          <cell r="B155">
            <v>2</v>
          </cell>
          <cell r="C155" t="str">
            <v>Schwertmannite</v>
          </cell>
          <cell r="E155" t="str">
            <v>https://www.mindat.org/1:1:7281:2</v>
          </cell>
        </row>
        <row r="156">
          <cell r="A156">
            <v>606</v>
          </cell>
          <cell r="B156">
            <v>2</v>
          </cell>
          <cell r="C156" t="str">
            <v>Schollhornite</v>
          </cell>
          <cell r="E156" t="str">
            <v/>
          </cell>
        </row>
        <row r="157">
          <cell r="A157">
            <v>615</v>
          </cell>
          <cell r="B157">
            <v>2</v>
          </cell>
          <cell r="C157" t="str">
            <v>Sederholmite</v>
          </cell>
          <cell r="E157" t="str">
            <v>https://www.mindat.org/1:1:3601:2</v>
          </cell>
        </row>
        <row r="158">
          <cell r="A158">
            <v>618</v>
          </cell>
          <cell r="B158">
            <v>2</v>
          </cell>
          <cell r="C158" t="str">
            <v>Seelite</v>
          </cell>
          <cell r="E158" t="str">
            <v>https://www.mindat.org/1:1:3604:3</v>
          </cell>
        </row>
        <row r="159">
          <cell r="A159">
            <v>621</v>
          </cell>
          <cell r="B159">
            <v>2</v>
          </cell>
          <cell r="C159" t="str">
            <v>Seidite-(Ce)</v>
          </cell>
          <cell r="E159" t="str">
            <v>https://www.mindat.org/1:1:7284:3</v>
          </cell>
        </row>
        <row r="160">
          <cell r="A160">
            <v>623</v>
          </cell>
          <cell r="B160">
            <v>2</v>
          </cell>
          <cell r="C160" t="str">
            <v>Seinajokite</v>
          </cell>
          <cell r="E160" t="str">
            <v/>
          </cell>
        </row>
        <row r="161">
          <cell r="A161">
            <v>625</v>
          </cell>
          <cell r="B161">
            <v>2</v>
          </cell>
          <cell r="C161" t="str">
            <v>Selen-tellurium</v>
          </cell>
          <cell r="E161" t="str">
            <v/>
          </cell>
        </row>
        <row r="162">
          <cell r="A162">
            <v>627</v>
          </cell>
          <cell r="B162">
            <v>2</v>
          </cell>
          <cell r="C162" t="str">
            <v>Selenostephanite</v>
          </cell>
          <cell r="E162" t="str">
            <v>https://www.mindat.org/1:1:3612:8</v>
          </cell>
        </row>
        <row r="163">
          <cell r="A163">
            <v>630</v>
          </cell>
          <cell r="B163">
            <v>2</v>
          </cell>
          <cell r="C163" t="str">
            <v>Selwynite</v>
          </cell>
          <cell r="E163" t="str">
            <v>https://www.mindat.org/1:1:7287:4</v>
          </cell>
        </row>
        <row r="164">
          <cell r="A164">
            <v>640</v>
          </cell>
          <cell r="B164">
            <v>2</v>
          </cell>
          <cell r="C164" t="str">
            <v>Sergeevite</v>
          </cell>
          <cell r="E164" t="str">
            <v>https://www.mindat.org/1:1:3624:1</v>
          </cell>
        </row>
        <row r="165">
          <cell r="A165">
            <v>643</v>
          </cell>
          <cell r="B165">
            <v>2</v>
          </cell>
          <cell r="C165" t="str">
            <v>Shabaite-(Nd)</v>
          </cell>
          <cell r="E165" t="str">
            <v>https://www.mindat.org/1:1:3626:5</v>
          </cell>
        </row>
        <row r="166">
          <cell r="A166">
            <v>645</v>
          </cell>
          <cell r="B166">
            <v>2</v>
          </cell>
          <cell r="C166" t="str">
            <v>Shadlunite</v>
          </cell>
          <cell r="E166" t="str">
            <v>https://www.mindat.org/1:1:3628:9</v>
          </cell>
        </row>
        <row r="167">
          <cell r="A167">
            <v>649</v>
          </cell>
          <cell r="B167">
            <v>2</v>
          </cell>
          <cell r="C167" t="str">
            <v>Shannonite</v>
          </cell>
          <cell r="E167" t="str">
            <v>https://www.mindat.org/1:1:3632:6</v>
          </cell>
        </row>
        <row r="168">
          <cell r="A168">
            <v>654</v>
          </cell>
          <cell r="B168">
            <v>2</v>
          </cell>
          <cell r="C168" t="str">
            <v>Sheldrickite</v>
          </cell>
          <cell r="E168" t="str">
            <v>https://www.mindat.org/1:1:7289:8</v>
          </cell>
        </row>
        <row r="169">
          <cell r="A169">
            <v>656</v>
          </cell>
          <cell r="B169">
            <v>2</v>
          </cell>
          <cell r="C169" t="str">
            <v>Shibkovite</v>
          </cell>
          <cell r="E169" t="str">
            <v>https://www.mindat.org/1:1:7290:4</v>
          </cell>
        </row>
        <row r="170">
          <cell r="A170">
            <v>661</v>
          </cell>
          <cell r="B170">
            <v>2</v>
          </cell>
          <cell r="C170" t="str">
            <v>Shuangfengite</v>
          </cell>
          <cell r="E170" t="str">
            <v>https://www.mindat.org/1:1:7292:8</v>
          </cell>
        </row>
        <row r="171">
          <cell r="A171">
            <v>662</v>
          </cell>
          <cell r="B171">
            <v>2</v>
          </cell>
          <cell r="C171" t="str">
            <v>Shubnikovite</v>
          </cell>
          <cell r="E171" t="str">
            <v>https://www.mindat.org/1:1:3641:8</v>
          </cell>
        </row>
        <row r="172">
          <cell r="A172">
            <v>664</v>
          </cell>
          <cell r="B172">
            <v>2</v>
          </cell>
          <cell r="C172" t="str">
            <v>Sibirskite</v>
          </cell>
          <cell r="E172" t="str">
            <v>https://www.mindat.org/1:1:3644:9</v>
          </cell>
        </row>
        <row r="173">
          <cell r="A173">
            <v>665</v>
          </cell>
          <cell r="B173">
            <v>2</v>
          </cell>
          <cell r="C173" t="str">
            <v>Sicherite</v>
          </cell>
          <cell r="E173" t="str">
            <v>https://www.mindat.org/1:1:11028:8</v>
          </cell>
        </row>
        <row r="174">
          <cell r="A174">
            <v>673</v>
          </cell>
          <cell r="B174">
            <v>2</v>
          </cell>
          <cell r="C174" t="str">
            <v>Sidpietersite</v>
          </cell>
          <cell r="E174" t="str">
            <v>https://www.mindat.org/1:1:7293:5</v>
          </cell>
        </row>
        <row r="175">
          <cell r="A175">
            <v>677</v>
          </cell>
          <cell r="B175">
            <v>2</v>
          </cell>
          <cell r="C175" t="str">
            <v>Sigismundite</v>
          </cell>
          <cell r="E175" t="str">
            <v/>
          </cell>
        </row>
        <row r="176">
          <cell r="A176">
            <v>681</v>
          </cell>
          <cell r="B176">
            <v>2</v>
          </cell>
          <cell r="C176" t="str">
            <v>Silinaite</v>
          </cell>
          <cell r="E176" t="str">
            <v>https://www.mindat.org/1:1:3661:6</v>
          </cell>
        </row>
        <row r="177">
          <cell r="A177">
            <v>682</v>
          </cell>
          <cell r="B177">
            <v>2</v>
          </cell>
          <cell r="C177" t="str">
            <v>Vicanite-(Ce)</v>
          </cell>
          <cell r="E177" t="str">
            <v>https://www.mindat.org/1:1:7354:3</v>
          </cell>
        </row>
        <row r="178">
          <cell r="A178">
            <v>689</v>
          </cell>
          <cell r="B178">
            <v>2</v>
          </cell>
          <cell r="C178" t="str">
            <v>Vimsite</v>
          </cell>
          <cell r="E178" t="str">
            <v>https://www.mindat.org/1:1:4183:2</v>
          </cell>
        </row>
        <row r="179">
          <cell r="A179">
            <v>694</v>
          </cell>
          <cell r="B179">
            <v>2</v>
          </cell>
          <cell r="C179" t="str">
            <v>Virgilite</v>
          </cell>
          <cell r="E179" t="str">
            <v>https://www.mindat.org/1:1:4188:7</v>
          </cell>
        </row>
        <row r="180">
          <cell r="A180">
            <v>697</v>
          </cell>
          <cell r="B180">
            <v>2</v>
          </cell>
          <cell r="C180" t="str">
            <v>Vismirnovite</v>
          </cell>
          <cell r="E180" t="str">
            <v>https://www.mindat.org/1:1:4191:7</v>
          </cell>
        </row>
        <row r="181">
          <cell r="A181">
            <v>698</v>
          </cell>
          <cell r="B181">
            <v>2</v>
          </cell>
          <cell r="C181" t="str">
            <v>Vistepite</v>
          </cell>
          <cell r="E181" t="str">
            <v>https://www.mindat.org/1:1:4192:4</v>
          </cell>
        </row>
        <row r="182">
          <cell r="A182">
            <v>703</v>
          </cell>
          <cell r="B182">
            <v>2</v>
          </cell>
          <cell r="C182" t="str">
            <v>Vlodavetsite</v>
          </cell>
          <cell r="E182" t="str">
            <v>https://www.mindat.org/1:1:7357:4</v>
          </cell>
        </row>
        <row r="183">
          <cell r="A183">
            <v>705</v>
          </cell>
          <cell r="B183">
            <v>2</v>
          </cell>
          <cell r="C183" t="str">
            <v>Voggite</v>
          </cell>
          <cell r="E183" t="str">
            <v>https://www.mindat.org/1:1:4198:6</v>
          </cell>
        </row>
        <row r="184">
          <cell r="A184">
            <v>708</v>
          </cell>
          <cell r="B184">
            <v>2</v>
          </cell>
          <cell r="C184" t="str">
            <v>Volfsonite</v>
          </cell>
          <cell r="E184" t="str">
            <v/>
          </cell>
        </row>
        <row r="185">
          <cell r="A185">
            <v>715</v>
          </cell>
          <cell r="B185">
            <v>2</v>
          </cell>
          <cell r="C185" t="str">
            <v>Vozhminite</v>
          </cell>
          <cell r="E185" t="str">
            <v>https://www.mindat.org/1:1:4210:5</v>
          </cell>
        </row>
        <row r="186">
          <cell r="A186">
            <v>721</v>
          </cell>
          <cell r="B186">
            <v>2</v>
          </cell>
          <cell r="C186" t="str">
            <v>Vuoriyarvite</v>
          </cell>
          <cell r="E186" t="str">
            <v/>
          </cell>
        </row>
        <row r="187">
          <cell r="A187">
            <v>722</v>
          </cell>
          <cell r="B187">
            <v>2</v>
          </cell>
          <cell r="C187" t="str">
            <v>Vyacheslavite</v>
          </cell>
          <cell r="E187" t="str">
            <v>https://www.mindat.org/1:1:4218:1</v>
          </cell>
        </row>
        <row r="188">
          <cell r="A188">
            <v>723</v>
          </cell>
          <cell r="B188">
            <v>2</v>
          </cell>
          <cell r="C188" t="str">
            <v>Vyalsovite</v>
          </cell>
          <cell r="E188" t="str">
            <v>https://www.mindat.org/1:1:4219:8</v>
          </cell>
        </row>
        <row r="189">
          <cell r="A189">
            <v>725</v>
          </cell>
          <cell r="B189">
            <v>2</v>
          </cell>
          <cell r="C189" t="str">
            <v>Vyuntspakhkite-(Y)</v>
          </cell>
          <cell r="E189" t="str">
            <v>https://www.mindat.org/1:1:4222:8</v>
          </cell>
        </row>
        <row r="190">
          <cell r="A190">
            <v>728</v>
          </cell>
          <cell r="B190">
            <v>2</v>
          </cell>
          <cell r="C190" t="str">
            <v>Wadalite</v>
          </cell>
          <cell r="E190" t="str">
            <v>https://www.mindat.org/1:1:4226:6</v>
          </cell>
        </row>
        <row r="191">
          <cell r="A191">
            <v>730</v>
          </cell>
          <cell r="B191">
            <v>2</v>
          </cell>
          <cell r="C191" t="str">
            <v>Wadsleyite</v>
          </cell>
          <cell r="E191" t="str">
            <v>https://www.mindat.org/1:1:4228:0</v>
          </cell>
        </row>
        <row r="192">
          <cell r="A192">
            <v>739</v>
          </cell>
          <cell r="B192">
            <v>2</v>
          </cell>
          <cell r="C192" t="str">
            <v>Walfordite</v>
          </cell>
          <cell r="E192" t="str">
            <v>https://www.mindat.org/1:1:7360:4</v>
          </cell>
        </row>
        <row r="193">
          <cell r="A193">
            <v>741</v>
          </cell>
          <cell r="B193">
            <v>2</v>
          </cell>
          <cell r="C193" t="str">
            <v>Satimolite</v>
          </cell>
          <cell r="E193" t="str">
            <v>https://www.mindat.org/1:1:3541:1</v>
          </cell>
        </row>
        <row r="194">
          <cell r="A194">
            <v>745</v>
          </cell>
          <cell r="B194">
            <v>2</v>
          </cell>
          <cell r="C194" t="str">
            <v>Sayrite</v>
          </cell>
          <cell r="E194" t="str">
            <v>https://www.mindat.org/1:1:3545:9</v>
          </cell>
        </row>
        <row r="195">
          <cell r="A195">
            <v>746</v>
          </cell>
          <cell r="B195">
            <v>2</v>
          </cell>
          <cell r="C195" t="str">
            <v>Sazhinite-(Ce)</v>
          </cell>
          <cell r="E195" t="str">
            <v>https://www.mindat.org/1:1:3546:6</v>
          </cell>
        </row>
        <row r="196">
          <cell r="A196">
            <v>749</v>
          </cell>
          <cell r="B196">
            <v>2</v>
          </cell>
          <cell r="C196" t="str">
            <v>Scacchite</v>
          </cell>
          <cell r="E196" t="str">
            <v>https://www.mindat.org/1:1:3549:7</v>
          </cell>
        </row>
        <row r="197">
          <cell r="A197">
            <v>751</v>
          </cell>
          <cell r="B197">
            <v>2</v>
          </cell>
          <cell r="C197" t="str">
            <v>Scandiobabingtonite</v>
          </cell>
          <cell r="E197" t="str">
            <v>https://www.mindat.org/1:1:7278:2</v>
          </cell>
        </row>
        <row r="198">
          <cell r="A198">
            <v>762</v>
          </cell>
          <cell r="B198">
            <v>2</v>
          </cell>
          <cell r="C198" t="str">
            <v>Scheteligite</v>
          </cell>
          <cell r="E198" t="str">
            <v/>
          </cell>
        </row>
        <row r="199">
          <cell r="A199">
            <v>775</v>
          </cell>
          <cell r="B199">
            <v>2</v>
          </cell>
          <cell r="C199" t="str">
            <v>Saryarkite-(Y)</v>
          </cell>
          <cell r="E199" t="str">
            <v>https://www.mindat.org/1:1:3538:1</v>
          </cell>
        </row>
        <row r="200">
          <cell r="A200">
            <v>777</v>
          </cell>
          <cell r="B200">
            <v>2</v>
          </cell>
          <cell r="C200" t="str">
            <v>Tornebohmite-(La)</v>
          </cell>
          <cell r="E200" t="str">
            <v/>
          </cell>
        </row>
        <row r="201">
          <cell r="A201">
            <v>779</v>
          </cell>
          <cell r="B201">
            <v>2</v>
          </cell>
          <cell r="C201" t="str">
            <v>Uhligite</v>
          </cell>
          <cell r="E201" t="str">
            <v/>
          </cell>
        </row>
        <row r="202">
          <cell r="A202">
            <v>784</v>
          </cell>
          <cell r="B202">
            <v>2</v>
          </cell>
          <cell r="C202" t="str">
            <v>Ulvospinel</v>
          </cell>
          <cell r="E202" t="str">
            <v/>
          </cell>
        </row>
        <row r="203">
          <cell r="A203">
            <v>791</v>
          </cell>
          <cell r="B203">
            <v>2</v>
          </cell>
          <cell r="C203" t="str">
            <v>Ungursaite</v>
          </cell>
          <cell r="E203" t="str">
            <v/>
          </cell>
        </row>
        <row r="204">
          <cell r="A204">
            <v>792</v>
          </cell>
          <cell r="B204">
            <v>2</v>
          </cell>
          <cell r="C204" t="str">
            <v>Unknown</v>
          </cell>
          <cell r="E204" t="str">
            <v/>
          </cell>
        </row>
        <row r="205">
          <cell r="A205">
            <v>794</v>
          </cell>
          <cell r="B205">
            <v>2</v>
          </cell>
          <cell r="C205" t="str">
            <v>Uralborite</v>
          </cell>
          <cell r="E205" t="str">
            <v>https://www.mindat.org/1:1:4097:2</v>
          </cell>
        </row>
        <row r="206">
          <cell r="A206">
            <v>796</v>
          </cell>
          <cell r="B206">
            <v>2</v>
          </cell>
          <cell r="C206" t="str">
            <v>Uramphite</v>
          </cell>
          <cell r="E206" t="str">
            <v>https://www.mindat.org/1:1:4100:9</v>
          </cell>
        </row>
        <row r="207">
          <cell r="A207">
            <v>797</v>
          </cell>
          <cell r="B207">
            <v>2</v>
          </cell>
          <cell r="C207" t="str">
            <v>Urancalcarite</v>
          </cell>
          <cell r="E207" t="str">
            <v>https://www.mindat.org/1:1:4101:6</v>
          </cell>
        </row>
        <row r="208">
          <cell r="A208">
            <v>804</v>
          </cell>
          <cell r="B208">
            <v>2</v>
          </cell>
          <cell r="C208" t="str">
            <v>Uranopolycrase</v>
          </cell>
          <cell r="E208" t="str">
            <v>https://www.mindat.org/1:1:4109:2</v>
          </cell>
        </row>
        <row r="209">
          <cell r="A209">
            <v>805</v>
          </cell>
          <cell r="B209">
            <v>2</v>
          </cell>
          <cell r="C209" t="str">
            <v>Uranosilite</v>
          </cell>
          <cell r="E209" t="str">
            <v>https://www.mindat.org/1:1:4110:8</v>
          </cell>
        </row>
        <row r="210">
          <cell r="A210">
            <v>813</v>
          </cell>
          <cell r="B210">
            <v>2</v>
          </cell>
          <cell r="C210" t="str">
            <v>Urusovite</v>
          </cell>
          <cell r="E210" t="str">
            <v>https://www.mindat.org/1:1:7070:2</v>
          </cell>
        </row>
        <row r="211">
          <cell r="A211">
            <v>814</v>
          </cell>
          <cell r="B211">
            <v>2</v>
          </cell>
          <cell r="C211" t="str">
            <v>Urvantsevite</v>
          </cell>
          <cell r="E211" t="str">
            <v>https://www.mindat.org/1:1:4120:7</v>
          </cell>
        </row>
        <row r="212">
          <cell r="A212">
            <v>816</v>
          </cell>
          <cell r="B212">
            <v>2</v>
          </cell>
          <cell r="C212" t="str">
            <v>Usonite</v>
          </cell>
          <cell r="E212" t="str">
            <v/>
          </cell>
        </row>
        <row r="213">
          <cell r="A213">
            <v>819</v>
          </cell>
          <cell r="B213">
            <v>2</v>
          </cell>
          <cell r="C213" t="str">
            <v>Ustarasite</v>
          </cell>
          <cell r="E213" t="str">
            <v>https://www.mindat.org/1:1:4123:8</v>
          </cell>
        </row>
        <row r="214">
          <cell r="A214">
            <v>825</v>
          </cell>
          <cell r="B214">
            <v>2</v>
          </cell>
          <cell r="C214" t="str">
            <v>Uzonite</v>
          </cell>
          <cell r="E214" t="str">
            <v>https://www.mindat.org/1:1:4128:3</v>
          </cell>
        </row>
        <row r="215">
          <cell r="A215">
            <v>831</v>
          </cell>
          <cell r="B215">
            <v>2</v>
          </cell>
          <cell r="C215" t="str">
            <v>Vanadomalayaite</v>
          </cell>
          <cell r="E215" t="str">
            <v>https://www.mindat.org/1:1:7349:9</v>
          </cell>
        </row>
        <row r="216">
          <cell r="A216">
            <v>832</v>
          </cell>
          <cell r="B216">
            <v>2</v>
          </cell>
          <cell r="C216" t="str">
            <v>Vanadomalayite</v>
          </cell>
          <cell r="E216" t="str">
            <v/>
          </cell>
        </row>
        <row r="217">
          <cell r="A217">
            <v>833</v>
          </cell>
          <cell r="B217">
            <v>2</v>
          </cell>
          <cell r="C217" t="str">
            <v>Vanalite</v>
          </cell>
          <cell r="E217" t="str">
            <v>https://www.mindat.org/1:1:4143:6</v>
          </cell>
        </row>
        <row r="218">
          <cell r="A218">
            <v>841</v>
          </cell>
          <cell r="B218">
            <v>2</v>
          </cell>
          <cell r="C218" t="str">
            <v>Vanuranylite</v>
          </cell>
          <cell r="E218" t="str">
            <v/>
          </cell>
        </row>
        <row r="219">
          <cell r="A219">
            <v>847</v>
          </cell>
          <cell r="B219">
            <v>2</v>
          </cell>
          <cell r="C219" t="str">
            <v>Vasilite</v>
          </cell>
          <cell r="E219" t="str">
            <v>https://www.mindat.org/1:1:4160:3</v>
          </cell>
        </row>
        <row r="220">
          <cell r="A220">
            <v>849</v>
          </cell>
          <cell r="B220">
            <v>2</v>
          </cell>
          <cell r="C220" t="str">
            <v>Vaughanite</v>
          </cell>
          <cell r="E220" t="str">
            <v>https://www.mindat.org/1:1:4162:7</v>
          </cell>
        </row>
        <row r="221">
          <cell r="A221">
            <v>855</v>
          </cell>
          <cell r="B221">
            <v>2</v>
          </cell>
          <cell r="C221" t="str">
            <v>Velikite</v>
          </cell>
          <cell r="E221" t="str">
            <v>https://www.mindat.org/1:1:4168:9</v>
          </cell>
        </row>
        <row r="222">
          <cell r="A222">
            <v>856</v>
          </cell>
          <cell r="B222">
            <v>2</v>
          </cell>
          <cell r="C222" t="str">
            <v>Vergasovaite</v>
          </cell>
          <cell r="E222" t="str">
            <v>https://www.mindat.org/1:1:7352:9</v>
          </cell>
        </row>
        <row r="223">
          <cell r="A223">
            <v>865</v>
          </cell>
          <cell r="B223">
            <v>2</v>
          </cell>
          <cell r="C223" t="str">
            <v>Viaeneite</v>
          </cell>
          <cell r="E223" t="str">
            <v>https://www.mindat.org/1:1:7353:6</v>
          </cell>
        </row>
        <row r="224">
          <cell r="A224">
            <v>866</v>
          </cell>
          <cell r="B224">
            <v>2</v>
          </cell>
          <cell r="C224" t="str">
            <v>Rollandite</v>
          </cell>
          <cell r="E224" t="str">
            <v>https://www.mindat.org/1:1:7037:5</v>
          </cell>
        </row>
        <row r="225">
          <cell r="A225">
            <v>871</v>
          </cell>
          <cell r="B225">
            <v>2</v>
          </cell>
          <cell r="C225" t="str">
            <v>Ronneburgite</v>
          </cell>
          <cell r="E225" t="str">
            <v>https://www.mindat.org/1:1:11000:2</v>
          </cell>
        </row>
        <row r="226">
          <cell r="A226">
            <v>874</v>
          </cell>
          <cell r="B226">
            <v>2</v>
          </cell>
          <cell r="C226" t="str">
            <v>Rorisite</v>
          </cell>
          <cell r="E226" t="str">
            <v>https://www.mindat.org/1:1:3446:9</v>
          </cell>
        </row>
        <row r="227">
          <cell r="A227">
            <v>881</v>
          </cell>
          <cell r="B227">
            <v>2</v>
          </cell>
          <cell r="C227" t="str">
            <v>Rosenbergite</v>
          </cell>
          <cell r="E227" t="str">
            <v>https://www.mindat.org/1:1:3453:7</v>
          </cell>
        </row>
        <row r="228">
          <cell r="A228">
            <v>884</v>
          </cell>
          <cell r="B228">
            <v>2</v>
          </cell>
          <cell r="C228" t="str">
            <v>Roshchinite</v>
          </cell>
          <cell r="E228" t="str">
            <v>https://www.mindat.org/1:1:3457:5</v>
          </cell>
        </row>
        <row r="229">
          <cell r="A229">
            <v>885</v>
          </cell>
          <cell r="B229">
            <v>2</v>
          </cell>
          <cell r="C229" t="str">
            <v>Rosiaite</v>
          </cell>
          <cell r="E229" t="str">
            <v>https://www.mindat.org/1:1:7274:4</v>
          </cell>
        </row>
        <row r="230">
          <cell r="A230">
            <v>889</v>
          </cell>
          <cell r="B230">
            <v>2</v>
          </cell>
          <cell r="C230" t="str">
            <v>Rossmanite</v>
          </cell>
          <cell r="E230" t="str">
            <v>https://www.mindat.org/1:1:7275:1</v>
          </cell>
        </row>
        <row r="231">
          <cell r="A231">
            <v>894</v>
          </cell>
          <cell r="B231">
            <v>2</v>
          </cell>
          <cell r="C231" t="str">
            <v>Rouvilleite</v>
          </cell>
          <cell r="E231" t="str">
            <v>https://www.mindat.org/1:1:3465:0</v>
          </cell>
        </row>
        <row r="232">
          <cell r="A232">
            <v>897</v>
          </cell>
          <cell r="B232">
            <v>2</v>
          </cell>
          <cell r="C232" t="str">
            <v>Roxbyite</v>
          </cell>
          <cell r="E232" t="str">
            <v>https://www.mindat.org/1:1:3468:1</v>
          </cell>
        </row>
        <row r="233">
          <cell r="A233">
            <v>899</v>
          </cell>
          <cell r="B233">
            <v>2</v>
          </cell>
          <cell r="C233" t="str">
            <v>Ruarsite</v>
          </cell>
          <cell r="E233" t="str">
            <v>https://www.mindat.org/1:1:3471:1</v>
          </cell>
        </row>
        <row r="234">
          <cell r="A234">
            <v>900</v>
          </cell>
          <cell r="B234">
            <v>2</v>
          </cell>
          <cell r="C234" t="str">
            <v>Rubicline</v>
          </cell>
          <cell r="E234" t="str">
            <v>https://www.mindat.org/1:1:7276:8</v>
          </cell>
        </row>
        <row r="235">
          <cell r="A235">
            <v>902</v>
          </cell>
          <cell r="B235">
            <v>2</v>
          </cell>
          <cell r="C235" t="str">
            <v>Ruitenbergite</v>
          </cell>
          <cell r="E235" t="str">
            <v>https://www.mindat.org/1:1:3475:9</v>
          </cell>
        </row>
        <row r="236">
          <cell r="A236">
            <v>906</v>
          </cell>
          <cell r="B236">
            <v>2</v>
          </cell>
          <cell r="C236" t="str">
            <v>Rustenburgite</v>
          </cell>
          <cell r="E236" t="str">
            <v>https://www.mindat.org/1:1:3479:7</v>
          </cell>
        </row>
        <row r="237">
          <cell r="A237">
            <v>908</v>
          </cell>
          <cell r="B237">
            <v>2</v>
          </cell>
          <cell r="C237" t="str">
            <v>Ruthenarsenite</v>
          </cell>
          <cell r="E237" t="str">
            <v>https://www.mindat.org/1:1:3481:0</v>
          </cell>
        </row>
        <row r="238">
          <cell r="A238">
            <v>916</v>
          </cell>
          <cell r="B238">
            <v>2</v>
          </cell>
          <cell r="C238" t="str">
            <v>Rontgenite-(Ce)</v>
          </cell>
          <cell r="E238" t="str">
            <v/>
          </cell>
        </row>
        <row r="239">
          <cell r="A239">
            <v>919</v>
          </cell>
          <cell r="B239">
            <v>2</v>
          </cell>
          <cell r="C239" t="str">
            <v>Sabelliite</v>
          </cell>
          <cell r="E239" t="str">
            <v>https://www.mindat.org/1:1:3493:3</v>
          </cell>
        </row>
        <row r="240">
          <cell r="A240">
            <v>920</v>
          </cell>
          <cell r="B240">
            <v>2</v>
          </cell>
          <cell r="C240" t="str">
            <v>Sabieite</v>
          </cell>
          <cell r="E240" t="str">
            <v>https://www.mindat.org/1:1:3494:0</v>
          </cell>
        </row>
        <row r="241">
          <cell r="A241">
            <v>925</v>
          </cell>
          <cell r="B241">
            <v>2</v>
          </cell>
          <cell r="C241" t="str">
            <v>Saddlebackite</v>
          </cell>
          <cell r="E241" t="str">
            <v>https://www.mindat.org/1:1:7277:5</v>
          </cell>
        </row>
        <row r="242">
          <cell r="A242">
            <v>931</v>
          </cell>
          <cell r="B242">
            <v>2</v>
          </cell>
          <cell r="C242" t="str">
            <v>Sakharovaite</v>
          </cell>
          <cell r="E242" t="str">
            <v/>
          </cell>
        </row>
        <row r="243">
          <cell r="A243">
            <v>936</v>
          </cell>
          <cell r="B243">
            <v>2</v>
          </cell>
          <cell r="C243" t="str">
            <v>Saliotite</v>
          </cell>
          <cell r="E243" t="str">
            <v>https://www.mindat.org/1:1:3510:7</v>
          </cell>
        </row>
        <row r="244">
          <cell r="A244">
            <v>943</v>
          </cell>
          <cell r="B244">
            <v>2</v>
          </cell>
          <cell r="C244" t="str">
            <v>Sanderite</v>
          </cell>
          <cell r="E244" t="str">
            <v>https://www.mindat.org/1:1:3519:0</v>
          </cell>
        </row>
        <row r="245">
          <cell r="A245">
            <v>950</v>
          </cell>
          <cell r="B245">
            <v>2</v>
          </cell>
          <cell r="C245" t="str">
            <v>Santanaite</v>
          </cell>
          <cell r="E245" t="str">
            <v>https://www.mindat.org/1:1:3526:8</v>
          </cell>
        </row>
        <row r="246">
          <cell r="A246">
            <v>951</v>
          </cell>
          <cell r="B246">
            <v>2</v>
          </cell>
          <cell r="C246" t="str">
            <v>Santite</v>
          </cell>
          <cell r="E246" t="str">
            <v>https://www.mindat.org/1:1:3527:5</v>
          </cell>
        </row>
        <row r="247">
          <cell r="A247">
            <v>971</v>
          </cell>
          <cell r="B247">
            <v>2</v>
          </cell>
          <cell r="C247" t="str">
            <v>Rappoldite</v>
          </cell>
          <cell r="E247" t="str">
            <v>https://www.mindat.org/1:1:7044:3</v>
          </cell>
        </row>
        <row r="248">
          <cell r="A248">
            <v>978</v>
          </cell>
          <cell r="B248">
            <v>2</v>
          </cell>
          <cell r="C248" t="str">
            <v>Ravatite</v>
          </cell>
          <cell r="E248" t="str">
            <v>https://www.mindat.org/1:1:3373:8</v>
          </cell>
        </row>
        <row r="249">
          <cell r="A249">
            <v>982</v>
          </cell>
          <cell r="B249">
            <v>2</v>
          </cell>
          <cell r="C249" t="str">
            <v>Recatalogued</v>
          </cell>
          <cell r="E249" t="str">
            <v/>
          </cell>
        </row>
        <row r="250">
          <cell r="A250">
            <v>987</v>
          </cell>
          <cell r="B250">
            <v>2</v>
          </cell>
          <cell r="C250" t="str">
            <v>Reederite-(Y)</v>
          </cell>
          <cell r="E250" t="str">
            <v>https://www.mindat.org/1:1:3381:3</v>
          </cell>
        </row>
        <row r="251">
          <cell r="A251">
            <v>995</v>
          </cell>
          <cell r="B251">
            <v>2</v>
          </cell>
          <cell r="C251" t="str">
            <v>Remondite-(Ce)</v>
          </cell>
          <cell r="E251" t="str">
            <v/>
          </cell>
        </row>
        <row r="252">
          <cell r="A252">
            <v>996</v>
          </cell>
          <cell r="B252">
            <v>2</v>
          </cell>
          <cell r="C252" t="str">
            <v>Remondite-(La)</v>
          </cell>
          <cell r="E252" t="str">
            <v/>
          </cell>
        </row>
        <row r="253">
          <cell r="A253">
            <v>998</v>
          </cell>
          <cell r="B253">
            <v>2</v>
          </cell>
          <cell r="C253" t="str">
            <v>Rengeite</v>
          </cell>
          <cell r="E253" t="str">
            <v>https://www.mindat.org/1:1:7063:4</v>
          </cell>
        </row>
        <row r="254">
          <cell r="A254">
            <v>1000</v>
          </cell>
          <cell r="B254">
            <v>2</v>
          </cell>
          <cell r="C254" t="str">
            <v>Reppiaite</v>
          </cell>
          <cell r="E254" t="str">
            <v>https://www.mindat.org/1:1:3390:5</v>
          </cell>
        </row>
        <row r="255">
          <cell r="A255">
            <v>1014</v>
          </cell>
          <cell r="B255">
            <v>2</v>
          </cell>
          <cell r="C255" t="str">
            <v>Rhodarsenide</v>
          </cell>
          <cell r="E255" t="str">
            <v>https://www.mindat.org/1:1:7270:6</v>
          </cell>
        </row>
        <row r="256">
          <cell r="A256">
            <v>1021</v>
          </cell>
          <cell r="B256">
            <v>2</v>
          </cell>
          <cell r="C256" t="str">
            <v>Rhodplumsite</v>
          </cell>
          <cell r="E256" t="str">
            <v>https://www.mindat.org/1:1:3409:4</v>
          </cell>
        </row>
        <row r="257">
          <cell r="A257">
            <v>1032</v>
          </cell>
          <cell r="B257">
            <v>2</v>
          </cell>
          <cell r="C257" t="str">
            <v>Rimkorolgite</v>
          </cell>
          <cell r="E257" t="str">
            <v>https://www.mindat.org/1:1:3420:9</v>
          </cell>
        </row>
        <row r="258">
          <cell r="A258">
            <v>1033</v>
          </cell>
          <cell r="B258">
            <v>2</v>
          </cell>
          <cell r="C258" t="str">
            <v>Ringwoodite</v>
          </cell>
          <cell r="E258" t="str">
            <v>https://www.mindat.org/1:1:3421:6</v>
          </cell>
        </row>
        <row r="259">
          <cell r="A259">
            <v>1035</v>
          </cell>
          <cell r="B259">
            <v>2</v>
          </cell>
          <cell r="C259" t="str">
            <v>Rinmanite</v>
          </cell>
          <cell r="E259" t="str">
            <v>https://www.mindat.org/1:1:10734:5</v>
          </cell>
        </row>
        <row r="260">
          <cell r="A260">
            <v>1037</v>
          </cell>
          <cell r="B260">
            <v>2</v>
          </cell>
          <cell r="C260" t="str">
            <v>Rittmannite</v>
          </cell>
          <cell r="E260" t="str">
            <v>https://www.mindat.org/1:1:3425:4</v>
          </cell>
        </row>
        <row r="261">
          <cell r="A261">
            <v>1040</v>
          </cell>
          <cell r="B261">
            <v>2</v>
          </cell>
          <cell r="C261" t="str">
            <v>Roaldite</v>
          </cell>
          <cell r="E261" t="str">
            <v/>
          </cell>
        </row>
        <row r="262">
          <cell r="A262">
            <v>1045</v>
          </cell>
          <cell r="B262">
            <v>2</v>
          </cell>
          <cell r="C262" t="str">
            <v>Rodolicoite</v>
          </cell>
          <cell r="E262" t="str">
            <v>https://www.mindat.org/1:1:7271:3</v>
          </cell>
        </row>
        <row r="263">
          <cell r="A263">
            <v>1049</v>
          </cell>
          <cell r="B263">
            <v>2</v>
          </cell>
          <cell r="C263" t="str">
            <v>Rohaite</v>
          </cell>
          <cell r="E263" t="str">
            <v>https://www.mindat.org/1:1:3439:1</v>
          </cell>
        </row>
        <row r="264">
          <cell r="A264">
            <v>1056</v>
          </cell>
          <cell r="B264">
            <v>2</v>
          </cell>
          <cell r="C264" t="str">
            <v>Pretulite</v>
          </cell>
          <cell r="E264" t="str">
            <v>https://www.mindat.org/1:1:7251:5</v>
          </cell>
        </row>
        <row r="265">
          <cell r="A265">
            <v>1059</v>
          </cell>
          <cell r="B265">
            <v>2</v>
          </cell>
          <cell r="C265" t="str">
            <v>Pringleite</v>
          </cell>
          <cell r="E265" t="str">
            <v>https://www.mindat.org/1:1:3283:0</v>
          </cell>
        </row>
        <row r="266">
          <cell r="A266">
            <v>1065</v>
          </cell>
          <cell r="B266">
            <v>2</v>
          </cell>
          <cell r="C266" t="str">
            <v>Protoferro-anthophyllite</v>
          </cell>
          <cell r="E266" t="str">
            <v/>
          </cell>
        </row>
        <row r="267">
          <cell r="A267">
            <v>1066</v>
          </cell>
          <cell r="B267">
            <v>2</v>
          </cell>
          <cell r="C267" t="str">
            <v>Protojoseite</v>
          </cell>
          <cell r="E267" t="str">
            <v/>
          </cell>
        </row>
        <row r="268">
          <cell r="A268">
            <v>1067</v>
          </cell>
          <cell r="B268">
            <v>2</v>
          </cell>
          <cell r="C268" t="str">
            <v>Protomangano-ferro-anthophyllite</v>
          </cell>
          <cell r="E268" t="str">
            <v/>
          </cell>
        </row>
        <row r="269">
          <cell r="A269">
            <v>1070</v>
          </cell>
          <cell r="B269">
            <v>2</v>
          </cell>
          <cell r="C269" t="str">
            <v>Przhevalskite</v>
          </cell>
          <cell r="E269" t="str">
            <v>https://www.mindat.org/1:1:3295:3</v>
          </cell>
        </row>
        <row r="270">
          <cell r="A270">
            <v>1071</v>
          </cell>
          <cell r="B270">
            <v>2</v>
          </cell>
          <cell r="C270" t="str">
            <v>Pseudo-autunite</v>
          </cell>
          <cell r="E270" t="str">
            <v/>
          </cell>
        </row>
        <row r="271">
          <cell r="A271">
            <v>1079</v>
          </cell>
          <cell r="B271">
            <v>2</v>
          </cell>
          <cell r="C271" t="str">
            <v>Pseudowollastonite</v>
          </cell>
          <cell r="E271" t="str">
            <v>https://www.mindat.org/1:1:9535:4</v>
          </cell>
        </row>
        <row r="272">
          <cell r="A272">
            <v>1088</v>
          </cell>
          <cell r="B272">
            <v>2</v>
          </cell>
          <cell r="C272" t="str">
            <v>Pushcharovskite</v>
          </cell>
          <cell r="E272" t="str">
            <v>https://www.mindat.org/1:1:7258:4</v>
          </cell>
        </row>
        <row r="273">
          <cell r="A273">
            <v>1090</v>
          </cell>
          <cell r="B273">
            <v>2</v>
          </cell>
          <cell r="C273" t="str">
            <v>Pyatenkoite-(Y)</v>
          </cell>
          <cell r="E273" t="str">
            <v>https://www.mindat.org/1:1:7259:1</v>
          </cell>
        </row>
        <row r="274">
          <cell r="A274">
            <v>1111</v>
          </cell>
          <cell r="B274">
            <v>2</v>
          </cell>
          <cell r="C274" t="str">
            <v>Qandilite</v>
          </cell>
          <cell r="E274" t="str">
            <v>https://www.mindat.org/1:1:3331:8</v>
          </cell>
        </row>
        <row r="275">
          <cell r="A275">
            <v>1112</v>
          </cell>
          <cell r="B275">
            <v>2</v>
          </cell>
          <cell r="C275" t="str">
            <v>Qilianshanite</v>
          </cell>
          <cell r="E275" t="str">
            <v>https://www.mindat.org/1:1:3332:5</v>
          </cell>
        </row>
        <row r="276">
          <cell r="A276">
            <v>1113</v>
          </cell>
          <cell r="B276">
            <v>2</v>
          </cell>
          <cell r="C276" t="str">
            <v>Qingheiite</v>
          </cell>
          <cell r="E276" t="str">
            <v>https://www.mindat.org/1:1:3333:2</v>
          </cell>
        </row>
        <row r="277">
          <cell r="A277">
            <v>1114</v>
          </cell>
          <cell r="B277">
            <v>2</v>
          </cell>
          <cell r="C277" t="str">
            <v>Qitianlingite</v>
          </cell>
          <cell r="E277" t="str">
            <v>https://www.mindat.org/1:1:3334:9</v>
          </cell>
        </row>
        <row r="278">
          <cell r="A278">
            <v>1116</v>
          </cell>
          <cell r="B278">
            <v>2</v>
          </cell>
          <cell r="C278" t="str">
            <v>Quadridavyne</v>
          </cell>
          <cell r="E278" t="str">
            <v>https://www.mindat.org/1:1:3335:6</v>
          </cell>
        </row>
        <row r="279">
          <cell r="A279">
            <v>1117</v>
          </cell>
          <cell r="B279">
            <v>2</v>
          </cell>
          <cell r="C279" t="str">
            <v>Quadruphite</v>
          </cell>
          <cell r="E279" t="str">
            <v>https://www.mindat.org/1:1:3336:3</v>
          </cell>
        </row>
        <row r="280">
          <cell r="A280">
            <v>1123</v>
          </cell>
          <cell r="B280">
            <v>2</v>
          </cell>
          <cell r="C280" t="str">
            <v>Quintinite-2h</v>
          </cell>
          <cell r="E280" t="str">
            <v/>
          </cell>
        </row>
        <row r="281">
          <cell r="A281">
            <v>1124</v>
          </cell>
          <cell r="B281">
            <v>2</v>
          </cell>
          <cell r="C281" t="str">
            <v>Quintinite-3t</v>
          </cell>
          <cell r="E281" t="str">
            <v/>
          </cell>
        </row>
        <row r="282">
          <cell r="A282">
            <v>1125</v>
          </cell>
          <cell r="B282">
            <v>2</v>
          </cell>
          <cell r="C282" t="str">
            <v>Raadeite</v>
          </cell>
          <cell r="E282" t="str">
            <v>https://www.mindat.org/1:1:7018:4</v>
          </cell>
        </row>
        <row r="283">
          <cell r="A283">
            <v>1127</v>
          </cell>
          <cell r="B283">
            <v>2</v>
          </cell>
          <cell r="C283" t="str">
            <v>Rabejacite</v>
          </cell>
          <cell r="E283" t="str">
            <v>https://www.mindat.org/1:1:3348:6</v>
          </cell>
        </row>
        <row r="284">
          <cell r="A284">
            <v>1128</v>
          </cell>
          <cell r="B284">
            <v>2</v>
          </cell>
          <cell r="C284" t="str">
            <v>Radhakrishnaite</v>
          </cell>
          <cell r="E284" t="str">
            <v>https://www.mindat.org/1:1:3349:3</v>
          </cell>
        </row>
        <row r="285">
          <cell r="A285">
            <v>1134</v>
          </cell>
          <cell r="B285">
            <v>2</v>
          </cell>
          <cell r="C285" t="str">
            <v>Rambergite</v>
          </cell>
          <cell r="E285" t="str">
            <v>https://www.mindat.org/1:1:7268:3</v>
          </cell>
        </row>
        <row r="286">
          <cell r="A286">
            <v>1141</v>
          </cell>
          <cell r="B286">
            <v>2</v>
          </cell>
          <cell r="C286" t="str">
            <v>Phosphogartrellite</v>
          </cell>
          <cell r="E286" t="str">
            <v>https://www.mindat.org/1:1:7233:1</v>
          </cell>
        </row>
        <row r="287">
          <cell r="A287">
            <v>1147</v>
          </cell>
          <cell r="B287">
            <v>2</v>
          </cell>
          <cell r="C287" t="str">
            <v>Phuralumite</v>
          </cell>
          <cell r="E287" t="str">
            <v>https://www.mindat.org/1:1:3201:4</v>
          </cell>
        </row>
        <row r="288">
          <cell r="A288">
            <v>1157</v>
          </cell>
          <cell r="B288">
            <v>2</v>
          </cell>
          <cell r="C288" t="str">
            <v>Pillaite</v>
          </cell>
          <cell r="E288" t="str">
            <v>https://www.mindat.org/1:1:10318:1</v>
          </cell>
        </row>
        <row r="289">
          <cell r="A289">
            <v>1162</v>
          </cell>
          <cell r="B289">
            <v>2</v>
          </cell>
          <cell r="C289" t="str">
            <v>Pingguite</v>
          </cell>
          <cell r="E289" t="str">
            <v>https://www.mindat.org/1:1:7237:9</v>
          </cell>
        </row>
        <row r="290">
          <cell r="A290">
            <v>1165</v>
          </cell>
          <cell r="B290">
            <v>2</v>
          </cell>
          <cell r="C290" t="str">
            <v>Piretite</v>
          </cell>
          <cell r="E290" t="str">
            <v>https://www.mindat.org/1:1:7238:6</v>
          </cell>
        </row>
        <row r="291">
          <cell r="A291">
            <v>1166</v>
          </cell>
          <cell r="B291">
            <v>2</v>
          </cell>
          <cell r="C291" t="str">
            <v>Pirquitasite</v>
          </cell>
          <cell r="E291" t="str">
            <v>https://www.mindat.org/1:1:3219:9</v>
          </cell>
        </row>
        <row r="292">
          <cell r="A292">
            <v>1168</v>
          </cell>
          <cell r="B292">
            <v>2</v>
          </cell>
          <cell r="C292" t="str">
            <v>Pitiglianoite</v>
          </cell>
          <cell r="E292" t="str">
            <v>https://www.mindat.org/1:1:3223:6</v>
          </cell>
        </row>
        <row r="293">
          <cell r="A293">
            <v>1179</v>
          </cell>
          <cell r="B293">
            <v>2</v>
          </cell>
          <cell r="C293" t="str">
            <v>Platynite</v>
          </cell>
          <cell r="E293" t="str">
            <v/>
          </cell>
        </row>
        <row r="294">
          <cell r="A294">
            <v>1182</v>
          </cell>
          <cell r="B294">
            <v>2</v>
          </cell>
          <cell r="C294" t="str">
            <v>Plumalsite</v>
          </cell>
          <cell r="E294" t="str">
            <v/>
          </cell>
        </row>
        <row r="295">
          <cell r="A295">
            <v>1183</v>
          </cell>
          <cell r="B295">
            <v>2</v>
          </cell>
          <cell r="C295" t="str">
            <v>Plumbobetafite</v>
          </cell>
          <cell r="E295" t="str">
            <v/>
          </cell>
        </row>
        <row r="296">
          <cell r="A296">
            <v>1187</v>
          </cell>
          <cell r="B296">
            <v>2</v>
          </cell>
          <cell r="C296" t="str">
            <v>Plumbomangite</v>
          </cell>
          <cell r="E296" t="str">
            <v/>
          </cell>
        </row>
        <row r="297">
          <cell r="A297">
            <v>1192</v>
          </cell>
          <cell r="B297">
            <v>2</v>
          </cell>
          <cell r="C297" t="str">
            <v>Plumbotellurite</v>
          </cell>
          <cell r="E297" t="str">
            <v>https://www.mindat.org/1:1:3227:4</v>
          </cell>
        </row>
        <row r="298">
          <cell r="A298">
            <v>1199</v>
          </cell>
          <cell r="B298">
            <v>2</v>
          </cell>
          <cell r="C298" t="str">
            <v>Polkanovite</v>
          </cell>
          <cell r="E298" t="str">
            <v>https://www.mindat.org/1:1:7240:9</v>
          </cell>
        </row>
        <row r="299">
          <cell r="A299">
            <v>1200</v>
          </cell>
          <cell r="B299">
            <v>2</v>
          </cell>
          <cell r="C299" t="str">
            <v>Polkovicite</v>
          </cell>
          <cell r="E299" t="str">
            <v>https://www.mindat.org/1:1:3254:0</v>
          </cell>
        </row>
        <row r="300">
          <cell r="A300">
            <v>1208</v>
          </cell>
          <cell r="B300">
            <v>2</v>
          </cell>
          <cell r="C300" t="str">
            <v>Polyphite</v>
          </cell>
          <cell r="E300" t="str">
            <v>https://www.mindat.org/1:1:3262:5</v>
          </cell>
        </row>
        <row r="301">
          <cell r="A301">
            <v>1209</v>
          </cell>
          <cell r="B301">
            <v>2</v>
          </cell>
          <cell r="C301" t="str">
            <v>Ponomarevite</v>
          </cell>
          <cell r="E301" t="str">
            <v>https://www.mindat.org/1:1:3263:2</v>
          </cell>
        </row>
        <row r="302">
          <cell r="A302">
            <v>1213</v>
          </cell>
          <cell r="B302">
            <v>2</v>
          </cell>
          <cell r="C302" t="str">
            <v>Potassic-fluororichterite</v>
          </cell>
          <cell r="E302" t="str">
            <v/>
          </cell>
        </row>
        <row r="303">
          <cell r="A303">
            <v>1214</v>
          </cell>
          <cell r="B303">
            <v>2</v>
          </cell>
          <cell r="C303" t="str">
            <v>Yvonite</v>
          </cell>
          <cell r="E303" t="str">
            <v>https://www.mindat.org/1:1:7382:6</v>
          </cell>
        </row>
        <row r="304">
          <cell r="A304">
            <v>1215</v>
          </cell>
          <cell r="B304">
            <v>2</v>
          </cell>
          <cell r="C304" t="str">
            <v>Zabuyelite</v>
          </cell>
          <cell r="E304" t="str">
            <v>https://www.mindat.org/1:1:4380:5</v>
          </cell>
        </row>
        <row r="305">
          <cell r="A305">
            <v>1216</v>
          </cell>
          <cell r="B305">
            <v>2</v>
          </cell>
          <cell r="C305" t="str">
            <v>Zaccagnaite</v>
          </cell>
          <cell r="E305" t="str">
            <v>https://www.mindat.org/1:1:10810:4</v>
          </cell>
        </row>
        <row r="306">
          <cell r="A306">
            <v>1219</v>
          </cell>
          <cell r="B306">
            <v>2</v>
          </cell>
          <cell r="C306" t="str">
            <v>Potosiite</v>
          </cell>
          <cell r="E306" t="str">
            <v/>
          </cell>
        </row>
        <row r="307">
          <cell r="A307">
            <v>1221</v>
          </cell>
          <cell r="B307">
            <v>2</v>
          </cell>
          <cell r="C307" t="str">
            <v>Poubaite</v>
          </cell>
          <cell r="E307" t="str">
            <v>https://www.mindat.org/1:1:3271:7</v>
          </cell>
        </row>
        <row r="308">
          <cell r="A308">
            <v>1235</v>
          </cell>
          <cell r="B308">
            <v>2</v>
          </cell>
          <cell r="C308" t="str">
            <v>Turkestanite</v>
          </cell>
          <cell r="E308" t="str">
            <v>https://www.mindat.org/1:1:7345:1</v>
          </cell>
        </row>
        <row r="309">
          <cell r="A309">
            <v>1240</v>
          </cell>
          <cell r="B309">
            <v>2</v>
          </cell>
          <cell r="C309" t="str">
            <v>Tusionite</v>
          </cell>
          <cell r="E309" t="str">
            <v>https://www.mindat.org/1:1:4062:0</v>
          </cell>
        </row>
        <row r="310">
          <cell r="A310">
            <v>1241</v>
          </cell>
          <cell r="B310">
            <v>2</v>
          </cell>
          <cell r="C310" t="str">
            <v>Tuzlaite</v>
          </cell>
          <cell r="E310" t="str">
            <v>https://www.mindat.org/1:1:4063:7</v>
          </cell>
        </row>
        <row r="311">
          <cell r="A311">
            <v>1243</v>
          </cell>
          <cell r="B311">
            <v>2</v>
          </cell>
          <cell r="C311" t="str">
            <v>Tvedalite</v>
          </cell>
          <cell r="E311" t="str">
            <v>https://www.mindat.org/1:1:4065:1</v>
          </cell>
        </row>
        <row r="312">
          <cell r="A312">
            <v>1245</v>
          </cell>
          <cell r="B312">
            <v>2</v>
          </cell>
          <cell r="C312" t="str">
            <v>Tweddillite</v>
          </cell>
          <cell r="E312" t="str">
            <v>https://www.mindat.org/1:1:11118:0</v>
          </cell>
        </row>
        <row r="313">
          <cell r="A313">
            <v>1248</v>
          </cell>
          <cell r="B313">
            <v>2</v>
          </cell>
          <cell r="C313" t="str">
            <v>Tyretskite</v>
          </cell>
          <cell r="E313" t="str">
            <v>https://www.mindat.org/1:1:4069:9</v>
          </cell>
        </row>
        <row r="314">
          <cell r="A314">
            <v>1249</v>
          </cell>
          <cell r="B314">
            <v>2</v>
          </cell>
          <cell r="C314" t="str">
            <v>Tyretskite-1tc</v>
          </cell>
          <cell r="E314" t="str">
            <v/>
          </cell>
        </row>
        <row r="315">
          <cell r="A315">
            <v>1259</v>
          </cell>
          <cell r="B315">
            <v>2</v>
          </cell>
          <cell r="C315" t="str">
            <v>Penginite</v>
          </cell>
          <cell r="E315" t="str">
            <v/>
          </cell>
        </row>
        <row r="316">
          <cell r="A316">
            <v>1260</v>
          </cell>
          <cell r="B316">
            <v>2</v>
          </cell>
          <cell r="C316" t="str">
            <v>Pengzhizhongite</v>
          </cell>
          <cell r="E316" t="str">
            <v/>
          </cell>
        </row>
        <row r="317">
          <cell r="A317">
            <v>1261</v>
          </cell>
          <cell r="B317">
            <v>2</v>
          </cell>
          <cell r="C317" t="str">
            <v>Pengzhizhongite-6h</v>
          </cell>
          <cell r="E317" t="str">
            <v/>
          </cell>
        </row>
        <row r="318">
          <cell r="A318">
            <v>1267</v>
          </cell>
          <cell r="B318">
            <v>2</v>
          </cell>
          <cell r="C318" t="str">
            <v>Penobsquisite</v>
          </cell>
          <cell r="E318" t="str">
            <v>https://www.mindat.org/1:1:7223:2</v>
          </cell>
        </row>
        <row r="319">
          <cell r="A319">
            <v>1273</v>
          </cell>
          <cell r="B319">
            <v>2</v>
          </cell>
          <cell r="C319" t="str">
            <v>Penzhinite</v>
          </cell>
          <cell r="E319" t="str">
            <v>https://www.mindat.org/1:1:3156:7</v>
          </cell>
        </row>
        <row r="320">
          <cell r="A320">
            <v>1274</v>
          </cell>
          <cell r="B320">
            <v>2</v>
          </cell>
          <cell r="C320" t="str">
            <v>Peprossite-(Ce)</v>
          </cell>
          <cell r="E320" t="str">
            <v/>
          </cell>
        </row>
        <row r="321">
          <cell r="A321">
            <v>1281</v>
          </cell>
          <cell r="B321">
            <v>2</v>
          </cell>
          <cell r="C321" t="str">
            <v>Permingeatite</v>
          </cell>
          <cell r="E321" t="str">
            <v>https://www.mindat.org/1:1:3165:9</v>
          </cell>
        </row>
        <row r="322">
          <cell r="A322">
            <v>1283</v>
          </cell>
          <cell r="B322">
            <v>2</v>
          </cell>
          <cell r="C322" t="str">
            <v>Perraultite</v>
          </cell>
          <cell r="E322" t="str">
            <v>https://www.mindat.org/1:1:3167:3</v>
          </cell>
        </row>
        <row r="323">
          <cell r="A323">
            <v>1286</v>
          </cell>
          <cell r="B323">
            <v>2</v>
          </cell>
          <cell r="C323" t="str">
            <v>Perryite</v>
          </cell>
          <cell r="E323" t="str">
            <v/>
          </cell>
        </row>
        <row r="324">
          <cell r="A324">
            <v>1291</v>
          </cell>
          <cell r="B324">
            <v>2</v>
          </cell>
          <cell r="C324" t="str">
            <v>Peterbaylissite</v>
          </cell>
          <cell r="E324" t="str">
            <v>https://www.mindat.org/1:1:7226:3</v>
          </cell>
        </row>
        <row r="325">
          <cell r="A325">
            <v>1292</v>
          </cell>
          <cell r="B325">
            <v>2</v>
          </cell>
          <cell r="C325" t="str">
            <v>Petersenite-(Ce)</v>
          </cell>
          <cell r="E325" t="str">
            <v>https://www.mindat.org/1:1:3174:1</v>
          </cell>
        </row>
        <row r="326">
          <cell r="A326">
            <v>1295</v>
          </cell>
          <cell r="B326">
            <v>2</v>
          </cell>
          <cell r="C326" t="str">
            <v>Petitjeanite</v>
          </cell>
          <cell r="E326" t="str">
            <v>https://www.mindat.org/1:1:3329:5</v>
          </cell>
        </row>
        <row r="327">
          <cell r="A327">
            <v>1296</v>
          </cell>
          <cell r="B327">
            <v>2</v>
          </cell>
          <cell r="C327" t="str">
            <v>Petrovicite</v>
          </cell>
          <cell r="E327" t="str">
            <v>https://www.mindat.org/1:1:3176:5</v>
          </cell>
        </row>
        <row r="328">
          <cell r="A328">
            <v>1297</v>
          </cell>
          <cell r="B328">
            <v>2</v>
          </cell>
          <cell r="C328" t="str">
            <v>Petrovskaite</v>
          </cell>
          <cell r="E328" t="str">
            <v>https://www.mindat.org/1:1:3177:2</v>
          </cell>
        </row>
        <row r="329">
          <cell r="A329">
            <v>1300</v>
          </cell>
          <cell r="B329">
            <v>2</v>
          </cell>
          <cell r="C329" t="str">
            <v>Petterdite</v>
          </cell>
          <cell r="E329" t="str">
            <v>https://www.mindat.org/1:1:7099:3</v>
          </cell>
        </row>
        <row r="330">
          <cell r="A330">
            <v>1313</v>
          </cell>
          <cell r="B330">
            <v>2</v>
          </cell>
          <cell r="C330" t="str">
            <v>Philolithite</v>
          </cell>
          <cell r="E330" t="str">
            <v>https://www.mindat.org/1:1:7230:0</v>
          </cell>
        </row>
        <row r="331">
          <cell r="A331">
            <v>1317</v>
          </cell>
          <cell r="B331">
            <v>2</v>
          </cell>
          <cell r="C331" t="str">
            <v>Tiettaite</v>
          </cell>
          <cell r="E331" t="str">
            <v>https://www.mindat.org/1:1:3959:4</v>
          </cell>
        </row>
        <row r="332">
          <cell r="A332">
            <v>1335</v>
          </cell>
          <cell r="B332">
            <v>2</v>
          </cell>
          <cell r="C332" t="str">
            <v>Tivanite</v>
          </cell>
          <cell r="E332" t="str">
            <v>https://www.mindat.org/1:1:3981:5</v>
          </cell>
        </row>
        <row r="333">
          <cell r="A333">
            <v>1344</v>
          </cell>
          <cell r="B333">
            <v>2</v>
          </cell>
          <cell r="C333" t="str">
            <v>Tolbachite</v>
          </cell>
          <cell r="E333" t="str">
            <v>https://www.mindat.org/1:1:3990:7</v>
          </cell>
        </row>
        <row r="334">
          <cell r="A334">
            <v>1345</v>
          </cell>
          <cell r="B334">
            <v>2</v>
          </cell>
          <cell r="C334" t="str">
            <v>Tolovkite</v>
          </cell>
          <cell r="E334" t="str">
            <v>https://www.mindat.org/1:1:3991:4</v>
          </cell>
        </row>
        <row r="335">
          <cell r="A335">
            <v>1348</v>
          </cell>
          <cell r="B335">
            <v>2</v>
          </cell>
          <cell r="C335" t="str">
            <v>Tongbaite</v>
          </cell>
          <cell r="E335" t="str">
            <v>https://www.mindat.org/1:1:3994:5</v>
          </cell>
        </row>
        <row r="336">
          <cell r="A336">
            <v>1349</v>
          </cell>
          <cell r="B336">
            <v>2</v>
          </cell>
          <cell r="C336" t="str">
            <v>Tooeleite</v>
          </cell>
          <cell r="E336" t="str">
            <v>https://www.mindat.org/1:1:3995:2</v>
          </cell>
        </row>
        <row r="337">
          <cell r="A337">
            <v>1354</v>
          </cell>
          <cell r="B337">
            <v>2</v>
          </cell>
          <cell r="C337" t="str">
            <v>Tounkite</v>
          </cell>
          <cell r="E337" t="str">
            <v>https://www.mindat.org/1:1:4002:6</v>
          </cell>
        </row>
        <row r="338">
          <cell r="A338">
            <v>1357</v>
          </cell>
          <cell r="B338">
            <v>2</v>
          </cell>
          <cell r="C338" t="str">
            <v>Trabzonite</v>
          </cell>
          <cell r="E338" t="str">
            <v>https://www.mindat.org/1:1:4005:7</v>
          </cell>
        </row>
        <row r="339">
          <cell r="A339">
            <v>1358</v>
          </cell>
          <cell r="B339">
            <v>2</v>
          </cell>
          <cell r="C339" t="str">
            <v>Tranquillityite</v>
          </cell>
          <cell r="E339" t="str">
            <v>https://www.mindat.org/1:1:4006:4</v>
          </cell>
        </row>
        <row r="340">
          <cell r="A340">
            <v>1359</v>
          </cell>
          <cell r="B340">
            <v>2</v>
          </cell>
          <cell r="C340" t="str">
            <v>Transferred</v>
          </cell>
          <cell r="E340" t="str">
            <v/>
          </cell>
        </row>
        <row r="341">
          <cell r="A341">
            <v>1363</v>
          </cell>
          <cell r="B341">
            <v>2</v>
          </cell>
          <cell r="C341" t="str">
            <v>Trembathite</v>
          </cell>
          <cell r="E341" t="str">
            <v>https://www.mindat.org/1:1:4010:1</v>
          </cell>
        </row>
        <row r="342">
          <cell r="A342">
            <v>1366</v>
          </cell>
          <cell r="B342">
            <v>2</v>
          </cell>
          <cell r="C342" t="str">
            <v>Triangulite</v>
          </cell>
          <cell r="E342" t="str">
            <v>https://www.mindat.org/1:1:4014:9</v>
          </cell>
        </row>
        <row r="343">
          <cell r="A343">
            <v>1369</v>
          </cell>
          <cell r="B343">
            <v>2</v>
          </cell>
          <cell r="C343" t="str">
            <v>Trikalsilite</v>
          </cell>
          <cell r="E343" t="str">
            <v>https://www.mindat.org/1:1:4017:0</v>
          </cell>
        </row>
        <row r="344">
          <cell r="A344">
            <v>1370</v>
          </cell>
          <cell r="B344">
            <v>2</v>
          </cell>
          <cell r="C344" t="str">
            <v>Trilithionite</v>
          </cell>
          <cell r="E344" t="str">
            <v>https://www.mindat.org/1:1:7341:3</v>
          </cell>
        </row>
        <row r="345">
          <cell r="A345">
            <v>1372</v>
          </cell>
          <cell r="B345">
            <v>2</v>
          </cell>
          <cell r="C345" t="str">
            <v>Trimounsite-(Y)</v>
          </cell>
          <cell r="E345" t="str">
            <v>https://www.mindat.org/1:1:4019:4</v>
          </cell>
        </row>
        <row r="346">
          <cell r="A346">
            <v>1378</v>
          </cell>
          <cell r="B346">
            <v>2</v>
          </cell>
          <cell r="C346" t="str">
            <v>Tristramite</v>
          </cell>
          <cell r="E346" t="str">
            <v>https://www.mindat.org/1:1:4025:5</v>
          </cell>
        </row>
        <row r="347">
          <cell r="A347">
            <v>1388</v>
          </cell>
          <cell r="B347">
            <v>2</v>
          </cell>
          <cell r="C347" t="str">
            <v>Trustedtite</v>
          </cell>
          <cell r="E347" t="str">
            <v/>
          </cell>
        </row>
        <row r="348">
          <cell r="A348">
            <v>1393</v>
          </cell>
          <cell r="B348">
            <v>2</v>
          </cell>
          <cell r="C348" t="str">
            <v>Tschortnerite</v>
          </cell>
          <cell r="E348" t="str">
            <v/>
          </cell>
        </row>
        <row r="349">
          <cell r="A349">
            <v>1394</v>
          </cell>
          <cell r="B349">
            <v>2</v>
          </cell>
          <cell r="C349" t="str">
            <v>Tsnigriite</v>
          </cell>
          <cell r="E349" t="str">
            <v>https://www.mindat.org/1:1:4038:5</v>
          </cell>
        </row>
        <row r="350">
          <cell r="A350">
            <v>1395</v>
          </cell>
          <cell r="B350">
            <v>2</v>
          </cell>
          <cell r="C350" t="str">
            <v>Tsugaruite</v>
          </cell>
          <cell r="E350" t="str">
            <v>https://www.mindat.org/1:1:7344:4</v>
          </cell>
        </row>
        <row r="351">
          <cell r="A351">
            <v>1400</v>
          </cell>
          <cell r="B351">
            <v>2</v>
          </cell>
          <cell r="C351" t="str">
            <v>Tugarinovite</v>
          </cell>
          <cell r="E351" t="str">
            <v>https://www.mindat.org/1:1:4043:9</v>
          </cell>
        </row>
        <row r="352">
          <cell r="A352">
            <v>1404</v>
          </cell>
          <cell r="B352">
            <v>2</v>
          </cell>
          <cell r="C352" t="str">
            <v>Tuliokite</v>
          </cell>
          <cell r="E352" t="str">
            <v>https://www.mindat.org/1:1:4047:7</v>
          </cell>
        </row>
        <row r="353">
          <cell r="A353">
            <v>1405</v>
          </cell>
          <cell r="B353">
            <v>2</v>
          </cell>
          <cell r="C353" t="str">
            <v>Tumchaite</v>
          </cell>
          <cell r="E353" t="str">
            <v>https://www.mindat.org/1:1:7102:0</v>
          </cell>
        </row>
        <row r="354">
          <cell r="A354">
            <v>1409</v>
          </cell>
          <cell r="B354">
            <v>2</v>
          </cell>
          <cell r="C354" t="str">
            <v>Bellidoite</v>
          </cell>
          <cell r="E354" t="str">
            <v>https://www.mindat.org/1:1:611:6</v>
          </cell>
        </row>
        <row r="355">
          <cell r="A355">
            <v>1411</v>
          </cell>
          <cell r="B355">
            <v>2</v>
          </cell>
          <cell r="C355" t="str">
            <v>Belloite</v>
          </cell>
          <cell r="E355" t="str">
            <v>https://www.mindat.org/1:1:7062:7</v>
          </cell>
        </row>
        <row r="356">
          <cell r="A356">
            <v>1416</v>
          </cell>
          <cell r="B356">
            <v>2</v>
          </cell>
          <cell r="C356" t="str">
            <v>Benauite</v>
          </cell>
          <cell r="E356" t="str">
            <v>https://www.mindat.org/1:1:622:2</v>
          </cell>
        </row>
        <row r="357">
          <cell r="A357">
            <v>1423</v>
          </cell>
          <cell r="B357">
            <v>2</v>
          </cell>
          <cell r="C357" t="str">
            <v>Benyacarite</v>
          </cell>
          <cell r="E357" t="str">
            <v>https://www.mindat.org/1:1:6823:5</v>
          </cell>
        </row>
        <row r="358">
          <cell r="A358">
            <v>1428</v>
          </cell>
          <cell r="B358">
            <v>2</v>
          </cell>
          <cell r="C358" t="str">
            <v>Berezanskite</v>
          </cell>
          <cell r="E358" t="str">
            <v>https://www.mindat.org/1:1:6824:2</v>
          </cell>
        </row>
        <row r="359">
          <cell r="A359">
            <v>1433</v>
          </cell>
          <cell r="B359">
            <v>2</v>
          </cell>
          <cell r="C359" t="str">
            <v>Bernalite</v>
          </cell>
          <cell r="E359" t="str">
            <v>https://www.mindat.org/1:1:635:6</v>
          </cell>
        </row>
        <row r="360">
          <cell r="A360">
            <v>1434</v>
          </cell>
          <cell r="B360">
            <v>2</v>
          </cell>
          <cell r="C360" t="str">
            <v>Bernardite</v>
          </cell>
          <cell r="E360" t="str">
            <v>https://www.mindat.org/1:1:636:5</v>
          </cell>
        </row>
        <row r="361">
          <cell r="A361">
            <v>1448</v>
          </cell>
          <cell r="B361">
            <v>2</v>
          </cell>
          <cell r="C361" t="str">
            <v>Bessmertnovite</v>
          </cell>
          <cell r="E361" t="str">
            <v/>
          </cell>
        </row>
        <row r="362">
          <cell r="A362">
            <v>1449</v>
          </cell>
          <cell r="B362">
            <v>2</v>
          </cell>
          <cell r="C362" t="str">
            <v>Beta-fergusonite-(Ce)</v>
          </cell>
          <cell r="E362" t="str">
            <v/>
          </cell>
        </row>
        <row r="363">
          <cell r="A363">
            <v>1450</v>
          </cell>
          <cell r="B363">
            <v>2</v>
          </cell>
          <cell r="C363" t="str">
            <v>Beta-fergusonite-(Nd)</v>
          </cell>
          <cell r="E363" t="str">
            <v/>
          </cell>
        </row>
        <row r="364">
          <cell r="A364">
            <v>1452</v>
          </cell>
          <cell r="B364">
            <v>2</v>
          </cell>
          <cell r="C364" t="str">
            <v>Beta-fergusonite-(Y)</v>
          </cell>
          <cell r="E364" t="str">
            <v/>
          </cell>
        </row>
        <row r="365">
          <cell r="A365">
            <v>1459</v>
          </cell>
          <cell r="B365">
            <v>2</v>
          </cell>
          <cell r="C365" t="str">
            <v>Bezsmertnovite</v>
          </cell>
          <cell r="E365" t="str">
            <v>https://www.mindat.org/1:1:656:9</v>
          </cell>
        </row>
        <row r="366">
          <cell r="A366">
            <v>1465</v>
          </cell>
          <cell r="B366">
            <v>2</v>
          </cell>
          <cell r="C366" t="str">
            <v>Bigcreekite</v>
          </cell>
          <cell r="E366" t="str">
            <v>https://www.mindat.org/1:1:7083:2</v>
          </cell>
        </row>
        <row r="367">
          <cell r="A367">
            <v>1466</v>
          </cell>
          <cell r="B367">
            <v>2</v>
          </cell>
          <cell r="C367" t="str">
            <v>Bijvoetite-(Y)</v>
          </cell>
          <cell r="E367" t="str">
            <v>https://www.mindat.org/1:1:669:3</v>
          </cell>
        </row>
        <row r="368">
          <cell r="A368">
            <v>1468</v>
          </cell>
          <cell r="B368">
            <v>2</v>
          </cell>
          <cell r="C368" t="str">
            <v>Bilibinskite</v>
          </cell>
          <cell r="E368" t="str">
            <v>https://www.mindat.org/1:1:672:7</v>
          </cell>
        </row>
        <row r="369">
          <cell r="A369">
            <v>1478</v>
          </cell>
          <cell r="B369">
            <v>2</v>
          </cell>
          <cell r="C369" t="str">
            <v>Theoparacelsite</v>
          </cell>
          <cell r="E369" t="str">
            <v>https://www.mindat.org/1:1:10589:7</v>
          </cell>
        </row>
        <row r="370">
          <cell r="A370">
            <v>1480</v>
          </cell>
          <cell r="B370">
            <v>2</v>
          </cell>
          <cell r="C370" t="str">
            <v>Theresemagnanite</v>
          </cell>
          <cell r="E370" t="str">
            <v/>
          </cell>
        </row>
        <row r="371">
          <cell r="A371">
            <v>1481</v>
          </cell>
          <cell r="B371">
            <v>2</v>
          </cell>
          <cell r="C371" t="str">
            <v>Theresmagnanite</v>
          </cell>
          <cell r="E371" t="str">
            <v/>
          </cell>
        </row>
        <row r="372">
          <cell r="A372">
            <v>1482</v>
          </cell>
          <cell r="B372">
            <v>2</v>
          </cell>
          <cell r="C372" t="str">
            <v>Thermonatrite</v>
          </cell>
          <cell r="E372" t="str">
            <v>https://www.mindat.org/1:1:3938:9</v>
          </cell>
        </row>
        <row r="373">
          <cell r="A373">
            <v>1483</v>
          </cell>
          <cell r="B373">
            <v>2</v>
          </cell>
          <cell r="C373" t="str">
            <v>Thomasclarkite-(Y)</v>
          </cell>
          <cell r="E373" t="str">
            <v>https://www.mindat.org/1:1:7336:9</v>
          </cell>
        </row>
        <row r="374">
          <cell r="A374">
            <v>1487</v>
          </cell>
          <cell r="B374">
            <v>2</v>
          </cell>
          <cell r="C374" t="str">
            <v>Thorbastnasite</v>
          </cell>
          <cell r="E374" t="str">
            <v/>
          </cell>
        </row>
        <row r="375">
          <cell r="A375">
            <v>1494</v>
          </cell>
          <cell r="B375">
            <v>2</v>
          </cell>
          <cell r="C375" t="str">
            <v>Thorosteenstrupine</v>
          </cell>
          <cell r="E375" t="str">
            <v>https://www.mindat.org/1:1:3949:5</v>
          </cell>
        </row>
        <row r="376">
          <cell r="A376">
            <v>1496</v>
          </cell>
          <cell r="B376">
            <v>2</v>
          </cell>
          <cell r="C376" t="str">
            <v>Thorutite</v>
          </cell>
          <cell r="E376" t="str">
            <v>https://www.mindat.org/1:1:3951:8</v>
          </cell>
        </row>
        <row r="377">
          <cell r="A377">
            <v>1509</v>
          </cell>
          <cell r="B377">
            <v>2</v>
          </cell>
          <cell r="C377" t="str">
            <v>Dmisteinbergite</v>
          </cell>
          <cell r="E377" t="str">
            <v>https://www.mindat.org/1:1:1301:3</v>
          </cell>
        </row>
        <row r="378">
          <cell r="A378">
            <v>1514</v>
          </cell>
          <cell r="B378">
            <v>2</v>
          </cell>
          <cell r="C378" t="str">
            <v>Bakhchisaraitsevite</v>
          </cell>
          <cell r="E378" t="str">
            <v>https://www.mindat.org/1:1:7074:0</v>
          </cell>
        </row>
        <row r="379">
          <cell r="A379">
            <v>1515</v>
          </cell>
          <cell r="B379">
            <v>2</v>
          </cell>
          <cell r="C379" t="str">
            <v>Baksanite</v>
          </cell>
          <cell r="E379" t="str">
            <v>https://www.mindat.org/1:1:6814:3</v>
          </cell>
        </row>
        <row r="380">
          <cell r="A380">
            <v>1517</v>
          </cell>
          <cell r="B380">
            <v>2</v>
          </cell>
          <cell r="C380" t="str">
            <v>Balavinskite</v>
          </cell>
          <cell r="E380" t="str">
            <v/>
          </cell>
        </row>
        <row r="381">
          <cell r="A381">
            <v>1520</v>
          </cell>
          <cell r="B381">
            <v>2</v>
          </cell>
          <cell r="C381" t="str">
            <v>Balyakinite</v>
          </cell>
          <cell r="E381" t="str">
            <v>https://www.mindat.org/1:1:501:0</v>
          </cell>
        </row>
        <row r="382">
          <cell r="A382">
            <v>1522</v>
          </cell>
          <cell r="B382">
            <v>2</v>
          </cell>
          <cell r="C382" t="str">
            <v>Bamfordite</v>
          </cell>
          <cell r="E382" t="str">
            <v>https://www.mindat.org/1:1:6815:0</v>
          </cell>
        </row>
        <row r="383">
          <cell r="A383">
            <v>1530</v>
          </cell>
          <cell r="B383">
            <v>2</v>
          </cell>
          <cell r="C383" t="str">
            <v>Barberiite</v>
          </cell>
          <cell r="E383" t="str">
            <v>https://www.mindat.org/1:1:513:5</v>
          </cell>
        </row>
        <row r="384">
          <cell r="A384">
            <v>1533</v>
          </cell>
          <cell r="B384">
            <v>2</v>
          </cell>
          <cell r="C384" t="str">
            <v>Barentsite</v>
          </cell>
          <cell r="E384" t="str">
            <v>https://www.mindat.org/1:1:520:5</v>
          </cell>
        </row>
        <row r="385">
          <cell r="A385">
            <v>1537</v>
          </cell>
          <cell r="B385">
            <v>2</v>
          </cell>
          <cell r="C385" t="str">
            <v>Bariomicrolite</v>
          </cell>
          <cell r="E385" t="str">
            <v/>
          </cell>
        </row>
        <row r="386">
          <cell r="A386">
            <v>1539</v>
          </cell>
          <cell r="B386">
            <v>2</v>
          </cell>
          <cell r="C386" t="str">
            <v>Bariosincosite</v>
          </cell>
          <cell r="E386" t="str">
            <v>https://www.mindat.org/1:1:6816:7</v>
          </cell>
        </row>
        <row r="387">
          <cell r="A387">
            <v>1542</v>
          </cell>
          <cell r="B387">
            <v>2</v>
          </cell>
          <cell r="C387" t="str">
            <v>Barquillite</v>
          </cell>
          <cell r="E387" t="str">
            <v>https://www.mindat.org/1:1:6820:4</v>
          </cell>
        </row>
        <row r="388">
          <cell r="A388">
            <v>1547</v>
          </cell>
          <cell r="B388">
            <v>2</v>
          </cell>
          <cell r="C388" t="str">
            <v>Barstowite</v>
          </cell>
          <cell r="E388" t="str">
            <v>https://www.mindat.org/1:1:540:9</v>
          </cell>
        </row>
        <row r="389">
          <cell r="A389">
            <v>1561</v>
          </cell>
          <cell r="B389">
            <v>2</v>
          </cell>
          <cell r="C389" t="str">
            <v>Batiferrite</v>
          </cell>
          <cell r="E389" t="str">
            <v>https://www.mindat.org/1:1:10174:9</v>
          </cell>
        </row>
        <row r="390">
          <cell r="A390">
            <v>1566</v>
          </cell>
          <cell r="B390">
            <v>2</v>
          </cell>
          <cell r="C390" t="str">
            <v>Baumstarkite</v>
          </cell>
          <cell r="E390" t="str">
            <v>https://www.mindat.org/1:1:10995:4</v>
          </cell>
        </row>
        <row r="391">
          <cell r="A391">
            <v>1568</v>
          </cell>
          <cell r="B391">
            <v>2</v>
          </cell>
          <cell r="C391" t="str">
            <v>Bauxite(generalterm)</v>
          </cell>
          <cell r="E391" t="str">
            <v/>
          </cell>
        </row>
        <row r="392">
          <cell r="A392">
            <v>1570</v>
          </cell>
          <cell r="B392">
            <v>2</v>
          </cell>
          <cell r="C392" t="str">
            <v>Bayankhanite</v>
          </cell>
          <cell r="E392" t="str">
            <v/>
          </cell>
        </row>
        <row r="393">
          <cell r="A393">
            <v>1571</v>
          </cell>
          <cell r="B393">
            <v>2</v>
          </cell>
          <cell r="C393" t="str">
            <v>Bayerite</v>
          </cell>
          <cell r="E393" t="str">
            <v>https://www.mindat.org/1:1:580:7</v>
          </cell>
        </row>
        <row r="394">
          <cell r="A394">
            <v>1574</v>
          </cell>
          <cell r="B394">
            <v>2</v>
          </cell>
          <cell r="C394" t="str">
            <v>Baylissite</v>
          </cell>
          <cell r="E394" t="str">
            <v>https://www.mindat.org/1:1:583:4</v>
          </cell>
        </row>
        <row r="395">
          <cell r="A395">
            <v>1575</v>
          </cell>
          <cell r="B395">
            <v>2</v>
          </cell>
          <cell r="C395" t="str">
            <v>Bazhenovite</v>
          </cell>
          <cell r="E395" t="str">
            <v>https://www.mindat.org/1:1:584:3</v>
          </cell>
        </row>
        <row r="396">
          <cell r="A396">
            <v>1578</v>
          </cell>
          <cell r="B396">
            <v>2</v>
          </cell>
          <cell r="C396" t="str">
            <v>Bearsite</v>
          </cell>
          <cell r="E396" t="str">
            <v>https://www.mindat.org/1:1:589:8</v>
          </cell>
        </row>
        <row r="397">
          <cell r="A397">
            <v>1579</v>
          </cell>
          <cell r="B397">
            <v>2</v>
          </cell>
          <cell r="C397" t="str">
            <v>Bearthite</v>
          </cell>
          <cell r="E397" t="str">
            <v>https://www.mindat.org/1:1:590:4</v>
          </cell>
        </row>
        <row r="398">
          <cell r="A398">
            <v>1581</v>
          </cell>
          <cell r="B398">
            <v>2</v>
          </cell>
          <cell r="C398" t="str">
            <v>Bechererite</v>
          </cell>
          <cell r="E398" t="str">
            <v>https://www.mindat.org/1:1:593:1</v>
          </cell>
        </row>
        <row r="399">
          <cell r="A399">
            <v>1583</v>
          </cell>
          <cell r="B399">
            <v>2</v>
          </cell>
          <cell r="C399" t="str">
            <v>Bederite</v>
          </cell>
          <cell r="E399" t="str">
            <v>https://www.mindat.org/1:1:6821:1</v>
          </cell>
        </row>
        <row r="400">
          <cell r="A400">
            <v>1587</v>
          </cell>
          <cell r="B400">
            <v>2</v>
          </cell>
          <cell r="C400" t="str">
            <v>Belendorffite</v>
          </cell>
          <cell r="E400" t="str">
            <v>https://www.mindat.org/1:1:608:2</v>
          </cell>
        </row>
        <row r="401">
          <cell r="A401">
            <v>1588</v>
          </cell>
          <cell r="B401">
            <v>2</v>
          </cell>
          <cell r="C401" t="str">
            <v>Belkovite</v>
          </cell>
          <cell r="E401" t="str">
            <v>https://www.mindat.org/1:1:609:1</v>
          </cell>
        </row>
        <row r="402">
          <cell r="A402">
            <v>1589</v>
          </cell>
          <cell r="B402">
            <v>2</v>
          </cell>
          <cell r="C402" t="str">
            <v>Bellbergite</v>
          </cell>
          <cell r="E402" t="str">
            <v>https://www.mindat.org/1:1:610:7</v>
          </cell>
        </row>
        <row r="403">
          <cell r="A403">
            <v>1594</v>
          </cell>
          <cell r="B403">
            <v>2</v>
          </cell>
          <cell r="C403" t="str">
            <v>Cuproiridsite</v>
          </cell>
          <cell r="E403" t="str">
            <v>https://www.mindat.org/1:1:1186:6</v>
          </cell>
        </row>
        <row r="404">
          <cell r="A404">
            <v>1595</v>
          </cell>
          <cell r="B404">
            <v>2</v>
          </cell>
          <cell r="C404" t="str">
            <v>Cupropavonite</v>
          </cell>
          <cell r="E404" t="str">
            <v>https://www.mindat.org/1:1:1187:3</v>
          </cell>
        </row>
        <row r="405">
          <cell r="A405">
            <v>1596</v>
          </cell>
          <cell r="B405">
            <v>2</v>
          </cell>
          <cell r="C405" t="str">
            <v>Cuprorhodsite</v>
          </cell>
          <cell r="E405" t="str">
            <v>https://www.mindat.org/1:1:1188:0</v>
          </cell>
        </row>
        <row r="406">
          <cell r="A406">
            <v>1608</v>
          </cell>
          <cell r="B406">
            <v>2</v>
          </cell>
          <cell r="C406" t="str">
            <v>Cyanophillite</v>
          </cell>
          <cell r="E406" t="str">
            <v/>
          </cell>
        </row>
        <row r="407">
          <cell r="A407">
            <v>1609</v>
          </cell>
          <cell r="B407">
            <v>2</v>
          </cell>
          <cell r="C407" t="str">
            <v>Cyanophyllite</v>
          </cell>
          <cell r="E407" t="str">
            <v/>
          </cell>
        </row>
        <row r="408">
          <cell r="A408">
            <v>1614</v>
          </cell>
          <cell r="B408">
            <v>2</v>
          </cell>
          <cell r="C408" t="str">
            <v>D'ansite</v>
          </cell>
          <cell r="E408" t="str">
            <v>https://www.mindat.org/1:1:1211:5</v>
          </cell>
        </row>
        <row r="409">
          <cell r="A409">
            <v>1620</v>
          </cell>
          <cell r="B409">
            <v>2</v>
          </cell>
          <cell r="C409" t="str">
            <v>Damaraite</v>
          </cell>
          <cell r="E409" t="str">
            <v>https://www.mindat.org/1:1:1215:3</v>
          </cell>
        </row>
        <row r="410">
          <cell r="A410">
            <v>1621</v>
          </cell>
          <cell r="B410">
            <v>2</v>
          </cell>
          <cell r="C410" t="str">
            <v>Damiaoite</v>
          </cell>
          <cell r="E410" t="str">
            <v>https://www.mindat.org/1:1:6897:6</v>
          </cell>
        </row>
        <row r="411">
          <cell r="A411">
            <v>1623</v>
          </cell>
          <cell r="B411">
            <v>2</v>
          </cell>
          <cell r="C411" t="str">
            <v>Danbaite</v>
          </cell>
          <cell r="E411" t="str">
            <v>https://www.mindat.org/1:1:1217:7</v>
          </cell>
        </row>
        <row r="412">
          <cell r="A412">
            <v>1625</v>
          </cell>
          <cell r="B412">
            <v>2</v>
          </cell>
          <cell r="C412" t="str">
            <v>Danielsite</v>
          </cell>
          <cell r="E412" t="str">
            <v>https://www.mindat.org/1:1:1219:1</v>
          </cell>
        </row>
        <row r="413">
          <cell r="A413">
            <v>1627</v>
          </cell>
          <cell r="B413">
            <v>2</v>
          </cell>
          <cell r="C413" t="str">
            <v>Daomanite</v>
          </cell>
          <cell r="E413" t="str">
            <v>https://www.mindat.org/1:1:1222:1</v>
          </cell>
        </row>
        <row r="414">
          <cell r="A414">
            <v>1628</v>
          </cell>
          <cell r="B414">
            <v>2</v>
          </cell>
          <cell r="C414" t="str">
            <v>Daqingshanite-(Ce)</v>
          </cell>
          <cell r="E414" t="str">
            <v>https://www.mindat.org/1:1:1224:5</v>
          </cell>
        </row>
        <row r="415">
          <cell r="A415">
            <v>1631</v>
          </cell>
          <cell r="B415">
            <v>2</v>
          </cell>
          <cell r="C415" t="str">
            <v>Dashkovaite</v>
          </cell>
          <cell r="E415" t="str">
            <v>https://www.mindat.org/1:1:10175:8</v>
          </cell>
        </row>
        <row r="416">
          <cell r="A416">
            <v>1643</v>
          </cell>
          <cell r="B416">
            <v>2</v>
          </cell>
          <cell r="C416" t="str">
            <v>Deaccessioned</v>
          </cell>
          <cell r="D416" t="str">
            <v>deprecate, not a material</v>
          </cell>
          <cell r="E416" t="str">
            <v/>
          </cell>
        </row>
        <row r="417">
          <cell r="A417">
            <v>1644</v>
          </cell>
          <cell r="B417">
            <v>2</v>
          </cell>
          <cell r="C417" t="str">
            <v>Deanesmithite</v>
          </cell>
          <cell r="E417" t="str">
            <v>https://www.mindat.org/1:1:1242:9</v>
          </cell>
        </row>
        <row r="418">
          <cell r="A418">
            <v>1650</v>
          </cell>
          <cell r="B418">
            <v>2</v>
          </cell>
          <cell r="C418" t="str">
            <v>Deliensite</v>
          </cell>
          <cell r="E418" t="str">
            <v>https://www.mindat.org/1:1:6899:0</v>
          </cell>
        </row>
        <row r="419">
          <cell r="A419">
            <v>1653</v>
          </cell>
          <cell r="B419">
            <v>2</v>
          </cell>
          <cell r="C419" t="str">
            <v>Deloneite-(Ce)</v>
          </cell>
          <cell r="E419" t="str">
            <v/>
          </cell>
        </row>
        <row r="420">
          <cell r="A420">
            <v>1655</v>
          </cell>
          <cell r="B420">
            <v>2</v>
          </cell>
          <cell r="C420" t="str">
            <v>Olympite</v>
          </cell>
          <cell r="E420" t="str">
            <v>https://www.mindat.org/1:1:2989:2</v>
          </cell>
        </row>
        <row r="421">
          <cell r="A421">
            <v>1656</v>
          </cell>
          <cell r="B421">
            <v>2</v>
          </cell>
          <cell r="C421" t="str">
            <v>Omeiite</v>
          </cell>
          <cell r="E421" t="str">
            <v>https://www.mindat.org/1:1:2990:8</v>
          </cell>
        </row>
        <row r="422">
          <cell r="A422">
            <v>1658</v>
          </cell>
          <cell r="B422">
            <v>2</v>
          </cell>
          <cell r="C422" t="str">
            <v>Oneillite</v>
          </cell>
          <cell r="E422" t="str">
            <v>https://www.mindat.org/1:1:7205:8</v>
          </cell>
        </row>
        <row r="423">
          <cell r="A423">
            <v>1667</v>
          </cell>
          <cell r="B423">
            <v>2</v>
          </cell>
          <cell r="C423" t="str">
            <v>Orlandiite</v>
          </cell>
          <cell r="E423" t="str">
            <v>https://www.mindat.org/1:1:7056:6</v>
          </cell>
        </row>
        <row r="424">
          <cell r="A424">
            <v>1671</v>
          </cell>
          <cell r="B424">
            <v>2</v>
          </cell>
          <cell r="C424" t="str">
            <v>Orschallite</v>
          </cell>
          <cell r="E424" t="str">
            <v>https://www.mindat.org/1:1:3022:5</v>
          </cell>
        </row>
        <row r="425">
          <cell r="A425">
            <v>1674</v>
          </cell>
          <cell r="B425">
            <v>2</v>
          </cell>
          <cell r="C425" t="str">
            <v>Orthochrysotile</v>
          </cell>
          <cell r="E425" t="str">
            <v/>
          </cell>
        </row>
        <row r="426">
          <cell r="A426">
            <v>1676</v>
          </cell>
          <cell r="B426">
            <v>2</v>
          </cell>
          <cell r="C426" t="str">
            <v>Orthoericssonite</v>
          </cell>
          <cell r="E426" t="str">
            <v/>
          </cell>
        </row>
        <row r="427">
          <cell r="A427">
            <v>1677</v>
          </cell>
          <cell r="B427">
            <v>2</v>
          </cell>
          <cell r="C427" t="str">
            <v>Orthojoaquinite-(Ce)</v>
          </cell>
          <cell r="E427" t="str">
            <v>https://www.mindat.org/1:1:3029:4</v>
          </cell>
        </row>
        <row r="428">
          <cell r="A428">
            <v>1678</v>
          </cell>
          <cell r="B428">
            <v>2</v>
          </cell>
          <cell r="C428" t="str">
            <v>Orthojoaquinite-(La)</v>
          </cell>
          <cell r="E428" t="str">
            <v>https://www.mindat.org/1:1:10392:3</v>
          </cell>
        </row>
        <row r="429">
          <cell r="A429">
            <v>1681</v>
          </cell>
          <cell r="B429">
            <v>2</v>
          </cell>
          <cell r="C429" t="str">
            <v>Orthowalpurgite</v>
          </cell>
          <cell r="E429" t="str">
            <v>https://www.mindat.org/1:1:3032:4</v>
          </cell>
        </row>
        <row r="430">
          <cell r="A430">
            <v>1684</v>
          </cell>
          <cell r="B430">
            <v>2</v>
          </cell>
          <cell r="C430" t="str">
            <v>Osbornite</v>
          </cell>
          <cell r="E430" t="str">
            <v>https://www.mindat.org/1:1:3035:5</v>
          </cell>
        </row>
        <row r="431">
          <cell r="A431">
            <v>1689</v>
          </cell>
          <cell r="B431">
            <v>2</v>
          </cell>
          <cell r="C431" t="str">
            <v>Oswaldpeetersite</v>
          </cell>
          <cell r="E431" t="str">
            <v>https://www.mindat.org/1:1:10997:2</v>
          </cell>
        </row>
        <row r="432">
          <cell r="A432">
            <v>1695</v>
          </cell>
          <cell r="B432">
            <v>2</v>
          </cell>
          <cell r="C432" t="str">
            <v>Oulankaite</v>
          </cell>
          <cell r="E432" t="str">
            <v>https://www.mindat.org/1:1:3045:4</v>
          </cell>
        </row>
        <row r="433">
          <cell r="A433">
            <v>1697</v>
          </cell>
          <cell r="B433">
            <v>2</v>
          </cell>
          <cell r="C433" t="str">
            <v>Oursinite</v>
          </cell>
          <cell r="E433" t="str">
            <v>https://www.mindat.org/1:1:3047:8</v>
          </cell>
        </row>
        <row r="434">
          <cell r="A434">
            <v>1699</v>
          </cell>
          <cell r="B434">
            <v>2</v>
          </cell>
          <cell r="C434" t="str">
            <v>Owensite</v>
          </cell>
          <cell r="E434" t="str">
            <v>https://www.mindat.org/1:1:7211:9</v>
          </cell>
        </row>
        <row r="435">
          <cell r="A435">
            <v>1707</v>
          </cell>
          <cell r="B435">
            <v>2</v>
          </cell>
          <cell r="C435" t="str">
            <v>Padmaite</v>
          </cell>
          <cell r="E435" t="str">
            <v>https://www.mindat.org/1:1:3060:7</v>
          </cell>
        </row>
        <row r="436">
          <cell r="A436">
            <v>1708</v>
          </cell>
          <cell r="B436">
            <v>2</v>
          </cell>
          <cell r="C436" t="str">
            <v>Paganoite</v>
          </cell>
          <cell r="E436" t="str">
            <v>https://www.mindat.org/1:1:7104:4</v>
          </cell>
        </row>
        <row r="437">
          <cell r="A437">
            <v>1711</v>
          </cell>
          <cell r="B437">
            <v>2</v>
          </cell>
          <cell r="C437" t="str">
            <v>Palarstanide</v>
          </cell>
          <cell r="E437" t="str">
            <v>https://www.mindat.org/1:1:3064:5</v>
          </cell>
        </row>
        <row r="438">
          <cell r="A438">
            <v>1715</v>
          </cell>
          <cell r="B438">
            <v>2</v>
          </cell>
          <cell r="C438" t="str">
            <v>Palladoarsenide</v>
          </cell>
          <cell r="E438" t="str">
            <v>https://www.mindat.org/1:1:3068:3</v>
          </cell>
        </row>
        <row r="439">
          <cell r="A439">
            <v>1717</v>
          </cell>
          <cell r="B439">
            <v>2</v>
          </cell>
          <cell r="C439" t="str">
            <v>Palladodymite</v>
          </cell>
          <cell r="E439" t="str">
            <v>https://www.mindat.org/1:1:7214:0</v>
          </cell>
        </row>
        <row r="440">
          <cell r="A440">
            <v>1722</v>
          </cell>
          <cell r="B440">
            <v>2</v>
          </cell>
          <cell r="C440" t="str">
            <v>Panethite</v>
          </cell>
          <cell r="E440" t="str">
            <v/>
          </cell>
        </row>
        <row r="441">
          <cell r="A441">
            <v>1723</v>
          </cell>
          <cell r="B441">
            <v>2</v>
          </cell>
          <cell r="C441" t="str">
            <v>Panunzite</v>
          </cell>
          <cell r="E441" t="str">
            <v>https://www.mindat.org/1:1:3075:1</v>
          </cell>
        </row>
        <row r="442">
          <cell r="A442">
            <v>1724</v>
          </cell>
          <cell r="B442">
            <v>2</v>
          </cell>
          <cell r="C442" t="str">
            <v>Paolovite</v>
          </cell>
          <cell r="E442" t="str">
            <v>https://www.mindat.org/1:1:3076:8</v>
          </cell>
        </row>
        <row r="443">
          <cell r="A443">
            <v>1726</v>
          </cell>
          <cell r="B443">
            <v>2</v>
          </cell>
          <cell r="C443" t="str">
            <v>Para-alumohydrocalcite</v>
          </cell>
          <cell r="E443" t="str">
            <v>https://www.mindat.org/1:1:3078:2</v>
          </cell>
        </row>
        <row r="444">
          <cell r="A444">
            <v>1733</v>
          </cell>
          <cell r="B444">
            <v>2</v>
          </cell>
          <cell r="C444" t="str">
            <v>Paracostibite</v>
          </cell>
          <cell r="E444" t="str">
            <v>https://www.mindat.org/1:1:3085:0</v>
          </cell>
        </row>
        <row r="445">
          <cell r="A445">
            <v>1740</v>
          </cell>
          <cell r="B445">
            <v>2</v>
          </cell>
          <cell r="C445" t="str">
            <v>Parajamesonite</v>
          </cell>
          <cell r="E445" t="str">
            <v/>
          </cell>
        </row>
        <row r="446">
          <cell r="A446">
            <v>1748</v>
          </cell>
          <cell r="B446">
            <v>2</v>
          </cell>
          <cell r="C446" t="str">
            <v>Paranatisite</v>
          </cell>
          <cell r="E446" t="str">
            <v>https://www.mindat.org/1:1:3101:7</v>
          </cell>
        </row>
        <row r="447">
          <cell r="A447">
            <v>1750</v>
          </cell>
          <cell r="B447">
            <v>2</v>
          </cell>
          <cell r="C447" t="str">
            <v>Paraniite-(Y)</v>
          </cell>
          <cell r="E447" t="str">
            <v>https://www.mindat.org/1:1:7215:7</v>
          </cell>
        </row>
        <row r="448">
          <cell r="A448">
            <v>1757</v>
          </cell>
          <cell r="B448">
            <v>2</v>
          </cell>
          <cell r="C448" t="str">
            <v>Paraschoepite</v>
          </cell>
          <cell r="E448" t="str">
            <v>https://www.mindat.org/1:1:3110:9</v>
          </cell>
        </row>
        <row r="449">
          <cell r="A449">
            <v>1759</v>
          </cell>
          <cell r="B449">
            <v>2</v>
          </cell>
          <cell r="C449" t="str">
            <v>Parascorodite</v>
          </cell>
          <cell r="E449" t="str">
            <v>https://www.mindat.org/1:1:7216:4</v>
          </cell>
        </row>
        <row r="450">
          <cell r="A450">
            <v>1760</v>
          </cell>
          <cell r="B450">
            <v>2</v>
          </cell>
          <cell r="C450" t="str">
            <v>Parasibirskite</v>
          </cell>
          <cell r="E450" t="str">
            <v>https://www.mindat.org/1:1:7217:1</v>
          </cell>
        </row>
        <row r="451">
          <cell r="A451">
            <v>1778</v>
          </cell>
          <cell r="B451">
            <v>2</v>
          </cell>
          <cell r="C451" t="str">
            <v>Parwanite</v>
          </cell>
          <cell r="E451" t="str">
            <v>https://www.mindat.org/1:1:31409:7</v>
          </cell>
        </row>
        <row r="452">
          <cell r="A452">
            <v>1794</v>
          </cell>
          <cell r="B452">
            <v>2</v>
          </cell>
          <cell r="C452" t="str">
            <v>Pehrmanite</v>
          </cell>
          <cell r="E452" t="str">
            <v/>
          </cell>
        </row>
        <row r="453">
          <cell r="A453">
            <v>1797</v>
          </cell>
          <cell r="B453">
            <v>2</v>
          </cell>
          <cell r="C453" t="str">
            <v>Donbassite</v>
          </cell>
          <cell r="E453" t="str">
            <v>https://www.mindat.org/1:1:6905:8</v>
          </cell>
        </row>
        <row r="454">
          <cell r="A454">
            <v>1801</v>
          </cell>
          <cell r="B454">
            <v>2</v>
          </cell>
          <cell r="C454" t="str">
            <v>Dorallcharite</v>
          </cell>
          <cell r="E454" t="str">
            <v>https://www.mindat.org/1:1:1311:2</v>
          </cell>
        </row>
        <row r="455">
          <cell r="A455">
            <v>1803</v>
          </cell>
          <cell r="B455">
            <v>2</v>
          </cell>
          <cell r="C455" t="str">
            <v>Dorrite</v>
          </cell>
          <cell r="E455" t="str">
            <v>https://www.mindat.org/1:1:1313:6</v>
          </cell>
        </row>
        <row r="456">
          <cell r="A456">
            <v>1805</v>
          </cell>
          <cell r="B456">
            <v>2</v>
          </cell>
          <cell r="C456" t="str">
            <v>Downeyite</v>
          </cell>
          <cell r="E456" t="str">
            <v>https://www.mindat.org/1:1:1315:0</v>
          </cell>
        </row>
        <row r="457">
          <cell r="A457">
            <v>1807</v>
          </cell>
          <cell r="B457">
            <v>2</v>
          </cell>
          <cell r="C457" t="str">
            <v>Dozyite</v>
          </cell>
          <cell r="E457" t="str">
            <v>https://www.mindat.org/1:1:1317:4</v>
          </cell>
        </row>
        <row r="458">
          <cell r="A458">
            <v>1824</v>
          </cell>
          <cell r="B458">
            <v>2</v>
          </cell>
          <cell r="C458" t="str">
            <v>Dusmatovite</v>
          </cell>
          <cell r="E458" t="str">
            <v>https://www.mindat.org/1:1:6906:5</v>
          </cell>
        </row>
        <row r="459">
          <cell r="A459">
            <v>1827</v>
          </cell>
          <cell r="B459">
            <v>2</v>
          </cell>
          <cell r="C459" t="str">
            <v>Dwornikite</v>
          </cell>
          <cell r="E459" t="str">
            <v>https://www.mindat.org/1:1:1336:5</v>
          </cell>
        </row>
        <row r="460">
          <cell r="A460">
            <v>1831</v>
          </cell>
          <cell r="B460">
            <v>2</v>
          </cell>
          <cell r="C460" t="str">
            <v>Dzharkenite</v>
          </cell>
          <cell r="E460" t="str">
            <v>https://www.mindat.org/1:1:6907:2</v>
          </cell>
        </row>
        <row r="461">
          <cell r="A461">
            <v>1835</v>
          </cell>
          <cell r="B461">
            <v>2</v>
          </cell>
          <cell r="C461" t="str">
            <v>Eastonite</v>
          </cell>
          <cell r="E461" t="str">
            <v>https://www.mindat.org/1:1:6909:6</v>
          </cell>
        </row>
        <row r="462">
          <cell r="A462">
            <v>1836</v>
          </cell>
          <cell r="B462">
            <v>2</v>
          </cell>
          <cell r="C462" t="str">
            <v>Ecandrewsite</v>
          </cell>
          <cell r="E462" t="str">
            <v>https://www.mindat.org/1:1:1346:4</v>
          </cell>
        </row>
        <row r="463">
          <cell r="A463">
            <v>1840</v>
          </cell>
          <cell r="B463">
            <v>2</v>
          </cell>
          <cell r="C463" t="str">
            <v>Edenharterite</v>
          </cell>
          <cell r="E463" t="str">
            <v>https://www.mindat.org/1:1:1350:1</v>
          </cell>
        </row>
        <row r="464">
          <cell r="A464">
            <v>1843</v>
          </cell>
          <cell r="B464">
            <v>2</v>
          </cell>
          <cell r="C464" t="str">
            <v>Edgarite</v>
          </cell>
          <cell r="E464" t="str">
            <v>https://www.mindat.org/1:1:6910:2</v>
          </cell>
        </row>
        <row r="465">
          <cell r="A465">
            <v>1847</v>
          </cell>
          <cell r="B465">
            <v>2</v>
          </cell>
          <cell r="C465" t="str">
            <v>Efremovite</v>
          </cell>
          <cell r="E465" t="str">
            <v>https://www.mindat.org/1:1:1355:6</v>
          </cell>
        </row>
        <row r="466">
          <cell r="A466">
            <v>1855</v>
          </cell>
          <cell r="B466">
            <v>2</v>
          </cell>
          <cell r="C466" t="str">
            <v>Ekatite</v>
          </cell>
          <cell r="E466" t="str">
            <v>https://www.mindat.org/1:1:7049:8</v>
          </cell>
        </row>
        <row r="467">
          <cell r="A467">
            <v>1860</v>
          </cell>
          <cell r="B467">
            <v>2</v>
          </cell>
          <cell r="C467" t="str">
            <v>Ellisite</v>
          </cell>
          <cell r="E467" t="str">
            <v>https://www.mindat.org/1:1:1368:6</v>
          </cell>
        </row>
        <row r="468">
          <cell r="A468">
            <v>1870</v>
          </cell>
          <cell r="B468">
            <v>2</v>
          </cell>
          <cell r="C468" t="str">
            <v>Endellite</v>
          </cell>
          <cell r="E468" t="str">
            <v/>
          </cell>
        </row>
        <row r="469">
          <cell r="A469">
            <v>1880</v>
          </cell>
          <cell r="B469">
            <v>2</v>
          </cell>
          <cell r="C469" t="str">
            <v>Ercitite</v>
          </cell>
          <cell r="E469" t="str">
            <v>https://www.mindat.org/1:1:7101:3</v>
          </cell>
        </row>
        <row r="470">
          <cell r="A470">
            <v>1889</v>
          </cell>
          <cell r="B470">
            <v>2</v>
          </cell>
          <cell r="C470" t="str">
            <v>Erlianite</v>
          </cell>
          <cell r="E470" t="str">
            <v>https://www.mindat.org/1:1:1400:3</v>
          </cell>
        </row>
        <row r="471">
          <cell r="A471">
            <v>1892</v>
          </cell>
          <cell r="B471">
            <v>2</v>
          </cell>
          <cell r="C471" t="str">
            <v>Erniggliite</v>
          </cell>
          <cell r="E471" t="str">
            <v>https://www.mindat.org/1:1:1403:4</v>
          </cell>
        </row>
        <row r="472">
          <cell r="A472">
            <v>1893</v>
          </cell>
          <cell r="B472">
            <v>2</v>
          </cell>
          <cell r="C472" t="str">
            <v>Ernigglite</v>
          </cell>
          <cell r="E472" t="str">
            <v/>
          </cell>
        </row>
        <row r="473">
          <cell r="A473">
            <v>1896</v>
          </cell>
          <cell r="B473">
            <v>2</v>
          </cell>
          <cell r="C473" t="str">
            <v>Ertixiite</v>
          </cell>
          <cell r="E473" t="str">
            <v>https://www.mindat.org/1:1:1406:5</v>
          </cell>
        </row>
        <row r="474">
          <cell r="A474">
            <v>1914</v>
          </cell>
          <cell r="B474">
            <v>2</v>
          </cell>
          <cell r="C474" t="str">
            <v>Eugsterite</v>
          </cell>
          <cell r="E474" t="str">
            <v>https://www.mindat.org/1:1:1423:2</v>
          </cell>
        </row>
        <row r="475">
          <cell r="A475">
            <v>1927</v>
          </cell>
          <cell r="B475">
            <v>2</v>
          </cell>
          <cell r="C475" t="str">
            <v>Fahleite</v>
          </cell>
          <cell r="E475" t="str">
            <v>https://www.mindat.org/1:1:1436:2</v>
          </cell>
        </row>
        <row r="476">
          <cell r="A476">
            <v>1935</v>
          </cell>
          <cell r="B476">
            <v>2</v>
          </cell>
          <cell r="C476" t="str">
            <v>Farringtonite</v>
          </cell>
          <cell r="E476" t="str">
            <v>https://www.mindat.org/1:1:1456:0</v>
          </cell>
        </row>
        <row r="477">
          <cell r="A477">
            <v>1951</v>
          </cell>
          <cell r="B477">
            <v>2</v>
          </cell>
          <cell r="C477" t="str">
            <v>Ferchromide</v>
          </cell>
          <cell r="E477" t="str">
            <v>https://www.mindat.org/1:1:1477:5</v>
          </cell>
        </row>
        <row r="478">
          <cell r="A478">
            <v>1965</v>
          </cell>
          <cell r="B478">
            <v>2</v>
          </cell>
          <cell r="C478" t="str">
            <v>Ferri-annite</v>
          </cell>
          <cell r="E478" t="str">
            <v/>
          </cell>
        </row>
        <row r="479">
          <cell r="A479">
            <v>1966</v>
          </cell>
          <cell r="B479">
            <v>2</v>
          </cell>
          <cell r="C479" t="str">
            <v>Ferri-barroisite</v>
          </cell>
          <cell r="E479" t="str">
            <v/>
          </cell>
        </row>
        <row r="480">
          <cell r="A480">
            <v>1967</v>
          </cell>
          <cell r="B480">
            <v>2</v>
          </cell>
          <cell r="C480" t="str">
            <v>Ferri-clinoholmquistite</v>
          </cell>
          <cell r="E480" t="str">
            <v/>
          </cell>
        </row>
        <row r="481">
          <cell r="A481">
            <v>1974</v>
          </cell>
          <cell r="B481">
            <v>2</v>
          </cell>
          <cell r="C481" t="str">
            <v>Ferrikatophorite</v>
          </cell>
          <cell r="E481" t="str">
            <v/>
          </cell>
        </row>
        <row r="482">
          <cell r="A482">
            <v>1978</v>
          </cell>
          <cell r="B482">
            <v>2</v>
          </cell>
          <cell r="C482" t="str">
            <v>Ferripedrdizite</v>
          </cell>
          <cell r="E482" t="str">
            <v/>
          </cell>
        </row>
        <row r="483">
          <cell r="A483">
            <v>1979</v>
          </cell>
          <cell r="B483">
            <v>2</v>
          </cell>
          <cell r="C483" t="str">
            <v>Ferripyrophyllite</v>
          </cell>
          <cell r="E483" t="str">
            <v>https://www.mindat.org/1:1:1498:0</v>
          </cell>
        </row>
        <row r="484">
          <cell r="A484">
            <v>1987</v>
          </cell>
          <cell r="B484">
            <v>2</v>
          </cell>
          <cell r="C484" t="str">
            <v>Ferro-aluminoceladonite</v>
          </cell>
          <cell r="E484" t="str">
            <v/>
          </cell>
        </row>
        <row r="485">
          <cell r="A485">
            <v>1990</v>
          </cell>
          <cell r="B485">
            <v>2</v>
          </cell>
          <cell r="C485" t="str">
            <v>Crerarite</v>
          </cell>
          <cell r="E485" t="str">
            <v>https://www.mindat.org/1:1:6891:4</v>
          </cell>
        </row>
        <row r="486">
          <cell r="A486">
            <v>1991</v>
          </cell>
          <cell r="B486">
            <v>2</v>
          </cell>
          <cell r="C486" t="str">
            <v>Ferro-eckermannite</v>
          </cell>
          <cell r="E486" t="str">
            <v/>
          </cell>
        </row>
        <row r="487">
          <cell r="A487">
            <v>1993</v>
          </cell>
          <cell r="B487">
            <v>2</v>
          </cell>
          <cell r="C487" t="str">
            <v>Ferroaluminoceladonite</v>
          </cell>
          <cell r="E487" t="str">
            <v>https://www.mindat.org/1:1:6933:1</v>
          </cell>
        </row>
        <row r="488">
          <cell r="A488">
            <v>1994</v>
          </cell>
          <cell r="B488">
            <v>2</v>
          </cell>
          <cell r="C488" t="str">
            <v>Ferrobarroisite</v>
          </cell>
          <cell r="E488" t="str">
            <v/>
          </cell>
        </row>
        <row r="489">
          <cell r="A489">
            <v>2001</v>
          </cell>
          <cell r="B489">
            <v>2</v>
          </cell>
          <cell r="C489" t="str">
            <v>Ferrohexahydrite</v>
          </cell>
          <cell r="E489" t="str">
            <v>https://www.mindat.org/1:1:1517:8</v>
          </cell>
        </row>
        <row r="490">
          <cell r="A490">
            <v>2002</v>
          </cell>
          <cell r="B490">
            <v>2</v>
          </cell>
          <cell r="C490" t="str">
            <v>Ferroholmquistite</v>
          </cell>
          <cell r="E490" t="str">
            <v/>
          </cell>
        </row>
        <row r="491">
          <cell r="A491">
            <v>2004</v>
          </cell>
          <cell r="B491">
            <v>2</v>
          </cell>
          <cell r="C491" t="str">
            <v>Ferrokaersutite</v>
          </cell>
          <cell r="E491" t="str">
            <v/>
          </cell>
        </row>
        <row r="492">
          <cell r="A492">
            <v>2006</v>
          </cell>
          <cell r="B492">
            <v>2</v>
          </cell>
          <cell r="C492" t="str">
            <v>Ferrokinoshitalite</v>
          </cell>
          <cell r="E492" t="str">
            <v>https://www.mindat.org/1:1:6938:6</v>
          </cell>
        </row>
        <row r="493">
          <cell r="A493">
            <v>2008</v>
          </cell>
          <cell r="B493">
            <v>2</v>
          </cell>
          <cell r="C493" t="str">
            <v>Ferronordite-(Ce)</v>
          </cell>
          <cell r="E493" t="str">
            <v>https://www.mindat.org/1:1:6941:6</v>
          </cell>
        </row>
        <row r="494">
          <cell r="A494">
            <v>2011</v>
          </cell>
          <cell r="B494">
            <v>2</v>
          </cell>
          <cell r="C494" t="str">
            <v>Ferrorhodsite</v>
          </cell>
          <cell r="E494" t="str">
            <v/>
          </cell>
        </row>
        <row r="495">
          <cell r="A495">
            <v>2012</v>
          </cell>
          <cell r="B495">
            <v>2</v>
          </cell>
          <cell r="C495" t="str">
            <v>Ferrorichterite</v>
          </cell>
          <cell r="E495" t="str">
            <v/>
          </cell>
        </row>
        <row r="496">
          <cell r="A496">
            <v>2018</v>
          </cell>
          <cell r="B496">
            <v>2</v>
          </cell>
          <cell r="C496" t="str">
            <v>Ferrotitanowodginite</v>
          </cell>
          <cell r="E496" t="str">
            <v>https://www.mindat.org/1:1:6944:7</v>
          </cell>
        </row>
        <row r="497">
          <cell r="A497">
            <v>2019</v>
          </cell>
          <cell r="B497">
            <v>2</v>
          </cell>
          <cell r="C497" t="str">
            <v>Ferrotschermakite</v>
          </cell>
          <cell r="E497" t="str">
            <v/>
          </cell>
        </row>
        <row r="498">
          <cell r="A498">
            <v>2020</v>
          </cell>
          <cell r="B498">
            <v>2</v>
          </cell>
          <cell r="C498" t="str">
            <v>Ferrotychite</v>
          </cell>
          <cell r="E498" t="str">
            <v>https://www.mindat.org/1:1:1533:8</v>
          </cell>
        </row>
        <row r="499">
          <cell r="A499">
            <v>2021</v>
          </cell>
          <cell r="B499">
            <v>2</v>
          </cell>
          <cell r="C499" t="str">
            <v>Ferrowinchite</v>
          </cell>
          <cell r="E499" t="str">
            <v/>
          </cell>
        </row>
        <row r="500">
          <cell r="A500">
            <v>2022</v>
          </cell>
          <cell r="B500">
            <v>2</v>
          </cell>
          <cell r="C500" t="str">
            <v>Ferrowodginite</v>
          </cell>
          <cell r="E500" t="str">
            <v>https://www.mindat.org/1:1:1535:2</v>
          </cell>
        </row>
        <row r="501">
          <cell r="A501">
            <v>2028</v>
          </cell>
          <cell r="B501">
            <v>2</v>
          </cell>
          <cell r="C501" t="str">
            <v>Feruvite</v>
          </cell>
          <cell r="E501" t="str">
            <v>https://www.mindat.org/1:1:1540:6</v>
          </cell>
        </row>
        <row r="502">
          <cell r="A502">
            <v>2032</v>
          </cell>
          <cell r="B502">
            <v>2</v>
          </cell>
          <cell r="C502" t="str">
            <v>Fianelite</v>
          </cell>
          <cell r="E502" t="str">
            <v>https://www.mindat.org/1:1:6946:1</v>
          </cell>
        </row>
        <row r="503">
          <cell r="A503">
            <v>2051</v>
          </cell>
          <cell r="B503">
            <v>2</v>
          </cell>
          <cell r="C503" t="str">
            <v>Florenskyite</v>
          </cell>
          <cell r="E503" t="str">
            <v/>
          </cell>
        </row>
        <row r="504">
          <cell r="A504">
            <v>2052</v>
          </cell>
          <cell r="B504">
            <v>2</v>
          </cell>
          <cell r="C504" t="str">
            <v>Florensovite</v>
          </cell>
          <cell r="E504" t="str">
            <v>https://www.mindat.org/1:1:1563:5</v>
          </cell>
        </row>
        <row r="505">
          <cell r="A505">
            <v>2059</v>
          </cell>
          <cell r="B505">
            <v>2</v>
          </cell>
          <cell r="C505" t="str">
            <v>Fluor-cannilloite</v>
          </cell>
          <cell r="E505" t="str">
            <v/>
          </cell>
        </row>
        <row r="506">
          <cell r="A506">
            <v>2060</v>
          </cell>
          <cell r="B506">
            <v>2</v>
          </cell>
          <cell r="C506" t="str">
            <v>Fluor-ferro-leakeite</v>
          </cell>
          <cell r="E506" t="str">
            <v/>
          </cell>
        </row>
        <row r="507">
          <cell r="A507">
            <v>2061</v>
          </cell>
          <cell r="B507">
            <v>2</v>
          </cell>
          <cell r="C507" t="str">
            <v>Fluorannite</v>
          </cell>
          <cell r="E507" t="str">
            <v>https://www.mindat.org/1:1:10333:0</v>
          </cell>
        </row>
        <row r="508">
          <cell r="A508">
            <v>2064</v>
          </cell>
          <cell r="B508">
            <v>2</v>
          </cell>
          <cell r="C508" t="str">
            <v>Fluorbritholite-(Ce)</v>
          </cell>
          <cell r="E508" t="str">
            <v>https://www.mindat.org/1:1:1574:1</v>
          </cell>
        </row>
        <row r="509">
          <cell r="A509">
            <v>2065</v>
          </cell>
          <cell r="B509">
            <v>2</v>
          </cell>
          <cell r="C509" t="str">
            <v>Fluorcaphite</v>
          </cell>
          <cell r="E509" t="str">
            <v>https://www.mindat.org/1:1:6948:5</v>
          </cell>
        </row>
        <row r="510">
          <cell r="A510">
            <v>2068</v>
          </cell>
          <cell r="B510">
            <v>2</v>
          </cell>
          <cell r="C510" t="str">
            <v>Fluoro-edenite</v>
          </cell>
          <cell r="E510" t="str">
            <v>https://www.mindat.org/1:1:6950:8</v>
          </cell>
        </row>
        <row r="511">
          <cell r="A511">
            <v>2070</v>
          </cell>
          <cell r="B511">
            <v>2</v>
          </cell>
          <cell r="C511" t="str">
            <v>Fluoro-magnesio-arfvedsonite</v>
          </cell>
          <cell r="E511" t="str">
            <v/>
          </cell>
        </row>
        <row r="512">
          <cell r="A512">
            <v>2071</v>
          </cell>
          <cell r="B512">
            <v>2</v>
          </cell>
          <cell r="C512" t="str">
            <v>Fluorocannilloite</v>
          </cell>
          <cell r="E512" t="str">
            <v/>
          </cell>
        </row>
        <row r="513">
          <cell r="A513">
            <v>2072</v>
          </cell>
          <cell r="B513">
            <v>2</v>
          </cell>
          <cell r="C513" t="str">
            <v>Fluororichterite</v>
          </cell>
          <cell r="E513" t="str">
            <v/>
          </cell>
        </row>
        <row r="514">
          <cell r="A514">
            <v>2073</v>
          </cell>
          <cell r="B514">
            <v>2</v>
          </cell>
          <cell r="C514" t="str">
            <v>Fluorrichterite</v>
          </cell>
          <cell r="E514" t="str">
            <v/>
          </cell>
        </row>
        <row r="515">
          <cell r="A515">
            <v>2074</v>
          </cell>
          <cell r="B515">
            <v>2</v>
          </cell>
          <cell r="C515" t="str">
            <v>Fluorthalenite-(Y)</v>
          </cell>
          <cell r="E515" t="str">
            <v/>
          </cell>
        </row>
        <row r="516">
          <cell r="A516">
            <v>2078</v>
          </cell>
          <cell r="B516">
            <v>2</v>
          </cell>
          <cell r="C516" t="str">
            <v>Mgriite</v>
          </cell>
          <cell r="E516" t="str">
            <v>https://www.mindat.org/1:1:2701:0</v>
          </cell>
        </row>
        <row r="517">
          <cell r="A517">
            <v>2081</v>
          </cell>
          <cell r="B517">
            <v>2</v>
          </cell>
          <cell r="C517" t="str">
            <v>Micheelsenite</v>
          </cell>
          <cell r="E517" t="str">
            <v>https://www.mindat.org/1:1:10390:5</v>
          </cell>
        </row>
        <row r="518">
          <cell r="A518">
            <v>2088</v>
          </cell>
          <cell r="B518">
            <v>2</v>
          </cell>
          <cell r="C518" t="str">
            <v>Mikasaite</v>
          </cell>
          <cell r="E518" t="str">
            <v>https://www.mindat.org/1:1:2709:6</v>
          </cell>
        </row>
        <row r="519">
          <cell r="A519">
            <v>2094</v>
          </cell>
          <cell r="B519">
            <v>2</v>
          </cell>
          <cell r="C519" t="str">
            <v>Minamiite</v>
          </cell>
          <cell r="E519" t="str">
            <v/>
          </cell>
        </row>
        <row r="520">
          <cell r="A520">
            <v>2095</v>
          </cell>
          <cell r="B520">
            <v>2</v>
          </cell>
          <cell r="C520" t="str">
            <v>Minasgeraisite-(Y)</v>
          </cell>
          <cell r="E520" t="str">
            <v>https://www.mindat.org/1:1:2716:4</v>
          </cell>
        </row>
        <row r="521">
          <cell r="A521">
            <v>2097</v>
          </cell>
          <cell r="B521">
            <v>2</v>
          </cell>
          <cell r="C521" t="str">
            <v>Mineevite-(Y)</v>
          </cell>
          <cell r="E521" t="str">
            <v>https://www.mindat.org/1:1:2718:8</v>
          </cell>
        </row>
        <row r="522">
          <cell r="A522">
            <v>2099</v>
          </cell>
          <cell r="B522">
            <v>2</v>
          </cell>
          <cell r="C522" t="str">
            <v>Mineral-A</v>
          </cell>
          <cell r="E522" t="str">
            <v/>
          </cell>
        </row>
        <row r="523">
          <cell r="A523">
            <v>2109</v>
          </cell>
          <cell r="B523">
            <v>2</v>
          </cell>
          <cell r="C523" t="str">
            <v>Mitryaevaite</v>
          </cell>
          <cell r="E523" t="str">
            <v>https://www.mindat.org/1:1:7179:2</v>
          </cell>
        </row>
        <row r="524">
          <cell r="A524">
            <v>2118</v>
          </cell>
          <cell r="B524">
            <v>2</v>
          </cell>
          <cell r="C524" t="str">
            <v>Moldavite</v>
          </cell>
          <cell r="E524" t="str">
            <v/>
          </cell>
        </row>
        <row r="525">
          <cell r="A525">
            <v>2157</v>
          </cell>
          <cell r="B525">
            <v>2</v>
          </cell>
          <cell r="C525" t="str">
            <v>Moreauite</v>
          </cell>
          <cell r="E525" t="str">
            <v>https://www.mindat.org/1:1:2780:5</v>
          </cell>
        </row>
        <row r="526">
          <cell r="A526">
            <v>2160</v>
          </cell>
          <cell r="B526">
            <v>2</v>
          </cell>
          <cell r="C526" t="str">
            <v>Morimotoite</v>
          </cell>
          <cell r="E526" t="str">
            <v>https://www.mindat.org/1:1:2784:3</v>
          </cell>
        </row>
        <row r="527">
          <cell r="A527">
            <v>2162</v>
          </cell>
          <cell r="B527">
            <v>2</v>
          </cell>
          <cell r="C527" t="str">
            <v>Morozeviczite</v>
          </cell>
          <cell r="E527" t="str">
            <v>https://www.mindat.org/1:1:7183:9</v>
          </cell>
        </row>
        <row r="528">
          <cell r="A528">
            <v>2164</v>
          </cell>
          <cell r="B528">
            <v>2</v>
          </cell>
          <cell r="C528" t="str">
            <v>Moschelite</v>
          </cell>
          <cell r="E528" t="str">
            <v>https://www.mindat.org/1:1:2788:1</v>
          </cell>
        </row>
        <row r="529">
          <cell r="A529">
            <v>2173</v>
          </cell>
          <cell r="B529">
            <v>2</v>
          </cell>
          <cell r="C529" t="str">
            <v>Moydite-(Y)</v>
          </cell>
          <cell r="E529" t="str">
            <v>https://www.mindat.org/1:1:2798:0</v>
          </cell>
        </row>
        <row r="530">
          <cell r="A530">
            <v>2175</v>
          </cell>
          <cell r="B530">
            <v>2</v>
          </cell>
          <cell r="C530" t="str">
            <v>Mozgovaite</v>
          </cell>
          <cell r="E530" t="str">
            <v>https://www.mindat.org/1:1:7066:5</v>
          </cell>
        </row>
        <row r="531">
          <cell r="A531">
            <v>2177</v>
          </cell>
          <cell r="B531">
            <v>2</v>
          </cell>
          <cell r="C531" t="str">
            <v>Mrazekite</v>
          </cell>
          <cell r="E531" t="str">
            <v/>
          </cell>
        </row>
        <row r="532">
          <cell r="A532">
            <v>2183</v>
          </cell>
          <cell r="B532">
            <v>2</v>
          </cell>
          <cell r="C532" t="str">
            <v>Mummeite</v>
          </cell>
          <cell r="E532" t="str">
            <v>https://www.mindat.org/1:1:2807:9</v>
          </cell>
        </row>
        <row r="533">
          <cell r="A533">
            <v>2185</v>
          </cell>
          <cell r="B533">
            <v>2</v>
          </cell>
          <cell r="C533" t="str">
            <v>Mundrabillaite</v>
          </cell>
          <cell r="E533" t="str">
            <v>https://www.mindat.org/1:1:2809:3</v>
          </cell>
        </row>
        <row r="534">
          <cell r="A534">
            <v>2190</v>
          </cell>
          <cell r="B534">
            <v>2</v>
          </cell>
          <cell r="C534" t="str">
            <v>Murunskite</v>
          </cell>
          <cell r="E534" t="str">
            <v>https://www.mindat.org/1:1:2814:7</v>
          </cell>
        </row>
        <row r="535">
          <cell r="A535">
            <v>2196</v>
          </cell>
          <cell r="B535">
            <v>2</v>
          </cell>
          <cell r="C535" t="str">
            <v>Mutinaite</v>
          </cell>
          <cell r="E535" t="str">
            <v>https://www.mindat.org/1:1:7184:6</v>
          </cell>
        </row>
        <row r="536">
          <cell r="A536">
            <v>2199</v>
          </cell>
          <cell r="B536">
            <v>2</v>
          </cell>
          <cell r="C536" t="str">
            <v>Na-komarovite</v>
          </cell>
          <cell r="E536" t="str">
            <v/>
          </cell>
        </row>
        <row r="537">
          <cell r="A537">
            <v>2202</v>
          </cell>
          <cell r="B537">
            <v>2</v>
          </cell>
          <cell r="C537" t="str">
            <v>Nabiasite</v>
          </cell>
          <cell r="E537" t="str">
            <v>https://www.mindat.org/1:1:7185:3</v>
          </cell>
        </row>
        <row r="538">
          <cell r="A538">
            <v>2203</v>
          </cell>
          <cell r="B538">
            <v>2</v>
          </cell>
          <cell r="C538" t="str">
            <v>Nabokoite</v>
          </cell>
          <cell r="E538" t="str">
            <v>https://www.mindat.org/1:1:2823:9</v>
          </cell>
        </row>
        <row r="539">
          <cell r="A539">
            <v>2215</v>
          </cell>
          <cell r="B539">
            <v>2</v>
          </cell>
          <cell r="C539" t="str">
            <v>Nalipoite</v>
          </cell>
          <cell r="E539" t="str">
            <v>https://www.mindat.org/1:1:2833:8</v>
          </cell>
        </row>
        <row r="540">
          <cell r="A540">
            <v>2216</v>
          </cell>
          <cell r="B540">
            <v>2</v>
          </cell>
          <cell r="C540" t="str">
            <v>Namansilite</v>
          </cell>
          <cell r="E540" t="str">
            <v>https://www.mindat.org/1:1:2834:5</v>
          </cell>
        </row>
        <row r="541">
          <cell r="A541">
            <v>2220</v>
          </cell>
          <cell r="B541">
            <v>2</v>
          </cell>
          <cell r="C541" t="str">
            <v>Nanlingite</v>
          </cell>
          <cell r="E541" t="str">
            <v>https://www.mindat.org/1:1:2838:3</v>
          </cell>
        </row>
        <row r="542">
          <cell r="A542">
            <v>2226</v>
          </cell>
          <cell r="B542">
            <v>2</v>
          </cell>
          <cell r="C542" t="str">
            <v>Nasledovite</v>
          </cell>
          <cell r="E542" t="str">
            <v>https://www.mindat.org/1:1:2843:7</v>
          </cell>
        </row>
        <row r="543">
          <cell r="A543">
            <v>2228</v>
          </cell>
          <cell r="B543">
            <v>2</v>
          </cell>
          <cell r="C543" t="str">
            <v>Nastrophite</v>
          </cell>
          <cell r="E543" t="str">
            <v>https://www.mindat.org/1:1:2845:1</v>
          </cell>
        </row>
        <row r="544">
          <cell r="A544">
            <v>2229</v>
          </cell>
          <cell r="B544">
            <v>2</v>
          </cell>
          <cell r="C544" t="str">
            <v>Natalyite</v>
          </cell>
          <cell r="E544" t="str">
            <v>https://www.mindat.org/1:1:2846:8</v>
          </cell>
        </row>
        <row r="545">
          <cell r="A545">
            <v>2232</v>
          </cell>
          <cell r="B545">
            <v>2</v>
          </cell>
          <cell r="C545" t="str">
            <v>Natrite</v>
          </cell>
          <cell r="E545" t="str">
            <v>https://www.mindat.org/1:1:2849:9</v>
          </cell>
        </row>
        <row r="546">
          <cell r="A546">
            <v>2235</v>
          </cell>
          <cell r="B546">
            <v>2</v>
          </cell>
          <cell r="C546" t="str">
            <v>Natrobistantite</v>
          </cell>
          <cell r="E546" t="str">
            <v/>
          </cell>
        </row>
        <row r="547">
          <cell r="A547">
            <v>2238</v>
          </cell>
          <cell r="B547">
            <v>2</v>
          </cell>
          <cell r="C547" t="str">
            <v>Natrofairchildite</v>
          </cell>
          <cell r="E547" t="str">
            <v/>
          </cell>
        </row>
        <row r="548">
          <cell r="A548">
            <v>2244</v>
          </cell>
          <cell r="B548">
            <v>2</v>
          </cell>
          <cell r="C548" t="str">
            <v>Natroniobite</v>
          </cell>
          <cell r="E548" t="str">
            <v>https://www.mindat.org/1:1:2860:4</v>
          </cell>
        </row>
        <row r="549">
          <cell r="A549">
            <v>2249</v>
          </cell>
          <cell r="B549">
            <v>2</v>
          </cell>
          <cell r="C549" t="str">
            <v>Natroxalate</v>
          </cell>
          <cell r="E549" t="str">
            <v>https://www.mindat.org/1:1:7187:7</v>
          </cell>
        </row>
        <row r="550">
          <cell r="A550">
            <v>2255</v>
          </cell>
          <cell r="B550">
            <v>2</v>
          </cell>
          <cell r="C550" t="str">
            <v>Nefedovite</v>
          </cell>
          <cell r="E550" t="str">
            <v>https://www.mindat.org/1:1:2870:3</v>
          </cell>
        </row>
        <row r="551">
          <cell r="A551">
            <v>2258</v>
          </cell>
          <cell r="B551">
            <v>2</v>
          </cell>
          <cell r="C551" t="str">
            <v>Nekrasovite</v>
          </cell>
          <cell r="E551" t="str">
            <v>https://www.mindat.org/1:1:2873:4</v>
          </cell>
        </row>
        <row r="552">
          <cell r="A552">
            <v>2265</v>
          </cell>
          <cell r="B552">
            <v>2</v>
          </cell>
          <cell r="C552" t="str">
            <v>Nepskoeite</v>
          </cell>
          <cell r="E552" t="str">
            <v>https://www.mindat.org/1:1:7189:1</v>
          </cell>
        </row>
        <row r="553">
          <cell r="A553">
            <v>2269</v>
          </cell>
          <cell r="B553">
            <v>2</v>
          </cell>
          <cell r="C553" t="str">
            <v>Nevskite</v>
          </cell>
          <cell r="E553" t="str">
            <v>https://www.mindat.org/1:1:2886:4</v>
          </cell>
        </row>
        <row r="554">
          <cell r="A554">
            <v>2272</v>
          </cell>
          <cell r="B554">
            <v>2</v>
          </cell>
          <cell r="C554" t="str">
            <v>Nezilovite</v>
          </cell>
          <cell r="E554" t="str">
            <v/>
          </cell>
        </row>
        <row r="555">
          <cell r="A555">
            <v>2274</v>
          </cell>
          <cell r="B555">
            <v>2</v>
          </cell>
          <cell r="C555" t="str">
            <v>Nichromite</v>
          </cell>
          <cell r="E555" t="str">
            <v/>
          </cell>
        </row>
        <row r="556">
          <cell r="A556">
            <v>2276</v>
          </cell>
          <cell r="B556">
            <v>2</v>
          </cell>
          <cell r="C556" t="str">
            <v>Nickel-boussingaultite</v>
          </cell>
          <cell r="E556" t="str">
            <v/>
          </cell>
        </row>
        <row r="557">
          <cell r="A557">
            <v>2277</v>
          </cell>
          <cell r="B557">
            <v>2</v>
          </cell>
          <cell r="C557" t="str">
            <v>Nickel-boussingualtite</v>
          </cell>
          <cell r="E557" t="str">
            <v/>
          </cell>
        </row>
        <row r="558">
          <cell r="A558">
            <v>2278</v>
          </cell>
          <cell r="B558">
            <v>2</v>
          </cell>
          <cell r="C558" t="str">
            <v>Nickel-hexahydrite</v>
          </cell>
          <cell r="E558" t="str">
            <v/>
          </cell>
        </row>
        <row r="559">
          <cell r="A559">
            <v>2279</v>
          </cell>
          <cell r="B559">
            <v>2</v>
          </cell>
          <cell r="C559" t="str">
            <v>Nickel-iron(generalterm)</v>
          </cell>
          <cell r="E559" t="str">
            <v/>
          </cell>
        </row>
        <row r="560">
          <cell r="A560">
            <v>2281</v>
          </cell>
          <cell r="B560">
            <v>2</v>
          </cell>
          <cell r="C560" t="str">
            <v>Nickel-zippeite</v>
          </cell>
          <cell r="E560" t="str">
            <v/>
          </cell>
        </row>
        <row r="561">
          <cell r="A561">
            <v>2288</v>
          </cell>
          <cell r="B561">
            <v>2</v>
          </cell>
          <cell r="C561" t="str">
            <v>Nickelphosphide</v>
          </cell>
          <cell r="E561" t="str">
            <v>https://www.mindat.org/1:1:7191:4</v>
          </cell>
        </row>
        <row r="562">
          <cell r="A562">
            <v>2289</v>
          </cell>
          <cell r="B562">
            <v>2</v>
          </cell>
          <cell r="C562" t="str">
            <v>Nickenichite</v>
          </cell>
          <cell r="E562" t="str">
            <v>https://www.mindat.org/1:1:2900:7</v>
          </cell>
        </row>
        <row r="563">
          <cell r="A563">
            <v>2298</v>
          </cell>
          <cell r="B563">
            <v>2</v>
          </cell>
          <cell r="C563" t="str">
            <v>Niningerite</v>
          </cell>
          <cell r="E563" t="str">
            <v/>
          </cell>
        </row>
        <row r="564">
          <cell r="A564">
            <v>2299</v>
          </cell>
          <cell r="B564">
            <v>2</v>
          </cell>
          <cell r="C564" t="str">
            <v>Niobo-aeschynite</v>
          </cell>
          <cell r="E564" t="str">
            <v/>
          </cell>
        </row>
        <row r="565">
          <cell r="A565">
            <v>2300</v>
          </cell>
          <cell r="B565">
            <v>2</v>
          </cell>
          <cell r="C565" t="str">
            <v>Niobo-aeschynite-(Ce)</v>
          </cell>
          <cell r="E565" t="str">
            <v/>
          </cell>
        </row>
        <row r="566">
          <cell r="A566">
            <v>2301</v>
          </cell>
          <cell r="B566">
            <v>2</v>
          </cell>
          <cell r="C566" t="str">
            <v>Niobo-aeschynite-(Nd)</v>
          </cell>
          <cell r="E566" t="str">
            <v/>
          </cell>
        </row>
        <row r="567">
          <cell r="A567">
            <v>2302</v>
          </cell>
          <cell r="B567">
            <v>2</v>
          </cell>
          <cell r="C567" t="str">
            <v>Niobocarbide</v>
          </cell>
          <cell r="E567" t="str">
            <v>https://www.mindat.org/1:1:7196:9</v>
          </cell>
        </row>
        <row r="568">
          <cell r="A568">
            <v>2306</v>
          </cell>
          <cell r="B568">
            <v>2</v>
          </cell>
          <cell r="C568" t="str">
            <v>Nisbite</v>
          </cell>
          <cell r="E568" t="str">
            <v>https://www.mindat.org/1:1:2914:4</v>
          </cell>
        </row>
        <row r="569">
          <cell r="A569">
            <v>2317</v>
          </cell>
          <cell r="B569">
            <v>2</v>
          </cell>
          <cell r="C569" t="str">
            <v>Nordenskioeldine</v>
          </cell>
          <cell r="E569" t="str">
            <v/>
          </cell>
        </row>
        <row r="570">
          <cell r="A570">
            <v>2332</v>
          </cell>
          <cell r="B570">
            <v>2</v>
          </cell>
          <cell r="C570" t="str">
            <v>Noalbensonite</v>
          </cell>
          <cell r="E570" t="str">
            <v/>
          </cell>
        </row>
        <row r="571">
          <cell r="A571">
            <v>2341</v>
          </cell>
          <cell r="B571">
            <v>2</v>
          </cell>
          <cell r="C571" t="str">
            <v>Obertiite</v>
          </cell>
          <cell r="E571" t="str">
            <v/>
          </cell>
        </row>
        <row r="572">
          <cell r="A572">
            <v>2346</v>
          </cell>
          <cell r="B572">
            <v>2</v>
          </cell>
          <cell r="C572" t="str">
            <v>Odintsovite</v>
          </cell>
          <cell r="E572" t="str">
            <v>https://www.mindat.org/1:1:7200:3</v>
          </cell>
        </row>
        <row r="573">
          <cell r="A573">
            <v>2347</v>
          </cell>
          <cell r="B573">
            <v>2</v>
          </cell>
          <cell r="C573" t="str">
            <v>Oenite</v>
          </cell>
          <cell r="E573" t="str">
            <v>https://www.mindat.org/1:1:7201:0</v>
          </cell>
        </row>
        <row r="574">
          <cell r="A574">
            <v>2352</v>
          </cell>
          <cell r="B574">
            <v>2</v>
          </cell>
          <cell r="C574" t="str">
            <v>Okanoganite-(Y)</v>
          </cell>
          <cell r="E574" t="str">
            <v>https://www.mindat.org/1:1:2966:3</v>
          </cell>
        </row>
        <row r="575">
          <cell r="A575">
            <v>2353</v>
          </cell>
          <cell r="B575">
            <v>2</v>
          </cell>
          <cell r="C575" t="str">
            <v>Okayamalite</v>
          </cell>
          <cell r="E575" t="str">
            <v>https://www.mindat.org/1:1:7202:7</v>
          </cell>
        </row>
        <row r="576">
          <cell r="A576">
            <v>2356</v>
          </cell>
          <cell r="B576">
            <v>2</v>
          </cell>
          <cell r="C576" t="str">
            <v>Oldhamite</v>
          </cell>
          <cell r="E576" t="str">
            <v>https://www.mindat.org/1:1:2970:0</v>
          </cell>
        </row>
        <row r="577">
          <cell r="A577">
            <v>2363</v>
          </cell>
          <cell r="B577">
            <v>2</v>
          </cell>
          <cell r="C577" t="str">
            <v>Olkhonskite</v>
          </cell>
          <cell r="E577" t="str">
            <v>https://www.mindat.org/1:1:2985:4</v>
          </cell>
        </row>
        <row r="578">
          <cell r="A578">
            <v>2371</v>
          </cell>
          <cell r="B578">
            <v>2</v>
          </cell>
          <cell r="C578" t="str">
            <v>Lithiotantite</v>
          </cell>
          <cell r="E578" t="str">
            <v>https://www.mindat.org/1:1:2390:6</v>
          </cell>
        </row>
        <row r="579">
          <cell r="A579">
            <v>2372</v>
          </cell>
          <cell r="B579">
            <v>2</v>
          </cell>
          <cell r="C579" t="str">
            <v>Lithiowodginite</v>
          </cell>
          <cell r="E579" t="str">
            <v>https://www.mindat.org/1:1:2392:0</v>
          </cell>
        </row>
        <row r="580">
          <cell r="A580">
            <v>2373</v>
          </cell>
          <cell r="B580">
            <v>2</v>
          </cell>
          <cell r="C580" t="str">
            <v>Lithosite</v>
          </cell>
          <cell r="E580" t="str">
            <v>https://www.mindat.org/1:1:2421:7</v>
          </cell>
        </row>
        <row r="581">
          <cell r="A581">
            <v>2375</v>
          </cell>
          <cell r="B581">
            <v>2</v>
          </cell>
          <cell r="C581" t="str">
            <v>Litvinskite</v>
          </cell>
          <cell r="E581" t="str">
            <v>https://www.mindat.org/1:1:11437:2</v>
          </cell>
        </row>
        <row r="582">
          <cell r="A582">
            <v>2383</v>
          </cell>
          <cell r="B582">
            <v>2</v>
          </cell>
          <cell r="C582" t="str">
            <v>Lonecreekite</v>
          </cell>
          <cell r="E582" t="str">
            <v>https://www.mindat.org/1:1:2430:9</v>
          </cell>
        </row>
        <row r="583">
          <cell r="A583">
            <v>2398</v>
          </cell>
          <cell r="B583">
            <v>2</v>
          </cell>
          <cell r="C583" t="str">
            <v>Luanheite</v>
          </cell>
          <cell r="E583" t="str">
            <v>https://www.mindat.org/1:1:2447:7</v>
          </cell>
        </row>
        <row r="584">
          <cell r="A584">
            <v>2399</v>
          </cell>
          <cell r="B584">
            <v>2</v>
          </cell>
          <cell r="C584" t="str">
            <v>Luberoite</v>
          </cell>
          <cell r="E584" t="str">
            <v>https://www.mindat.org/1:1:2448:4</v>
          </cell>
        </row>
        <row r="585">
          <cell r="A585">
            <v>2408</v>
          </cell>
          <cell r="B585">
            <v>2</v>
          </cell>
          <cell r="C585" t="str">
            <v>Lukechangite-(Ce)</v>
          </cell>
          <cell r="E585" t="str">
            <v>https://www.mindat.org/1:1:7159:4</v>
          </cell>
        </row>
        <row r="586">
          <cell r="A586">
            <v>2410</v>
          </cell>
          <cell r="B586">
            <v>2</v>
          </cell>
          <cell r="C586" t="str">
            <v>Lun'okite</v>
          </cell>
          <cell r="E586" t="str">
            <v>https://www.mindat.org/1:1:2457:6</v>
          </cell>
        </row>
        <row r="587">
          <cell r="A587">
            <v>2411</v>
          </cell>
          <cell r="B587">
            <v>2</v>
          </cell>
          <cell r="C587" t="str">
            <v>Lunijianlaite</v>
          </cell>
          <cell r="E587" t="str">
            <v>https://www.mindat.org/1:1:2459:0</v>
          </cell>
        </row>
        <row r="588">
          <cell r="A588">
            <v>2412</v>
          </cell>
          <cell r="B588">
            <v>2</v>
          </cell>
          <cell r="C588" t="str">
            <v>Lunsokite</v>
          </cell>
          <cell r="E588" t="str">
            <v/>
          </cell>
        </row>
        <row r="589">
          <cell r="A589">
            <v>2419</v>
          </cell>
          <cell r="B589">
            <v>2</v>
          </cell>
          <cell r="C589" t="str">
            <v>Macaulayite</v>
          </cell>
          <cell r="E589" t="str">
            <v>https://www.mindat.org/1:1:2505:4</v>
          </cell>
        </row>
        <row r="590">
          <cell r="A590">
            <v>2430</v>
          </cell>
          <cell r="B590">
            <v>2</v>
          </cell>
          <cell r="C590" t="str">
            <v>Magbasite</v>
          </cell>
          <cell r="E590" t="str">
            <v>https://www.mindat.org/1:1:2531:3</v>
          </cell>
        </row>
        <row r="591">
          <cell r="A591">
            <v>2431</v>
          </cell>
          <cell r="B591">
            <v>2</v>
          </cell>
          <cell r="C591" t="str">
            <v>Maghagendorfite</v>
          </cell>
          <cell r="E591" t="str">
            <v>https://www.mindat.org/1:1:2532:0</v>
          </cell>
        </row>
        <row r="592">
          <cell r="A592">
            <v>2433</v>
          </cell>
          <cell r="B592">
            <v>2</v>
          </cell>
          <cell r="C592" t="str">
            <v>Magnesio-anthophyllite</v>
          </cell>
          <cell r="E592" t="str">
            <v/>
          </cell>
        </row>
        <row r="593">
          <cell r="A593">
            <v>2437</v>
          </cell>
          <cell r="B593">
            <v>2</v>
          </cell>
          <cell r="C593" t="str">
            <v>Magnesiocarpholite</v>
          </cell>
          <cell r="E593" t="str">
            <v>https://www.mindat.org/1:1:2500:9</v>
          </cell>
        </row>
        <row r="594">
          <cell r="A594">
            <v>2440</v>
          </cell>
          <cell r="B594">
            <v>2</v>
          </cell>
          <cell r="C594" t="str">
            <v>Magnesioclinoholmquistite</v>
          </cell>
          <cell r="E594" t="str">
            <v/>
          </cell>
        </row>
        <row r="595">
          <cell r="A595">
            <v>2442</v>
          </cell>
          <cell r="B595">
            <v>2</v>
          </cell>
          <cell r="C595" t="str">
            <v>Magnesiocoulsonite</v>
          </cell>
          <cell r="E595" t="str">
            <v>https://www.mindat.org/1:1:2476:7</v>
          </cell>
        </row>
        <row r="596">
          <cell r="A596">
            <v>2443</v>
          </cell>
          <cell r="B596">
            <v>2</v>
          </cell>
          <cell r="C596" t="str">
            <v>Magnesiocummingtonite</v>
          </cell>
          <cell r="E596" t="str">
            <v/>
          </cell>
        </row>
        <row r="597">
          <cell r="A597">
            <v>2444</v>
          </cell>
          <cell r="B597">
            <v>2</v>
          </cell>
          <cell r="C597" t="str">
            <v>Magnesiodumortierite</v>
          </cell>
          <cell r="E597" t="str">
            <v>https://www.mindat.org/1:1:2473:6</v>
          </cell>
        </row>
        <row r="598">
          <cell r="A598">
            <v>2446</v>
          </cell>
          <cell r="B598">
            <v>2</v>
          </cell>
          <cell r="C598" t="str">
            <v>Deloryite</v>
          </cell>
          <cell r="E598" t="str">
            <v>https://www.mindat.org/1:1:1254:2</v>
          </cell>
        </row>
        <row r="599">
          <cell r="A599">
            <v>2447</v>
          </cell>
          <cell r="B599">
            <v>2</v>
          </cell>
          <cell r="C599" t="str">
            <v>Magnesiofoitite</v>
          </cell>
          <cell r="E599" t="str">
            <v/>
          </cell>
        </row>
        <row r="600">
          <cell r="A600">
            <v>2450</v>
          </cell>
          <cell r="B600">
            <v>2</v>
          </cell>
          <cell r="C600" t="str">
            <v>Magnesiohulsite</v>
          </cell>
          <cell r="E600" t="str">
            <v>https://www.mindat.org/1:1:2498:9</v>
          </cell>
        </row>
        <row r="601">
          <cell r="A601">
            <v>2451</v>
          </cell>
          <cell r="B601">
            <v>2</v>
          </cell>
          <cell r="C601" t="str">
            <v>Magnesiokatophorite</v>
          </cell>
          <cell r="E601" t="str">
            <v/>
          </cell>
        </row>
        <row r="602">
          <cell r="A602">
            <v>2453</v>
          </cell>
          <cell r="B602">
            <v>2</v>
          </cell>
          <cell r="C602" t="str">
            <v>Magnesiosadanagaite</v>
          </cell>
          <cell r="E602" t="str">
            <v/>
          </cell>
        </row>
        <row r="603">
          <cell r="A603">
            <v>2454</v>
          </cell>
          <cell r="B603">
            <v>2</v>
          </cell>
          <cell r="C603" t="str">
            <v>Magnesiotaramite</v>
          </cell>
          <cell r="E603" t="str">
            <v/>
          </cell>
        </row>
        <row r="604">
          <cell r="A604">
            <v>2456</v>
          </cell>
          <cell r="B604">
            <v>2</v>
          </cell>
          <cell r="C604" t="str">
            <v>Magnesiumastrophyllite</v>
          </cell>
          <cell r="E604" t="str">
            <v/>
          </cell>
        </row>
        <row r="605">
          <cell r="A605">
            <v>2458</v>
          </cell>
          <cell r="B605">
            <v>2</v>
          </cell>
          <cell r="C605" t="str">
            <v>Magnesium-zippeite</v>
          </cell>
          <cell r="E605" t="str">
            <v/>
          </cell>
        </row>
        <row r="606">
          <cell r="A606">
            <v>2461</v>
          </cell>
          <cell r="B606">
            <v>2</v>
          </cell>
          <cell r="C606" t="str">
            <v>Magniotriplite</v>
          </cell>
          <cell r="E606" t="str">
            <v/>
          </cell>
        </row>
        <row r="607">
          <cell r="A607">
            <v>2462</v>
          </cell>
          <cell r="B607">
            <v>2</v>
          </cell>
          <cell r="C607" t="str">
            <v>Magnocolumbite</v>
          </cell>
          <cell r="E607" t="str">
            <v/>
          </cell>
        </row>
        <row r="608">
          <cell r="A608">
            <v>2465</v>
          </cell>
          <cell r="B608">
            <v>2</v>
          </cell>
          <cell r="C608" t="str">
            <v>Mahlmoodite</v>
          </cell>
          <cell r="E608" t="str">
            <v/>
          </cell>
        </row>
        <row r="609">
          <cell r="A609">
            <v>2466</v>
          </cell>
          <cell r="B609">
            <v>2</v>
          </cell>
          <cell r="C609" t="str">
            <v>Mahnertite</v>
          </cell>
          <cell r="E609" t="str">
            <v>https://www.mindat.org/1:1:7165:5</v>
          </cell>
        </row>
        <row r="610">
          <cell r="A610">
            <v>2467</v>
          </cell>
          <cell r="B610">
            <v>2</v>
          </cell>
          <cell r="C610" t="str">
            <v>Majakite</v>
          </cell>
          <cell r="E610" t="str">
            <v>https://www.mindat.org/1:1:2545:0</v>
          </cell>
        </row>
        <row r="611">
          <cell r="A611">
            <v>2471</v>
          </cell>
          <cell r="B611">
            <v>2</v>
          </cell>
          <cell r="C611" t="str">
            <v>Makovickyite</v>
          </cell>
          <cell r="E611" t="str">
            <v>https://www.mindat.org/1:1:2549:8</v>
          </cell>
        </row>
        <row r="612">
          <cell r="A612">
            <v>2473</v>
          </cell>
          <cell r="B612">
            <v>2</v>
          </cell>
          <cell r="C612" t="str">
            <v>Malanite</v>
          </cell>
          <cell r="E612" t="str">
            <v>https://www.mindat.org/1:1:2551:1</v>
          </cell>
        </row>
        <row r="613">
          <cell r="A613">
            <v>2476</v>
          </cell>
          <cell r="B613">
            <v>2</v>
          </cell>
          <cell r="C613" t="str">
            <v>Malinkoite</v>
          </cell>
          <cell r="E613" t="str">
            <v>https://www.mindat.org/1:1:10317:2</v>
          </cell>
        </row>
        <row r="614">
          <cell r="A614">
            <v>2480</v>
          </cell>
          <cell r="B614">
            <v>2</v>
          </cell>
          <cell r="C614" t="str">
            <v>Manaksite</v>
          </cell>
          <cell r="E614" t="str">
            <v>https://www.mindat.org/1:1:2558:0</v>
          </cell>
        </row>
        <row r="615">
          <cell r="A615">
            <v>2485</v>
          </cell>
          <cell r="B615">
            <v>2</v>
          </cell>
          <cell r="C615" t="str">
            <v>Manganarsite</v>
          </cell>
          <cell r="E615" t="str">
            <v>https://www.mindat.org/1:1:2468:2</v>
          </cell>
        </row>
        <row r="616">
          <cell r="A616">
            <v>2488</v>
          </cell>
          <cell r="B616">
            <v>2</v>
          </cell>
          <cell r="C616" t="str">
            <v>Manganbelyankinite</v>
          </cell>
          <cell r="E616" t="str">
            <v>https://www.mindat.org/1:1:2492:7</v>
          </cell>
        </row>
        <row r="617">
          <cell r="A617">
            <v>2490</v>
          </cell>
          <cell r="B617">
            <v>2</v>
          </cell>
          <cell r="C617" t="str">
            <v>Manganese-hoernesite</v>
          </cell>
          <cell r="E617" t="str">
            <v/>
          </cell>
        </row>
        <row r="618">
          <cell r="A618">
            <v>2492</v>
          </cell>
          <cell r="B618">
            <v>2</v>
          </cell>
          <cell r="C618" t="str">
            <v>Manganese-shadlunite</v>
          </cell>
          <cell r="E618" t="str">
            <v/>
          </cell>
        </row>
        <row r="619">
          <cell r="A619">
            <v>2496</v>
          </cell>
          <cell r="B619">
            <v>2</v>
          </cell>
          <cell r="C619" t="str">
            <v>Manganochromite</v>
          </cell>
          <cell r="E619" t="str">
            <v>https://www.mindat.org/1:1:2475:0</v>
          </cell>
        </row>
        <row r="620">
          <cell r="A620">
            <v>2500</v>
          </cell>
          <cell r="B620">
            <v>2</v>
          </cell>
          <cell r="C620" t="str">
            <v>Manganokhomyakovite</v>
          </cell>
          <cell r="E620" t="str">
            <v>https://www.mindat.org/1:1:7169:3</v>
          </cell>
        </row>
        <row r="621">
          <cell r="A621">
            <v>2501</v>
          </cell>
          <cell r="B621">
            <v>2</v>
          </cell>
          <cell r="C621" t="str">
            <v>Manganolangbeinite</v>
          </cell>
          <cell r="E621" t="str">
            <v>https://www.mindat.org/1:1:2485:9</v>
          </cell>
        </row>
        <row r="622">
          <cell r="A622">
            <v>2502</v>
          </cell>
          <cell r="B622">
            <v>2</v>
          </cell>
          <cell r="C622" t="str">
            <v>Manganonaujakasite</v>
          </cell>
          <cell r="E622" t="str">
            <v>https://www.mindat.org/1:1:7097:9</v>
          </cell>
        </row>
        <row r="623">
          <cell r="A623">
            <v>2504</v>
          </cell>
          <cell r="B623">
            <v>2</v>
          </cell>
          <cell r="C623" t="str">
            <v>Manganonordite-(Ce)</v>
          </cell>
          <cell r="E623" t="str">
            <v>https://www.mindat.org/1:1:7170:9</v>
          </cell>
        </row>
        <row r="624">
          <cell r="A624">
            <v>2505</v>
          </cell>
          <cell r="B624">
            <v>2</v>
          </cell>
          <cell r="C624" t="str">
            <v>Manganosegelerite</v>
          </cell>
          <cell r="E624" t="str">
            <v>https://www.mindat.org/1:1:2471:2</v>
          </cell>
        </row>
        <row r="625">
          <cell r="A625">
            <v>2509</v>
          </cell>
          <cell r="B625">
            <v>2</v>
          </cell>
          <cell r="C625" t="str">
            <v>Manganotapiolite</v>
          </cell>
          <cell r="E625" t="str">
            <v/>
          </cell>
        </row>
        <row r="626">
          <cell r="A626">
            <v>2510</v>
          </cell>
          <cell r="B626">
            <v>2</v>
          </cell>
          <cell r="C626" t="str">
            <v>Manganotychite</v>
          </cell>
          <cell r="E626" t="str">
            <v>https://www.mindat.org/1:1:2529:0</v>
          </cell>
        </row>
        <row r="627">
          <cell r="A627">
            <v>2535</v>
          </cell>
          <cell r="B627">
            <v>2</v>
          </cell>
          <cell r="C627" t="str">
            <v>Mathewrogersite</v>
          </cell>
          <cell r="E627" t="str">
            <v>https://www.mindat.org/1:1:2590:0</v>
          </cell>
        </row>
        <row r="628">
          <cell r="A628">
            <v>2536</v>
          </cell>
          <cell r="B628">
            <v>2</v>
          </cell>
          <cell r="C628" t="str">
            <v>Mathiasite</v>
          </cell>
          <cell r="E628" t="str">
            <v>https://www.mindat.org/1:1:2591:7</v>
          </cell>
        </row>
        <row r="629">
          <cell r="A629">
            <v>2539</v>
          </cell>
          <cell r="B629">
            <v>2</v>
          </cell>
          <cell r="C629" t="str">
            <v>Matraite</v>
          </cell>
          <cell r="E629" t="str">
            <v/>
          </cell>
        </row>
        <row r="630">
          <cell r="A630">
            <v>2541</v>
          </cell>
          <cell r="B630">
            <v>2</v>
          </cell>
          <cell r="C630" t="str">
            <v>Matteuccite</v>
          </cell>
          <cell r="E630" t="str">
            <v>https://www.mindat.org/1:1:2596:2</v>
          </cell>
        </row>
        <row r="631">
          <cell r="A631">
            <v>2550</v>
          </cell>
          <cell r="B631">
            <v>2</v>
          </cell>
          <cell r="C631" t="str">
            <v>Mayingite</v>
          </cell>
          <cell r="E631" t="str">
            <v>https://www.mindat.org/1:1:7172:3</v>
          </cell>
        </row>
        <row r="632">
          <cell r="A632">
            <v>2552</v>
          </cell>
          <cell r="B632">
            <v>2</v>
          </cell>
          <cell r="C632" t="str">
            <v>Mbobomkulite</v>
          </cell>
          <cell r="E632" t="str">
            <v>https://www.mindat.org/1:1:2608:2</v>
          </cell>
        </row>
        <row r="633">
          <cell r="A633">
            <v>2557</v>
          </cell>
          <cell r="B633">
            <v>2</v>
          </cell>
          <cell r="C633" t="str">
            <v>Mcconnellite</v>
          </cell>
          <cell r="E633" t="str">
            <v>https://www.mindat.org/1:1:2612:9</v>
          </cell>
        </row>
        <row r="634">
          <cell r="A634">
            <v>2566</v>
          </cell>
          <cell r="B634">
            <v>2</v>
          </cell>
          <cell r="C634" t="str">
            <v>Medenbachite</v>
          </cell>
          <cell r="E634" t="str">
            <v>https://www.mindat.org/1:1:2625:9</v>
          </cell>
        </row>
        <row r="635">
          <cell r="A635">
            <v>2567</v>
          </cell>
          <cell r="B635">
            <v>2</v>
          </cell>
          <cell r="C635" t="str">
            <v>Megacyclite</v>
          </cell>
          <cell r="E635" t="str">
            <v>https://www.mindat.org/1:1:2626:6</v>
          </cell>
        </row>
        <row r="636">
          <cell r="A636">
            <v>2569</v>
          </cell>
          <cell r="B636">
            <v>2</v>
          </cell>
          <cell r="C636" t="str">
            <v>Meixnerite</v>
          </cell>
          <cell r="E636" t="str">
            <v>https://www.mindat.org/1:1:2628:0</v>
          </cell>
        </row>
        <row r="637">
          <cell r="A637">
            <v>2587</v>
          </cell>
          <cell r="B637">
            <v>2</v>
          </cell>
          <cell r="C637" t="str">
            <v>Menshikovite</v>
          </cell>
          <cell r="E637" t="str">
            <v>https://www.mindat.org/1:1:26401:1</v>
          </cell>
        </row>
        <row r="638">
          <cell r="A638">
            <v>2591</v>
          </cell>
          <cell r="B638">
            <v>2</v>
          </cell>
          <cell r="C638" t="str">
            <v>Mereiterite</v>
          </cell>
          <cell r="E638" t="str">
            <v>https://www.mindat.org/1:1:2649:5</v>
          </cell>
        </row>
        <row r="639">
          <cell r="A639">
            <v>2594</v>
          </cell>
          <cell r="B639">
            <v>2</v>
          </cell>
          <cell r="C639" t="str">
            <v>Merrihueite</v>
          </cell>
          <cell r="E639" t="str">
            <v>https://www.mindat.org/1:1:2652:5</v>
          </cell>
        </row>
        <row r="640">
          <cell r="A640">
            <v>2602</v>
          </cell>
          <cell r="B640">
            <v>2</v>
          </cell>
          <cell r="C640" t="str">
            <v>Meta-alunogen</v>
          </cell>
          <cell r="E640" t="str">
            <v>https://www.mindat.org/1:1:2660:0</v>
          </cell>
        </row>
        <row r="641">
          <cell r="A641">
            <v>2603</v>
          </cell>
          <cell r="B641">
            <v>2</v>
          </cell>
          <cell r="C641" t="str">
            <v>Meta-ankoleite</v>
          </cell>
          <cell r="E641" t="str">
            <v>https://www.mindat.org/1:1:2661:7</v>
          </cell>
        </row>
        <row r="642">
          <cell r="A642">
            <v>2608</v>
          </cell>
          <cell r="B642">
            <v>2</v>
          </cell>
          <cell r="C642" t="str">
            <v>Metaborite</v>
          </cell>
          <cell r="E642" t="str">
            <v>https://www.mindat.org/1:1:2668:6</v>
          </cell>
        </row>
        <row r="643">
          <cell r="A643">
            <v>2609</v>
          </cell>
          <cell r="B643">
            <v>2</v>
          </cell>
          <cell r="C643" t="str">
            <v>Metacalciouranoite</v>
          </cell>
          <cell r="E643" t="str">
            <v>https://www.mindat.org/1:1:2669:3</v>
          </cell>
        </row>
        <row r="644">
          <cell r="A644">
            <v>2611</v>
          </cell>
          <cell r="B644">
            <v>2</v>
          </cell>
          <cell r="C644" t="str">
            <v>Metadelrioite</v>
          </cell>
          <cell r="E644" t="str">
            <v>https://www.mindat.org/1:1:2671:6</v>
          </cell>
        </row>
        <row r="645">
          <cell r="A645">
            <v>2612</v>
          </cell>
          <cell r="B645">
            <v>2</v>
          </cell>
          <cell r="C645" t="str">
            <v>Metahaiweeite</v>
          </cell>
          <cell r="E645" t="str">
            <v>https://www.mindat.org/1:1:2663:1</v>
          </cell>
        </row>
        <row r="646">
          <cell r="A646">
            <v>2627</v>
          </cell>
          <cell r="B646">
            <v>2</v>
          </cell>
          <cell r="C646" t="str">
            <v>Metastudtite</v>
          </cell>
          <cell r="E646" t="str">
            <v>https://www.mindat.org/1:1:2687:7</v>
          </cell>
        </row>
        <row r="647">
          <cell r="A647">
            <v>2631</v>
          </cell>
          <cell r="B647">
            <v>2</v>
          </cell>
          <cell r="C647" t="str">
            <v>Metavandendriesscheite</v>
          </cell>
          <cell r="E647" t="str">
            <v>https://www.mindat.org/1:1:2691:4</v>
          </cell>
        </row>
        <row r="648">
          <cell r="A648">
            <v>2632</v>
          </cell>
          <cell r="B648">
            <v>2</v>
          </cell>
          <cell r="C648" t="str">
            <v>Metavanmeersscheite</v>
          </cell>
          <cell r="E648" t="str">
            <v>https://www.mindat.org/1:1:2692:1</v>
          </cell>
        </row>
        <row r="649">
          <cell r="A649">
            <v>2633</v>
          </cell>
          <cell r="B649">
            <v>2</v>
          </cell>
          <cell r="C649" t="str">
            <v>Metavanuralite</v>
          </cell>
          <cell r="E649" t="str">
            <v>https://www.mindat.org/1:1:2693:8</v>
          </cell>
        </row>
        <row r="650">
          <cell r="A650">
            <v>2642</v>
          </cell>
          <cell r="B650">
            <v>2</v>
          </cell>
          <cell r="C650" t="str">
            <v>Fontanite</v>
          </cell>
          <cell r="E650" t="str">
            <v>https://www.mindat.org/1:1:1580:2</v>
          </cell>
        </row>
        <row r="651">
          <cell r="A651">
            <v>2643</v>
          </cell>
          <cell r="B651">
            <v>2</v>
          </cell>
          <cell r="C651" t="str">
            <v>Foordite</v>
          </cell>
          <cell r="E651" t="str">
            <v>https://www.mindat.org/1:1:1581:9</v>
          </cell>
        </row>
        <row r="652">
          <cell r="A652">
            <v>2645</v>
          </cell>
          <cell r="B652">
            <v>2</v>
          </cell>
          <cell r="C652" t="str">
            <v>Formicaite</v>
          </cell>
          <cell r="E652" t="str">
            <v>https://www.mindat.org/1:1:6954:6</v>
          </cell>
        </row>
        <row r="653">
          <cell r="A653">
            <v>2656</v>
          </cell>
          <cell r="B653">
            <v>2</v>
          </cell>
          <cell r="C653" t="str">
            <v>Francoanellite</v>
          </cell>
          <cell r="E653" t="str">
            <v>https://www.mindat.org/1:1:1593:2</v>
          </cell>
        </row>
        <row r="654">
          <cell r="A654">
            <v>2659</v>
          </cell>
          <cell r="B654">
            <v>2</v>
          </cell>
          <cell r="C654" t="str">
            <v>Frankamenite</v>
          </cell>
          <cell r="E654" t="str">
            <v>https://www.mindat.org/1:1:6957:7</v>
          </cell>
        </row>
        <row r="655">
          <cell r="A655">
            <v>2661</v>
          </cell>
          <cell r="B655">
            <v>2</v>
          </cell>
          <cell r="C655" t="str">
            <v>Frankhawthorneite</v>
          </cell>
          <cell r="E655" t="str">
            <v>https://www.mindat.org/1:1:6958:4</v>
          </cell>
        </row>
        <row r="656">
          <cell r="A656">
            <v>2664</v>
          </cell>
          <cell r="B656">
            <v>2</v>
          </cell>
          <cell r="C656" t="str">
            <v>Franklinphilite</v>
          </cell>
          <cell r="E656" t="str">
            <v>https://www.mindat.org/1:1:1599:4</v>
          </cell>
        </row>
        <row r="657">
          <cell r="A657">
            <v>2673</v>
          </cell>
          <cell r="B657">
            <v>2</v>
          </cell>
          <cell r="C657" t="str">
            <v>Freudenbergite</v>
          </cell>
          <cell r="E657" t="str">
            <v>https://www.mindat.org/1:1:1608:3</v>
          </cell>
        </row>
        <row r="658">
          <cell r="A658">
            <v>2674</v>
          </cell>
          <cell r="B658">
            <v>2</v>
          </cell>
          <cell r="C658" t="str">
            <v>Freyalite</v>
          </cell>
          <cell r="E658" t="str">
            <v/>
          </cell>
        </row>
        <row r="659">
          <cell r="A659">
            <v>2679</v>
          </cell>
          <cell r="B659">
            <v>2</v>
          </cell>
          <cell r="C659" t="str">
            <v>Frolovite</v>
          </cell>
          <cell r="E659" t="str">
            <v>https://www.mindat.org/1:1:1613:7</v>
          </cell>
        </row>
        <row r="660">
          <cell r="A660">
            <v>2686</v>
          </cell>
          <cell r="B660">
            <v>2</v>
          </cell>
          <cell r="C660" t="str">
            <v>Furutobeite</v>
          </cell>
          <cell r="E660" t="str">
            <v>https://www.mindat.org/1:1:1622:9</v>
          </cell>
        </row>
        <row r="661">
          <cell r="A661">
            <v>2704</v>
          </cell>
          <cell r="B661">
            <v>2</v>
          </cell>
          <cell r="C661" t="str">
            <v>Galileiite</v>
          </cell>
          <cell r="E661" t="str">
            <v/>
          </cell>
        </row>
        <row r="662">
          <cell r="A662">
            <v>2709</v>
          </cell>
          <cell r="B662">
            <v>2</v>
          </cell>
          <cell r="C662" t="str">
            <v>Gananite</v>
          </cell>
          <cell r="E662" t="str">
            <v>https://www.mindat.org/1:1:1646:5</v>
          </cell>
        </row>
        <row r="663">
          <cell r="A663">
            <v>2712</v>
          </cell>
          <cell r="B663">
            <v>2</v>
          </cell>
          <cell r="C663" t="str">
            <v>Gaotaiite</v>
          </cell>
          <cell r="E663" t="str">
            <v>https://www.mindat.org/1:1:6963:8</v>
          </cell>
        </row>
        <row r="664">
          <cell r="A664">
            <v>2719</v>
          </cell>
          <cell r="B664">
            <v>2</v>
          </cell>
          <cell r="C664" t="str">
            <v>Garyansellite</v>
          </cell>
          <cell r="E664" t="str">
            <v>https://www.mindat.org/1:1:1655:7</v>
          </cell>
        </row>
        <row r="665">
          <cell r="A665">
            <v>2722</v>
          </cell>
          <cell r="B665">
            <v>2</v>
          </cell>
          <cell r="C665" t="str">
            <v>Gatehouseite</v>
          </cell>
          <cell r="E665" t="str">
            <v>https://www.mindat.org/1:1:6966:9</v>
          </cell>
        </row>
        <row r="666">
          <cell r="A666">
            <v>2725</v>
          </cell>
          <cell r="B666">
            <v>2</v>
          </cell>
          <cell r="C666" t="str">
            <v>Gaultite</v>
          </cell>
          <cell r="E666" t="str">
            <v>https://www.mindat.org/1:1:1661:8</v>
          </cell>
        </row>
        <row r="667">
          <cell r="A667">
            <v>2733</v>
          </cell>
          <cell r="B667">
            <v>2</v>
          </cell>
          <cell r="C667" t="str">
            <v>Geigerite</v>
          </cell>
          <cell r="E667" t="str">
            <v>https://www.mindat.org/1:1:1669:4</v>
          </cell>
        </row>
        <row r="668">
          <cell r="A668">
            <v>2739</v>
          </cell>
          <cell r="B668">
            <v>2</v>
          </cell>
          <cell r="C668" t="str">
            <v>Georgebokiite</v>
          </cell>
          <cell r="E668" t="str">
            <v/>
          </cell>
        </row>
        <row r="669">
          <cell r="A669">
            <v>2741</v>
          </cell>
          <cell r="B669">
            <v>2</v>
          </cell>
          <cell r="C669" t="str">
            <v>Georgeericksenite</v>
          </cell>
          <cell r="E669" t="str">
            <v/>
          </cell>
        </row>
        <row r="670">
          <cell r="A670">
            <v>2746</v>
          </cell>
          <cell r="B670">
            <v>2</v>
          </cell>
          <cell r="C670" t="str">
            <v>Gerenite-(Y)</v>
          </cell>
          <cell r="E670" t="str">
            <v>https://www.mindat.org/1:1:6969:0</v>
          </cell>
        </row>
        <row r="671">
          <cell r="A671">
            <v>2749</v>
          </cell>
          <cell r="B671">
            <v>2</v>
          </cell>
          <cell r="C671" t="str">
            <v>Germanocolusite</v>
          </cell>
          <cell r="E671" t="str">
            <v>https://www.mindat.org/1:1:1682:3</v>
          </cell>
        </row>
        <row r="672">
          <cell r="A672">
            <v>2754</v>
          </cell>
          <cell r="B672">
            <v>2</v>
          </cell>
          <cell r="C672" t="str">
            <v>Geversite</v>
          </cell>
          <cell r="E672" t="str">
            <v>https://www.mindat.org/1:1:1687:8</v>
          </cell>
        </row>
        <row r="673">
          <cell r="A673">
            <v>2767</v>
          </cell>
          <cell r="B673">
            <v>2</v>
          </cell>
          <cell r="C673" t="str">
            <v>Girvasite</v>
          </cell>
          <cell r="E673" t="str">
            <v>https://www.mindat.org/1:1:1700:4</v>
          </cell>
        </row>
        <row r="674">
          <cell r="A674">
            <v>2772</v>
          </cell>
          <cell r="B674">
            <v>2</v>
          </cell>
          <cell r="C674" t="str">
            <v>Gladiusite</v>
          </cell>
          <cell r="E674" t="str">
            <v>https://www.mindat.org/1:1:11032:1</v>
          </cell>
        </row>
        <row r="675">
          <cell r="A675">
            <v>2773</v>
          </cell>
          <cell r="B675">
            <v>2</v>
          </cell>
          <cell r="C675" t="str">
            <v>Glass</v>
          </cell>
          <cell r="E675" t="str">
            <v>https://www.mindat.org/1:1:26411:8</v>
          </cell>
        </row>
        <row r="676">
          <cell r="A676">
            <v>2782</v>
          </cell>
          <cell r="B676">
            <v>2</v>
          </cell>
          <cell r="C676" t="str">
            <v>Glushinskite</v>
          </cell>
          <cell r="E676" t="str">
            <v>https://www.mindat.org/1:1:1713:4</v>
          </cell>
        </row>
        <row r="677">
          <cell r="A677">
            <v>2789</v>
          </cell>
          <cell r="B677">
            <v>2</v>
          </cell>
          <cell r="C677" t="str">
            <v>Godovikovite</v>
          </cell>
          <cell r="E677" t="str">
            <v>https://www.mindat.org/1:1:1717:2</v>
          </cell>
        </row>
        <row r="678">
          <cell r="A678">
            <v>2793</v>
          </cell>
          <cell r="B678">
            <v>2</v>
          </cell>
          <cell r="C678" t="str">
            <v>Goldore</v>
          </cell>
          <cell r="E678" t="str">
            <v/>
          </cell>
        </row>
        <row r="679">
          <cell r="A679">
            <v>2794</v>
          </cell>
          <cell r="B679">
            <v>2</v>
          </cell>
          <cell r="C679" t="str">
            <v>Goldamalgam</v>
          </cell>
          <cell r="E679" t="str">
            <v/>
          </cell>
        </row>
        <row r="680">
          <cell r="A680">
            <v>2795</v>
          </cell>
          <cell r="B680">
            <v>2</v>
          </cell>
          <cell r="C680" t="str">
            <v>Goldamalgam-Gamma</v>
          </cell>
          <cell r="E680" t="str">
            <v/>
          </cell>
        </row>
        <row r="681">
          <cell r="A681">
            <v>2803</v>
          </cell>
          <cell r="B681">
            <v>2</v>
          </cell>
          <cell r="C681" t="str">
            <v>Gordaite</v>
          </cell>
          <cell r="E681" t="str">
            <v>https://www.mindat.org/1:1:6975:1</v>
          </cell>
        </row>
        <row r="682">
          <cell r="A682">
            <v>2806</v>
          </cell>
          <cell r="B682">
            <v>2</v>
          </cell>
          <cell r="C682" t="str">
            <v>Gortdrumite</v>
          </cell>
          <cell r="E682" t="str">
            <v>https://www.mindat.org/1:1:1730:1</v>
          </cell>
        </row>
        <row r="683">
          <cell r="A683">
            <v>2808</v>
          </cell>
          <cell r="B683">
            <v>2</v>
          </cell>
          <cell r="C683" t="str">
            <v>Gottardiite</v>
          </cell>
          <cell r="E683" t="str">
            <v>https://www.mindat.org/1:1:6976:8</v>
          </cell>
        </row>
        <row r="684">
          <cell r="A684">
            <v>2809</v>
          </cell>
          <cell r="B684">
            <v>2</v>
          </cell>
          <cell r="C684" t="str">
            <v>Gottlobite</v>
          </cell>
          <cell r="E684" t="str">
            <v>https://www.mindat.org/1:1:7069:6</v>
          </cell>
        </row>
        <row r="685">
          <cell r="A685">
            <v>2814</v>
          </cell>
          <cell r="B685">
            <v>2</v>
          </cell>
          <cell r="C685" t="str">
            <v>Graeserite</v>
          </cell>
          <cell r="E685" t="str">
            <v>https://www.mindat.org/1:1:6977:5</v>
          </cell>
        </row>
        <row r="686">
          <cell r="A686">
            <v>2821</v>
          </cell>
          <cell r="B686">
            <v>2</v>
          </cell>
          <cell r="C686" t="str">
            <v>Grattarolaite</v>
          </cell>
          <cell r="E686" t="str">
            <v>https://www.mindat.org/1:1:6978:2</v>
          </cell>
        </row>
        <row r="687">
          <cell r="A687">
            <v>2822</v>
          </cell>
          <cell r="B687">
            <v>2</v>
          </cell>
          <cell r="C687" t="str">
            <v>Gravegliaite</v>
          </cell>
          <cell r="E687" t="str">
            <v>https://www.mindat.org/1:1:1742:4</v>
          </cell>
        </row>
        <row r="688">
          <cell r="A688">
            <v>2824</v>
          </cell>
          <cell r="B688">
            <v>2</v>
          </cell>
          <cell r="C688" t="str">
            <v>Grechishchevite</v>
          </cell>
          <cell r="E688" t="str">
            <v>https://www.mindat.org/1:1:1744:8</v>
          </cell>
        </row>
        <row r="689">
          <cell r="A689">
            <v>2835</v>
          </cell>
          <cell r="B689">
            <v>2</v>
          </cell>
          <cell r="C689" t="str">
            <v>Grossite</v>
          </cell>
          <cell r="E689" t="str">
            <v>https://www.mindat.org/1:1:1754:7</v>
          </cell>
        </row>
        <row r="690">
          <cell r="A690">
            <v>2838</v>
          </cell>
          <cell r="B690">
            <v>2</v>
          </cell>
          <cell r="C690" t="str">
            <v>Grumantite</v>
          </cell>
          <cell r="E690" t="str">
            <v>https://www.mindat.org/1:1:1757:8</v>
          </cell>
        </row>
        <row r="691">
          <cell r="A691">
            <v>2841</v>
          </cell>
          <cell r="B691">
            <v>2</v>
          </cell>
          <cell r="C691" t="str">
            <v>Gruzdevite</v>
          </cell>
          <cell r="E691" t="str">
            <v>https://www.mindat.org/1:1:1759:2</v>
          </cell>
        </row>
        <row r="692">
          <cell r="A692">
            <v>2843</v>
          </cell>
          <cell r="B692">
            <v>2</v>
          </cell>
          <cell r="C692" t="str">
            <v>Guanine</v>
          </cell>
          <cell r="E692" t="str">
            <v>https://www.mindat.org/1:1:1763:9</v>
          </cell>
        </row>
        <row r="693">
          <cell r="A693">
            <v>2844</v>
          </cell>
          <cell r="B693">
            <v>2</v>
          </cell>
          <cell r="C693" t="str">
            <v>Guarinoite</v>
          </cell>
          <cell r="E693" t="str">
            <v>https://www.mindat.org/1:1:1765:3</v>
          </cell>
        </row>
        <row r="694">
          <cell r="A694">
            <v>2848</v>
          </cell>
          <cell r="B694">
            <v>2</v>
          </cell>
          <cell r="C694" t="str">
            <v>Gugiaite</v>
          </cell>
          <cell r="E694" t="str">
            <v>https://www.mindat.org/1:1:1769:1</v>
          </cell>
        </row>
        <row r="695">
          <cell r="A695">
            <v>2853</v>
          </cell>
          <cell r="B695">
            <v>2</v>
          </cell>
          <cell r="C695" t="str">
            <v>Gupeiite</v>
          </cell>
          <cell r="E695" t="str">
            <v>https://www.mindat.org/1:1:1780:6</v>
          </cell>
        </row>
        <row r="696">
          <cell r="A696">
            <v>2856</v>
          </cell>
          <cell r="B696">
            <v>2</v>
          </cell>
          <cell r="C696" t="str">
            <v>Guyanaite</v>
          </cell>
          <cell r="E696" t="str">
            <v>https://www.mindat.org/1:1:1783:7</v>
          </cell>
        </row>
        <row r="697">
          <cell r="A697">
            <v>2857</v>
          </cell>
          <cell r="B697">
            <v>2</v>
          </cell>
          <cell r="C697" t="str">
            <v>Gwihabaite</v>
          </cell>
          <cell r="E697" t="str">
            <v>https://www.mindat.org/1:1:6983:6</v>
          </cell>
        </row>
        <row r="698">
          <cell r="A698">
            <v>2863</v>
          </cell>
          <cell r="B698">
            <v>2</v>
          </cell>
          <cell r="C698" t="str">
            <v>Haapalaite</v>
          </cell>
          <cell r="E698" t="str">
            <v>https://www.mindat.org/1:1:1788:2</v>
          </cell>
        </row>
        <row r="699">
          <cell r="A699">
            <v>2866</v>
          </cell>
          <cell r="B699">
            <v>2</v>
          </cell>
          <cell r="C699" t="str">
            <v>Haggertyite</v>
          </cell>
          <cell r="E699" t="str">
            <v>https://www.mindat.org/1:1:6984:3</v>
          </cell>
        </row>
        <row r="700">
          <cell r="A700">
            <v>2868</v>
          </cell>
          <cell r="B700">
            <v>2</v>
          </cell>
          <cell r="C700" t="str">
            <v>Haigerachite</v>
          </cell>
          <cell r="E700" t="str">
            <v>https://www.mindat.org/1:1:6985:0</v>
          </cell>
        </row>
        <row r="701">
          <cell r="A701">
            <v>2876</v>
          </cell>
          <cell r="B701">
            <v>2</v>
          </cell>
          <cell r="C701" t="str">
            <v>Halurgite</v>
          </cell>
          <cell r="E701" t="str">
            <v>https://www.mindat.org/1:1:1810:0</v>
          </cell>
        </row>
        <row r="702">
          <cell r="A702">
            <v>2879</v>
          </cell>
          <cell r="B702">
            <v>2</v>
          </cell>
          <cell r="C702" t="str">
            <v>Hanawaltite</v>
          </cell>
          <cell r="E702" t="str">
            <v>https://www.mindat.org/1:1:1813:1</v>
          </cell>
        </row>
        <row r="703">
          <cell r="A703">
            <v>2894</v>
          </cell>
          <cell r="B703">
            <v>2</v>
          </cell>
          <cell r="C703" t="str">
            <v>Hatrurite</v>
          </cell>
          <cell r="E703" t="str">
            <v>https://www.mindat.org/1:1:1828:5</v>
          </cell>
        </row>
        <row r="704">
          <cell r="A704">
            <v>2901</v>
          </cell>
          <cell r="B704">
            <v>2</v>
          </cell>
          <cell r="C704" t="str">
            <v>Hawthorneite</v>
          </cell>
          <cell r="E704" t="str">
            <v>https://www.mindat.org/1:1:1835:3</v>
          </cell>
        </row>
        <row r="705">
          <cell r="A705">
            <v>2902</v>
          </cell>
          <cell r="B705">
            <v>2</v>
          </cell>
          <cell r="C705" t="str">
            <v>Haxonite</v>
          </cell>
          <cell r="E705" t="str">
            <v>https://www.mindat.org/1:1:1836:0</v>
          </cell>
        </row>
        <row r="706">
          <cell r="A706">
            <v>2904</v>
          </cell>
          <cell r="B706">
            <v>2</v>
          </cell>
          <cell r="C706" t="str">
            <v>Haynesite</v>
          </cell>
          <cell r="E706" t="str">
            <v>https://www.mindat.org/1:1:1838:4</v>
          </cell>
        </row>
        <row r="707">
          <cell r="A707">
            <v>2906</v>
          </cell>
          <cell r="B707">
            <v>2</v>
          </cell>
          <cell r="C707" t="str">
            <v>Hechtsbergite</v>
          </cell>
          <cell r="E707" t="str">
            <v>https://www.mindat.org/1:1:6986:7</v>
          </cell>
        </row>
        <row r="708">
          <cell r="A708">
            <v>2912</v>
          </cell>
          <cell r="B708">
            <v>2</v>
          </cell>
          <cell r="C708" t="str">
            <v>Heideite</v>
          </cell>
          <cell r="E708" t="str">
            <v/>
          </cell>
        </row>
        <row r="709">
          <cell r="A709">
            <v>2926</v>
          </cell>
          <cell r="B709">
            <v>2</v>
          </cell>
          <cell r="C709" t="str">
            <v>Hemloite</v>
          </cell>
          <cell r="E709" t="str">
            <v>https://www.mindat.org/1:1:1861:2</v>
          </cell>
        </row>
        <row r="710">
          <cell r="A710">
            <v>2952</v>
          </cell>
          <cell r="B710">
            <v>2</v>
          </cell>
          <cell r="C710" t="str">
            <v>Hexaferrum</v>
          </cell>
          <cell r="E710" t="str">
            <v>https://www.mindat.org/1:1:6992:8</v>
          </cell>
        </row>
        <row r="711">
          <cell r="A711">
            <v>2954</v>
          </cell>
          <cell r="B711">
            <v>2</v>
          </cell>
          <cell r="C711" t="str">
            <v>Hexahydroborite</v>
          </cell>
          <cell r="E711" t="str">
            <v>https://www.mindat.org/1:1:1892:6</v>
          </cell>
        </row>
        <row r="712">
          <cell r="A712">
            <v>2955</v>
          </cell>
          <cell r="B712">
            <v>2</v>
          </cell>
          <cell r="C712" t="str">
            <v>Hexatestibiopanickelite</v>
          </cell>
          <cell r="E712" t="str">
            <v/>
          </cell>
        </row>
        <row r="713">
          <cell r="A713">
            <v>2958</v>
          </cell>
          <cell r="B713">
            <v>2</v>
          </cell>
          <cell r="C713" t="str">
            <v>Hibbingite</v>
          </cell>
          <cell r="E713" t="str">
            <v>https://www.mindat.org/1:1:1896:4</v>
          </cell>
        </row>
        <row r="714">
          <cell r="A714">
            <v>2976</v>
          </cell>
          <cell r="B714">
            <v>2</v>
          </cell>
          <cell r="C714" t="str">
            <v>Hoakansboda</v>
          </cell>
          <cell r="E714" t="str">
            <v/>
          </cell>
        </row>
        <row r="715">
          <cell r="A715">
            <v>2997</v>
          </cell>
          <cell r="B715">
            <v>2</v>
          </cell>
          <cell r="C715" t="str">
            <v>Horsfordite</v>
          </cell>
          <cell r="E715" t="str">
            <v/>
          </cell>
        </row>
        <row r="716">
          <cell r="A716">
            <v>2998</v>
          </cell>
          <cell r="B716">
            <v>2</v>
          </cell>
          <cell r="C716" t="str">
            <v>Horvathite-(Y)</v>
          </cell>
          <cell r="E716" t="str">
            <v/>
          </cell>
        </row>
        <row r="717">
          <cell r="A717">
            <v>3013</v>
          </cell>
          <cell r="B717">
            <v>2</v>
          </cell>
          <cell r="C717" t="str">
            <v>Hunchunite</v>
          </cell>
          <cell r="E717" t="str">
            <v>https://www.mindat.org/1:1:1949:7</v>
          </cell>
        </row>
        <row r="718">
          <cell r="A718">
            <v>3022</v>
          </cell>
          <cell r="B718">
            <v>2</v>
          </cell>
          <cell r="C718" t="str">
            <v>Hydroastrophyllite</v>
          </cell>
          <cell r="E718" t="str">
            <v/>
          </cell>
        </row>
        <row r="719">
          <cell r="A719">
            <v>3023</v>
          </cell>
          <cell r="B719">
            <v>2</v>
          </cell>
          <cell r="C719" t="str">
            <v>Hydrobasaluminite</v>
          </cell>
          <cell r="E719" t="str">
            <v>https://www.mindat.org/1:1:1965:7</v>
          </cell>
        </row>
        <row r="720">
          <cell r="A720">
            <v>3030</v>
          </cell>
          <cell r="B720">
            <v>2</v>
          </cell>
          <cell r="C720" t="str">
            <v>Hydrodresserite</v>
          </cell>
          <cell r="E720" t="str">
            <v>https://www.mindat.org/1:1:1972:5</v>
          </cell>
        </row>
        <row r="721">
          <cell r="A721">
            <v>3033</v>
          </cell>
          <cell r="B721">
            <v>2</v>
          </cell>
          <cell r="C721" t="str">
            <v>Hydrohalite</v>
          </cell>
          <cell r="E721" t="str">
            <v>https://www.mindat.org/1:1:1975:6</v>
          </cell>
        </row>
        <row r="722">
          <cell r="A722">
            <v>3037</v>
          </cell>
          <cell r="B722">
            <v>2</v>
          </cell>
          <cell r="C722" t="str">
            <v>Hydrombobomkulite</v>
          </cell>
          <cell r="E722" t="str">
            <v>https://www.mindat.org/1:1:1981:7</v>
          </cell>
        </row>
        <row r="723">
          <cell r="A723">
            <v>3041</v>
          </cell>
          <cell r="B723">
            <v>2</v>
          </cell>
          <cell r="C723" t="str">
            <v>Hydrophosphate</v>
          </cell>
          <cell r="E723" t="str">
            <v/>
          </cell>
        </row>
        <row r="724">
          <cell r="A724">
            <v>3042</v>
          </cell>
          <cell r="B724">
            <v>2</v>
          </cell>
          <cell r="C724" t="str">
            <v>Hydroromarchite</v>
          </cell>
          <cell r="E724" t="str">
            <v>https://www.mindat.org/1:1:1985:5</v>
          </cell>
        </row>
        <row r="725">
          <cell r="A725">
            <v>3043</v>
          </cell>
          <cell r="B725">
            <v>2</v>
          </cell>
          <cell r="C725" t="str">
            <v>Hydroscarbroite</v>
          </cell>
          <cell r="E725" t="str">
            <v>https://www.mindat.org/1:1:1986:2</v>
          </cell>
        </row>
        <row r="726">
          <cell r="A726">
            <v>3047</v>
          </cell>
          <cell r="B726">
            <v>2</v>
          </cell>
          <cell r="C726" t="str">
            <v>Hydrowoodwardite</v>
          </cell>
          <cell r="E726" t="str">
            <v>https://www.mindat.org/1:1:7004:7</v>
          </cell>
        </row>
        <row r="727">
          <cell r="A727">
            <v>3051</v>
          </cell>
          <cell r="B727">
            <v>2</v>
          </cell>
          <cell r="C727" t="str">
            <v>Hydroxylbastnaesite</v>
          </cell>
          <cell r="E727" t="str">
            <v/>
          </cell>
        </row>
        <row r="728">
          <cell r="A728">
            <v>3052</v>
          </cell>
          <cell r="B728">
            <v>2</v>
          </cell>
          <cell r="C728" t="str">
            <v>Hydroxylbastnaesite-(Ce)</v>
          </cell>
          <cell r="E728" t="str">
            <v/>
          </cell>
        </row>
        <row r="729">
          <cell r="A729">
            <v>3053</v>
          </cell>
          <cell r="B729">
            <v>2</v>
          </cell>
          <cell r="C729" t="str">
            <v>Hydroxylbastnaesite-(La)</v>
          </cell>
          <cell r="E729" t="str">
            <v/>
          </cell>
        </row>
        <row r="730">
          <cell r="A730">
            <v>3054</v>
          </cell>
          <cell r="B730">
            <v>2</v>
          </cell>
          <cell r="C730" t="str">
            <v>Hydroxylbastnaesite-(Nd)</v>
          </cell>
          <cell r="E730" t="str">
            <v/>
          </cell>
        </row>
        <row r="731">
          <cell r="A731">
            <v>3055</v>
          </cell>
          <cell r="B731">
            <v>2</v>
          </cell>
          <cell r="C731" t="str">
            <v>Hydroxylclinohumite</v>
          </cell>
          <cell r="E731" t="str">
            <v>https://www.mindat.org/1:1:7729:9</v>
          </cell>
        </row>
        <row r="732">
          <cell r="A732">
            <v>3061</v>
          </cell>
          <cell r="B732">
            <v>2</v>
          </cell>
          <cell r="C732" t="str">
            <v>Hyttsjoite</v>
          </cell>
          <cell r="E732" t="str">
            <v/>
          </cell>
        </row>
        <row r="733">
          <cell r="A733">
            <v>3075</v>
          </cell>
          <cell r="B733">
            <v>2</v>
          </cell>
          <cell r="C733" t="str">
            <v>Ilimaussite-(Ce)</v>
          </cell>
          <cell r="E733" t="str">
            <v/>
          </cell>
        </row>
        <row r="734">
          <cell r="A734">
            <v>3076</v>
          </cell>
          <cell r="B734">
            <v>2</v>
          </cell>
          <cell r="C734" t="str">
            <v>Ilinskite</v>
          </cell>
          <cell r="E734" t="str">
            <v>https://www.mindat.org/1:1:7007:8</v>
          </cell>
        </row>
        <row r="735">
          <cell r="A735">
            <v>3082</v>
          </cell>
          <cell r="B735">
            <v>2</v>
          </cell>
          <cell r="C735" t="str">
            <v>Iltisite</v>
          </cell>
          <cell r="E735" t="str">
            <v>https://www.mindat.org/1:1:7008:5</v>
          </cell>
        </row>
        <row r="736">
          <cell r="A736">
            <v>3085</v>
          </cell>
          <cell r="B736">
            <v>2</v>
          </cell>
          <cell r="C736" t="str">
            <v>Imgreite</v>
          </cell>
          <cell r="E736" t="str">
            <v/>
          </cell>
        </row>
        <row r="737">
          <cell r="A737">
            <v>3088</v>
          </cell>
          <cell r="B737">
            <v>2</v>
          </cell>
          <cell r="C737" t="str">
            <v>Imogolite</v>
          </cell>
          <cell r="E737" t="str">
            <v>https://www.mindat.org/1:1:2021:9</v>
          </cell>
        </row>
        <row r="738">
          <cell r="A738">
            <v>3089</v>
          </cell>
          <cell r="B738">
            <v>2</v>
          </cell>
          <cell r="C738" t="str">
            <v>Inaglyite</v>
          </cell>
          <cell r="E738" t="str">
            <v>https://www.mindat.org/1:1:2022:6</v>
          </cell>
        </row>
        <row r="739">
          <cell r="A739">
            <v>3090</v>
          </cell>
          <cell r="B739">
            <v>2</v>
          </cell>
          <cell r="C739" t="str">
            <v>Incaite</v>
          </cell>
          <cell r="E739" t="str">
            <v/>
          </cell>
        </row>
        <row r="740">
          <cell r="A740">
            <v>3101</v>
          </cell>
          <cell r="B740">
            <v>2</v>
          </cell>
          <cell r="C740" t="str">
            <v>Insizwaite</v>
          </cell>
          <cell r="E740" t="str">
            <v>https://www.mindat.org/1:1:2035:6</v>
          </cell>
        </row>
        <row r="741">
          <cell r="A741">
            <v>3102</v>
          </cell>
          <cell r="B741">
            <v>2</v>
          </cell>
          <cell r="C741" t="str">
            <v>Intersilite</v>
          </cell>
          <cell r="E741" t="str">
            <v>https://www.mindat.org/1:1:7111:2</v>
          </cell>
        </row>
        <row r="742">
          <cell r="A742">
            <v>3108</v>
          </cell>
          <cell r="B742">
            <v>2</v>
          </cell>
          <cell r="C742" t="str">
            <v>Iraqite-(La)</v>
          </cell>
          <cell r="E742" t="str">
            <v>https://www.mindat.org/1:1:2041:7</v>
          </cell>
        </row>
        <row r="743">
          <cell r="A743">
            <v>3109</v>
          </cell>
          <cell r="B743">
            <v>2</v>
          </cell>
          <cell r="C743" t="str">
            <v>Irarsite</v>
          </cell>
          <cell r="E743" t="str">
            <v>https://www.mindat.org/1:1:2042:4</v>
          </cell>
        </row>
        <row r="744">
          <cell r="A744">
            <v>3111</v>
          </cell>
          <cell r="B744">
            <v>2</v>
          </cell>
          <cell r="C744" t="str">
            <v>Iridarsenite</v>
          </cell>
          <cell r="E744" t="str">
            <v>https://www.mindat.org/1:1:2044:8</v>
          </cell>
        </row>
        <row r="745">
          <cell r="A745">
            <v>3116</v>
          </cell>
          <cell r="B745">
            <v>2</v>
          </cell>
          <cell r="C745" t="str">
            <v>Irtyshite</v>
          </cell>
          <cell r="E745" t="str">
            <v>https://www.mindat.org/1:1:2049:3</v>
          </cell>
        </row>
        <row r="746">
          <cell r="A746">
            <v>3118</v>
          </cell>
          <cell r="B746">
            <v>2</v>
          </cell>
          <cell r="C746" t="str">
            <v>Isoclasite</v>
          </cell>
          <cell r="E746" t="str">
            <v>https://www.mindat.org/1:1:2051:6</v>
          </cell>
        </row>
        <row r="747">
          <cell r="A747">
            <v>3119</v>
          </cell>
          <cell r="B747">
            <v>2</v>
          </cell>
          <cell r="C747" t="str">
            <v>Isocubanite</v>
          </cell>
          <cell r="E747" t="str">
            <v>https://www.mindat.org/1:1:2052:3</v>
          </cell>
        </row>
        <row r="748">
          <cell r="A748">
            <v>3122</v>
          </cell>
          <cell r="B748">
            <v>2</v>
          </cell>
          <cell r="C748" t="str">
            <v>Isolueshite</v>
          </cell>
          <cell r="E748" t="str">
            <v>https://www.mindat.org/1:1:7114:3</v>
          </cell>
        </row>
        <row r="749">
          <cell r="A749">
            <v>3124</v>
          </cell>
          <cell r="B749">
            <v>2</v>
          </cell>
          <cell r="C749" t="str">
            <v>Isovite</v>
          </cell>
          <cell r="E749" t="str">
            <v>https://www.mindat.org/1:1:7115:0</v>
          </cell>
        </row>
        <row r="750">
          <cell r="A750">
            <v>3125</v>
          </cell>
          <cell r="B750">
            <v>2</v>
          </cell>
          <cell r="C750" t="str">
            <v>Itoigawaite</v>
          </cell>
          <cell r="E750" t="str">
            <v>https://www.mindat.org/1:1:7116:7</v>
          </cell>
        </row>
        <row r="751">
          <cell r="A751">
            <v>3130</v>
          </cell>
          <cell r="B751">
            <v>2</v>
          </cell>
          <cell r="C751" t="str">
            <v>Jachymovite</v>
          </cell>
          <cell r="E751" t="str">
            <v/>
          </cell>
        </row>
        <row r="752">
          <cell r="A752">
            <v>3133</v>
          </cell>
          <cell r="B752">
            <v>2</v>
          </cell>
          <cell r="C752" t="str">
            <v>Jaffeite</v>
          </cell>
          <cell r="E752" t="str">
            <v>https://www.mindat.org/1:1:2063:9</v>
          </cell>
        </row>
        <row r="753">
          <cell r="A753">
            <v>3153</v>
          </cell>
          <cell r="B753">
            <v>2</v>
          </cell>
          <cell r="C753" t="str">
            <v>Jedwabite</v>
          </cell>
          <cell r="E753" t="str">
            <v>https://www.mindat.org/1:1:7120:4</v>
          </cell>
        </row>
        <row r="754">
          <cell r="A754">
            <v>3154</v>
          </cell>
          <cell r="B754">
            <v>2</v>
          </cell>
          <cell r="C754" t="str">
            <v>Jeffreyite</v>
          </cell>
          <cell r="E754" t="str">
            <v>https://www.mindat.org/1:1:2086:8</v>
          </cell>
        </row>
        <row r="755">
          <cell r="A755">
            <v>3156</v>
          </cell>
          <cell r="B755">
            <v>2</v>
          </cell>
          <cell r="C755" t="str">
            <v>Jensenite</v>
          </cell>
          <cell r="E755" t="str">
            <v>https://www.mindat.org/1:1:2088:2</v>
          </cell>
        </row>
        <row r="756">
          <cell r="A756">
            <v>3162</v>
          </cell>
          <cell r="B756">
            <v>2</v>
          </cell>
          <cell r="C756" t="str">
            <v>Jervisite</v>
          </cell>
          <cell r="E756" t="str">
            <v>https://www.mindat.org/1:1:2093:6</v>
          </cell>
        </row>
        <row r="757">
          <cell r="A757">
            <v>3163</v>
          </cell>
          <cell r="B757">
            <v>2</v>
          </cell>
          <cell r="C757" t="str">
            <v>Jianshiite</v>
          </cell>
          <cell r="E757" t="str">
            <v/>
          </cell>
        </row>
        <row r="758">
          <cell r="A758">
            <v>3164</v>
          </cell>
          <cell r="B758">
            <v>2</v>
          </cell>
          <cell r="C758" t="str">
            <v>Jianshuiite</v>
          </cell>
          <cell r="E758" t="str">
            <v>https://www.mindat.org/1:1:2094:3</v>
          </cell>
        </row>
        <row r="759">
          <cell r="A759">
            <v>3168</v>
          </cell>
          <cell r="B759">
            <v>2</v>
          </cell>
          <cell r="C759" t="str">
            <v>Jixianite</v>
          </cell>
          <cell r="E759" t="str">
            <v/>
          </cell>
        </row>
        <row r="760">
          <cell r="A760">
            <v>3178</v>
          </cell>
          <cell r="B760">
            <v>2</v>
          </cell>
          <cell r="C760" t="str">
            <v>Johntomaite</v>
          </cell>
          <cell r="E760" t="str">
            <v>https://www.mindat.org/1:1:7078:8</v>
          </cell>
        </row>
        <row r="761">
          <cell r="A761">
            <v>3181</v>
          </cell>
          <cell r="B761">
            <v>2</v>
          </cell>
          <cell r="C761" t="str">
            <v>Joliotite</v>
          </cell>
          <cell r="E761" t="str">
            <v>https://www.mindat.org/1:1:2110:0</v>
          </cell>
        </row>
        <row r="762">
          <cell r="A762">
            <v>3182</v>
          </cell>
          <cell r="B762">
            <v>2</v>
          </cell>
          <cell r="C762" t="str">
            <v>Jolliffeite</v>
          </cell>
          <cell r="E762" t="str">
            <v>https://www.mindat.org/1:1:2111:7</v>
          </cell>
        </row>
        <row r="763">
          <cell r="A763">
            <v>3186</v>
          </cell>
          <cell r="B763">
            <v>2</v>
          </cell>
          <cell r="C763" t="str">
            <v>Jorgensenite</v>
          </cell>
          <cell r="E763" t="str">
            <v/>
          </cell>
        </row>
        <row r="764">
          <cell r="A764">
            <v>3193</v>
          </cell>
          <cell r="B764">
            <v>2</v>
          </cell>
          <cell r="C764" t="str">
            <v>Juabite</v>
          </cell>
          <cell r="E764" t="str">
            <v>https://www.mindat.org/1:1:7122:8</v>
          </cell>
        </row>
        <row r="765">
          <cell r="A765">
            <v>3194</v>
          </cell>
          <cell r="B765">
            <v>2</v>
          </cell>
          <cell r="C765" t="str">
            <v>Juanitaite</v>
          </cell>
          <cell r="E765" t="str">
            <v>https://www.mindat.org/1:1:7123:5</v>
          </cell>
        </row>
        <row r="766">
          <cell r="A766">
            <v>3201</v>
          </cell>
          <cell r="B766">
            <v>2</v>
          </cell>
          <cell r="C766" t="str">
            <v>Juonniite</v>
          </cell>
          <cell r="E766" t="str">
            <v>https://www.mindat.org/1:1:7126:6</v>
          </cell>
        </row>
        <row r="767">
          <cell r="A767">
            <v>3206</v>
          </cell>
          <cell r="B767">
            <v>2</v>
          </cell>
          <cell r="C767" t="str">
            <v>Kadyrelite</v>
          </cell>
          <cell r="E767" t="str">
            <v>https://www.mindat.org/1:1:2128:5</v>
          </cell>
        </row>
        <row r="768">
          <cell r="A768">
            <v>3214</v>
          </cell>
          <cell r="B768">
            <v>2</v>
          </cell>
          <cell r="C768" t="str">
            <v>Kalicinite</v>
          </cell>
          <cell r="E768" t="str">
            <v>https://www.mindat.org/1:1:2305:0</v>
          </cell>
        </row>
        <row r="769">
          <cell r="A769">
            <v>3215</v>
          </cell>
          <cell r="B769">
            <v>2</v>
          </cell>
          <cell r="C769" t="str">
            <v>Kalifersite</v>
          </cell>
          <cell r="E769" t="str">
            <v>https://www.mindat.org/1:1:7127:3</v>
          </cell>
        </row>
        <row r="770">
          <cell r="A770">
            <v>3216</v>
          </cell>
          <cell r="B770">
            <v>2</v>
          </cell>
          <cell r="C770" t="str">
            <v>Kalininite</v>
          </cell>
          <cell r="E770" t="str">
            <v>https://www.mindat.org/1:1:2138:4</v>
          </cell>
        </row>
        <row r="771">
          <cell r="A771">
            <v>3222</v>
          </cell>
          <cell r="B771">
            <v>2</v>
          </cell>
          <cell r="C771" t="str">
            <v>Kaluginite</v>
          </cell>
          <cell r="E771" t="str">
            <v/>
          </cell>
        </row>
        <row r="772">
          <cell r="A772">
            <v>3223</v>
          </cell>
          <cell r="B772">
            <v>2</v>
          </cell>
          <cell r="C772" t="str">
            <v>Kamacite</v>
          </cell>
          <cell r="E772" t="str">
            <v/>
          </cell>
        </row>
        <row r="773">
          <cell r="A773">
            <v>3224</v>
          </cell>
          <cell r="B773">
            <v>2</v>
          </cell>
          <cell r="C773" t="str">
            <v>Kamaishilite</v>
          </cell>
          <cell r="E773" t="str">
            <v>https://www.mindat.org/1:1:2144:5</v>
          </cell>
        </row>
        <row r="774">
          <cell r="A774">
            <v>3226</v>
          </cell>
          <cell r="B774">
            <v>2</v>
          </cell>
          <cell r="C774" t="str">
            <v>Kamchatkite</v>
          </cell>
          <cell r="E774" t="str">
            <v>https://www.mindat.org/1:1:2146:9</v>
          </cell>
        </row>
        <row r="775">
          <cell r="A775">
            <v>3228</v>
          </cell>
          <cell r="B775">
            <v>2</v>
          </cell>
          <cell r="C775" t="str">
            <v>Kamitugaite</v>
          </cell>
          <cell r="E775" t="str">
            <v>https://www.mindat.org/1:1:2148:3</v>
          </cell>
        </row>
        <row r="776">
          <cell r="A776">
            <v>3230</v>
          </cell>
          <cell r="B776">
            <v>2</v>
          </cell>
          <cell r="C776" t="str">
            <v>Kamphaugite-(Y)</v>
          </cell>
          <cell r="E776" t="str">
            <v>https://www.mindat.org/1:1:2151:3</v>
          </cell>
        </row>
        <row r="777">
          <cell r="A777">
            <v>3237</v>
          </cell>
          <cell r="B777">
            <v>2</v>
          </cell>
          <cell r="C777" t="str">
            <v>Kapitsaite-(y)</v>
          </cell>
          <cell r="E777" t="str">
            <v>https://www.mindat.org/1:1:7064:1</v>
          </cell>
        </row>
        <row r="778">
          <cell r="A778">
            <v>3238</v>
          </cell>
          <cell r="B778">
            <v>2</v>
          </cell>
          <cell r="C778" t="str">
            <v>Karasugite</v>
          </cell>
          <cell r="E778" t="str">
            <v>https://www.mindat.org/1:1:2157:5</v>
          </cell>
        </row>
        <row r="779">
          <cell r="A779">
            <v>3244</v>
          </cell>
          <cell r="B779">
            <v>2</v>
          </cell>
          <cell r="C779" t="str">
            <v>Karpinskite</v>
          </cell>
          <cell r="E779" t="str">
            <v>https://www.mindat.org/1:1:2163:6</v>
          </cell>
        </row>
        <row r="780">
          <cell r="A780">
            <v>3245</v>
          </cell>
          <cell r="B780">
            <v>2</v>
          </cell>
          <cell r="C780" t="str">
            <v>Kashinite</v>
          </cell>
          <cell r="E780" t="str">
            <v>https://www.mindat.org/1:1:2164:3</v>
          </cell>
        </row>
        <row r="781">
          <cell r="A781">
            <v>3248</v>
          </cell>
          <cell r="B781">
            <v>2</v>
          </cell>
          <cell r="C781" t="str">
            <v>Kastningite</v>
          </cell>
          <cell r="E781" t="str">
            <v>https://www.mindat.org/1:1:7129:7</v>
          </cell>
        </row>
        <row r="782">
          <cell r="A782">
            <v>3249</v>
          </cell>
          <cell r="B782">
            <v>2</v>
          </cell>
          <cell r="C782" t="str">
            <v>Kastorclaim</v>
          </cell>
          <cell r="E782" t="str">
            <v/>
          </cell>
        </row>
        <row r="783">
          <cell r="A783">
            <v>3261</v>
          </cell>
          <cell r="B783">
            <v>2</v>
          </cell>
          <cell r="C783" t="str">
            <v>Keiviite</v>
          </cell>
          <cell r="E783" t="str">
            <v/>
          </cell>
        </row>
        <row r="784">
          <cell r="A784">
            <v>3262</v>
          </cell>
          <cell r="B784">
            <v>2</v>
          </cell>
          <cell r="C784" t="str">
            <v>Keiviite-(Y)</v>
          </cell>
          <cell r="E784" t="str">
            <v>https://www.mindat.org/1:1:2177:3</v>
          </cell>
        </row>
        <row r="785">
          <cell r="A785">
            <v>3263</v>
          </cell>
          <cell r="B785">
            <v>2</v>
          </cell>
          <cell r="C785" t="str">
            <v>Keiviite-(Yb)</v>
          </cell>
          <cell r="E785" t="str">
            <v>https://www.mindat.org/1:1:2178:0</v>
          </cell>
        </row>
        <row r="786">
          <cell r="A786">
            <v>3266</v>
          </cell>
          <cell r="B786">
            <v>2</v>
          </cell>
          <cell r="C786" t="str">
            <v>Kelyanite</v>
          </cell>
          <cell r="E786" t="str">
            <v>https://www.mindat.org/1:1:2181:0</v>
          </cell>
        </row>
        <row r="787">
          <cell r="A787">
            <v>3280</v>
          </cell>
          <cell r="B787">
            <v>2</v>
          </cell>
          <cell r="C787" t="str">
            <v>Keystoneite</v>
          </cell>
          <cell r="E787" t="str">
            <v>https://www.mindat.org/1:1:2192:6</v>
          </cell>
        </row>
        <row r="788">
          <cell r="A788">
            <v>3283</v>
          </cell>
          <cell r="B788">
            <v>2</v>
          </cell>
          <cell r="C788" t="str">
            <v>Khamrabaevite</v>
          </cell>
          <cell r="E788" t="str">
            <v>https://www.mindat.org/1:1:2194:0</v>
          </cell>
        </row>
        <row r="789">
          <cell r="A789">
            <v>3284</v>
          </cell>
          <cell r="B789">
            <v>2</v>
          </cell>
          <cell r="C789" t="str">
            <v>Khanneshite</v>
          </cell>
          <cell r="E789" t="str">
            <v>https://www.mindat.org/1:1:2195:7</v>
          </cell>
        </row>
        <row r="790">
          <cell r="A790">
            <v>3285</v>
          </cell>
          <cell r="B790">
            <v>2</v>
          </cell>
          <cell r="C790" t="str">
            <v>Kharaelakhite</v>
          </cell>
          <cell r="E790" t="str">
            <v>https://www.mindat.org/1:1:2196:4</v>
          </cell>
        </row>
        <row r="791">
          <cell r="A791">
            <v>3286</v>
          </cell>
          <cell r="B791">
            <v>2</v>
          </cell>
          <cell r="C791" t="str">
            <v>Khatyrkite</v>
          </cell>
          <cell r="E791" t="str">
            <v/>
          </cell>
        </row>
        <row r="792">
          <cell r="A792">
            <v>3290</v>
          </cell>
          <cell r="B792">
            <v>2</v>
          </cell>
          <cell r="C792" t="str">
            <v>Khomyakovite</v>
          </cell>
          <cell r="E792" t="str">
            <v>https://www.mindat.org/1:1:7137:2</v>
          </cell>
        </row>
        <row r="793">
          <cell r="A793">
            <v>3291</v>
          </cell>
          <cell r="B793">
            <v>2</v>
          </cell>
          <cell r="C793" t="str">
            <v>Khristovite-(Ce)</v>
          </cell>
          <cell r="E793" t="str">
            <v>https://www.mindat.org/1:1:2200:8</v>
          </cell>
        </row>
        <row r="794">
          <cell r="A794">
            <v>3294</v>
          </cell>
          <cell r="B794">
            <v>2</v>
          </cell>
          <cell r="C794" t="str">
            <v>Kieftite</v>
          </cell>
          <cell r="E794" t="str">
            <v>https://www.mindat.org/1:1:2203:9</v>
          </cell>
        </row>
        <row r="795">
          <cell r="A795">
            <v>3306</v>
          </cell>
          <cell r="B795">
            <v>2</v>
          </cell>
          <cell r="C795" t="str">
            <v>Kintoreite</v>
          </cell>
          <cell r="E795" t="str">
            <v>https://www.mindat.org/1:1:2214:5</v>
          </cell>
        </row>
        <row r="796">
          <cell r="A796">
            <v>3308</v>
          </cell>
          <cell r="B796">
            <v>2</v>
          </cell>
          <cell r="C796" t="str">
            <v>Kirkiite</v>
          </cell>
          <cell r="E796" t="str">
            <v>https://www.mindat.org/1:1:2216:9</v>
          </cell>
        </row>
        <row r="797">
          <cell r="A797">
            <v>3310</v>
          </cell>
          <cell r="B797">
            <v>2</v>
          </cell>
          <cell r="C797" t="str">
            <v>Kitaibelite</v>
          </cell>
          <cell r="E797" t="str">
            <v/>
          </cell>
        </row>
        <row r="798">
          <cell r="A798">
            <v>3313</v>
          </cell>
          <cell r="B798">
            <v>2</v>
          </cell>
          <cell r="C798" t="str">
            <v>Kivuite</v>
          </cell>
          <cell r="E798" t="str">
            <v/>
          </cell>
        </row>
        <row r="799">
          <cell r="A799">
            <v>3315</v>
          </cell>
          <cell r="B799">
            <v>2</v>
          </cell>
          <cell r="C799" t="str">
            <v>Kladonite</v>
          </cell>
          <cell r="E799" t="str">
            <v/>
          </cell>
        </row>
        <row r="800">
          <cell r="A800">
            <v>3320</v>
          </cell>
          <cell r="B800">
            <v>2</v>
          </cell>
          <cell r="C800" t="str">
            <v>Klyuchevskite</v>
          </cell>
          <cell r="E800" t="str">
            <v>https://www.mindat.org/1:1:2227:5</v>
          </cell>
        </row>
        <row r="801">
          <cell r="A801">
            <v>3321</v>
          </cell>
          <cell r="B801">
            <v>2</v>
          </cell>
          <cell r="C801" t="str">
            <v>Knorringite</v>
          </cell>
          <cell r="E801" t="str">
            <v>https://www.mindat.org/1:1:2229:9</v>
          </cell>
        </row>
        <row r="802">
          <cell r="A802">
            <v>3325</v>
          </cell>
          <cell r="B802">
            <v>2</v>
          </cell>
          <cell r="C802" t="str">
            <v>Kochkarite</v>
          </cell>
          <cell r="E802" t="str">
            <v>https://www.mindat.org/1:1:2234:3</v>
          </cell>
        </row>
        <row r="803">
          <cell r="A803">
            <v>3330</v>
          </cell>
          <cell r="B803">
            <v>2</v>
          </cell>
          <cell r="C803" t="str">
            <v>Kolarite</v>
          </cell>
          <cell r="E803" t="str">
            <v>https://www.mindat.org/1:1:2238:1</v>
          </cell>
        </row>
        <row r="804">
          <cell r="A804">
            <v>3332</v>
          </cell>
          <cell r="B804">
            <v>2</v>
          </cell>
          <cell r="C804" t="str">
            <v>Kolfanite</v>
          </cell>
          <cell r="E804" t="str">
            <v>https://www.mindat.org/1:1:2240:4</v>
          </cell>
        </row>
        <row r="805">
          <cell r="A805">
            <v>3339</v>
          </cell>
          <cell r="B805">
            <v>2</v>
          </cell>
          <cell r="C805" t="str">
            <v>Komkovite</v>
          </cell>
          <cell r="E805" t="str">
            <v>https://www.mindat.org/1:1:2247:3</v>
          </cell>
        </row>
        <row r="806">
          <cell r="A806">
            <v>3340</v>
          </cell>
          <cell r="B806">
            <v>2</v>
          </cell>
          <cell r="C806" t="str">
            <v>Konderite</v>
          </cell>
          <cell r="E806" t="str">
            <v>https://www.mindat.org/1:1:2248:0</v>
          </cell>
        </row>
        <row r="807">
          <cell r="A807">
            <v>3342</v>
          </cell>
          <cell r="B807">
            <v>2</v>
          </cell>
          <cell r="C807" t="str">
            <v>Konyaite</v>
          </cell>
          <cell r="E807" t="str">
            <v>https://www.mindat.org/1:1:2251:0</v>
          </cell>
        </row>
        <row r="808">
          <cell r="A808">
            <v>3343</v>
          </cell>
          <cell r="B808">
            <v>2</v>
          </cell>
          <cell r="C808" t="str">
            <v>Koragoite</v>
          </cell>
          <cell r="E808" t="str">
            <v>https://www.mindat.org/1:1:7140:2</v>
          </cell>
        </row>
        <row r="809">
          <cell r="A809">
            <v>3347</v>
          </cell>
          <cell r="B809">
            <v>2</v>
          </cell>
          <cell r="C809" t="str">
            <v>Kornite</v>
          </cell>
          <cell r="E809" t="str">
            <v/>
          </cell>
        </row>
        <row r="810">
          <cell r="A810">
            <v>3348</v>
          </cell>
          <cell r="B810">
            <v>2</v>
          </cell>
          <cell r="C810" t="str">
            <v>Korobitsynite</v>
          </cell>
          <cell r="E810" t="str">
            <v>https://www.mindat.org/1:1:7141:9</v>
          </cell>
        </row>
        <row r="811">
          <cell r="A811">
            <v>3349</v>
          </cell>
          <cell r="B811">
            <v>2</v>
          </cell>
          <cell r="C811" t="str">
            <v>Korshunovskite</v>
          </cell>
          <cell r="E811" t="str">
            <v>https://www.mindat.org/1:1:2256:5</v>
          </cell>
        </row>
        <row r="812">
          <cell r="A812">
            <v>3350</v>
          </cell>
          <cell r="B812">
            <v>2</v>
          </cell>
          <cell r="C812" t="str">
            <v>Korzhinskite</v>
          </cell>
          <cell r="E812" t="str">
            <v>https://www.mindat.org/1:1:2257:2</v>
          </cell>
        </row>
        <row r="813">
          <cell r="A813">
            <v>3351</v>
          </cell>
          <cell r="B813">
            <v>2</v>
          </cell>
          <cell r="C813" t="str">
            <v>Kosmochlor</v>
          </cell>
          <cell r="E813" t="str">
            <v>https://www.mindat.org/1:1:2258:9</v>
          </cell>
        </row>
        <row r="814">
          <cell r="A814">
            <v>3359</v>
          </cell>
          <cell r="B814">
            <v>2</v>
          </cell>
          <cell r="C814" t="str">
            <v>Kozoite-(Nd)</v>
          </cell>
          <cell r="E814" t="str">
            <v>https://www.mindat.org/1:1:7142:6</v>
          </cell>
        </row>
        <row r="815">
          <cell r="A815">
            <v>3369</v>
          </cell>
          <cell r="B815">
            <v>2</v>
          </cell>
          <cell r="C815" t="str">
            <v>Krettnichite</v>
          </cell>
          <cell r="E815" t="str">
            <v>https://www.mindat.org/1:1:7059:7</v>
          </cell>
        </row>
        <row r="816">
          <cell r="A816">
            <v>3371</v>
          </cell>
          <cell r="B816">
            <v>2</v>
          </cell>
          <cell r="C816" t="str">
            <v>Krinovite</v>
          </cell>
          <cell r="E816" t="str">
            <v/>
          </cell>
        </row>
        <row r="817">
          <cell r="A817">
            <v>3374</v>
          </cell>
          <cell r="B817">
            <v>2</v>
          </cell>
          <cell r="C817" t="str">
            <v>Krutaite</v>
          </cell>
          <cell r="E817" t="str">
            <v/>
          </cell>
        </row>
        <row r="818">
          <cell r="A818">
            <v>3379</v>
          </cell>
          <cell r="B818">
            <v>2</v>
          </cell>
          <cell r="C818" t="str">
            <v>Kukharenkoite-(Ce)</v>
          </cell>
          <cell r="E818" t="str">
            <v>https://www.mindat.org/1:1:7146:4</v>
          </cell>
        </row>
        <row r="819">
          <cell r="A819">
            <v>3381</v>
          </cell>
          <cell r="B819">
            <v>2</v>
          </cell>
          <cell r="C819" t="str">
            <v>Kuksite</v>
          </cell>
          <cell r="E819" t="str">
            <v>https://www.mindat.org/1:1:2284:8</v>
          </cell>
        </row>
        <row r="820">
          <cell r="A820">
            <v>3383</v>
          </cell>
          <cell r="B820">
            <v>2</v>
          </cell>
          <cell r="C820" t="str">
            <v>Kuliokite-(Y)</v>
          </cell>
          <cell r="E820" t="str">
            <v>https://www.mindat.org/1:1:2286:2</v>
          </cell>
        </row>
        <row r="821">
          <cell r="A821">
            <v>3385</v>
          </cell>
          <cell r="B821">
            <v>2</v>
          </cell>
          <cell r="C821" t="str">
            <v>Kullerudite</v>
          </cell>
          <cell r="E821" t="str">
            <v>https://www.mindat.org/1:1:2288:6</v>
          </cell>
        </row>
        <row r="822">
          <cell r="A822">
            <v>3387</v>
          </cell>
          <cell r="B822">
            <v>2</v>
          </cell>
          <cell r="C822" t="str">
            <v>Kuramite</v>
          </cell>
          <cell r="E822" t="str">
            <v>https://www.mindat.org/1:1:2291:6</v>
          </cell>
        </row>
        <row r="823">
          <cell r="A823">
            <v>3391</v>
          </cell>
          <cell r="B823">
            <v>2</v>
          </cell>
          <cell r="C823" t="str">
            <v>Kurumsakite</v>
          </cell>
          <cell r="E823" t="str">
            <v>https://www.mindat.org/1:1:2296:1</v>
          </cell>
        </row>
        <row r="824">
          <cell r="A824">
            <v>3392</v>
          </cell>
          <cell r="B824">
            <v>2</v>
          </cell>
          <cell r="C824" t="str">
            <v>Kusachiite</v>
          </cell>
          <cell r="E824" t="str">
            <v>https://www.mindat.org/1:1:2297:8</v>
          </cell>
        </row>
        <row r="825">
          <cell r="A825">
            <v>3396</v>
          </cell>
          <cell r="B825">
            <v>2</v>
          </cell>
          <cell r="C825" t="str">
            <v>Kuzelite</v>
          </cell>
          <cell r="E825" t="str">
            <v>https://www.mindat.org/1:1:7147:1</v>
          </cell>
        </row>
        <row r="826">
          <cell r="A826">
            <v>3397</v>
          </cell>
          <cell r="B826">
            <v>2</v>
          </cell>
          <cell r="C826" t="str">
            <v>Kuzmenkoite</v>
          </cell>
          <cell r="E826" t="str">
            <v/>
          </cell>
        </row>
        <row r="827">
          <cell r="A827">
            <v>3398</v>
          </cell>
          <cell r="B827">
            <v>2</v>
          </cell>
          <cell r="C827" t="str">
            <v>Kuzminite</v>
          </cell>
          <cell r="E827" t="str">
            <v>https://www.mindat.org/1:1:2300:5</v>
          </cell>
        </row>
        <row r="828">
          <cell r="A828">
            <v>3399</v>
          </cell>
          <cell r="B828">
            <v>2</v>
          </cell>
          <cell r="C828" t="str">
            <v>Kuznetsovite</v>
          </cell>
          <cell r="E828" t="str">
            <v>https://www.mindat.org/1:1:2301:2</v>
          </cell>
        </row>
        <row r="829">
          <cell r="A829">
            <v>3402</v>
          </cell>
          <cell r="B829">
            <v>2</v>
          </cell>
          <cell r="C829" t="str">
            <v>Kyzylkumite</v>
          </cell>
          <cell r="E829" t="str">
            <v>https://www.mindat.org/1:1:2304:3</v>
          </cell>
        </row>
        <row r="830">
          <cell r="A830">
            <v>3408</v>
          </cell>
          <cell r="B830">
            <v>2</v>
          </cell>
          <cell r="C830" t="str">
            <v>Laforetite</v>
          </cell>
          <cell r="E830" t="str">
            <v/>
          </cell>
        </row>
        <row r="831">
          <cell r="A831">
            <v>3431</v>
          </cell>
          <cell r="B831">
            <v>2</v>
          </cell>
          <cell r="C831" t="str">
            <v>Larosite</v>
          </cell>
          <cell r="E831" t="str">
            <v>https://www.mindat.org/1:1:2334:0</v>
          </cell>
        </row>
        <row r="832">
          <cell r="A832">
            <v>3447</v>
          </cell>
          <cell r="B832">
            <v>2</v>
          </cell>
          <cell r="C832" t="str">
            <v>Lavrentievite</v>
          </cell>
          <cell r="E832" t="str">
            <v>https://www.mindat.org/1:1:2350:0</v>
          </cell>
        </row>
        <row r="833">
          <cell r="A833">
            <v>3451</v>
          </cell>
          <cell r="B833">
            <v>2</v>
          </cell>
          <cell r="C833" t="str">
            <v>Lazarenkoite</v>
          </cell>
          <cell r="E833" t="str">
            <v>https://www.mindat.org/1:1:2354:8</v>
          </cell>
        </row>
        <row r="834">
          <cell r="A834">
            <v>3455</v>
          </cell>
          <cell r="B834">
            <v>2</v>
          </cell>
          <cell r="C834" t="str">
            <v>Leadamalgam</v>
          </cell>
          <cell r="E834" t="str">
            <v>https://www.mindat.org/1:1:2360:9</v>
          </cell>
        </row>
        <row r="835">
          <cell r="A835">
            <v>3458</v>
          </cell>
          <cell r="B835">
            <v>2</v>
          </cell>
          <cell r="C835" t="str">
            <v>Leconite</v>
          </cell>
          <cell r="E835" t="str">
            <v/>
          </cell>
        </row>
        <row r="836">
          <cell r="A836">
            <v>3464</v>
          </cell>
          <cell r="B836">
            <v>2</v>
          </cell>
          <cell r="C836" t="str">
            <v>Leisingite</v>
          </cell>
          <cell r="E836" t="str">
            <v>https://www.mindat.org/1:1:7151:8</v>
          </cell>
        </row>
        <row r="837">
          <cell r="A837">
            <v>3467</v>
          </cell>
          <cell r="B837">
            <v>2</v>
          </cell>
          <cell r="C837" t="str">
            <v>Lemmleinite</v>
          </cell>
          <cell r="E837" t="str">
            <v/>
          </cell>
        </row>
        <row r="838">
          <cell r="A838">
            <v>3469</v>
          </cell>
          <cell r="B838">
            <v>2</v>
          </cell>
          <cell r="C838" t="str">
            <v>Lenaite</v>
          </cell>
          <cell r="E838" t="str">
            <v>https://www.mindat.org/1:1:2372:2</v>
          </cell>
        </row>
        <row r="839">
          <cell r="A839">
            <v>3471</v>
          </cell>
          <cell r="B839">
            <v>2</v>
          </cell>
          <cell r="C839" t="str">
            <v>Leningradite</v>
          </cell>
          <cell r="E839" t="str">
            <v>https://www.mindat.org/1:1:2374:6</v>
          </cell>
        </row>
        <row r="840">
          <cell r="A840">
            <v>3475</v>
          </cell>
          <cell r="B840">
            <v>2</v>
          </cell>
          <cell r="C840" t="str">
            <v>Lepersonnite-(Gd)</v>
          </cell>
          <cell r="E840" t="str">
            <v>https://www.mindat.org/1:1:2378:4</v>
          </cell>
        </row>
        <row r="841">
          <cell r="A841">
            <v>3479</v>
          </cell>
          <cell r="B841">
            <v>2</v>
          </cell>
          <cell r="C841" t="str">
            <v>Lermontovite</v>
          </cell>
          <cell r="E841" t="str">
            <v>https://www.mindat.org/1:1:2381:4</v>
          </cell>
        </row>
        <row r="842">
          <cell r="A842">
            <v>3487</v>
          </cell>
          <cell r="B842">
            <v>2</v>
          </cell>
          <cell r="C842" t="str">
            <v>Levinsonite-(Y)</v>
          </cell>
          <cell r="E842" t="str">
            <v>https://www.mindat.org/1:1:7024:5</v>
          </cell>
        </row>
        <row r="843">
          <cell r="A843">
            <v>3488</v>
          </cell>
          <cell r="B843">
            <v>2</v>
          </cell>
          <cell r="C843" t="str">
            <v>Levyclaudite</v>
          </cell>
          <cell r="E843" t="str">
            <v/>
          </cell>
        </row>
        <row r="844">
          <cell r="A844">
            <v>3492</v>
          </cell>
          <cell r="B844">
            <v>2</v>
          </cell>
          <cell r="C844" t="str">
            <v>Lewisite</v>
          </cell>
          <cell r="E844" t="str">
            <v/>
          </cell>
        </row>
        <row r="845">
          <cell r="A845">
            <v>3494</v>
          </cell>
          <cell r="B845">
            <v>2</v>
          </cell>
          <cell r="C845" t="str">
            <v>Liberite</v>
          </cell>
          <cell r="E845" t="str">
            <v>https://www.mindat.org/1:1:2393:7</v>
          </cell>
        </row>
        <row r="846">
          <cell r="A846">
            <v>3497</v>
          </cell>
          <cell r="B846">
            <v>2</v>
          </cell>
          <cell r="C846" t="str">
            <v>Liebauite</v>
          </cell>
          <cell r="E846" t="str">
            <v>https://www.mindat.org/1:1:2396:8</v>
          </cell>
        </row>
        <row r="847">
          <cell r="A847">
            <v>3504</v>
          </cell>
          <cell r="B847">
            <v>2</v>
          </cell>
          <cell r="C847" t="str">
            <v>Limonite(generalterm)</v>
          </cell>
          <cell r="E847" t="str">
            <v/>
          </cell>
        </row>
        <row r="848">
          <cell r="A848">
            <v>3508</v>
          </cell>
          <cell r="B848">
            <v>2</v>
          </cell>
          <cell r="C848" t="str">
            <v>Lindqvistite</v>
          </cell>
          <cell r="E848" t="str">
            <v>https://www.mindat.org/1:1:2406:4</v>
          </cell>
        </row>
        <row r="849">
          <cell r="A849">
            <v>3509</v>
          </cell>
          <cell r="B849">
            <v>2</v>
          </cell>
          <cell r="C849" t="str">
            <v>Lindsleyite</v>
          </cell>
          <cell r="E849" t="str">
            <v>https://www.mindat.org/1:1:2407:1</v>
          </cell>
        </row>
        <row r="850">
          <cell r="A850">
            <v>3516</v>
          </cell>
          <cell r="B850">
            <v>2</v>
          </cell>
          <cell r="C850" t="str">
            <v>Lisetite</v>
          </cell>
          <cell r="E850" t="str">
            <v>https://www.mindat.org/1:1:2414:9</v>
          </cell>
        </row>
        <row r="851">
          <cell r="A851">
            <v>3517</v>
          </cell>
          <cell r="B851">
            <v>2</v>
          </cell>
          <cell r="C851" t="str">
            <v>Lishizhenite</v>
          </cell>
          <cell r="E851" t="str">
            <v>https://www.mindat.org/1:1:2415:6</v>
          </cell>
        </row>
        <row r="852">
          <cell r="A852">
            <v>3518</v>
          </cell>
          <cell r="B852">
            <v>2</v>
          </cell>
          <cell r="C852" t="str">
            <v>Lisitsynite</v>
          </cell>
          <cell r="E852" t="str">
            <v>https://www.mindat.org/1:1:10316:3</v>
          </cell>
        </row>
        <row r="853">
          <cell r="A853">
            <v>3525</v>
          </cell>
          <cell r="B853">
            <v>2</v>
          </cell>
          <cell r="C853" t="str">
            <v>Bismutocolumbite</v>
          </cell>
          <cell r="E853" t="str">
            <v>https://www.mindat.org/1:1:688:8</v>
          </cell>
        </row>
        <row r="854">
          <cell r="A854">
            <v>3529</v>
          </cell>
          <cell r="B854">
            <v>2</v>
          </cell>
          <cell r="C854" t="str">
            <v>Bismutopyrochlore</v>
          </cell>
          <cell r="E854" t="str">
            <v/>
          </cell>
        </row>
        <row r="855">
          <cell r="A855">
            <v>3536</v>
          </cell>
          <cell r="B855">
            <v>2</v>
          </cell>
          <cell r="C855" t="str">
            <v>Blatonite</v>
          </cell>
          <cell r="E855" t="str">
            <v>https://www.mindat.org/1:1:6826:6</v>
          </cell>
        </row>
        <row r="856">
          <cell r="A856">
            <v>3538</v>
          </cell>
          <cell r="B856">
            <v>2</v>
          </cell>
          <cell r="C856" t="str">
            <v>Bleasdaleite</v>
          </cell>
          <cell r="E856" t="str">
            <v>https://www.mindat.org/1:1:7039:9</v>
          </cell>
        </row>
        <row r="857">
          <cell r="A857">
            <v>3542</v>
          </cell>
          <cell r="B857">
            <v>2</v>
          </cell>
          <cell r="C857" t="str">
            <v>Bobfergusonite</v>
          </cell>
          <cell r="E857" t="str">
            <v>https://www.mindat.org/1:1:700:9</v>
          </cell>
        </row>
        <row r="858">
          <cell r="A858">
            <v>3544</v>
          </cell>
          <cell r="B858">
            <v>2</v>
          </cell>
          <cell r="C858" t="str">
            <v>Bogdanovite</v>
          </cell>
          <cell r="E858" t="str">
            <v>https://www.mindat.org/1:1:702:7</v>
          </cell>
        </row>
        <row r="859">
          <cell r="A859">
            <v>3546</v>
          </cell>
          <cell r="B859">
            <v>2</v>
          </cell>
          <cell r="C859" t="str">
            <v>Boggsite</v>
          </cell>
          <cell r="E859" t="str">
            <v>https://www.mindat.org/1:1:704:5</v>
          </cell>
        </row>
        <row r="860">
          <cell r="A860">
            <v>3547</v>
          </cell>
          <cell r="B860">
            <v>2</v>
          </cell>
          <cell r="C860" t="str">
            <v>Bogvadite</v>
          </cell>
          <cell r="E860" t="str">
            <v/>
          </cell>
        </row>
        <row r="861">
          <cell r="A861">
            <v>3561</v>
          </cell>
          <cell r="B861">
            <v>2</v>
          </cell>
          <cell r="C861" t="str">
            <v>Borishanskiite</v>
          </cell>
          <cell r="E861" t="str">
            <v>https://www.mindat.org/1:1:724:9</v>
          </cell>
        </row>
        <row r="862">
          <cell r="A862">
            <v>3565</v>
          </cell>
          <cell r="B862">
            <v>2</v>
          </cell>
          <cell r="C862" t="str">
            <v>Borodaevite</v>
          </cell>
          <cell r="E862" t="str">
            <v>https://www.mindat.org/1:1:728:5</v>
          </cell>
        </row>
        <row r="863">
          <cell r="A863">
            <v>3567</v>
          </cell>
          <cell r="B863">
            <v>2</v>
          </cell>
          <cell r="C863" t="str">
            <v>Borovskite</v>
          </cell>
          <cell r="E863" t="str">
            <v>https://www.mindat.org/1:1:730:0</v>
          </cell>
        </row>
        <row r="864">
          <cell r="A864">
            <v>3575</v>
          </cell>
          <cell r="B864">
            <v>2</v>
          </cell>
          <cell r="C864" t="str">
            <v>Boussingualtite</v>
          </cell>
          <cell r="E864" t="str">
            <v/>
          </cell>
        </row>
        <row r="865">
          <cell r="A865">
            <v>3576</v>
          </cell>
          <cell r="B865">
            <v>2</v>
          </cell>
          <cell r="C865" t="str">
            <v>Bowieite</v>
          </cell>
          <cell r="E865" t="str">
            <v>https://www.mindat.org/1:1:745:2</v>
          </cell>
        </row>
        <row r="866">
          <cell r="A866">
            <v>3579</v>
          </cell>
          <cell r="B866">
            <v>2</v>
          </cell>
          <cell r="C866" t="str">
            <v>Bracewellite</v>
          </cell>
          <cell r="E866" t="str">
            <v>https://www.mindat.org/1:1:748:9</v>
          </cell>
        </row>
        <row r="867">
          <cell r="A867">
            <v>3583</v>
          </cell>
          <cell r="B867">
            <v>2</v>
          </cell>
          <cell r="C867" t="str">
            <v>Braitschite-(Ce)</v>
          </cell>
          <cell r="E867" t="str">
            <v>https://www.mindat.org/1:1:752:2</v>
          </cell>
        </row>
        <row r="868">
          <cell r="A868">
            <v>3585</v>
          </cell>
          <cell r="B868">
            <v>2</v>
          </cell>
          <cell r="C868" t="str">
            <v>Brandholzite</v>
          </cell>
          <cell r="E868" t="str">
            <v>https://www.mindat.org/1:1:7046:7</v>
          </cell>
        </row>
        <row r="869">
          <cell r="A869">
            <v>3599</v>
          </cell>
          <cell r="B869">
            <v>2</v>
          </cell>
          <cell r="C869" t="str">
            <v>Brezinaite</v>
          </cell>
          <cell r="E869" t="str">
            <v/>
          </cell>
        </row>
        <row r="870">
          <cell r="A870">
            <v>3600</v>
          </cell>
          <cell r="B870">
            <v>2</v>
          </cell>
          <cell r="C870" t="str">
            <v>Brianite</v>
          </cell>
          <cell r="E870" t="str">
            <v/>
          </cell>
        </row>
        <row r="871">
          <cell r="A871">
            <v>3601</v>
          </cell>
          <cell r="B871">
            <v>2</v>
          </cell>
          <cell r="C871" t="str">
            <v>Brianroulstonite</v>
          </cell>
          <cell r="E871" t="str">
            <v>https://www.mindat.org/1:1:6834:1</v>
          </cell>
        </row>
        <row r="872">
          <cell r="A872">
            <v>3608</v>
          </cell>
          <cell r="B872">
            <v>2</v>
          </cell>
          <cell r="C872" t="str">
            <v>Brizziite</v>
          </cell>
          <cell r="E872" t="str">
            <v>https://www.mindat.org/1:1:778:0</v>
          </cell>
        </row>
        <row r="873">
          <cell r="A873">
            <v>3611</v>
          </cell>
          <cell r="B873">
            <v>2</v>
          </cell>
          <cell r="C873" t="str">
            <v>Brokenhillite</v>
          </cell>
          <cell r="E873" t="str">
            <v/>
          </cell>
        </row>
        <row r="874">
          <cell r="A874">
            <v>3621</v>
          </cell>
          <cell r="B874">
            <v>2</v>
          </cell>
          <cell r="C874" t="str">
            <v>Buchwaldite</v>
          </cell>
          <cell r="E874" t="str">
            <v/>
          </cell>
        </row>
        <row r="875">
          <cell r="A875">
            <v>3625</v>
          </cell>
          <cell r="B875">
            <v>2</v>
          </cell>
          <cell r="C875" t="str">
            <v>Buetschliite</v>
          </cell>
          <cell r="E875" t="str">
            <v/>
          </cell>
        </row>
        <row r="876">
          <cell r="A876">
            <v>3626</v>
          </cell>
          <cell r="B876">
            <v>2</v>
          </cell>
          <cell r="C876" t="str">
            <v>Bukovite</v>
          </cell>
          <cell r="E876" t="str">
            <v>https://www.mindat.org/1:1:797:5</v>
          </cell>
        </row>
        <row r="877">
          <cell r="A877">
            <v>3628</v>
          </cell>
          <cell r="B877">
            <v>2</v>
          </cell>
          <cell r="C877" t="str">
            <v>Bulachite</v>
          </cell>
          <cell r="E877" t="str">
            <v>https://www.mindat.org/1:1:799:3</v>
          </cell>
        </row>
        <row r="878">
          <cell r="A878">
            <v>3635</v>
          </cell>
          <cell r="B878">
            <v>2</v>
          </cell>
          <cell r="C878" t="str">
            <v>Burpalite</v>
          </cell>
          <cell r="E878" t="str">
            <v>https://www.mindat.org/1:1:806:2</v>
          </cell>
        </row>
        <row r="879">
          <cell r="A879">
            <v>3637</v>
          </cell>
          <cell r="B879">
            <v>2</v>
          </cell>
          <cell r="C879" t="str">
            <v>Burtite</v>
          </cell>
          <cell r="E879" t="str">
            <v>https://www.mindat.org/1:1:808:0</v>
          </cell>
        </row>
        <row r="880">
          <cell r="A880">
            <v>3641</v>
          </cell>
          <cell r="B880">
            <v>2</v>
          </cell>
          <cell r="C880" t="str">
            <v>Byelorussite-(Ce)</v>
          </cell>
          <cell r="E880" t="str">
            <v>https://www.mindat.org/1:1:812:3</v>
          </cell>
        </row>
        <row r="881">
          <cell r="A881">
            <v>3642</v>
          </cell>
          <cell r="B881">
            <v>2</v>
          </cell>
          <cell r="C881" t="str">
            <v>Byelorussite-[ce]</v>
          </cell>
          <cell r="E881" t="str">
            <v/>
          </cell>
        </row>
        <row r="882">
          <cell r="A882">
            <v>3643</v>
          </cell>
          <cell r="B882">
            <v>2</v>
          </cell>
          <cell r="C882" t="str">
            <v>Bystrite</v>
          </cell>
          <cell r="E882" t="str">
            <v>https://www.mindat.org/1:1:813:2</v>
          </cell>
        </row>
        <row r="883">
          <cell r="A883">
            <v>3648</v>
          </cell>
          <cell r="B883">
            <v>2</v>
          </cell>
          <cell r="C883" t="str">
            <v>Cabalzarite</v>
          </cell>
          <cell r="E883" t="str">
            <v>https://www.mindat.org/1:1:7027:6</v>
          </cell>
        </row>
        <row r="884">
          <cell r="A884">
            <v>3649</v>
          </cell>
          <cell r="B884">
            <v>2</v>
          </cell>
          <cell r="C884" t="str">
            <v>Cabriite</v>
          </cell>
          <cell r="E884" t="str">
            <v>https://www.mindat.org/1:1:837:2</v>
          </cell>
        </row>
        <row r="885">
          <cell r="A885">
            <v>3655</v>
          </cell>
          <cell r="B885">
            <v>2</v>
          </cell>
          <cell r="C885" t="str">
            <v>Cafetite</v>
          </cell>
          <cell r="E885" t="str">
            <v>https://www.mindat.org/1:1:850:3</v>
          </cell>
        </row>
        <row r="886">
          <cell r="A886">
            <v>3658</v>
          </cell>
          <cell r="B886">
            <v>2</v>
          </cell>
          <cell r="C886" t="str">
            <v>Calciborite</v>
          </cell>
          <cell r="E886" t="str">
            <v>https://www.mindat.org/1:1:854:9</v>
          </cell>
        </row>
        <row r="887">
          <cell r="A887">
            <v>3662</v>
          </cell>
          <cell r="B887">
            <v>2</v>
          </cell>
          <cell r="C887" t="str">
            <v>Calcioaravaipaite</v>
          </cell>
          <cell r="E887" t="str">
            <v>https://www.mindat.org/1:1:829:3</v>
          </cell>
        </row>
        <row r="888">
          <cell r="A888">
            <v>3663</v>
          </cell>
          <cell r="B888">
            <v>2</v>
          </cell>
          <cell r="C888" t="str">
            <v>Calciobetafite</v>
          </cell>
          <cell r="E888" t="str">
            <v/>
          </cell>
        </row>
        <row r="889">
          <cell r="A889">
            <v>3664</v>
          </cell>
          <cell r="B889">
            <v>2</v>
          </cell>
          <cell r="C889" t="str">
            <v>Calcioburbankite</v>
          </cell>
          <cell r="E889" t="str">
            <v>https://www.mindat.org/1:1:827:5</v>
          </cell>
        </row>
        <row r="890">
          <cell r="A890">
            <v>3665</v>
          </cell>
          <cell r="B890">
            <v>2</v>
          </cell>
          <cell r="C890" t="str">
            <v>Calciocopiapite</v>
          </cell>
          <cell r="E890" t="str">
            <v>https://www.mindat.org/1:1:826:6</v>
          </cell>
        </row>
        <row r="891">
          <cell r="A891">
            <v>3668</v>
          </cell>
          <cell r="B891">
            <v>2</v>
          </cell>
          <cell r="C891" t="str">
            <v>Calciosamarskite</v>
          </cell>
          <cell r="E891" t="str">
            <v>https://www.mindat.org/1:1:7962:0</v>
          </cell>
        </row>
        <row r="892">
          <cell r="A892">
            <v>3670</v>
          </cell>
          <cell r="B892">
            <v>2</v>
          </cell>
          <cell r="C892" t="str">
            <v>Calciouranoite</v>
          </cell>
          <cell r="E892" t="str">
            <v>https://www.mindat.org/1:1:828:4</v>
          </cell>
        </row>
        <row r="893">
          <cell r="A893">
            <v>3684</v>
          </cell>
          <cell r="B893">
            <v>2</v>
          </cell>
          <cell r="C893" t="str">
            <v>Camerolaite</v>
          </cell>
          <cell r="E893" t="str">
            <v/>
          </cell>
        </row>
        <row r="894">
          <cell r="A894">
            <v>3687</v>
          </cell>
          <cell r="B894">
            <v>2</v>
          </cell>
          <cell r="C894" t="str">
            <v>Caminite</v>
          </cell>
          <cell r="E894" t="str">
            <v>https://www.mindat.org/1:1:875:2</v>
          </cell>
        </row>
        <row r="895">
          <cell r="A895">
            <v>3695</v>
          </cell>
          <cell r="B895">
            <v>2</v>
          </cell>
          <cell r="C895" t="str">
            <v>Canizzarite</v>
          </cell>
          <cell r="E895" t="str">
            <v/>
          </cell>
        </row>
        <row r="896">
          <cell r="A896">
            <v>3698</v>
          </cell>
          <cell r="B896">
            <v>2</v>
          </cell>
          <cell r="C896" t="str">
            <v>Caoxite</v>
          </cell>
          <cell r="E896" t="str">
            <v>https://www.mindat.org/1:1:6845:7</v>
          </cell>
        </row>
        <row r="897">
          <cell r="A897">
            <v>3699</v>
          </cell>
          <cell r="B897">
            <v>2</v>
          </cell>
          <cell r="C897" t="str">
            <v>Capgaronnite</v>
          </cell>
          <cell r="E897" t="str">
            <v>https://www.mindat.org/1:1:886:8</v>
          </cell>
        </row>
        <row r="898">
          <cell r="A898">
            <v>3700</v>
          </cell>
          <cell r="B898">
            <v>2</v>
          </cell>
          <cell r="C898" t="str">
            <v>Capgarronite</v>
          </cell>
          <cell r="E898" t="str">
            <v/>
          </cell>
        </row>
        <row r="899">
          <cell r="A899">
            <v>3709</v>
          </cell>
          <cell r="B899">
            <v>2</v>
          </cell>
          <cell r="C899" t="str">
            <v>Caresite-3t</v>
          </cell>
          <cell r="E899" t="str">
            <v/>
          </cell>
        </row>
        <row r="900">
          <cell r="A900">
            <v>3716</v>
          </cell>
          <cell r="B900">
            <v>2</v>
          </cell>
          <cell r="C900" t="str">
            <v>Carlsbergite</v>
          </cell>
          <cell r="E900" t="str">
            <v>https://www.mindat.org/1:1:904:3</v>
          </cell>
        </row>
        <row r="901">
          <cell r="A901">
            <v>3723</v>
          </cell>
          <cell r="B901">
            <v>2</v>
          </cell>
          <cell r="C901" t="str">
            <v>Carraraite</v>
          </cell>
          <cell r="E901" t="str">
            <v>https://www.mindat.org/1:1:7038:2</v>
          </cell>
        </row>
        <row r="902">
          <cell r="A902">
            <v>3728</v>
          </cell>
          <cell r="B902">
            <v>2</v>
          </cell>
          <cell r="C902" t="str">
            <v>Cascandite</v>
          </cell>
          <cell r="E902" t="str">
            <v>https://www.mindat.org/1:1:914:0</v>
          </cell>
        </row>
        <row r="903">
          <cell r="A903">
            <v>3729</v>
          </cell>
          <cell r="B903">
            <v>2</v>
          </cell>
          <cell r="C903" t="str">
            <v>Cassedanneite</v>
          </cell>
          <cell r="E903" t="str">
            <v>https://www.mindat.org/1:1:915:9</v>
          </cell>
        </row>
        <row r="904">
          <cell r="A904">
            <v>3732</v>
          </cell>
          <cell r="B904">
            <v>2</v>
          </cell>
          <cell r="C904" t="str">
            <v>Caswellsilverite</v>
          </cell>
          <cell r="E904" t="str">
            <v/>
          </cell>
        </row>
        <row r="905">
          <cell r="A905">
            <v>3737</v>
          </cell>
          <cell r="B905">
            <v>2</v>
          </cell>
          <cell r="C905" t="str">
            <v>Cebaite-(Ce)</v>
          </cell>
          <cell r="E905" t="str">
            <v>https://www.mindat.org/1:1:923:8</v>
          </cell>
        </row>
        <row r="906">
          <cell r="A906">
            <v>3738</v>
          </cell>
          <cell r="B906">
            <v>2</v>
          </cell>
          <cell r="C906" t="str">
            <v>Cebaite-(Nd)</v>
          </cell>
          <cell r="E906" t="str">
            <v/>
          </cell>
        </row>
        <row r="907">
          <cell r="A907">
            <v>3746</v>
          </cell>
          <cell r="B907">
            <v>2</v>
          </cell>
          <cell r="C907" t="str">
            <v>Ceriopyrochlore-(Ce)</v>
          </cell>
          <cell r="E907" t="str">
            <v/>
          </cell>
        </row>
        <row r="908">
          <cell r="A908">
            <v>3749</v>
          </cell>
          <cell r="B908">
            <v>2</v>
          </cell>
          <cell r="C908" t="str">
            <v>Cerotungstite-(Ce)</v>
          </cell>
          <cell r="E908" t="str">
            <v/>
          </cell>
        </row>
        <row r="909">
          <cell r="A909">
            <v>3760</v>
          </cell>
          <cell r="B909">
            <v>2</v>
          </cell>
          <cell r="C909" t="str">
            <v>Cesplumtantite</v>
          </cell>
          <cell r="E909" t="str">
            <v>https://www.mindat.org/1:1:941:4</v>
          </cell>
        </row>
        <row r="910">
          <cell r="A910">
            <v>3761</v>
          </cell>
          <cell r="B910">
            <v>2</v>
          </cell>
          <cell r="C910" t="str">
            <v>Cesstibtantite</v>
          </cell>
          <cell r="E910" t="str">
            <v/>
          </cell>
        </row>
        <row r="911">
          <cell r="A911">
            <v>3769</v>
          </cell>
          <cell r="B911">
            <v>2</v>
          </cell>
          <cell r="C911" t="str">
            <v>Chaidamuite</v>
          </cell>
          <cell r="E911" t="str">
            <v>https://www.mindat.org/1:1:958:4</v>
          </cell>
        </row>
        <row r="912">
          <cell r="A912">
            <v>3783</v>
          </cell>
          <cell r="B912">
            <v>2</v>
          </cell>
          <cell r="C912" t="str">
            <v>Chameanite</v>
          </cell>
          <cell r="E912" t="str">
            <v/>
          </cell>
        </row>
        <row r="913">
          <cell r="A913">
            <v>3786</v>
          </cell>
          <cell r="B913">
            <v>2</v>
          </cell>
          <cell r="C913" t="str">
            <v>Changchengite</v>
          </cell>
          <cell r="E913" t="str">
            <v>https://www.mindat.org/1:1:6860:0</v>
          </cell>
        </row>
        <row r="914">
          <cell r="A914">
            <v>3792</v>
          </cell>
          <cell r="B914">
            <v>2</v>
          </cell>
          <cell r="C914" t="str">
            <v>Charmarite-2h</v>
          </cell>
          <cell r="E914" t="str">
            <v/>
          </cell>
        </row>
        <row r="915">
          <cell r="A915">
            <v>3793</v>
          </cell>
          <cell r="B915">
            <v>2</v>
          </cell>
          <cell r="C915" t="str">
            <v>Charmarite-3t</v>
          </cell>
          <cell r="E915" t="str">
            <v/>
          </cell>
        </row>
        <row r="916">
          <cell r="A916">
            <v>3795</v>
          </cell>
          <cell r="B916">
            <v>2</v>
          </cell>
          <cell r="C916" t="str">
            <v>Chatkalite</v>
          </cell>
          <cell r="E916" t="str">
            <v>https://www.mindat.org/1:1:973:3</v>
          </cell>
        </row>
        <row r="917">
          <cell r="A917">
            <v>3797</v>
          </cell>
          <cell r="B917">
            <v>2</v>
          </cell>
          <cell r="C917" t="str">
            <v>Chekhovichite</v>
          </cell>
          <cell r="E917" t="str">
            <v>https://www.mindat.org/1:1:984:9</v>
          </cell>
        </row>
        <row r="918">
          <cell r="A918">
            <v>3798</v>
          </cell>
          <cell r="B918">
            <v>2</v>
          </cell>
          <cell r="C918" t="str">
            <v>Chelkarite</v>
          </cell>
          <cell r="E918" t="str">
            <v>https://www.mindat.org/1:1:985:8</v>
          </cell>
        </row>
        <row r="919">
          <cell r="A919">
            <v>3800</v>
          </cell>
          <cell r="B919">
            <v>2</v>
          </cell>
          <cell r="C919" t="str">
            <v>Chengdeite</v>
          </cell>
          <cell r="E919" t="str">
            <v>https://www.mindat.org/1:1:1208:5</v>
          </cell>
        </row>
        <row r="920">
          <cell r="A920">
            <v>3802</v>
          </cell>
          <cell r="B920">
            <v>2</v>
          </cell>
          <cell r="C920" t="str">
            <v>Cheremnykhite</v>
          </cell>
          <cell r="E920" t="str">
            <v>https://www.mindat.org/1:1:989:4</v>
          </cell>
        </row>
        <row r="921">
          <cell r="A921">
            <v>3803</v>
          </cell>
          <cell r="B921">
            <v>2</v>
          </cell>
          <cell r="C921" t="str">
            <v>Cherepanovite</v>
          </cell>
          <cell r="E921" t="str">
            <v>https://www.mindat.org/1:1:990:0</v>
          </cell>
        </row>
        <row r="922">
          <cell r="A922">
            <v>3804</v>
          </cell>
          <cell r="B922">
            <v>2</v>
          </cell>
          <cell r="C922" t="str">
            <v>Chernikovite</v>
          </cell>
          <cell r="E922" t="str">
            <v>https://www.mindat.org/1:1:991:9</v>
          </cell>
        </row>
        <row r="923">
          <cell r="A923">
            <v>3806</v>
          </cell>
          <cell r="B923">
            <v>2</v>
          </cell>
          <cell r="C923" t="str">
            <v>Chernykhite</v>
          </cell>
          <cell r="E923" t="str">
            <v>https://www.mindat.org/1:1:993:7</v>
          </cell>
        </row>
        <row r="924">
          <cell r="A924">
            <v>3808</v>
          </cell>
          <cell r="B924">
            <v>2</v>
          </cell>
          <cell r="C924" t="str">
            <v>Chessexite</v>
          </cell>
          <cell r="E924" t="str">
            <v>https://www.mindat.org/1:1:996:4</v>
          </cell>
        </row>
        <row r="925">
          <cell r="A925">
            <v>3815</v>
          </cell>
          <cell r="B925">
            <v>2</v>
          </cell>
          <cell r="C925" t="str">
            <v>Chiluite</v>
          </cell>
          <cell r="E925" t="str">
            <v>https://www.mindat.org/1:1:1004:3</v>
          </cell>
        </row>
        <row r="926">
          <cell r="A926">
            <v>3816</v>
          </cell>
          <cell r="B926">
            <v>2</v>
          </cell>
          <cell r="C926" t="str">
            <v>Chilunite</v>
          </cell>
          <cell r="E926" t="str">
            <v/>
          </cell>
        </row>
        <row r="927">
          <cell r="A927">
            <v>3819</v>
          </cell>
          <cell r="B927">
            <v>2</v>
          </cell>
          <cell r="C927" t="str">
            <v>Chladniite</v>
          </cell>
          <cell r="E927" t="str">
            <v>https://www.mindat.org/1:1:1008:1</v>
          </cell>
        </row>
        <row r="928">
          <cell r="A928">
            <v>3823</v>
          </cell>
          <cell r="B928">
            <v>2</v>
          </cell>
          <cell r="C928" t="str">
            <v>Chlorartinite</v>
          </cell>
          <cell r="E928" t="str">
            <v>https://www.mindat.org/1:1:6868:6</v>
          </cell>
        </row>
        <row r="929">
          <cell r="A929">
            <v>3827</v>
          </cell>
          <cell r="B929">
            <v>2</v>
          </cell>
          <cell r="C929" t="str">
            <v>Chlormagaluminite</v>
          </cell>
          <cell r="E929" t="str">
            <v>https://www.mindat.org/1:1:1018:0</v>
          </cell>
        </row>
        <row r="930">
          <cell r="A930">
            <v>3830</v>
          </cell>
          <cell r="B930">
            <v>2</v>
          </cell>
          <cell r="C930" t="str">
            <v>Chloromenite</v>
          </cell>
          <cell r="E930" t="str">
            <v>https://www.mindat.org/1:1:6869:3</v>
          </cell>
        </row>
        <row r="931">
          <cell r="A931">
            <v>3836</v>
          </cell>
          <cell r="B931">
            <v>2</v>
          </cell>
          <cell r="C931" t="str">
            <v>Chrisstanleyite</v>
          </cell>
          <cell r="E931" t="str">
            <v>https://www.mindat.org/1:1:1028:9</v>
          </cell>
        </row>
        <row r="932">
          <cell r="A932">
            <v>3840</v>
          </cell>
          <cell r="B932">
            <v>2</v>
          </cell>
          <cell r="C932" t="str">
            <v>Chrombismite</v>
          </cell>
          <cell r="E932" t="str">
            <v>https://www.mindat.org/1:1:6871:6</v>
          </cell>
        </row>
        <row r="933">
          <cell r="A933">
            <v>3841</v>
          </cell>
          <cell r="B933">
            <v>2</v>
          </cell>
          <cell r="C933" t="str">
            <v>Chromceladonite</v>
          </cell>
          <cell r="E933" t="str">
            <v>https://www.mindat.org/1:1:7091:7</v>
          </cell>
        </row>
        <row r="934">
          <cell r="A934">
            <v>3842</v>
          </cell>
          <cell r="B934">
            <v>2</v>
          </cell>
          <cell r="C934" t="str">
            <v>Chromdravite</v>
          </cell>
          <cell r="E934" t="str">
            <v/>
          </cell>
        </row>
        <row r="935">
          <cell r="A935">
            <v>3843</v>
          </cell>
          <cell r="B935">
            <v>2</v>
          </cell>
          <cell r="C935" t="str">
            <v>Chromferide</v>
          </cell>
          <cell r="E935" t="str">
            <v>https://www.mindat.org/1:1:1035:7</v>
          </cell>
        </row>
        <row r="936">
          <cell r="A936">
            <v>3846</v>
          </cell>
          <cell r="B936">
            <v>2</v>
          </cell>
          <cell r="C936" t="str">
            <v>Chromphyllite</v>
          </cell>
          <cell r="E936" t="str">
            <v>https://www.mindat.org/1:1:6872:3</v>
          </cell>
        </row>
        <row r="937">
          <cell r="A937">
            <v>3855</v>
          </cell>
          <cell r="B937">
            <v>2</v>
          </cell>
          <cell r="C937" t="str">
            <v>Chursinite</v>
          </cell>
          <cell r="E937" t="str">
            <v>https://www.mindat.org/1:1:1048:7</v>
          </cell>
        </row>
        <row r="938">
          <cell r="A938">
            <v>3856</v>
          </cell>
          <cell r="B938">
            <v>2</v>
          </cell>
          <cell r="C938" t="str">
            <v>Chvaleticeite</v>
          </cell>
          <cell r="E938" t="str">
            <v>https://www.mindat.org/1:1:1049:4</v>
          </cell>
        </row>
        <row r="939">
          <cell r="A939">
            <v>3857</v>
          </cell>
          <cell r="B939">
            <v>2</v>
          </cell>
          <cell r="C939" t="str">
            <v>Chvilevaite</v>
          </cell>
          <cell r="E939" t="str">
            <v>https://www.mindat.org/1:1:1050:0</v>
          </cell>
        </row>
        <row r="940">
          <cell r="A940">
            <v>3858</v>
          </cell>
          <cell r="B940">
            <v>2</v>
          </cell>
          <cell r="C940" t="str">
            <v>Cianciulliite</v>
          </cell>
          <cell r="E940" t="str">
            <v>https://www.mindat.org/1:1:1051:7</v>
          </cell>
        </row>
        <row r="941">
          <cell r="A941">
            <v>3859</v>
          </cell>
          <cell r="B941">
            <v>2</v>
          </cell>
          <cell r="C941" t="str">
            <v>Ciguenza</v>
          </cell>
          <cell r="E941" t="str">
            <v/>
          </cell>
        </row>
        <row r="942">
          <cell r="A942">
            <v>3861</v>
          </cell>
          <cell r="B942">
            <v>2</v>
          </cell>
          <cell r="C942" t="str">
            <v>Clairite</v>
          </cell>
          <cell r="E942" t="str">
            <v>https://www.mindat.org/1:1:1056:2</v>
          </cell>
        </row>
        <row r="943">
          <cell r="A943">
            <v>3867</v>
          </cell>
          <cell r="B943">
            <v>2</v>
          </cell>
          <cell r="C943" t="str">
            <v>Clearcreekite</v>
          </cell>
          <cell r="E943" t="str">
            <v>https://www.mindat.org/1:1:7073:3</v>
          </cell>
        </row>
        <row r="944">
          <cell r="A944">
            <v>3868</v>
          </cell>
          <cell r="B944">
            <v>2</v>
          </cell>
          <cell r="C944" t="str">
            <v>Clerite</v>
          </cell>
          <cell r="E944" t="str">
            <v>https://www.mindat.org/1:1:6876:1</v>
          </cell>
        </row>
        <row r="945">
          <cell r="A945">
            <v>3871</v>
          </cell>
          <cell r="B945">
            <v>2</v>
          </cell>
          <cell r="C945" t="str">
            <v>Clinoatacamite</v>
          </cell>
          <cell r="E945" t="str">
            <v>https://www.mindat.org/1:1:1065:4</v>
          </cell>
        </row>
        <row r="946">
          <cell r="A946">
            <v>3872</v>
          </cell>
          <cell r="B946">
            <v>2</v>
          </cell>
          <cell r="C946" t="str">
            <v>Clinobehoite</v>
          </cell>
          <cell r="E946" t="str">
            <v>https://www.mindat.org/1:1:1066:1</v>
          </cell>
        </row>
        <row r="947">
          <cell r="A947">
            <v>3874</v>
          </cell>
          <cell r="B947">
            <v>2</v>
          </cell>
          <cell r="C947" t="str">
            <v>Clinocervantite</v>
          </cell>
          <cell r="E947" t="str">
            <v>https://www.mindat.org/1:1:6879:2</v>
          </cell>
        </row>
        <row r="948">
          <cell r="A948">
            <v>3875</v>
          </cell>
          <cell r="B948">
            <v>2</v>
          </cell>
          <cell r="C948" t="str">
            <v>Clinochalcomenite</v>
          </cell>
          <cell r="E948" t="str">
            <v/>
          </cell>
        </row>
        <row r="949">
          <cell r="A949">
            <v>3880</v>
          </cell>
          <cell r="B949">
            <v>2</v>
          </cell>
          <cell r="C949" t="str">
            <v>Clinoferroholmquistite</v>
          </cell>
          <cell r="E949" t="str">
            <v/>
          </cell>
        </row>
        <row r="950">
          <cell r="A950">
            <v>3883</v>
          </cell>
          <cell r="B950">
            <v>2</v>
          </cell>
          <cell r="C950" t="str">
            <v>Clinoholmquistite</v>
          </cell>
          <cell r="E950" t="str">
            <v/>
          </cell>
        </row>
        <row r="951">
          <cell r="A951">
            <v>3886</v>
          </cell>
          <cell r="B951">
            <v>2</v>
          </cell>
          <cell r="C951" t="str">
            <v>Clinokurchatovite</v>
          </cell>
          <cell r="E951" t="str">
            <v>https://www.mindat.org/1:1:1079:1</v>
          </cell>
        </row>
        <row r="952">
          <cell r="A952">
            <v>3888</v>
          </cell>
          <cell r="B952">
            <v>2</v>
          </cell>
          <cell r="C952" t="str">
            <v>Clinophosinaite</v>
          </cell>
          <cell r="E952" t="str">
            <v>https://www.mindat.org/1:1:1081:4</v>
          </cell>
        </row>
        <row r="953">
          <cell r="A953">
            <v>3894</v>
          </cell>
          <cell r="B953">
            <v>2</v>
          </cell>
          <cell r="C953" t="str">
            <v>Clinotobermorite</v>
          </cell>
          <cell r="E953" t="str">
            <v>https://www.mindat.org/1:1:1084:5</v>
          </cell>
        </row>
        <row r="954">
          <cell r="A954">
            <v>3896</v>
          </cell>
          <cell r="B954">
            <v>2</v>
          </cell>
          <cell r="C954" t="str">
            <v>Clinoungemachite</v>
          </cell>
          <cell r="E954" t="str">
            <v>https://www.mindat.org/1:1:1086:9</v>
          </cell>
        </row>
        <row r="955">
          <cell r="A955">
            <v>3901</v>
          </cell>
          <cell r="B955">
            <v>2</v>
          </cell>
          <cell r="C955" t="str">
            <v>Cobalt-zippeite</v>
          </cell>
          <cell r="E955" t="str">
            <v/>
          </cell>
        </row>
        <row r="956">
          <cell r="A956">
            <v>3905</v>
          </cell>
          <cell r="B956">
            <v>2</v>
          </cell>
          <cell r="C956" t="str">
            <v>Cobaltolotharmeyerite</v>
          </cell>
          <cell r="E956" t="str">
            <v/>
          </cell>
        </row>
        <row r="957">
          <cell r="A957">
            <v>3907</v>
          </cell>
          <cell r="B957">
            <v>2</v>
          </cell>
          <cell r="C957" t="str">
            <v>Cochromite</v>
          </cell>
          <cell r="E957" t="str">
            <v>https://www.mindat.org/1:1:1101:9</v>
          </cell>
        </row>
        <row r="958">
          <cell r="A958">
            <v>3923</v>
          </cell>
          <cell r="B958">
            <v>2</v>
          </cell>
          <cell r="C958" t="str">
            <v>Congolite</v>
          </cell>
          <cell r="E958" t="str">
            <v>https://www.mindat.org/1:1:1118:7</v>
          </cell>
        </row>
        <row r="959">
          <cell r="A959">
            <v>3926</v>
          </cell>
          <cell r="B959">
            <v>2</v>
          </cell>
          <cell r="C959" t="str">
            <v>Consumed</v>
          </cell>
          <cell r="D959" t="str">
            <v>deprecate. Not a material</v>
          </cell>
          <cell r="E959" t="str">
            <v/>
          </cell>
        </row>
        <row r="960">
          <cell r="A960">
            <v>3930</v>
          </cell>
          <cell r="B960">
            <v>2</v>
          </cell>
          <cell r="C960" t="str">
            <v>Coparsite</v>
          </cell>
          <cell r="E960" t="str">
            <v>https://www.mindat.org/1:1:6889:1</v>
          </cell>
        </row>
        <row r="961">
          <cell r="A961">
            <v>3941</v>
          </cell>
          <cell r="B961">
            <v>2</v>
          </cell>
          <cell r="C961" t="str">
            <v>Abenakiite-(Ce)</v>
          </cell>
          <cell r="E961" t="str">
            <v>https://www.mindat.org/1:1:2:4</v>
          </cell>
        </row>
        <row r="962">
          <cell r="A962">
            <v>3946</v>
          </cell>
          <cell r="B962">
            <v>2</v>
          </cell>
          <cell r="C962" t="str">
            <v>Acetamide</v>
          </cell>
          <cell r="E962" t="str">
            <v>https://www.mindat.org/1:1:13:6</v>
          </cell>
        </row>
        <row r="963">
          <cell r="A963">
            <v>3948</v>
          </cell>
          <cell r="B963">
            <v>2</v>
          </cell>
          <cell r="C963" t="str">
            <v>Acuminite</v>
          </cell>
          <cell r="E963" t="str">
            <v>https://www.mindat.org/1:1:19:8</v>
          </cell>
        </row>
        <row r="964">
          <cell r="A964">
            <v>3950</v>
          </cell>
          <cell r="B964">
            <v>2</v>
          </cell>
          <cell r="C964" t="str">
            <v>Adamsite-(Y)</v>
          </cell>
          <cell r="E964" t="str">
            <v>https://www.mindat.org/1:1:7088:7</v>
          </cell>
        </row>
        <row r="965">
          <cell r="A965">
            <v>3975</v>
          </cell>
          <cell r="B965">
            <v>2</v>
          </cell>
          <cell r="C965" t="str">
            <v>Akdalaite</v>
          </cell>
          <cell r="E965" t="str">
            <v>https://www.mindat.org/1:1:69:3</v>
          </cell>
        </row>
        <row r="966">
          <cell r="A966">
            <v>3977</v>
          </cell>
          <cell r="B966">
            <v>2</v>
          </cell>
          <cell r="C966" t="str">
            <v>Akhtenskite</v>
          </cell>
          <cell r="E966" t="str">
            <v>https://www.mindat.org/1:1:71:6</v>
          </cell>
        </row>
        <row r="967">
          <cell r="A967">
            <v>3978</v>
          </cell>
          <cell r="B967">
            <v>2</v>
          </cell>
          <cell r="C967" t="str">
            <v>Akimotoite</v>
          </cell>
          <cell r="E967" t="str">
            <v/>
          </cell>
        </row>
        <row r="968">
          <cell r="A968">
            <v>3985</v>
          </cell>
          <cell r="B968">
            <v>2</v>
          </cell>
          <cell r="C968" t="str">
            <v>Alarsite</v>
          </cell>
          <cell r="E968" t="str">
            <v>https://www.mindat.org/1:1:94:5</v>
          </cell>
        </row>
        <row r="969">
          <cell r="A969">
            <v>3987</v>
          </cell>
          <cell r="B969">
            <v>2</v>
          </cell>
          <cell r="C969" t="str">
            <v>Albrechtschraufite</v>
          </cell>
          <cell r="E969" t="str">
            <v>https://www.mindat.org/1:1:97:6</v>
          </cell>
        </row>
        <row r="970">
          <cell r="A970">
            <v>3989</v>
          </cell>
          <cell r="B970">
            <v>2</v>
          </cell>
          <cell r="C970" t="str">
            <v>Aldzhanite</v>
          </cell>
          <cell r="E970" t="str">
            <v/>
          </cell>
        </row>
        <row r="971">
          <cell r="A971">
            <v>3990</v>
          </cell>
          <cell r="B971">
            <v>2</v>
          </cell>
          <cell r="C971" t="str">
            <v>Aleksite</v>
          </cell>
          <cell r="E971" t="str">
            <v>https://www.mindat.org/1:1:108:7</v>
          </cell>
        </row>
        <row r="972">
          <cell r="A972">
            <v>4003</v>
          </cell>
          <cell r="B972">
            <v>2</v>
          </cell>
          <cell r="C972" t="str">
            <v>Alluaivite</v>
          </cell>
          <cell r="E972" t="str">
            <v>https://www.mindat.org/1:1:141:2</v>
          </cell>
        </row>
        <row r="973">
          <cell r="A973">
            <v>4009</v>
          </cell>
          <cell r="B973">
            <v>2</v>
          </cell>
          <cell r="C973" t="str">
            <v>Althupite</v>
          </cell>
          <cell r="E973" t="str">
            <v>https://www.mindat.org/1:1:149:4</v>
          </cell>
        </row>
        <row r="974">
          <cell r="A974">
            <v>4010</v>
          </cell>
          <cell r="B974">
            <v>2</v>
          </cell>
          <cell r="C974" t="str">
            <v>Altisite</v>
          </cell>
          <cell r="E974" t="str">
            <v>https://www.mindat.org/1:1:150:0</v>
          </cell>
        </row>
        <row r="975">
          <cell r="A975">
            <v>4013</v>
          </cell>
          <cell r="B975">
            <v>2</v>
          </cell>
          <cell r="C975" t="str">
            <v>Aluminium</v>
          </cell>
          <cell r="E975" t="str">
            <v>https://www.mindat.org/1:1:107:8</v>
          </cell>
        </row>
        <row r="976">
          <cell r="A976">
            <v>4014</v>
          </cell>
          <cell r="B976">
            <v>2</v>
          </cell>
          <cell r="C976" t="str">
            <v>Aluminoceladonite</v>
          </cell>
          <cell r="E976" t="str">
            <v>https://www.mindat.org/1:1:6795:5</v>
          </cell>
        </row>
        <row r="977">
          <cell r="A977">
            <v>4016</v>
          </cell>
          <cell r="B977">
            <v>2</v>
          </cell>
          <cell r="C977" t="str">
            <v>Aluminokatophorite</v>
          </cell>
          <cell r="E977" t="str">
            <v/>
          </cell>
        </row>
        <row r="978">
          <cell r="A978">
            <v>4020</v>
          </cell>
          <cell r="B978">
            <v>2</v>
          </cell>
          <cell r="C978" t="str">
            <v>Alumoklyuchevskite</v>
          </cell>
          <cell r="E978" t="str">
            <v>https://www.mindat.org/1:1:6799:3</v>
          </cell>
        </row>
        <row r="979">
          <cell r="A979">
            <v>4022</v>
          </cell>
          <cell r="B979">
            <v>2</v>
          </cell>
          <cell r="C979" t="str">
            <v>Alumotantite</v>
          </cell>
          <cell r="E979" t="str">
            <v>https://www.mindat.org/1:1:159:1</v>
          </cell>
        </row>
        <row r="980">
          <cell r="A980">
            <v>4023</v>
          </cell>
          <cell r="B980">
            <v>2</v>
          </cell>
          <cell r="C980" t="str">
            <v>Alumotungstite</v>
          </cell>
          <cell r="E980" t="str">
            <v/>
          </cell>
        </row>
        <row r="981">
          <cell r="A981">
            <v>4027</v>
          </cell>
          <cell r="B981">
            <v>2</v>
          </cell>
          <cell r="C981" t="str">
            <v>Amakinite</v>
          </cell>
          <cell r="E981" t="str">
            <v>https://www.mindat.org/1:1:180:1</v>
          </cell>
        </row>
        <row r="982">
          <cell r="A982">
            <v>4028</v>
          </cell>
          <cell r="B982">
            <v>2</v>
          </cell>
          <cell r="C982" t="str">
            <v>Amalgam</v>
          </cell>
          <cell r="E982" t="str">
            <v/>
          </cell>
        </row>
        <row r="983">
          <cell r="A983">
            <v>4037</v>
          </cell>
          <cell r="B983">
            <v>2</v>
          </cell>
          <cell r="C983" t="str">
            <v>Potassic-magnesiosadanagaite</v>
          </cell>
          <cell r="E983" t="str">
            <v/>
          </cell>
        </row>
        <row r="984">
          <cell r="A984">
            <v>4038</v>
          </cell>
          <cell r="B984">
            <v>2</v>
          </cell>
          <cell r="C984" t="str">
            <v>Potassicferrisadanagaite</v>
          </cell>
          <cell r="E984" t="str">
            <v/>
          </cell>
        </row>
        <row r="985">
          <cell r="A985">
            <v>4039</v>
          </cell>
          <cell r="B985">
            <v>2</v>
          </cell>
          <cell r="C985" t="str">
            <v>Potassicpargasite</v>
          </cell>
          <cell r="E985" t="str">
            <v/>
          </cell>
        </row>
        <row r="986">
          <cell r="A986">
            <v>4040</v>
          </cell>
          <cell r="B986">
            <v>2</v>
          </cell>
          <cell r="C986" t="str">
            <v>Potassicsadanagaite</v>
          </cell>
          <cell r="E986" t="str">
            <v/>
          </cell>
        </row>
        <row r="987">
          <cell r="A987">
            <v>4057</v>
          </cell>
          <cell r="B987">
            <v>2</v>
          </cell>
          <cell r="C987" t="str">
            <v>Andremeyerite</v>
          </cell>
          <cell r="E987" t="str">
            <v/>
          </cell>
        </row>
        <row r="988">
          <cell r="A988">
            <v>4058</v>
          </cell>
          <cell r="B988">
            <v>2</v>
          </cell>
          <cell r="C988" t="str">
            <v>Androsite-(La)</v>
          </cell>
          <cell r="E988" t="str">
            <v/>
          </cell>
        </row>
        <row r="989">
          <cell r="A989">
            <v>4059</v>
          </cell>
          <cell r="B989">
            <v>2</v>
          </cell>
          <cell r="C989" t="str">
            <v>Anduoite</v>
          </cell>
          <cell r="E989" t="str">
            <v>https://www.mindat.org/1:1:227:1</v>
          </cell>
        </row>
        <row r="990">
          <cell r="A990">
            <v>4076</v>
          </cell>
          <cell r="B990">
            <v>2</v>
          </cell>
          <cell r="C990" t="str">
            <v>Antimonselite</v>
          </cell>
          <cell r="E990" t="str">
            <v>https://www.mindat.org/1:1:266:0</v>
          </cell>
        </row>
        <row r="991">
          <cell r="A991">
            <v>4079</v>
          </cell>
          <cell r="B991">
            <v>2</v>
          </cell>
          <cell r="C991" t="str">
            <v>Anyuiite</v>
          </cell>
          <cell r="E991" t="str">
            <v>https://www.mindat.org/1:1:271:2</v>
          </cell>
        </row>
        <row r="992">
          <cell r="A992">
            <v>4084</v>
          </cell>
          <cell r="B992">
            <v>2</v>
          </cell>
          <cell r="C992" t="str">
            <v>Aplowite</v>
          </cell>
          <cell r="E992" t="str">
            <v>https://www.mindat.org/1:1:282:8</v>
          </cell>
        </row>
        <row r="993">
          <cell r="A993">
            <v>4093</v>
          </cell>
          <cell r="B993">
            <v>2</v>
          </cell>
          <cell r="C993" t="str">
            <v>Arctite</v>
          </cell>
          <cell r="E993" t="str">
            <v>https://www.mindat.org/1:1:316:4</v>
          </cell>
        </row>
        <row r="994">
          <cell r="A994">
            <v>4094</v>
          </cell>
          <cell r="B994">
            <v>2</v>
          </cell>
          <cell r="C994" t="str">
            <v>Arcubisite</v>
          </cell>
          <cell r="E994" t="str">
            <v>https://www.mindat.org/1:1:318:2</v>
          </cell>
        </row>
        <row r="995">
          <cell r="A995">
            <v>4095</v>
          </cell>
          <cell r="B995">
            <v>2</v>
          </cell>
          <cell r="C995" t="str">
            <v>Ardaite</v>
          </cell>
          <cell r="E995" t="str">
            <v>https://www.mindat.org/1:1:320:7</v>
          </cell>
        </row>
        <row r="996">
          <cell r="A996">
            <v>4102</v>
          </cell>
          <cell r="B996">
            <v>2</v>
          </cell>
          <cell r="C996" t="str">
            <v>Argentotennantite</v>
          </cell>
          <cell r="E996" t="str">
            <v/>
          </cell>
        </row>
        <row r="997">
          <cell r="A997">
            <v>4111</v>
          </cell>
          <cell r="B997">
            <v>2</v>
          </cell>
          <cell r="C997" t="str">
            <v>Arnhemite</v>
          </cell>
          <cell r="E997" t="str">
            <v/>
          </cell>
        </row>
        <row r="998">
          <cell r="A998">
            <v>4132</v>
          </cell>
          <cell r="B998">
            <v>2</v>
          </cell>
          <cell r="C998" t="str">
            <v>Arsenuranospathite</v>
          </cell>
          <cell r="E998" t="str">
            <v>https://www.mindat.org/1:1:373:9</v>
          </cell>
        </row>
        <row r="999">
          <cell r="A999">
            <v>4133</v>
          </cell>
          <cell r="B999">
            <v>2</v>
          </cell>
          <cell r="C999" t="str">
            <v>Arsenuranylite</v>
          </cell>
          <cell r="E999" t="str">
            <v>https://www.mindat.org/1:1:374:8</v>
          </cell>
        </row>
        <row r="1000">
          <cell r="A1000">
            <v>4136</v>
          </cell>
          <cell r="B1000">
            <v>2</v>
          </cell>
          <cell r="C1000" t="str">
            <v>Artroeite</v>
          </cell>
          <cell r="E1000" t="str">
            <v>https://www.mindat.org/1:1:378:4</v>
          </cell>
        </row>
        <row r="1001">
          <cell r="A1001">
            <v>4138</v>
          </cell>
          <cell r="B1001">
            <v>2</v>
          </cell>
          <cell r="C1001" t="str">
            <v>Arzakite</v>
          </cell>
          <cell r="E1001" t="str">
            <v/>
          </cell>
        </row>
        <row r="1002">
          <cell r="A1002">
            <v>4143</v>
          </cell>
          <cell r="B1002">
            <v>2</v>
          </cell>
          <cell r="C1002" t="str">
            <v>Ashanite</v>
          </cell>
          <cell r="E1002" t="str">
            <v/>
          </cell>
        </row>
        <row r="1003">
          <cell r="A1003">
            <v>4144</v>
          </cell>
          <cell r="B1003">
            <v>2</v>
          </cell>
          <cell r="C1003" t="str">
            <v>Ashburtonite</v>
          </cell>
          <cell r="E1003" t="str">
            <v>https://www.mindat.org/1:1:388:1</v>
          </cell>
        </row>
        <row r="1004">
          <cell r="A1004">
            <v>4146</v>
          </cell>
          <cell r="B1004">
            <v>2</v>
          </cell>
          <cell r="C1004" t="str">
            <v>Ashoverite</v>
          </cell>
          <cell r="E1004" t="str">
            <v>https://www.mindat.org/1:1:453:4</v>
          </cell>
        </row>
        <row r="1005">
          <cell r="A1005">
            <v>4156</v>
          </cell>
          <cell r="B1005">
            <v>2</v>
          </cell>
          <cell r="C1005" t="str">
            <v>Atlasovite</v>
          </cell>
          <cell r="E1005" t="str">
            <v>https://www.mindat.org/1:1:412:7</v>
          </cell>
        </row>
        <row r="1006">
          <cell r="A1006">
            <v>4162</v>
          </cell>
          <cell r="B1006">
            <v>2</v>
          </cell>
          <cell r="C1006" t="str">
            <v>Aurantimonate</v>
          </cell>
          <cell r="E1006" t="str">
            <v/>
          </cell>
        </row>
        <row r="1007">
          <cell r="A1007">
            <v>4169</v>
          </cell>
          <cell r="B1007">
            <v>2</v>
          </cell>
          <cell r="C1007" t="str">
            <v>Averievite</v>
          </cell>
          <cell r="E1007" t="str">
            <v>https://www.mindat.org/1:1:6811:2</v>
          </cell>
        </row>
        <row r="1008">
          <cell r="A1008">
            <v>4175</v>
          </cell>
          <cell r="B1008">
            <v>2</v>
          </cell>
          <cell r="C1008" t="str">
            <v>Babefphite</v>
          </cell>
          <cell r="E1008" t="str">
            <v>https://www.mindat.org/1:1:476:5</v>
          </cell>
        </row>
        <row r="1009">
          <cell r="A1009">
            <v>4177</v>
          </cell>
          <cell r="B1009">
            <v>2</v>
          </cell>
          <cell r="C1009" t="str">
            <v>Babkinite</v>
          </cell>
          <cell r="E1009" t="str">
            <v>https://www.mindat.org/1:1:6812:9</v>
          </cell>
        </row>
        <row r="1010">
          <cell r="A1010">
            <v>4180</v>
          </cell>
          <cell r="B1010">
            <v>2</v>
          </cell>
          <cell r="C1010" t="str">
            <v>Baghdadite</v>
          </cell>
          <cell r="E1010" t="str">
            <v>https://www.mindat.org/1:1:483:5</v>
          </cell>
        </row>
        <row r="1011">
          <cell r="A1011">
            <v>4183</v>
          </cell>
          <cell r="B1011">
            <v>2</v>
          </cell>
          <cell r="C1011" t="str">
            <v>Baiyuneboite</v>
          </cell>
          <cell r="E1011" t="str">
            <v/>
          </cell>
        </row>
        <row r="1012">
          <cell r="A1012">
            <v>4185</v>
          </cell>
          <cell r="B1012">
            <v>2</v>
          </cell>
          <cell r="C1012" t="str">
            <v>Baiyuneboite-(Ce)</v>
          </cell>
          <cell r="E1012" t="str">
            <v/>
          </cell>
        </row>
        <row r="1013">
          <cell r="A1013">
            <v>4204</v>
          </cell>
          <cell r="B1013">
            <v>2</v>
          </cell>
          <cell r="C1013" t="str">
            <v>Crawfordite</v>
          </cell>
          <cell r="E1013" t="str">
            <v>https://www.mindat.org/1:1:1148:4</v>
          </cell>
        </row>
        <row r="1014">
          <cell r="A1014">
            <v>4206</v>
          </cell>
          <cell r="B1014">
            <v>2</v>
          </cell>
          <cell r="C1014" t="str">
            <v>Criddleite</v>
          </cell>
          <cell r="E1014" t="str">
            <v>https://www.mindat.org/1:1:1154:5</v>
          </cell>
        </row>
        <row r="1015">
          <cell r="A1015">
            <v>4210</v>
          </cell>
          <cell r="B1015">
            <v>2</v>
          </cell>
          <cell r="C1015" t="str">
            <v>Cronstedtite-1m</v>
          </cell>
          <cell r="E1015" t="str">
            <v/>
          </cell>
        </row>
        <row r="1016">
          <cell r="A1016">
            <v>4217</v>
          </cell>
          <cell r="B1016">
            <v>2</v>
          </cell>
          <cell r="C1016" t="str">
            <v>Csikolavaite</v>
          </cell>
          <cell r="E1016" t="str">
            <v/>
          </cell>
        </row>
        <row r="1017">
          <cell r="A1017">
            <v>4218</v>
          </cell>
          <cell r="B1017">
            <v>2</v>
          </cell>
          <cell r="C1017" t="str">
            <v>Cualstibite</v>
          </cell>
          <cell r="E1017" t="str">
            <v>https://www.mindat.org/1:1:1167:5</v>
          </cell>
        </row>
        <row r="1018">
          <cell r="A1018">
            <v>4222</v>
          </cell>
          <cell r="B1018">
            <v>2</v>
          </cell>
          <cell r="C1018" t="str">
            <v>Allminerals</v>
          </cell>
          <cell r="D1018" t="str">
            <v>deprecate</v>
          </cell>
          <cell r="E1018" t="str">
            <v/>
          </cell>
        </row>
        <row r="1019">
          <cell r="A1019">
            <v>4230</v>
          </cell>
          <cell r="B1019">
            <v>2</v>
          </cell>
          <cell r="C1019" t="str">
            <v>Dervillite</v>
          </cell>
          <cell r="E1019" t="str">
            <v>https://www.mindat.org/1:1:1265:8</v>
          </cell>
        </row>
        <row r="1020">
          <cell r="A1020">
            <v>4233</v>
          </cell>
          <cell r="B1020">
            <v>2</v>
          </cell>
          <cell r="C1020" t="str">
            <v>Despujolsite</v>
          </cell>
          <cell r="E1020" t="str">
            <v>https://www.mindat.org/1:1:1269:6</v>
          </cell>
        </row>
        <row r="1021">
          <cell r="A1021">
            <v>4234</v>
          </cell>
          <cell r="B1021">
            <v>2</v>
          </cell>
          <cell r="C1021" t="str">
            <v>Dessauite</v>
          </cell>
          <cell r="E1021" t="str">
            <v/>
          </cell>
        </row>
        <row r="1022">
          <cell r="A1022">
            <v>4240</v>
          </cell>
          <cell r="B1022">
            <v>2</v>
          </cell>
          <cell r="C1022" t="str">
            <v>Diaoyudaoite</v>
          </cell>
          <cell r="E1022" t="str">
            <v>https://www.mindat.org/1:1:1283:2</v>
          </cell>
        </row>
        <row r="1023">
          <cell r="A1023">
            <v>4246</v>
          </cell>
          <cell r="B1023">
            <v>2</v>
          </cell>
          <cell r="C1023" t="str">
            <v>Dienerite</v>
          </cell>
          <cell r="E1023" t="str">
            <v/>
          </cell>
        </row>
        <row r="1024">
          <cell r="A1024">
            <v>5237</v>
          </cell>
          <cell r="B1024">
            <v>2</v>
          </cell>
          <cell r="C1024" t="str">
            <v>Mineral&gt;Native Element</v>
          </cell>
          <cell r="D1024" t="str">
            <v>Nickel-Strunz class 01</v>
          </cell>
          <cell r="E1024" t="str">
            <v>ming:nativeelementmineral</v>
          </cell>
        </row>
        <row r="1025">
          <cell r="A1025">
            <v>5238</v>
          </cell>
          <cell r="B1025">
            <v>2</v>
          </cell>
          <cell r="C1025" t="str">
            <v>Mineral&gt;Sulfide or Sulfosalt</v>
          </cell>
          <cell r="D1025" t="str">
            <v>Nickel-Strunz class 02</v>
          </cell>
          <cell r="E1025" t="str">
            <v>ming:sulfidesulfosaltmineral</v>
          </cell>
        </row>
        <row r="1026">
          <cell r="A1026">
            <v>5239</v>
          </cell>
          <cell r="B1026">
            <v>2</v>
          </cell>
          <cell r="C1026" t="str">
            <v>Mineral&gt;Halide</v>
          </cell>
          <cell r="D1026" t="str">
            <v>Nickel-Strunz class 03</v>
          </cell>
          <cell r="E1026" t="str">
            <v>ming:halidemineral</v>
          </cell>
        </row>
        <row r="1027">
          <cell r="A1027">
            <v>5240</v>
          </cell>
          <cell r="B1027">
            <v>2</v>
          </cell>
          <cell r="C1027" t="str">
            <v>Mineral&gt;Oxide</v>
          </cell>
          <cell r="D1027" t="str">
            <v>Nickel-Strunz class 04</v>
          </cell>
          <cell r="E1027" t="str">
            <v>ming:oxidemineral</v>
          </cell>
        </row>
        <row r="1028">
          <cell r="A1028">
            <v>5241</v>
          </cell>
          <cell r="B1028">
            <v>2</v>
          </cell>
          <cell r="C1028" t="str">
            <v>Mineral&gt;Carbonate or Nitrate</v>
          </cell>
          <cell r="D1028" t="str">
            <v>Nickel-Strunz class 05</v>
          </cell>
          <cell r="E1028" t="str">
            <v>ming:carbonatenitratemineral</v>
          </cell>
        </row>
        <row r="1029">
          <cell r="A1029">
            <v>5242</v>
          </cell>
          <cell r="B1029">
            <v>2</v>
          </cell>
          <cell r="C1029" t="str">
            <v>Mineral&gt;Borate</v>
          </cell>
          <cell r="D1029" t="str">
            <v>Nickel-Strunz class 06</v>
          </cell>
          <cell r="E1029" t="str">
            <v>ming:boratemineral</v>
          </cell>
        </row>
        <row r="1030">
          <cell r="A1030">
            <v>5243</v>
          </cell>
          <cell r="B1030">
            <v>2</v>
          </cell>
          <cell r="C1030" t="str">
            <v>Mineral&gt;Sulfate, Selenate, or Tellurate</v>
          </cell>
          <cell r="D1030" t="str">
            <v>Nickel-Strunz class 07</v>
          </cell>
          <cell r="E1030" t="str">
            <v>ming:sulfateselenatetelluratemineral</v>
          </cell>
        </row>
        <row r="1031">
          <cell r="A1031">
            <v>5244</v>
          </cell>
          <cell r="B1031">
            <v>2</v>
          </cell>
          <cell r="C1031" t="str">
            <v>Mineral&gt;Phosphate, Arsenate, or Vanadate</v>
          </cell>
          <cell r="D1031" t="str">
            <v>Nickel-Strunz class 08</v>
          </cell>
          <cell r="E1031" t="str">
            <v>ming:phosphatearsenatevanadatemineral</v>
          </cell>
        </row>
        <row r="1032">
          <cell r="A1032">
            <v>5245</v>
          </cell>
          <cell r="B1032">
            <v>2</v>
          </cell>
          <cell r="C1032" t="str">
            <v>Mineral&gt;Silicate or Germanate</v>
          </cell>
          <cell r="D1032" t="str">
            <v>Nickel-Strunz class 09</v>
          </cell>
          <cell r="E1032" t="str">
            <v>ming:silicategermanatemineral</v>
          </cell>
        </row>
        <row r="1033">
          <cell r="A1033">
            <v>5246</v>
          </cell>
          <cell r="B1033">
            <v>2</v>
          </cell>
          <cell r="C1033" t="str">
            <v>Mineral&gt;Organic Compound</v>
          </cell>
          <cell r="D1033" t="str">
            <v>Nickel-Strunz class 10</v>
          </cell>
          <cell r="E1033" t="str">
            <v>ming:organicmineral</v>
          </cell>
        </row>
        <row r="1034">
          <cell r="A1034">
            <v>5247</v>
          </cell>
          <cell r="B1034">
            <v>2</v>
          </cell>
          <cell r="C1034" t="str">
            <v>Mineral&gt;Organic Compound</v>
          </cell>
          <cell r="D1034" t="str">
            <v>Organic mineral</v>
          </cell>
          <cell r="E1034" t="str">
            <v>ming:organicmineral</v>
          </cell>
        </row>
        <row r="1035">
          <cell r="A1035">
            <v>4</v>
          </cell>
          <cell r="B1035">
            <v>3</v>
          </cell>
          <cell r="C1035" t="str">
            <v>Natural Solid Material</v>
          </cell>
          <cell r="D1035" t="str">
            <v>A naturally occurring solid material that is not anthropogenic, biogenic, or ice.</v>
          </cell>
          <cell r="E1035" t="str">
            <v>mat:earthmaterial</v>
          </cell>
        </row>
        <row r="1036">
          <cell r="A1036">
            <v>4252</v>
          </cell>
          <cell r="B1036">
            <v>3</v>
          </cell>
          <cell r="C1036" t="str">
            <v>Biogenic material</v>
          </cell>
          <cell r="D1036" t="str">
            <v>Material formed by a living organism, organic or inorganic composition</v>
          </cell>
          <cell r="E1036" t="str">
            <v>sesrs:biogenic_material</v>
          </cell>
        </row>
        <row r="1037">
          <cell r="A1037">
            <v>5008</v>
          </cell>
          <cell r="B1037">
            <v>3</v>
          </cell>
          <cell r="C1037" t="str">
            <v>Anthropogenic material</v>
          </cell>
          <cell r="D1037" t="str">
            <v>Material produced by human activity.</v>
          </cell>
          <cell r="E1037" t="str">
            <v>mat:anyanthropogenicmaterial</v>
          </cell>
        </row>
        <row r="1038">
          <cell r="A1038">
            <v>5248</v>
          </cell>
          <cell r="B1038">
            <v>3</v>
          </cell>
          <cell r="C1038" t="str">
            <v>Fluid material</v>
          </cell>
          <cell r="D1038" t="str">
            <v xml:space="preserve">Substance that continually deforms (flows) under an applied shear stress, or external force. Fluids are a phase of matter and include liquids, gases and plasmas. They are substances with zero or small shear modulus, and flow at a perceptible rate under any shear force applied to them. </v>
          </cell>
          <cell r="E1038" t="str">
            <v>mat:fluid</v>
          </cell>
        </row>
        <row r="1039">
          <cell r="A1039">
            <v>6001</v>
          </cell>
          <cell r="B1039">
            <v>3</v>
          </cell>
          <cell r="C1039" t="str">
            <v>Any ice</v>
          </cell>
          <cell r="D1039" t="str">
            <v>a material that is in a solid state under the temperature and pressure conditions of the preserved sample, but is a liquid or gas at Standard Temperature and Pressure (STP).</v>
          </cell>
          <cell r="E1039" t="str">
            <v>mat:anyice</v>
          </cell>
        </row>
        <row r="1040">
          <cell r="A1040">
            <v>6002</v>
          </cell>
          <cell r="B1040">
            <v>3</v>
          </cell>
          <cell r="C1040" t="str">
            <v>Dispersed media</v>
          </cell>
          <cell r="D1040" t="str">
            <v>Material that contains discrete elements of some material dispersed in a continuous fluid medium.  The dispersed component can be a gas, a liquid or a solid (based on https://en.wikipedia.org/wiki/Dispersed_media). Does not include mixtures of granular material like soil, sediment, particulate, or solids that would be considered  rock material.</v>
          </cell>
          <cell r="E1040" t="str">
            <v>mat:dispersedmedia</v>
          </cell>
        </row>
        <row r="1041">
          <cell r="A1041">
            <v>6169</v>
          </cell>
          <cell r="B1041">
            <v>3</v>
          </cell>
          <cell r="C1041" t="str">
            <v>Non-consolidated material</v>
          </cell>
          <cell r="D1041" t="str">
            <v>compoundMaterial composed of an aggregation of particles that do not adhere to each other strongly enough that the aggregate can be considered a solid in its own right.</v>
          </cell>
          <cell r="E1041" t="str">
            <v>sesrs:Unconsolidated_Material</v>
          </cell>
        </row>
        <row r="1042">
          <cell r="A1042">
            <v>1</v>
          </cell>
          <cell r="B1042">
            <v>4</v>
          </cell>
          <cell r="C1042" t="str">
            <v>Rock or non-consolidated Earth material</v>
          </cell>
          <cell r="D1042" t="str">
            <v>Material is rock, sediment, or other non-consolidated igneous or composite gensis material.</v>
          </cell>
          <cell r="E1042" t="str">
            <v>mat:rockorsediment</v>
          </cell>
        </row>
        <row r="1043">
          <cell r="A1043">
            <v>2</v>
          </cell>
          <cell r="B1043">
            <v>4</v>
          </cell>
          <cell r="C1043" t="str">
            <v>Mineral</v>
          </cell>
          <cell r="D1043" t="str">
            <v>Material consists of a single mineral or mineraloid phase. -A mineral is an element or chemical compound that is normally crystalline and that has been formed as a result of geological processes.- (Nickel, Ernest H. (1995), The definition of a mineral, The Canadian Mineralogist. 33 (3): 689–90). Include mineraloids. A material primarily composed of some substance that is naturally occurring, solid and stable at room temperature, representable by a chemical formula, usually abiogenic, and that has an ordered atomic structure. (http://purl.obolibrary.org/obo/ENVO_01000256). The identity of a mineral species is defined by a crystal structure and a chemical composition that might include various specific elemental substitutions in that structure. Mineraloid: A naturally occurring mineral-like substance that does not demonstrate crystallinity. Mineraloids possess chemical compositions that vary beyond the generally accepted ranges for specific minerals. Examples: obsidian, Opal. (https://en.wikipedia.org/wiki/Mineraloid)</v>
          </cell>
          <cell r="E1043" t="str">
            <v>mat:mineral</v>
          </cell>
        </row>
        <row r="1044">
          <cell r="A1044">
            <v>4256</v>
          </cell>
          <cell r="B1044">
            <v>4</v>
          </cell>
          <cell r="C1044" t="str">
            <v>Soil</v>
          </cell>
          <cell r="D1044" t="str">
            <v xml:space="preserve">Mixed granular mineral and organic matter modified by interaction between earth material, biosphere, and atmosphere, consisting of varying proportions of sand, silt, and clay, organic material such as humus, gases, liquids, and a broad range of resident micro- and macroorganisms. (https://en.wikipedia.org/wiki/Soil) Soil consists of horizons near the Earth's surface that, in contrast to the underlying parent material, have been altered by the interactions of climate, relief, and living organisms over time. (http://www.nrcs.usda.gov/wps/portal/nrcs/detail/soils/edu/?cid=nrcs142p2_054280) (http://purl.obolibrary.org/obo/ENVO_00001998) </v>
          </cell>
          <cell r="E1044" t="str">
            <v>mat:soil</v>
          </cell>
        </row>
        <row r="1045">
          <cell r="A1045">
            <v>4258</v>
          </cell>
          <cell r="B1045">
            <v>4</v>
          </cell>
          <cell r="C1045" t="str">
            <v>Particulate</v>
          </cell>
          <cell r="D1045" t="str">
            <v>Material consists of microscopic particulate material derived by precipitation, filtering, or settling from suspension in a fluid, e.g. filtrate from water, deposition from atmosphere, astro material particles. Might include mineral, organic, or biological material. ENVO definition (ENVO_01000060) has "composed of microscopic portions of solid or liquid material suspended in another environmental material." Refine here to define as the solid particles, distinct from a material in which they are suspended. A material that includes solid or liquid particles suspended in another material would be a dispersed_media in this scheme, not defined in ENVO. Human manufactured particulates (e.g. rock powder) should be categorized as 'Anthropogenic material' as well as 'Particulate' .</v>
          </cell>
          <cell r="E1045" t="str">
            <v>mat:particulate</v>
          </cell>
        </row>
        <row r="1046">
          <cell r="A1046">
            <v>6003</v>
          </cell>
          <cell r="B1046">
            <v>4</v>
          </cell>
          <cell r="C1046" t="str">
            <v>Mixed soil sediment or rock</v>
          </cell>
          <cell r="D1046" t="str">
            <v>Material is mixed aggregation of fragments of undifferentiated soil, sediment or rock origin. e.g. cuttings from some boreholes (rock fragments and caved soil or sediment).</v>
          </cell>
          <cell r="E1046" t="str">
            <v>mat:mixedsoilsedimentrock</v>
          </cell>
        </row>
        <row r="1047">
          <cell r="A1047">
            <v>4262</v>
          </cell>
          <cell r="B1047">
            <v>4252</v>
          </cell>
          <cell r="C1047" t="str">
            <v xml:space="preserve">Biogenic non-organic material </v>
          </cell>
          <cell r="D1047" t="str">
            <v xml:space="preserve">Material produced by an organism but not composed of very large molecules of biological origin. E.g. bone, tooth, shell, coral, skeleton </v>
          </cell>
          <cell r="E1047" t="str">
            <v>mat:biogenicnonorganicmaterial</v>
          </cell>
        </row>
        <row r="1048">
          <cell r="A1048">
            <v>5162</v>
          </cell>
          <cell r="B1048">
            <v>4252</v>
          </cell>
          <cell r="C1048" t="str">
            <v>Organic material</v>
          </cell>
          <cell r="D1048" t="str">
            <v xml:space="preserve">Material derived from living organisms and composed primarily of one or more very large molecules of biological origin. Examples: body (animal or plant), body part, fecal matter, seeds, wood, tissue, biological fluids, biological waste, algal material, biofilm, necromass, plankton. source: http://purl.obolibrary.org/obo/ENVO_01000155 </v>
          </cell>
          <cell r="E1048" t="str">
            <v>mat:organicmaterial</v>
          </cell>
        </row>
        <row r="1049">
          <cell r="A1049">
            <v>5216</v>
          </cell>
          <cell r="B1049">
            <v>4257</v>
          </cell>
          <cell r="C1049" t="str">
            <v>Sedimentary material&gt;Tephra</v>
          </cell>
          <cell r="D1049" t="str">
            <v>Unconsolidated pyroclastic material in which greater than 75 percent of the fragments are deposited as a direct result of volcanic processes and the deposit has not been reworked by epiclastic processes. Includes ash, lapilli tephra, bomb tephra, block tephra and unconsolidated agglomerate.</v>
          </cell>
          <cell r="E1049" t="str">
            <v>rksd:Tephra</v>
          </cell>
        </row>
        <row r="1050">
          <cell r="A1050">
            <v>6013</v>
          </cell>
          <cell r="B1050">
            <v>4257</v>
          </cell>
          <cell r="C1050" t="str">
            <v>Biogenic sediment</v>
          </cell>
          <cell r="D1050" t="str">
            <v>Sediment composed of greater than 50 percent material of biogenic origin. Because the biogenic material may be skeletal remains that are not organic, all biogenic sediment is not necessarily organic-rich.</v>
          </cell>
          <cell r="E1050" t="str">
            <v>rksd:Biogenic_Sediment</v>
          </cell>
        </row>
        <row r="1051">
          <cell r="A1051">
            <v>6016</v>
          </cell>
          <cell r="B1051">
            <v>4257</v>
          </cell>
          <cell r="C1051" t="str">
            <v>Carbonate sediment</v>
          </cell>
          <cell r="D1051" t="str">
            <v>Sediment in which at least 50 percent of the primary and/or recrystallized constituents are composed of one (or more) of the carbonate minerals calcite, aragonite and dolomite, in particles of intrabasinal origin.</v>
          </cell>
          <cell r="E1051" t="str">
            <v>rksd:Carbonate_Sediment</v>
          </cell>
        </row>
        <row r="1052">
          <cell r="A1052">
            <v>6020</v>
          </cell>
          <cell r="B1052">
            <v>4257</v>
          </cell>
          <cell r="C1052" t="str">
            <v>Clastic sediment</v>
          </cell>
          <cell r="D1052" t="str">
            <v>Sediment in which at least 50 percent of the constituent particles were derived from erosion, weathering, or mass-wasting of pre-existing earth materials, and transported to the place of deposition by mechanical agents such as water, wind, ice and gravity.</v>
          </cell>
          <cell r="E1052" t="str">
            <v>rksd:Clastic_Sediment</v>
          </cell>
        </row>
        <row r="1053">
          <cell r="A1053">
            <v>6043</v>
          </cell>
          <cell r="B1053">
            <v>4257</v>
          </cell>
          <cell r="C1053" t="str">
            <v>Gravel size sediment</v>
          </cell>
          <cell r="D1053" t="str">
            <v>Sediment containing greater than 30 percent gravel-size particles (greater than 2.0 mm diameter). Composition or gensis of clasts not specified.</v>
          </cell>
          <cell r="E1053" t="str">
            <v>rksd:Gravel_Size_Sediment</v>
          </cell>
        </row>
        <row r="1054">
          <cell r="A1054">
            <v>6046</v>
          </cell>
          <cell r="B1054">
            <v>4257</v>
          </cell>
          <cell r="C1054" t="str">
            <v>Hybrid sediment</v>
          </cell>
          <cell r="D1054" t="str">
            <v>Sediment that does not fit any of the other sediment composition/genesis categories. Sediment consisting of three or more components which form more than 5 percent but less than 50 precent of the material.</v>
          </cell>
          <cell r="E1054" t="str">
            <v>rksd:Hybrid_Sediment</v>
          </cell>
        </row>
        <row r="1055">
          <cell r="A1055">
            <v>6049</v>
          </cell>
          <cell r="B1055">
            <v>4257</v>
          </cell>
          <cell r="C1055" t="str">
            <v>Iron rich sediment</v>
          </cell>
          <cell r="D1055" t="str">
            <v>Sediment that consists of at least 50 percent iron-bearing minerals (hematite, magnetite, limonite-group, siderite, iron-sulfides), as determined by hand-lens or petrographic analysis. Corresponds to a rock typically containing 15 percent iron by weight.</v>
          </cell>
          <cell r="E1055" t="str">
            <v>rksd:Iron_Rich_Sediment</v>
          </cell>
        </row>
        <row r="1056">
          <cell r="A1056">
            <v>6053</v>
          </cell>
          <cell r="B1056">
            <v>4257</v>
          </cell>
          <cell r="C1056" t="str">
            <v>Mud size sediment</v>
          </cell>
          <cell r="D1056" t="str">
            <v>Sediment consisting of less than 30 percent gravel-size (2 mm) particles and with a mud-size to sand-size particle ratio greater than 1. Clasts may be of any composition or origin.</v>
          </cell>
          <cell r="E1056" t="str">
            <v>rksd:Mud_Size_Sediment</v>
          </cell>
        </row>
        <row r="1057">
          <cell r="A1057">
            <v>6055</v>
          </cell>
          <cell r="B1057">
            <v>4257</v>
          </cell>
          <cell r="C1057" t="str">
            <v>Non clastic siliceous sediment</v>
          </cell>
          <cell r="D1057" t="str">
            <v>Sediment that consists of at least 50 percent silicate mineral material, deposited directly by chemical or biological processes at the depositional surface, or in particles formed by chemical or biological processes within the basin of deposition.</v>
          </cell>
          <cell r="E1057" t="str">
            <v>rksd:Non_Clastic_Siliceous_Sediment</v>
          </cell>
        </row>
        <row r="1058">
          <cell r="A1058">
            <v>6061</v>
          </cell>
          <cell r="B1058">
            <v>4257</v>
          </cell>
          <cell r="C1058" t="str">
            <v>Phosphate rich sediment</v>
          </cell>
          <cell r="D1058" t="str">
            <v>Sediment in which at least 50 percent of the primary and/or recrystallized constituents are phosphate minerals.</v>
          </cell>
          <cell r="E1058" t="str">
            <v>rksd:Phosphate_Rich_Sediment</v>
          </cell>
        </row>
        <row r="1059">
          <cell r="A1059">
            <v>6068</v>
          </cell>
          <cell r="B1059">
            <v>4257</v>
          </cell>
          <cell r="C1059" t="str">
            <v>Sand size sediment</v>
          </cell>
          <cell r="D1059" t="str">
            <v>Sediment in which less than 30 percent of particles are gravel (greater than 2 mm in diameter) and the sand to mud ratio is at least 1. composition or genesis of clasts not specified.</v>
          </cell>
          <cell r="E1059" t="str">
            <v>rksd:Sand_Size_Sediment</v>
          </cell>
        </row>
        <row r="1060">
          <cell r="A1060">
            <v>3937</v>
          </cell>
          <cell r="B1060">
            <v>4262</v>
          </cell>
          <cell r="C1060" t="str">
            <v>Coral</v>
          </cell>
        </row>
        <row r="1061">
          <cell r="A1061">
            <v>5133</v>
          </cell>
          <cell r="B1061">
            <v>5008</v>
          </cell>
          <cell r="C1061" t="str">
            <v xml:space="preserve">Manufactured chemical substance </v>
          </cell>
          <cell r="D1061" t="str">
            <v>material is an artifically produced sustance consisting of a single chemical entity</v>
          </cell>
          <cell r="E1061" t="str">
            <v>sesrs:manufactured_chemical_substance</v>
          </cell>
        </row>
        <row r="1062">
          <cell r="A1062">
            <v>5250</v>
          </cell>
          <cell r="B1062">
            <v>5008</v>
          </cell>
          <cell r="C1062" t="str">
            <v>Mineral Processing Product</v>
          </cell>
          <cell r="D1062" t="str">
            <v>Materials resulting from mineral processing for resource extraction. Includes tailings, slag, matte, concentrate etc.</v>
          </cell>
          <cell r="E1062" t="str">
            <v>sesrs:mineral_processing_product</v>
          </cell>
        </row>
        <row r="1063">
          <cell r="A1063">
            <v>6000</v>
          </cell>
          <cell r="B1063">
            <v>5008</v>
          </cell>
          <cell r="C1063" t="str">
            <v xml:space="preserve">Anthropogenic metal material </v>
          </cell>
          <cell r="D1063" t="str">
            <v>Metal that has been produced or used by humans. Samples of naturally occurring metallic material (e.g. native copper, gold nuggets) should be considered mineral material. Metallic material is material that when polished or fractured, shows a lustrous appearance, and conducts electricity and heat relatively well. Metals are typically malleable (they can be hammered into thin sheets) or ductile (can be drawn into wires). The boundaries between metals, nonmetals, and metalloids fluctuate slightly due to a lack of universally accepted definitions of the categories involved. (https://en.wikipedia.org/wiki/Metal, c.f. http://purl.obolibrary.org/obo/ENVO_01001069)</v>
          </cell>
          <cell r="E1063" t="str">
            <v>mat:anthropogenicmetal</v>
          </cell>
        </row>
        <row r="1064">
          <cell r="A1064">
            <v>6004</v>
          </cell>
          <cell r="B1064">
            <v>5008</v>
          </cell>
          <cell r="C1064" t="str">
            <v>Other anthropogenic material</v>
          </cell>
          <cell r="D1064" t="str">
            <v>Non-metallic material produced by human activity. Organic products of agricultural activity are both anthropogenic and organic. Include lab preparations like XRF pellet and rock powders. Examples: ceramics, (anthropogenic) glass, waste.</v>
          </cell>
          <cell r="E1064" t="str">
            <v>mat:otheranthropogenicmaterial</v>
          </cell>
        </row>
        <row r="1065">
          <cell r="A1065">
            <v>6079</v>
          </cell>
          <cell r="B1065">
            <v>5008</v>
          </cell>
          <cell r="C1065" t="str">
            <v>Anthropogenic unconsolidated material</v>
          </cell>
          <cell r="D1065" t="str">
            <v>Unconsolidated material known to have artificial (human-related) origin.</v>
          </cell>
          <cell r="E1065" t="str">
            <v>sesrs:Anthropogenic_Unconsolidated_Material</v>
          </cell>
        </row>
        <row r="1066">
          <cell r="A1066">
            <v>6103</v>
          </cell>
          <cell r="B1066">
            <v>5008</v>
          </cell>
          <cell r="C1066" t="str">
            <v>Concrete</v>
          </cell>
          <cell r="D1066" t="str">
            <v>Material composed of coarse- to medium-grained particulate material bonded together with a fluid cement that cures to a solid over time.</v>
          </cell>
          <cell r="E1066" t="str">
            <v>sesrs:Concrete</v>
          </cell>
        </row>
        <row r="1067">
          <cell r="A1067">
            <v>6017</v>
          </cell>
          <cell r="B1067">
            <v>5041</v>
          </cell>
          <cell r="C1067" t="str">
            <v>Carbonate sedimentary rock</v>
          </cell>
          <cell r="D1067" t="str">
            <v>Sedimentary rock in which at least 50 percent of the primary and/or recrystallized constituents are composed of one (or more) of the carbonate minerals calcite, aragonite, magnesite or dolomite.</v>
          </cell>
          <cell r="E1067" t="str">
            <v>rksd:Carbonate_Sedimentary_Rock</v>
          </cell>
        </row>
        <row r="1068">
          <cell r="A1068">
            <v>6090</v>
          </cell>
          <cell r="B1068">
            <v>5041</v>
          </cell>
          <cell r="C1068" t="str">
            <v>Calcareous carbonate sedimentary material</v>
          </cell>
          <cell r="D1068" t="str">
            <v>Carbonate sedimentary material of unspecified consolidation state with a calcite (plus aragonite) to dolomite ratio greater than 1 to 1. Includes lime-sediments, limestone and dolomitic limestone.</v>
          </cell>
          <cell r="E1068" t="str">
            <v>sesrs:Calcareous_Carbonate_Sedimentary_Material</v>
          </cell>
        </row>
        <row r="1069">
          <cell r="A1069">
            <v>6104</v>
          </cell>
          <cell r="B1069">
            <v>5041</v>
          </cell>
          <cell r="C1069" t="str">
            <v>Dolomitic or magnesian sedimentary material</v>
          </cell>
          <cell r="D1069" t="str">
            <v>Carbonate sedimentary material of unspecified consolidation degree with a ratio of magnesium carbonate to calcite (plus aragonite) greater than 1 to 1. Includes dolomite sediment, dolostone, lime dolostone and magnesite-stone.</v>
          </cell>
          <cell r="E1069" t="str">
            <v>sesrs:Dolomitic_Or_Magnesian_Sedimentary_Material</v>
          </cell>
        </row>
        <row r="1070">
          <cell r="A1070">
            <v>6021</v>
          </cell>
          <cell r="B1070">
            <v>5047</v>
          </cell>
          <cell r="C1070" t="str">
            <v>Clastic sedimentary rock</v>
          </cell>
          <cell r="D1070" t="str">
            <v>Sedimentary rock in which at least 50 percent of the constituent particles were derived from erosion, weathering, or mass-wasting of pre-existing earth materials, and transported to the place of deposition by mechanical agents such as water, wind, ice and gravity.</v>
          </cell>
          <cell r="E1070" t="str">
            <v>rksd:Clastic_Sedimentary_Rock</v>
          </cell>
        </row>
        <row r="1071">
          <cell r="A1071">
            <v>6110</v>
          </cell>
          <cell r="B1071">
            <v>5067</v>
          </cell>
          <cell r="C1071" t="str">
            <v>Exotic evaporite</v>
          </cell>
          <cell r="D1071" t="str">
            <v>Evaporite that is not 50 percent halite or 50 percent gypsum or anhydrite.</v>
          </cell>
          <cell r="E1071" t="str">
            <v>sesrs:exotic_evaporite</v>
          </cell>
        </row>
        <row r="1072">
          <cell r="A1072">
            <v>6153</v>
          </cell>
          <cell r="B1072">
            <v>5067</v>
          </cell>
          <cell r="C1072" t="str">
            <v>Gypsum or anhydrite</v>
          </cell>
          <cell r="D1072" t="str">
            <v>Evaporite composed of at least 50 percent gypsum or anhydrite.</v>
          </cell>
          <cell r="E1072" t="str">
            <v>sesrs:rock_gypsum_or_anhydrite</v>
          </cell>
        </row>
        <row r="1073">
          <cell r="A1073">
            <v>6154</v>
          </cell>
          <cell r="B1073">
            <v>5067</v>
          </cell>
          <cell r="C1073" t="str">
            <v>Rock salt</v>
          </cell>
          <cell r="D1073" t="str">
            <v>Evaporite composed of at least 50 percent halite.</v>
          </cell>
          <cell r="E1073" t="str">
            <v>sesrs:rock_salt</v>
          </cell>
        </row>
        <row r="1074">
          <cell r="A1074">
            <v>6097</v>
          </cell>
          <cell r="B1074">
            <v>5069</v>
          </cell>
          <cell r="C1074" t="str">
            <v>Carbonatite</v>
          </cell>
          <cell r="D1074" t="str">
            <v>Igneous rock composed of more than 50 percent modal carbonate minerals.</v>
          </cell>
          <cell r="E1074" t="str">
            <v>sesrs:Carbonatite</v>
          </cell>
        </row>
        <row r="1075">
          <cell r="A1075">
            <v>6109</v>
          </cell>
          <cell r="B1075">
            <v>5069</v>
          </cell>
          <cell r="C1075" t="str">
            <v>Exotic alkaline rock</v>
          </cell>
          <cell r="D1075" t="str">
            <v>Kimberlite, lamproite, or lamprophyre. Generally are potassic, mafic or ultramafic rocks. Olivine (commonly serpentinized in kimberlite), and phlogopite are significant constituents.</v>
          </cell>
          <cell r="E1075" t="str">
            <v>sesrs:Exotic_Alkaline_Rock</v>
          </cell>
        </row>
        <row r="1076">
          <cell r="A1076">
            <v>6126</v>
          </cell>
          <cell r="B1076">
            <v>5069</v>
          </cell>
          <cell r="C1076" t="str">
            <v>Kalsilitic and melilitic rocks</v>
          </cell>
          <cell r="D1076" t="str">
            <v>Igneous rock containing greater than 10 percent melilite or kalsilite. Typically undersaturated, ultrapotassic (kalsilitic rocks) or calcium-rich (melilitic rocks) mafic or ultramafic rocks.</v>
          </cell>
          <cell r="E1076" t="str">
            <v>sesrs:Kalsilitic_And_Melilitic_Rock</v>
          </cell>
        </row>
        <row r="1077">
          <cell r="A1077">
            <v>6015</v>
          </cell>
          <cell r="B1077">
            <v>5071</v>
          </cell>
          <cell r="C1077" t="str">
            <v>Breccia gouge series</v>
          </cell>
          <cell r="D1077" t="str">
            <v>Fault-related material with features such as void spaces (filled or unfilled), or unconsolidated matrix material between fragments, indicating loss of cohesion during deformation. Includes fault-related breccia and gouge.</v>
          </cell>
          <cell r="E1077" t="str">
            <v>rksd:breccia_gouge_series</v>
          </cell>
        </row>
        <row r="1078">
          <cell r="A1078">
            <v>6018</v>
          </cell>
          <cell r="B1078">
            <v>5071</v>
          </cell>
          <cell r="C1078" t="str">
            <v>Cataclasite series</v>
          </cell>
          <cell r="D1078" t="str">
            <v>Fault-related rock that maintained primary cohesion during deformation, with matrix comprising greater than 10 percent of rock mass; matrix is fine-grained material formed through grain size reduction by fracture as opposed to crystal plastic process that operate in mylonitic rock. Includes cataclasite, protocataclasite and ultracataclasite.</v>
          </cell>
          <cell r="E1078" t="str">
            <v>rksd:Cataclasite_Series</v>
          </cell>
        </row>
        <row r="1079">
          <cell r="A1079">
            <v>6054</v>
          </cell>
          <cell r="B1079">
            <v>5071</v>
          </cell>
          <cell r="C1079" t="str">
            <v>Mylonitic rock</v>
          </cell>
          <cell r="D1079" t="str">
            <v>Metamorphic rock characterised by a foliation resulting from tectonic grain size reduction, in which more than 10 percent of the rock volume has undergone grain size reduction. Includes protomylonite, mylonite, ultramylonite, and blastomylonite.</v>
          </cell>
          <cell r="E1079" t="str">
            <v>rksd:Mylonitic_Rock</v>
          </cell>
        </row>
        <row r="1080">
          <cell r="A1080">
            <v>6098</v>
          </cell>
          <cell r="B1080">
            <v>5088</v>
          </cell>
          <cell r="C1080" t="str">
            <v>Conglomerate</v>
          </cell>
          <cell r="D1080" t="str">
            <v>Clastic sedimentary rock composed of at least 30 percent rounded to subangular fragments larger than 2 mm in diameter; typically contains finer grained material in interstices between larger fragments. If more than 15 percent of the fine grained matrix is of indeterminant clastic or diagenetic origin and the fabric is matrix supported, may also be categorized as wackestone. If rock has unsorted or poorly sorted texture with a wide range of particle sizes, may also be categorized as diamictite.</v>
          </cell>
          <cell r="E1080" t="str">
            <v>sesrs:Clastic_Conglomerate</v>
          </cell>
        </row>
        <row r="1081">
          <cell r="A1081">
            <v>6141</v>
          </cell>
          <cell r="B1081">
            <v>5092</v>
          </cell>
          <cell r="C1081" t="str">
            <v>Orthogneiss</v>
          </cell>
          <cell r="D1081" t="str">
            <v>A gneiss with mineralogy and texture indicating derivation from a phaneritic igneous rock protolith. Typically consists of abundant feldspar, with quartz, and variable hornblende, biotite, and muscovite, with a relatively homogeneous character.</v>
          </cell>
          <cell r="E1081" t="str">
            <v>sesrs:Orthogneiss</v>
          </cell>
        </row>
        <row r="1082">
          <cell r="A1082">
            <v>6143</v>
          </cell>
          <cell r="B1082">
            <v>5092</v>
          </cell>
          <cell r="C1082" t="str">
            <v>Paragneiss</v>
          </cell>
          <cell r="D1082" t="str">
            <v>A gneiss with mineralogy and texture indicating derivation from a sedimentary rock protolith. Typically consists of abundant quartz, mica, or calcsilicate minerals; aluminosilicate minerals or garnet commonly present. composition of rock tends to be more variable on a decimetric scale that in orthogneiss.</v>
          </cell>
          <cell r="E1082" t="str">
            <v>sesrs:Paragneiss</v>
          </cell>
        </row>
        <row r="1083">
          <cell r="A1083">
            <v>6119</v>
          </cell>
          <cell r="B1083">
            <v>5097</v>
          </cell>
          <cell r="C1083" t="str">
            <v>Hornfels</v>
          </cell>
          <cell r="D1083" t="str">
            <v>Granofels formed by contact metamorphism, composed of a mosaic of equidimensional grains in a characteristically granoblastic or decussate matrix; porphyroblasts or relict phenocrysts may be present. Typically fine grained.</v>
          </cell>
          <cell r="E1083" t="str">
            <v>sesrs:Hornfels</v>
          </cell>
        </row>
        <row r="1084">
          <cell r="A1084">
            <v>5228</v>
          </cell>
          <cell r="B1084">
            <v>5111</v>
          </cell>
          <cell r="C1084" t="str">
            <v>Volcanic material</v>
          </cell>
          <cell r="D1084" t="str">
            <v xml:space="preserve">Material exhibiting features demonstrating an extrusive igneous origin. Consolidated or non-consolidated </v>
          </cell>
          <cell r="E1084" t="str">
            <v>sesrs:volcanic_material</v>
          </cell>
        </row>
        <row r="1085">
          <cell r="A1085">
            <v>6076</v>
          </cell>
          <cell r="B1085">
            <v>5111</v>
          </cell>
          <cell r="C1085" t="str">
            <v>Acidic igneous material</v>
          </cell>
          <cell r="D1085" t="str">
            <v>Igneous material with more than 63 percent SiO2.</v>
          </cell>
          <cell r="E1085" t="str">
            <v>sesrs:Acidic_Igneous_Material</v>
          </cell>
        </row>
        <row r="1086">
          <cell r="A1086">
            <v>6085</v>
          </cell>
          <cell r="B1086">
            <v>5111</v>
          </cell>
          <cell r="C1086" t="str">
            <v>Basic igneous material</v>
          </cell>
          <cell r="D1086" t="str">
            <v>Igneous material with between 45 and 52 percent SiO2.</v>
          </cell>
          <cell r="E1086" t="str">
            <v>sesrs:Basic_Igneous_Material</v>
          </cell>
        </row>
        <row r="1087">
          <cell r="A1087">
            <v>6112</v>
          </cell>
          <cell r="B1087">
            <v>5111</v>
          </cell>
          <cell r="C1087" t="str">
            <v>Fragmental igneous material</v>
          </cell>
          <cell r="D1087" t="str">
            <v>igneous_material of unspecified consolidation state in which greater than 75 percent of the rock consists of fragments produced as a result of igneous rock-forming process.</v>
          </cell>
          <cell r="E1087" t="str">
            <v>sesrs:Fragmental_Igneous_Material</v>
          </cell>
        </row>
        <row r="1088">
          <cell r="A1088">
            <v>6125</v>
          </cell>
          <cell r="B1088">
            <v>5111</v>
          </cell>
          <cell r="C1088" t="str">
            <v>Intermediate composition igneous material</v>
          </cell>
          <cell r="D1088" t="str">
            <v>Igneous material with between 52 and 63 percent SiO2.</v>
          </cell>
          <cell r="E1088" t="str">
            <v>sesrs:Intermediate_Composition_Igneous_Material</v>
          </cell>
        </row>
        <row r="1089">
          <cell r="A1089">
            <v>5069</v>
          </cell>
          <cell r="B1089">
            <v>5112</v>
          </cell>
          <cell r="C1089" t="str">
            <v>Igneous material&gt;Exotic</v>
          </cell>
          <cell r="D1089" t="str">
            <v xml:space="preserve">Rock or tephra with exotic mineralogical, textural or field setting characteristics; typically dark colored, with abundant phenocrysts. Criteria include: presence of greater than 10 percent melilite or leucite, or presence of kalsilite, or greater than 50 percent carbonate minerals. Includes Carbonatite, Melilitic rock, Kalsilitic rocks, Kimberlite, Lamproite, Leucitic rock and Lamprophyres. </v>
          </cell>
          <cell r="E1089" t="str">
            <v>rksd:Exotic_Composition_Igneous_Rock</v>
          </cell>
        </row>
        <row r="1090">
          <cell r="A1090">
            <v>5110</v>
          </cell>
          <cell r="B1090">
            <v>5112</v>
          </cell>
          <cell r="C1090" t="str">
            <v>Igneous Rock&gt;Hypabyssal intrusive rock</v>
          </cell>
          <cell r="D1090" t="str">
            <v>Igneous rocks formed by crystallisation close to the Earth's surface, characterized by more rapid cooling than plutonic setting to produce generally fine-grained intrusive igneous rock, commonly associated with co-magmatic volcanic rocks.</v>
          </cell>
          <cell r="E1090" t="str">
            <v>rksd:Hypabyssal_Intrusive_Rock</v>
          </cell>
        </row>
        <row r="1091">
          <cell r="A1091">
            <v>5178</v>
          </cell>
          <cell r="B1091">
            <v>5112</v>
          </cell>
          <cell r="C1091" t="str">
            <v>Igneous Rock&gt;Plutonic rock</v>
          </cell>
          <cell r="D1091" t="str">
            <v xml:space="preserve">Instrusive igneous rock formed by crystallisation of magma far enough below Earth surface that complete crystallization of magma bodies forms holocrystalline medium to coarse grained igneous rock, wall rocks generally do not include volcanic products related to the magma, and some contact metamorphism is typically developed at intrusive contacts. </v>
          </cell>
          <cell r="E1091" t="str">
            <v>rksd:Phaneritic_Igneous_Rock</v>
          </cell>
        </row>
        <row r="1092">
          <cell r="A1092">
            <v>5229</v>
          </cell>
          <cell r="B1092">
            <v>5112</v>
          </cell>
          <cell r="C1092" t="str">
            <v>Igneous Rock&gt;Volcanic Rock</v>
          </cell>
          <cell r="D1092" t="str">
            <v>Rock that exhibits direct evidence of extrusive igneous processes in its genesis.</v>
          </cell>
          <cell r="E1092" t="str">
            <v>rksd:Volcanic_Rock</v>
          </cell>
        </row>
        <row r="1093">
          <cell r="A1093">
            <v>6005</v>
          </cell>
          <cell r="B1093">
            <v>5112</v>
          </cell>
          <cell r="C1093" t="str">
            <v>Acidic igneous rock</v>
          </cell>
          <cell r="D1093" t="str">
            <v>Igneous rock with more than 63 percent SiO2.</v>
          </cell>
          <cell r="E1093" t="str">
            <v>rksd:Acidic_Igneous_Rock</v>
          </cell>
        </row>
        <row r="1094">
          <cell r="A1094">
            <v>6012</v>
          </cell>
          <cell r="B1094">
            <v>5112</v>
          </cell>
          <cell r="C1094" t="str">
            <v>Basic igneous rock</v>
          </cell>
          <cell r="D1094" t="str">
            <v>Igneous rock with between 45 and 52 percent SiO2.</v>
          </cell>
          <cell r="E1094" t="str">
            <v>rksd:Basic_Igneous_Rock</v>
          </cell>
        </row>
        <row r="1095">
          <cell r="A1095">
            <v>6027</v>
          </cell>
          <cell r="B1095">
            <v>5112</v>
          </cell>
          <cell r="C1095" t="str">
            <v>Doleritic rock</v>
          </cell>
          <cell r="D1095" t="str">
            <v>Dark colored gabbroic (basaltic) or dioritic (andesitic) rock intermediate in grain size between basalt and gabbro and composed of plagioclase, pyroxene and opaque minerals; often with ophitic texture. Typically occurs as hypabyssal intrusions. Includes dolerite, microdiorite, diabase and microgabbro.</v>
          </cell>
          <cell r="E1095" t="str">
            <v>rksd:Doleritic_Rock</v>
          </cell>
        </row>
        <row r="1096">
          <cell r="A1096">
            <v>6028</v>
          </cell>
          <cell r="B1096">
            <v>5112</v>
          </cell>
          <cell r="C1096" t="str">
            <v>Fine grained igneous rock</v>
          </cell>
          <cell r="D1096" t="str">
            <v>Igneous rock in which the framework of the rock consists of crystals that are too small to determine mineralogy with the unaided eye; framework may include up to 50 percent glass. A significant percentage of the rock by volume may be phenocrysts. Includes rocks that are generally called volcanic rocks.</v>
          </cell>
          <cell r="E1096" t="str">
            <v>rksd:Fine_Grained_Igneous_Rock</v>
          </cell>
        </row>
        <row r="1097">
          <cell r="A1097">
            <v>6034</v>
          </cell>
          <cell r="B1097">
            <v>5112</v>
          </cell>
          <cell r="C1097" t="str">
            <v>Fragmental igneous rock</v>
          </cell>
          <cell r="D1097" t="str">
            <v>Igneous rock in which greater than 75 percent of the rock consists of fragments produced as a result of igneous rock-forming process. Includes pyroclastic rocks, autobreccia associated with lava flows and intrusive breccias. Excludes deposits reworked by epiclastic processes (see Tuffite)</v>
          </cell>
          <cell r="E1097" t="str">
            <v>rksd:Fragmental_Igneous_Rock</v>
          </cell>
        </row>
        <row r="1098">
          <cell r="A1098">
            <v>6039</v>
          </cell>
          <cell r="B1098">
            <v>5112</v>
          </cell>
          <cell r="C1098" t="str">
            <v>Glass rich igneous rock</v>
          </cell>
          <cell r="D1098" t="str">
            <v>Igneous rock that contains greater than 50 percent massive glass.</v>
          </cell>
          <cell r="E1098" t="str">
            <v>rksd:Glass_Rich_Igneous_Rock</v>
          </cell>
        </row>
        <row r="1099">
          <cell r="A1099">
            <v>6048</v>
          </cell>
          <cell r="B1099">
            <v>5112</v>
          </cell>
          <cell r="C1099" t="str">
            <v>Intermediate composition igneous rock</v>
          </cell>
          <cell r="D1099" t="str">
            <v>Igneous rock with between 52 and 63 percent SiO2.</v>
          </cell>
          <cell r="E1099" t="str">
            <v>rksd:Intermediate_Composition_Igneous_Rock</v>
          </cell>
        </row>
        <row r="1100">
          <cell r="A1100">
            <v>6062</v>
          </cell>
          <cell r="B1100">
            <v>5112</v>
          </cell>
          <cell r="C1100" t="str">
            <v>Porphyry</v>
          </cell>
          <cell r="D1100" t="str">
            <v>Igneous rock that contains conspicuous phenocrysts in a finer grained groundmass; groundmass itself may be phaneritic or fine-grained.</v>
          </cell>
          <cell r="E1100" t="str">
            <v>rksd:Porphyry</v>
          </cell>
        </row>
        <row r="1101">
          <cell r="A1101">
            <v>6074</v>
          </cell>
          <cell r="B1101">
            <v>5112</v>
          </cell>
          <cell r="C1101" t="str">
            <v>Ultrabasic igneous rock</v>
          </cell>
          <cell r="D1101" t="str">
            <v>Igneous rock with less than 45 percent SiO2.</v>
          </cell>
          <cell r="E1101" t="str">
            <v>rksd:Ultrabasic_Igneous_Rock</v>
          </cell>
        </row>
        <row r="1102">
          <cell r="A1102">
            <v>6075</v>
          </cell>
          <cell r="B1102">
            <v>5112</v>
          </cell>
          <cell r="C1102" t="str">
            <v>Ultramafic igneous rock</v>
          </cell>
          <cell r="D1102" t="str">
            <v>Igneous rock that consists of greater than 90 percent mafic minerals.</v>
          </cell>
          <cell r="E1102" t="str">
            <v>rksd:Ultramafic_Igneous_Rock</v>
          </cell>
        </row>
        <row r="1103">
          <cell r="A1103">
            <v>6050</v>
          </cell>
          <cell r="B1103">
            <v>5123</v>
          </cell>
          <cell r="C1103" t="str">
            <v>Iron rich sedimentary rock</v>
          </cell>
          <cell r="D1103" t="str">
            <v>Sedimentary rock that consists of at least 50 percent iron-bearing minerals (hematite, magnetite, limonite-group, siderite, iron-sulfides), as determined by hand-lens or petrographic analysis. Corresponds to a rock typically containing 15 percent iron by weight.</v>
          </cell>
          <cell r="E1103" t="str">
            <v>rksd:Iron_Rich_Sedimentary_Rock</v>
          </cell>
        </row>
        <row r="1104">
          <cell r="A1104">
            <v>5031</v>
          </cell>
          <cell r="B1104">
            <v>5138</v>
          </cell>
          <cell r="C1104" t="str">
            <v>Metamorphic Rock&gt;Calc-Silicate</v>
          </cell>
          <cell r="D1104" t="str">
            <v>metamorphic rock containing abundant calcium-silicate minerals.  Overlaps into metasomatic rocks because of high mobility of Ca carbonates. Typically rich in epidote, diopside, tremolite, calcic-amphibole, talc, with quartz and calcite. Might be gneiss or granofels; lower metamorphic grade than granulite.</v>
          </cell>
          <cell r="E1104" t="str">
            <v>sesrs:calcsilicate_metamorphic_rock</v>
          </cell>
        </row>
        <row r="1105">
          <cell r="A1105">
            <v>5066</v>
          </cell>
          <cell r="B1105">
            <v>5138</v>
          </cell>
          <cell r="C1105" t="str">
            <v>Metamorphic Rock&gt;Eclogite</v>
          </cell>
          <cell r="D1105" t="str">
            <v xml:space="preserve">Metamorphic rock composed of 75 percent or more (by volume) omphacite and garnet, both of which are present as major constituents, the amount of neither of them being higher than 75 percent (by volume); the presence of plagioclase precludes classification as an eclogite. </v>
          </cell>
          <cell r="E1105" t="str">
            <v>sesrs:eclogite</v>
          </cell>
        </row>
        <row r="1106">
          <cell r="A1106">
            <v>5097</v>
          </cell>
          <cell r="B1106">
            <v>5138</v>
          </cell>
          <cell r="C1106" t="str">
            <v>Metamorphic Rock&gt;Granofels</v>
          </cell>
          <cell r="D1106" t="str">
            <v xml:space="preserve">Metamorphic rock with granoblastic fabric and very little or no foliation (less than 10 percent of the mineral grains in the rock are elements in a planar or linear fabric). Grainsize not specified. </v>
          </cell>
          <cell r="E1106" t="str">
            <v>sesrs:granofels</v>
          </cell>
        </row>
        <row r="1107">
          <cell r="A1107">
            <v>5098</v>
          </cell>
          <cell r="B1107">
            <v>5138</v>
          </cell>
          <cell r="C1107" t="str">
            <v>Metamorphic Rock&gt;Granulite</v>
          </cell>
          <cell r="D1107" t="str">
            <v xml:space="preserve">Metamorphic rock of high metamorphic grade in which Fe-Mg silicate minerals are dominantly hydroxl-free; feldspar must be present, and muscovite is absent; rock contains less than 90 percent mafic minerals, less than 75 percent calcite and/or dolomite, less than 75 percent quartz, less than 50 percent iron-bearing minerals (hematite, magnetite, limonite-group, siderite, iron-sulfides), and less than 50 percent calc-silicate minerals. </v>
          </cell>
          <cell r="E1107" t="str">
            <v>sesrs:granulite</v>
          </cell>
        </row>
        <row r="1108">
          <cell r="A1108">
            <v>5134</v>
          </cell>
          <cell r="B1108">
            <v>5138</v>
          </cell>
          <cell r="C1108" t="str">
            <v>Metamorphic Rock&gt;Marble</v>
          </cell>
          <cell r="D1108" t="str">
            <v>Metamorphic rock consisting of greater than 75 percent fine- to coarse-grained recrystallized calcite and/or dolomite; usually with a granoblastic, saccharoidal texture.</v>
          </cell>
          <cell r="E1108" t="str">
            <v>sesrs:marble</v>
          </cell>
        </row>
        <row r="1109">
          <cell r="A1109">
            <v>5139</v>
          </cell>
          <cell r="B1109">
            <v>5138</v>
          </cell>
          <cell r="C1109" t="str">
            <v>Metamorphic Rock&gt;Meta-Ultramafic</v>
          </cell>
          <cell r="D1109" t="str">
            <v>Metamorphic rock with a protolith that is a ultramafic rock.</v>
          </cell>
          <cell r="E1109" t="str">
            <v>sesrs:meta_ultramafic_rock</v>
          </cell>
        </row>
        <row r="1110">
          <cell r="A1110">
            <v>5141</v>
          </cell>
          <cell r="B1110">
            <v>5138</v>
          </cell>
          <cell r="C1110" t="str">
            <v>Metamorphic Rock&gt;Metasedimentary rock</v>
          </cell>
          <cell r="D1110" t="str">
            <v>Rock formed by metamorphism of a sedimentary protolith.</v>
          </cell>
          <cell r="E1110" t="str">
            <v>sesrs:metasedimentary_rock</v>
          </cell>
        </row>
        <row r="1111">
          <cell r="A1111">
            <v>5143</v>
          </cell>
          <cell r="B1111">
            <v>5138</v>
          </cell>
          <cell r="C1111" t="str">
            <v>Metamorphic Rock&gt;Metavolcanic rock</v>
          </cell>
          <cell r="D1111" t="str">
            <v>Rock formed by metamorphism of an extrusive igneous protolith.</v>
          </cell>
          <cell r="E1111" t="str">
            <v>sesrs:metavolcanic_rock</v>
          </cell>
        </row>
        <row r="1112">
          <cell r="A1112">
            <v>6078</v>
          </cell>
          <cell r="B1112">
            <v>5138</v>
          </cell>
          <cell r="C1112" t="str">
            <v>Amphibolite</v>
          </cell>
          <cell r="D1112" t="str">
            <v>Metamorphic rock mainly consisting of green, brown or black amphibole and plagioclase (including albite), which combined form 75 percent or more of the rock, and both of which are present as major constituents. The amphibole constitutes 50 percent or more of the total mafic constituents and is present in an amount of 30 percent or more; other common minerals include quartz, clinopyroxene, garnet, epidote-group minerals, biotite, titanite and scapolite.</v>
          </cell>
          <cell r="E1112" t="str">
            <v>sesrs:amphibolite</v>
          </cell>
        </row>
        <row r="1113">
          <cell r="A1113">
            <v>6081</v>
          </cell>
          <cell r="B1113">
            <v>5138</v>
          </cell>
          <cell r="C1113" t="str">
            <v>Argillite</v>
          </cell>
          <cell r="D1113" t="str">
            <v>A weakly metamorphosed argillaceous rock (Flawn, 1953, AAPG Bull v37 p.563-664).  Rock is very fine-grained to aphanitic, compact, indurated, and massive (lacks fissility or cleavage) (Neuendorf et al, 2004). Claystone and Siltstone are related, non-metamorphosed sedimentary rocks. Like Aphanite but sedimentary protolith is determined. In contact metamorphic environments would be Hornfels.</v>
          </cell>
          <cell r="E1113" t="str">
            <v>sesrs:Argillite</v>
          </cell>
        </row>
        <row r="1114">
          <cell r="A1114">
            <v>6111</v>
          </cell>
          <cell r="B1114">
            <v>5138</v>
          </cell>
          <cell r="C1114" t="str">
            <v>Foliated metamorphic rock</v>
          </cell>
          <cell r="D1114" t="str">
            <v>Metamorphic rock in which 10 percent or more of the contained mineral grains are elements in a planar or linear fabric. Cataclastic or glassy character precludes classification with this concept.</v>
          </cell>
          <cell r="E1114" t="str">
            <v>sesrs:Foliated_Metamorphic_Rock</v>
          </cell>
        </row>
        <row r="1115">
          <cell r="A1115">
            <v>6114</v>
          </cell>
          <cell r="B1115">
            <v>5138</v>
          </cell>
          <cell r="C1115" t="str">
            <v>Blueschist</v>
          </cell>
          <cell r="D1115" t="str">
            <v>A metamorphic rock of roughly basaltic composition, defined by the presence of glaucophane with lawsonite or epidote. Other minerals that may be present include jadeite, albite, chlorite, garnet, and muscovite (phengitic white mica). Typically fine-grained, dark colored. Category for rocks commonly referred to as blueschist.</v>
          </cell>
          <cell r="E1115" t="str">
            <v>sesrs:Glaucophane_Lawsonite_Epidote_Metamorphic_Rock</v>
          </cell>
        </row>
        <row r="1116">
          <cell r="A1116">
            <v>6117</v>
          </cell>
          <cell r="B1116">
            <v>5138</v>
          </cell>
          <cell r="C1116" t="str">
            <v>Greenstone</v>
          </cell>
          <cell r="D1116" t="str">
            <v>Metamorphic rock characterized by 50 percent or more of combined chlorite, actinolite and epidote. Category for rocks generally named greenschist or greenstone.</v>
          </cell>
          <cell r="E1116" t="str">
            <v>sesrs:greenstone</v>
          </cell>
        </row>
        <row r="1117">
          <cell r="A1117">
            <v>6133</v>
          </cell>
          <cell r="B1117">
            <v>5138</v>
          </cell>
          <cell r="C1117" t="str">
            <v>Metaplutonic rock</v>
          </cell>
          <cell r="D1117" t="str">
            <v>Rock formed by metamorphism of a plutonic igneous protolith.</v>
          </cell>
          <cell r="E1117" t="str">
            <v>sesrs:metaplutonic_rock</v>
          </cell>
        </row>
        <row r="1118">
          <cell r="A1118">
            <v>6134</v>
          </cell>
          <cell r="B1118">
            <v>5138</v>
          </cell>
          <cell r="C1118" t="str">
            <v>Migmatite</v>
          </cell>
          <cell r="D1118" t="str">
            <v>Silicate metamorphic rock that is pervasively heterogeneous on a decimeter to meter scale that typically consists of darker and lighter parts; the darker parts usually exhibit features of metamorphic rocks whereas the lighter parts are of igneous-looking appearance.</v>
          </cell>
          <cell r="E1118" t="str">
            <v>sesrs:migmatite</v>
          </cell>
        </row>
        <row r="1119">
          <cell r="A1119">
            <v>6152</v>
          </cell>
          <cell r="B1119">
            <v>5138</v>
          </cell>
          <cell r="C1119" t="str">
            <v>Quartzite</v>
          </cell>
          <cell r="D1119" t="str">
            <v>Metamorphic rock consisting of greater than or equal to 75 percent quartz; typically granoblastic texture.</v>
          </cell>
          <cell r="E1119" t="str">
            <v>sesrs:quartzite</v>
          </cell>
        </row>
        <row r="1120">
          <cell r="A1120">
            <v>6158</v>
          </cell>
          <cell r="B1120">
            <v>5139</v>
          </cell>
          <cell r="C1120" t="str">
            <v>Serpentinite</v>
          </cell>
          <cell r="D1120" t="str">
            <v>Rock consisting of more than 75 percent serpentine-group minerals, eg. antigorite, chrysotile or lizardite; accessory chlorite, talc and magnetite may be present; derived from hydration of ferromagnesian silicate minerals such as olivine and pyroxene.</v>
          </cell>
          <cell r="E1120" t="str">
            <v>sesrs:Serpentinite</v>
          </cell>
        </row>
        <row r="1121">
          <cell r="A1121">
            <v>6077</v>
          </cell>
          <cell r="B1121">
            <v>5142</v>
          </cell>
          <cell r="C1121" t="str">
            <v xml:space="preserve">Altered, type not specified </v>
          </cell>
          <cell r="D1121" t="str">
            <v>Rock material has been changed by some subsurface alteration process, but the nature of the alteration is not specified.</v>
          </cell>
          <cell r="E1121" t="str">
            <v>sesrs:altered_rock</v>
          </cell>
        </row>
        <row r="1122">
          <cell r="A1122">
            <v>6118</v>
          </cell>
          <cell r="B1122">
            <v>5142</v>
          </cell>
          <cell r="C1122" t="str">
            <v>Greisen</v>
          </cell>
          <cell r="D1122" t="str">
            <v>Greisen is a class of endoskarn,  formed by self-generated alteration of a granite. Greisens appear as partly coarse, crystalline granite, partly vuggy with miarolitic cavities, disseminated halide minerals such as fluorite, and occasionally metallic oxide and sulfide ore minerals, borate minerals (tourmaline) and accessory phases such as sphene, beryl or topaz.</v>
          </cell>
          <cell r="E1122" t="str">
            <v>sesrs:greisen</v>
          </cell>
        </row>
        <row r="1123">
          <cell r="A1123">
            <v>6155</v>
          </cell>
          <cell r="B1123">
            <v>5142</v>
          </cell>
          <cell r="C1123" t="str">
            <v>Rodingite</v>
          </cell>
          <cell r="D1123" t="str">
            <v>Rodingite is a metasomatic rock composed of grossular-andradite garnet, calcic pyroxene, vesuvianite, epidote and scapolite. Rodingites are common where mafic rocks are in proximity to serpentinized ultramafic rocks. The mafic rocks are altered by high pH, Ca2+ and OH? fluids, which are a byproduct of the serpentinization process, and become rodingites. The mineral content of rodingites is highly variable, their high calcium, low silicon and environment of formation being their defining characteristic. Rodingites are common in ophiolites, serpentinite mΘlanges, ocean floor peridotites and eclogite massifs. https://en.wikipedia.org/wiki/Rodingite</v>
          </cell>
          <cell r="E1123" t="str">
            <v>sesrs:rodingite</v>
          </cell>
        </row>
        <row r="1124">
          <cell r="A1124">
            <v>6164</v>
          </cell>
          <cell r="B1124">
            <v>5142</v>
          </cell>
          <cell r="C1124" t="str">
            <v>Skarn</v>
          </cell>
          <cell r="D1124" t="str">
            <v>Metasomatic rock consisting mainly of Ca-, Mg-, Fe-, or Mn-silicate minerals, which are free from or poor in water. Typically formed at the contact between a silicate rock or magma and a carbonate rock.</v>
          </cell>
          <cell r="E1124" t="str">
            <v>sesrs:skarn</v>
          </cell>
        </row>
        <row r="1125">
          <cell r="A1125">
            <v>6166</v>
          </cell>
          <cell r="B1125">
            <v>5142</v>
          </cell>
          <cell r="C1125" t="str">
            <v>Spilite</v>
          </cell>
          <cell r="D1125" t="str">
            <v>Altered basic to intermediate composition fine-grained igneous rock in which the feldspar is partially or completely composed of of albite, typically accompanied by chlorite, calcite, quartz, epidote, prehnite, and low-tempaerature hydrous crystallization products. Preservation of eruptive volcanic features is typical.</v>
          </cell>
          <cell r="E1125" t="str">
            <v>sesrs:Spilite</v>
          </cell>
        </row>
        <row r="1126">
          <cell r="A1126">
            <v>6056</v>
          </cell>
          <cell r="B1126">
            <v>5156</v>
          </cell>
          <cell r="C1126" t="str">
            <v>Non clastic siliceous sedimentary rock</v>
          </cell>
          <cell r="D1126" t="str">
            <v>Sedimentary rock that consists of at least 50 percent silicate mineral material, deposited directly by chemical or biological processes at the depositional surface, in particles formed by chemical or biological processes within the basin of deposition, or formed by diagenetic processes. Includes chert and flint found in carbonate rocks.</v>
          </cell>
          <cell r="E1126" t="str">
            <v>rksd:Non_Clastic_Siliceous_Sedimentary_Rock</v>
          </cell>
        </row>
        <row r="1127">
          <cell r="A1127">
            <v>4278</v>
          </cell>
          <cell r="B1127">
            <v>5162</v>
          </cell>
          <cell r="C1127" t="str">
            <v>Animal tissue</v>
          </cell>
          <cell r="D1127" t="str">
            <v xml:space="preserve">Organic material that is tissue from the body of an animal. </v>
          </cell>
          <cell r="E1127" t="str">
            <v>sesrs:animal_tissue</v>
          </cell>
        </row>
        <row r="1128">
          <cell r="A1128">
            <v>5236</v>
          </cell>
          <cell r="B1128">
            <v>5162</v>
          </cell>
          <cell r="C1128" t="str">
            <v>Plant material</v>
          </cell>
          <cell r="D1128" t="str">
            <v>Organic material produced by a plant</v>
          </cell>
          <cell r="E1128" t="str">
            <v>sesrs:plant_material</v>
          </cell>
        </row>
        <row r="1129">
          <cell r="A1129">
            <v>6142</v>
          </cell>
          <cell r="B1129">
            <v>5162</v>
          </cell>
          <cell r="C1129" t="str">
            <v>Other biogenic organic material</v>
          </cell>
          <cell r="D1129" t="str">
            <v>Biogenic organic material that is not animal tissue or from a plant.</v>
          </cell>
          <cell r="E1129" t="str">
            <v>sesrs:other_biogenic_organic_material</v>
          </cell>
        </row>
        <row r="1130">
          <cell r="A1130">
            <v>5225</v>
          </cell>
          <cell r="B1130">
            <v>5178</v>
          </cell>
          <cell r="C1130" t="str">
            <v>Plutonic rock&gt;Ultramafic</v>
          </cell>
          <cell r="D1130" t="str">
            <v xml:space="preserve">Plutonic rock that consists of greater than 90 percent ferromagnesian rock-forming silicates, especially Pyroxene Group, Amphibole Supergroup, olivine and biotite. </v>
          </cell>
          <cell r="E1130" t="str">
            <v>sesrs:ultramafic_plutonic_rock</v>
          </cell>
        </row>
        <row r="1131">
          <cell r="A1131">
            <v>5231</v>
          </cell>
          <cell r="B1131">
            <v>5178</v>
          </cell>
          <cell r="C1131" t="str">
            <v>Plutonic rock&gt;Felsic</v>
          </cell>
          <cell r="D1131" t="str">
            <v>light-colored plutonic rock containing an abundance of quartz, feldspar, muscovite, or felspathoid</v>
          </cell>
          <cell r="E1131" t="str">
            <v>sesrs:felsic_plutonic_rock</v>
          </cell>
        </row>
        <row r="1132">
          <cell r="A1132">
            <v>5232</v>
          </cell>
          <cell r="B1132">
            <v>5178</v>
          </cell>
          <cell r="C1132" t="str">
            <v>Plutonic rock&gt;Intermediate</v>
          </cell>
          <cell r="D1132" t="str">
            <v xml:space="preserve">Plutonic rock that has sub-equal proportion of light and dark colored mineral. Not recommended for usage with new sample registrations. (see acid, basic, intermediate composition categories) </v>
          </cell>
          <cell r="E1132" t="str">
            <v>sesrs:intermediate_plutonic_rock</v>
          </cell>
        </row>
        <row r="1133">
          <cell r="A1133">
            <v>5233</v>
          </cell>
          <cell r="B1133">
            <v>5178</v>
          </cell>
          <cell r="C1133" t="str">
            <v>Plutonic rock&gt;Mafic</v>
          </cell>
          <cell r="D1133" t="str">
            <v>Dark-colored plutonic rock containing an abundance of ferromagnesian rock-forming silicates, especially Pyroxene Group, Amphibole Supergroup, olivine and biotite</v>
          </cell>
          <cell r="E1133" t="str">
            <v>sesrs:mafic_plutonic_rock</v>
          </cell>
        </row>
        <row r="1134">
          <cell r="A1134">
            <v>6008</v>
          </cell>
          <cell r="B1134">
            <v>5178</v>
          </cell>
          <cell r="C1134" t="str">
            <v>Anorthositic rock</v>
          </cell>
          <cell r="D1134" t="str">
            <v>Anorthositic rock term invented to label the combined QAPF fields 10, 10*, and 10', in order to construct hierarchy in this vocabulary.</v>
          </cell>
          <cell r="E1134" t="str">
            <v>rksd:Anorthositic_Rock</v>
          </cell>
        </row>
        <row r="1135">
          <cell r="A1135">
            <v>6010</v>
          </cell>
          <cell r="B1135">
            <v>5178</v>
          </cell>
          <cell r="C1135" t="str">
            <v>Aplite</v>
          </cell>
          <cell r="D1135" t="str">
            <v>Light coloured crystalline rock, characterized by a fine grained allotriomorphic-granular (aplitic, saccharoidal or xenomorphic) texture; typically granitic composition, consisting of quartz, alkali feldspar and sodic plagioclase.</v>
          </cell>
          <cell r="E1135" t="str">
            <v>rksd:Aplite</v>
          </cell>
        </row>
        <row r="1136">
          <cell r="A1136">
            <v>6026</v>
          </cell>
          <cell r="B1136">
            <v>5178</v>
          </cell>
          <cell r="C1136" t="str">
            <v>Dioritoid</v>
          </cell>
          <cell r="D1136" t="str">
            <v>Phaneritic crystalline igneous rock with M less than 90, consisting of intermediate plagioclase, commonly with hornblende and often with biotite or augite. Plagioclase to total feldspar ratio is greater that 0.65, and anorthite content of plagioclase is less than 50 percent. Less than 10 percent feldspathoid mineral and less than 20 percent quartz in the QAPF fraction. Includes rocks defined modally in QAPF fields 9 and 10 (and their subdivisions).</v>
          </cell>
          <cell r="E1136" t="str">
            <v>rksd:Dioritoid</v>
          </cell>
        </row>
        <row r="1137">
          <cell r="A1137">
            <v>6029</v>
          </cell>
          <cell r="B1137">
            <v>5178</v>
          </cell>
          <cell r="C1137" t="str">
            <v>Foid dioritoid</v>
          </cell>
          <cell r="D1137" t="str">
            <v>Phaneritic crystalline igneous rock in which M is less than 90, the plagioclase to total feldspar ratio is greater than 0.5, feldspathoid minerals form 10-60 percent of the QAPF fraction, plagioclase has anorthite content less than 50 percent. These rocks typically contain large amounts of mafic minerals. Includes rocks defined modally in QAPF fields 13 and 14.</v>
          </cell>
          <cell r="E1137" t="str">
            <v>rksd:Foid_Dioritoid</v>
          </cell>
        </row>
        <row r="1138">
          <cell r="A1138">
            <v>6030</v>
          </cell>
          <cell r="B1138">
            <v>5178</v>
          </cell>
          <cell r="C1138" t="str">
            <v>Foid gabbroid</v>
          </cell>
          <cell r="D1138" t="str">
            <v>Phaneritic crystalline igneous rock in which M is less than 90, the plagioclase to total feldspar ratio is greater than 0.5, feldspathoids form 10-60 percent of the QAPF fraction, and plagioclase has anorthite content greater than 50 percent. These rocks typically contain large amounts of mafic minerals. Includes rocks defined modally in QAPF fields 13 and 14.</v>
          </cell>
          <cell r="E1138" t="str">
            <v>rksd:Foid_Gabbroid</v>
          </cell>
        </row>
        <row r="1139">
          <cell r="A1139">
            <v>6031</v>
          </cell>
          <cell r="B1139">
            <v>5178</v>
          </cell>
          <cell r="C1139" t="str">
            <v>Foid syenitoid</v>
          </cell>
          <cell r="D1139" t="str">
            <v>Phaneritic crystalline igneous rock with M less than 90, contains between 10 and 60 percent feldspathoid mineral in the QAPF fraction, and has a plagioclase to total feldspar ratio less than 0.5. Includes QAPF fields 11 and 12.</v>
          </cell>
          <cell r="E1139" t="str">
            <v>rksd:Foid_Syenitoid</v>
          </cell>
        </row>
        <row r="1140">
          <cell r="A1140">
            <v>6033</v>
          </cell>
          <cell r="B1140">
            <v>5178</v>
          </cell>
          <cell r="C1140" t="str">
            <v>Foidolite</v>
          </cell>
          <cell r="D1140" t="str">
            <v>Phaneritic crystalline rock containing more than 60 percent feldspathoid minerals in the QAPF fraction. Includes rocks defined modally in QAPF field 15</v>
          </cell>
          <cell r="E1140" t="str">
            <v>rksd:Foidolite</v>
          </cell>
        </row>
        <row r="1141">
          <cell r="A1141">
            <v>6036</v>
          </cell>
          <cell r="B1141">
            <v>5178</v>
          </cell>
          <cell r="C1141" t="str">
            <v>Gabbroid</v>
          </cell>
          <cell r="D1141" t="str">
            <v>Phaneritic crystalline igneous rock that contains less than 90 percent mafic minerals, and up to 20 percent quartz or up to 10 percent feldspathoid in the QAPF fraction. The ratio of plagioclase to total feldspar is greater than 0.65, and anorthite content of the plagioclase is greater than 50 percent. Includes rocks defined modally in QAPF fields 9 and 10 and their subdivisions.</v>
          </cell>
          <cell r="E1141" t="str">
            <v>rksd:Gabbroid</v>
          </cell>
        </row>
        <row r="1142">
          <cell r="A1142">
            <v>6041</v>
          </cell>
          <cell r="B1142">
            <v>5178</v>
          </cell>
          <cell r="C1142" t="str">
            <v>Granitoid</v>
          </cell>
          <cell r="D1142" t="str">
            <v>Phaneritic crystalline igneous rock consisting of quartz, alkali feldspar and/or plagioclase. Includes rocks defined modally in QAPF fields 2, 3, 4 and 5 as alkali feldspar granite, granite, granodiorite or tonalite.</v>
          </cell>
          <cell r="E1142" t="str">
            <v>rksd:Granitoid</v>
          </cell>
        </row>
        <row r="1143">
          <cell r="A1143">
            <v>6058</v>
          </cell>
          <cell r="B1143">
            <v>5178</v>
          </cell>
          <cell r="C1143" t="str">
            <v>Pegmatite</v>
          </cell>
          <cell r="D1143" t="str">
            <v>Exceptionally coarse grained crystalline rock with interlocking crystals; most grains are 1cm or more diameter; composition is generally that of granite, but the term may refer to the coarse grained facies of any type of igneous rock;usually found as irregular dikes, lenses, or veins associated with plutons or batholiths.</v>
          </cell>
          <cell r="E1143" t="str">
            <v>rksd:Pegmatite</v>
          </cell>
        </row>
        <row r="1144">
          <cell r="A1144">
            <v>6065</v>
          </cell>
          <cell r="B1144">
            <v>5178</v>
          </cell>
          <cell r="C1144" t="str">
            <v>Quartz rich igneous rock</v>
          </cell>
          <cell r="D1144" t="str">
            <v>Phaneritic crystalline igneous rock that contains less than 90 percent mafic minerals and contains greater than 60 percent quartz in the QAPF fraction.</v>
          </cell>
          <cell r="E1144" t="str">
            <v>rksd:Quartz_Rich_Igneous_Rock</v>
          </cell>
        </row>
        <row r="1145">
          <cell r="A1145">
            <v>6070</v>
          </cell>
          <cell r="B1145">
            <v>5178</v>
          </cell>
          <cell r="C1145" t="str">
            <v>Syenitoid</v>
          </cell>
          <cell r="D1145" t="str">
            <v>Phaneritic crystalline igneous rock with M less than 90, consisting mainly of alkali feldspar and plagioclase; minor quartz or nepheline may be present, along with pyroxene, amphibole or biotite. Ratio of plagioclase to total feldspar is less than 0.65, quartz forms less than 20 percent of QAPF fraction, and feldspathoid minerals form less than 10 percent of QAPF fraction. Includes rocks classified in QAPF fields 6, 7 and 8 and their subdivisions.</v>
          </cell>
          <cell r="E1145" t="str">
            <v>rksd:Syenitoid</v>
          </cell>
        </row>
        <row r="1146">
          <cell r="A1146">
            <v>5071</v>
          </cell>
          <cell r="B1146">
            <v>5191</v>
          </cell>
          <cell r="C1146" t="str">
            <v>Fault-related material</v>
          </cell>
          <cell r="D1146" t="str">
            <v xml:space="preserve">Material formed as a result brittle faulting, composed of greater than 10 percent matrix; matrix is fine-grained material caused by tectonic grainsize reduction. Includes cohesive (cataclasite series, mylonitic rocks) and non-cohesive (breccia-gouge series) material. </v>
          </cell>
          <cell r="E1146" t="str">
            <v>rksd:Fault_Related_Material</v>
          </cell>
        </row>
        <row r="1147">
          <cell r="A1147">
            <v>5112</v>
          </cell>
          <cell r="B1147">
            <v>5191</v>
          </cell>
          <cell r="C1147" t="str">
            <v>Igneous Rock</v>
          </cell>
          <cell r="D1147" t="str">
            <v>rock formed as a result of igneous processes, for example intrusion and cooling of magma in the crust, or volcanic eruption.</v>
          </cell>
          <cell r="E1147" t="str">
            <v>rksd:Igneous_Rock</v>
          </cell>
        </row>
        <row r="1148">
          <cell r="A1148">
            <v>5138</v>
          </cell>
          <cell r="B1148">
            <v>5191</v>
          </cell>
          <cell r="C1148" t="str">
            <v>Metamorphic Rock</v>
          </cell>
          <cell r="D1148" t="str">
            <v xml:space="preserve">Rock formed by solid-state mineralogical, chemical and/or structural changes to a pre-existing rock, in response to marked changes in temperature, pressure, shearing stress and chemical environment. </v>
          </cell>
          <cell r="E1148" t="str">
            <v>rksd:Metamorphic_Rock</v>
          </cell>
        </row>
        <row r="1149">
          <cell r="A1149">
            <v>5142</v>
          </cell>
          <cell r="B1149">
            <v>5191</v>
          </cell>
          <cell r="C1149" t="str">
            <v>Metasomatic rock</v>
          </cell>
          <cell r="D1149" t="str">
            <v>Rock that has fabric and composition indicating open-system mineralogical and chemical changes in response to interaction with a fluid phase, typically water rich.</v>
          </cell>
          <cell r="E1149" t="str">
            <v>rksd:Metasomatic_Rock</v>
          </cell>
        </row>
        <row r="1150">
          <cell r="A1150">
            <v>5222</v>
          </cell>
          <cell r="B1150">
            <v>5191</v>
          </cell>
          <cell r="C1150" t="str">
            <v>Sedimentary material&gt;Volcaniclastic (tuffite)</v>
          </cell>
          <cell r="D1150" t="str">
            <v>Rock consists of more than 50 percent particles of indeterminate pyroclastic or epiclastic origin and less than 75 percent particles of clearly pyroclastic origin. commonly the rock is laminated or exhibits size grading. (based on LeMaitre et al. 2002; Murawski and Meyer 1998).</v>
          </cell>
          <cell r="E1150" t="str">
            <v>rksd:Tuffite</v>
          </cell>
        </row>
        <row r="1151">
          <cell r="A1151">
            <v>6009</v>
          </cell>
          <cell r="B1151">
            <v>5191</v>
          </cell>
          <cell r="C1151" t="str">
            <v>Aphanite</v>
          </cell>
          <cell r="D1151" t="str">
            <v>Rock that is too fine grained to categorize in more detail.</v>
          </cell>
          <cell r="E1151" t="str">
            <v>rksd:Aphanite</v>
          </cell>
        </row>
        <row r="1152">
          <cell r="A1152">
            <v>6047</v>
          </cell>
          <cell r="B1152">
            <v>5191</v>
          </cell>
          <cell r="C1152" t="str">
            <v>Impact generated material</v>
          </cell>
          <cell r="D1152" t="str">
            <v>Material that contains features indicative of shock metamorphism, such as microscopic planar deformation features within grains or shatter cones, interpreted to be the result of extraterrestrial bolide impact. Includes breccias and melt rocks.</v>
          </cell>
          <cell r="E1152" t="str">
            <v>rksd:Impact_Generated_Material</v>
          </cell>
        </row>
        <row r="1153">
          <cell r="A1153">
            <v>6051</v>
          </cell>
          <cell r="B1153">
            <v>5191</v>
          </cell>
          <cell r="C1153" t="str">
            <v>Massive sulphide</v>
          </cell>
          <cell r="D1153" t="str">
            <v>rock consisting of greater than 50% sulphide or sulfosalt minerals formed by any processes. Includes hydrothermal and sedimentary ehalative sulfide.</v>
          </cell>
          <cell r="E1153" t="str">
            <v>rksd:Massive_Sulphide</v>
          </cell>
        </row>
        <row r="1154">
          <cell r="A1154">
            <v>6066</v>
          </cell>
          <cell r="B1154">
            <v>5191</v>
          </cell>
          <cell r="C1154" t="str">
            <v>Residual material</v>
          </cell>
          <cell r="D1154" t="str">
            <v>Material of composite origin resulting from weathering processes at the Earth's surface, with genesis dominated by removal of chemical constituents by aqueous leaching. Minor clastic, chemical, or organic input may also contribute. Consolidation state is not inherent in definition, but typically material is unconsolidated or weakly consolidated.</v>
          </cell>
          <cell r="E1154" t="str">
            <v>rksd:residual_material</v>
          </cell>
        </row>
        <row r="1155">
          <cell r="A1155">
            <v>6069</v>
          </cell>
          <cell r="B1155">
            <v>5191</v>
          </cell>
          <cell r="C1155" t="str">
            <v>Sedimentary rock</v>
          </cell>
          <cell r="D1155" t="str">
            <v>Rock formed by accumulation and cementation of solid fragmental material deposited by air, water or ice, or as a result of other natural agents, such as precipitation from solution, the accumulation of organic material, or from biogenic processes, including secretion by organisms. Includes epiclastic deposits.</v>
          </cell>
          <cell r="E1155" t="str">
            <v>rksd:Sedimentary_Rock</v>
          </cell>
        </row>
        <row r="1156">
          <cell r="A1156">
            <v>6102</v>
          </cell>
          <cell r="B1156">
            <v>5191</v>
          </cell>
          <cell r="C1156" t="str">
            <v>Composite genesis rock</v>
          </cell>
          <cell r="D1156" t="str">
            <v>Rock formed by geological modification of pre-existing rocks outside the realm of igneous and sedimentary processes. Includes rocks formed by impact metamorphism, standard dynamothermal metamorphism, brittle deformation, weathering, metasomatism and hydrothermal alteration (diagenesis is a sedimentary process in this context).</v>
          </cell>
          <cell r="E1156" t="str">
            <v>sesrs:composite_genesis_rock</v>
          </cell>
        </row>
        <row r="1157">
          <cell r="A1157">
            <v>5041</v>
          </cell>
          <cell r="B1157">
            <v>5202</v>
          </cell>
          <cell r="C1157" t="str">
            <v>Sedimentary material&gt;Carbonate</v>
          </cell>
          <cell r="D1157" t="str">
            <v xml:space="preserve">Sedimentary material in which at least 50 percent of the primary and/or recrystallized constituents are composed of one (or more) of the carbonate minerals calcite, aragonite and dolomite, in particles of intrabasinal origin. </v>
          </cell>
          <cell r="E1157" t="str">
            <v>sesrs:carbonate_sedimentary_material</v>
          </cell>
        </row>
        <row r="1158">
          <cell r="A1158">
            <v>5047</v>
          </cell>
          <cell r="B1158">
            <v>5202</v>
          </cell>
          <cell r="C1158" t="str">
            <v xml:space="preserve">Sedimentary material&gt;Clastic </v>
          </cell>
          <cell r="D1158" t="str">
            <v>Sedimentary material of unspecified consolidation state in which at least 50 percent of the constituent particles were derived from erosion, weathering, or mass-wasting of pre-existing earth materials, and transported to the place of deposition by mechanical agents such as water, wind, ice and gravity.  [Note this class is broader than legacy SESAR Sedimentary&gt;Siliciclastic class]</v>
          </cell>
          <cell r="E1158" t="str">
            <v>sesrs:clastic_sedimentary_material</v>
          </cell>
        </row>
        <row r="1159">
          <cell r="A1159">
            <v>5156</v>
          </cell>
          <cell r="B1159">
            <v>5202</v>
          </cell>
          <cell r="C1159" t="str">
            <v>Sedimentary material&gt;Biogenic siliceous</v>
          </cell>
          <cell r="D1159" t="str">
            <v>Sedimentary material that consists of at least 50 percent silicate mineral material, deposited directly by chemical or biological processes at the depositional surface, or in particles formed by chemical or biological processes within the basin of deposition.</v>
          </cell>
          <cell r="E1159" t="str">
            <v>sesrs:non_clastic_siliceous_sedimentary_material</v>
          </cell>
        </row>
        <row r="1160">
          <cell r="A1160">
            <v>6019</v>
          </cell>
          <cell r="B1160">
            <v>5202</v>
          </cell>
          <cell r="C1160" t="str">
            <v>Chemical sedimentary material</v>
          </cell>
          <cell r="D1160" t="str">
            <v>Sedimentary material that consists of at least 50 percent material produced by inorganic chemical processes within the basin of deposition. Includes inorganic siliceous, carbonate, evaporite, iron-rich, and phosphatic sediment classes, as well as chemical sediments associated with submarine hot springs ('black smokers'). Note that these sediments might crystallize as a solid as they are deposited, thus similar to rock....</v>
          </cell>
          <cell r="E1160" t="str">
            <v>rksd:Chemical_Sedimentary_Material</v>
          </cell>
        </row>
        <row r="1161">
          <cell r="A1161">
            <v>6140</v>
          </cell>
          <cell r="B1161">
            <v>5202</v>
          </cell>
          <cell r="C1161" t="str">
            <v>Organic rich sedimentary material</v>
          </cell>
          <cell r="D1161" t="str">
            <v>Sedimentary material in which 50 percent or more of the primary sedimentary material is organic carbon.</v>
          </cell>
          <cell r="E1161" t="str">
            <v>sesrs:Organic_Rich_Sedimentary_Material</v>
          </cell>
        </row>
        <row r="1162">
          <cell r="A1162">
            <v>6145</v>
          </cell>
          <cell r="B1162">
            <v>5202</v>
          </cell>
          <cell r="C1162" t="str">
            <v>Phosphate rich sedimentary material</v>
          </cell>
          <cell r="D1162" t="str">
            <v>Sedimentary material in which at least 50 percent of the primary and/or recrystallized constituents are phosphate minerals.</v>
          </cell>
          <cell r="E1162" t="str">
            <v>sesrs:Phosphate_Rich_Sedimentary_Material</v>
          </cell>
        </row>
        <row r="1163">
          <cell r="A1163">
            <v>6082</v>
          </cell>
          <cell r="B1163">
            <v>5216</v>
          </cell>
          <cell r="C1163" t="str">
            <v>Ash and lapilli</v>
          </cell>
          <cell r="D1163" t="str">
            <v>Tephra in which less than 25 percent of fragments are greater than 64 mm in longest dimension</v>
          </cell>
          <cell r="E1163" t="str">
            <v>sesrs:Ash_And_Lapilli</v>
          </cell>
        </row>
        <row r="1164">
          <cell r="A1164">
            <v>6083</v>
          </cell>
          <cell r="B1164">
            <v>5216</v>
          </cell>
          <cell r="C1164" t="str">
            <v>Ash breccia bomb or block tephra</v>
          </cell>
          <cell r="D1164" t="str">
            <v>Tephra in which more than 25 percent of particles are greater than 64 mm in largest dimension. Includes ash breccia, bomb tephra and block tephra of Gillespie and Styles (1999)</v>
          </cell>
          <cell r="E1164" t="str">
            <v>sesrs:Ash_Breccia_Bomb_Or_Block_Tephra</v>
          </cell>
        </row>
        <row r="1165">
          <cell r="A1165">
            <v>6045</v>
          </cell>
          <cell r="B1165">
            <v>5225</v>
          </cell>
          <cell r="C1165" t="str">
            <v>Hornblendite</v>
          </cell>
          <cell r="D1165" t="str">
            <v>Ultramafic rock that consists of greater than 40 percent hornblende plus pyroxene and has a hornblende to pyroxene ratio greater than 1. Includes olivine hornblendite, olivine-pyroxene hornblendite, pyroxene hornblendite, and hornblendite.</v>
          </cell>
          <cell r="E1165" t="str">
            <v>rksd:Hornblendite</v>
          </cell>
        </row>
        <row r="1166">
          <cell r="A1166">
            <v>6059</v>
          </cell>
          <cell r="B1166">
            <v>5225</v>
          </cell>
          <cell r="C1166" t="str">
            <v>Peridotite</v>
          </cell>
          <cell r="D1166" t="str">
            <v>Ultramafic rock consisting of more than 40 percent (by volume) olivine with pyroxene and/or amphibole and little or no feldspar. commonly altered to serpentinite. Includes rocks defined modally in the ultramafic rock classification as dunite, harzburgite, lherzolite, wehrlite, olivinite, pyroxene peridotite, pyroxene hornblende peridotite or hornblende peridotite.</v>
          </cell>
          <cell r="E1166" t="str">
            <v>rksd:Peridotite</v>
          </cell>
        </row>
        <row r="1167">
          <cell r="A1167">
            <v>6064</v>
          </cell>
          <cell r="B1167">
            <v>5225</v>
          </cell>
          <cell r="C1167" t="str">
            <v>Pyroxenite</v>
          </cell>
          <cell r="D1167" t="str">
            <v>Ultramafic phaneritic igneous rock composed almost entirely of one or more pyroxenes and occasionally biotite, hornblende and olivine. Includes rocks defined modally in the ultramafic rock classification as olivine pyroxenite, olivine-hornblende pyroxenite, pyroxenite, orthopyroxenite, clinopyroxenite and websterite.</v>
          </cell>
          <cell r="E1167" t="str">
            <v>rksd:Pyroxenite</v>
          </cell>
        </row>
        <row r="1168">
          <cell r="A1168">
            <v>5072</v>
          </cell>
          <cell r="B1168">
            <v>5228</v>
          </cell>
          <cell r="C1168" t="str">
            <v>Volcanic material&gt;Felsic</v>
          </cell>
          <cell r="D1168" t="str">
            <v xml:space="preserve">light-colored material produced by volcanic processes, containing an abundance of quartz, feldspar, muscovite, or felspathoid (light-colored minerals). </v>
          </cell>
          <cell r="E1168" t="str">
            <v>sesrs:felsic_volcanic_material</v>
          </cell>
        </row>
        <row r="1169">
          <cell r="A1169">
            <v>5119</v>
          </cell>
          <cell r="B1169">
            <v>5228</v>
          </cell>
          <cell r="C1169" t="str">
            <v>Volcanic material&gt;Intermediate color</v>
          </cell>
          <cell r="D1169" t="str">
            <v>Material produced by volcanic processes, that has sub-equal proportion of light and dark colored mineral. Not recommended for usage with new sample registrations. (see acid, basic, intermediate composition categories)</v>
          </cell>
          <cell r="E1169" t="str">
            <v>sesrs:intermediate_volcanic_material</v>
          </cell>
        </row>
        <row r="1170">
          <cell r="A1170">
            <v>5131</v>
          </cell>
          <cell r="B1170">
            <v>5228</v>
          </cell>
          <cell r="C1170" t="str">
            <v>Volcanic material&gt;Mafic</v>
          </cell>
          <cell r="D1170" t="str">
            <v xml:space="preserve">Dark-colored material produced by volcanic processes, containing an abundance of ferromagnesian rock-forming silicates, especially Pyroxene Group, Amphibole Supergroup, olivine and biotite </v>
          </cell>
          <cell r="E1170" t="str">
            <v>sesrs:mafic_volcanic_material</v>
          </cell>
        </row>
        <row r="1171">
          <cell r="A1171">
            <v>5226</v>
          </cell>
          <cell r="B1171">
            <v>5228</v>
          </cell>
          <cell r="C1171" t="str">
            <v>Volcanic material&gt;Ultramafic</v>
          </cell>
          <cell r="D1171" t="str">
            <v xml:space="preserve">material produced by volcanic processes that consists of greater than 90 percent mafic minerals. </v>
          </cell>
          <cell r="E1171" t="str">
            <v>sesrs:ultramafic_volcanic_material</v>
          </cell>
        </row>
        <row r="1172">
          <cell r="A1172">
            <v>6151</v>
          </cell>
          <cell r="B1172">
            <v>5228</v>
          </cell>
          <cell r="C1172" t="str">
            <v>Pyroclastic material</v>
          </cell>
          <cell r="D1172" t="str">
            <v>Fragmental igneous material that consists of more than 75 percent of particles formed by disruption as a direct result of volcanic action.</v>
          </cell>
          <cell r="E1172" t="str">
            <v>sesrs:Pyroclastic_Material</v>
          </cell>
        </row>
        <row r="1173">
          <cell r="A1173">
            <v>6063</v>
          </cell>
          <cell r="B1173">
            <v>5229</v>
          </cell>
          <cell r="C1173" t="str">
            <v>Pyroclastic rock</v>
          </cell>
          <cell r="D1173" t="str">
            <v>Fragmental igneous rock that consists of greater than 75 percent fragments produced as a direct result of eruption or extrusion of magma from within the earth onto its surface. Includes autobreccia associated with lava flows and excludes deposits reworked by epiclastic processes.</v>
          </cell>
          <cell r="E1173" t="str">
            <v>rksd:Pyroclastic_Rock</v>
          </cell>
        </row>
        <row r="1174">
          <cell r="A1174">
            <v>6128</v>
          </cell>
          <cell r="B1174">
            <v>5229</v>
          </cell>
          <cell r="C1174" t="str">
            <v>Lava</v>
          </cell>
          <cell r="D1174" t="str">
            <v>Volcanic Rock with features indicating origin by extrusive lava flow.</v>
          </cell>
          <cell r="E1174" t="str">
            <v>sesrs:Lava</v>
          </cell>
        </row>
        <row r="1175">
          <cell r="A1175">
            <v>221</v>
          </cell>
          <cell r="B1175">
            <v>5237</v>
          </cell>
          <cell r="C1175" t="str">
            <v>Zinc</v>
          </cell>
          <cell r="E1175" t="str">
            <v>https://www.mindat.org/1:1:4405:5</v>
          </cell>
        </row>
        <row r="1176">
          <cell r="A1176">
            <v>257</v>
          </cell>
          <cell r="B1176">
            <v>5237</v>
          </cell>
          <cell r="C1176" t="str">
            <v>Zvyagintsevite</v>
          </cell>
          <cell r="E1176" t="str">
            <v>https://www.mindat.org/1:1:4435:2</v>
          </cell>
        </row>
        <row r="1177">
          <cell r="A1177">
            <v>285</v>
          </cell>
          <cell r="B1177">
            <v>5237</v>
          </cell>
          <cell r="C1177" t="str">
            <v>Tetraferroplatinum</v>
          </cell>
          <cell r="E1177" t="str">
            <v>https://www.mindat.org/1:1:3923:5</v>
          </cell>
        </row>
        <row r="1178">
          <cell r="A1178">
            <v>365</v>
          </cell>
          <cell r="B1178">
            <v>5237</v>
          </cell>
          <cell r="C1178" t="str">
            <v>Taenite</v>
          </cell>
          <cell r="E1178" t="str">
            <v>https://www.mindat.org/1:1:3868:9</v>
          </cell>
        </row>
        <row r="1179">
          <cell r="A1179">
            <v>407</v>
          </cell>
          <cell r="B1179">
            <v>5237</v>
          </cell>
          <cell r="C1179" t="str">
            <v>Tellurium</v>
          </cell>
          <cell r="E1179" t="str">
            <v>https://www.mindat.org/1:1:3906:8</v>
          </cell>
        </row>
        <row r="1180">
          <cell r="A1180">
            <v>432</v>
          </cell>
          <cell r="B1180">
            <v>5237</v>
          </cell>
          <cell r="C1180" t="str">
            <v>Stibarsen</v>
          </cell>
          <cell r="E1180" t="str">
            <v>https://www.mindat.org/1:1:3775:0</v>
          </cell>
        </row>
        <row r="1181">
          <cell r="A1181">
            <v>496</v>
          </cell>
          <cell r="B1181">
            <v>5237</v>
          </cell>
          <cell r="C1181" t="str">
            <v>Sulfur</v>
          </cell>
          <cell r="E1181" t="str">
            <v/>
          </cell>
        </row>
        <row r="1182">
          <cell r="A1182">
            <v>502</v>
          </cell>
          <cell r="B1182">
            <v>5237</v>
          </cell>
          <cell r="C1182" t="str">
            <v>Silver</v>
          </cell>
          <cell r="E1182" t="str">
            <v>https://www.mindat.org/1:1:3664:7</v>
          </cell>
        </row>
        <row r="1183">
          <cell r="A1183">
            <v>503</v>
          </cell>
          <cell r="B1183">
            <v>5237</v>
          </cell>
          <cell r="C1183" t="str">
            <v>Silver-3c</v>
          </cell>
          <cell r="E1183" t="str">
            <v/>
          </cell>
        </row>
        <row r="1184">
          <cell r="A1184">
            <v>517</v>
          </cell>
          <cell r="B1184">
            <v>5237</v>
          </cell>
          <cell r="C1184" t="str">
            <v>Sinoite</v>
          </cell>
          <cell r="E1184" t="str">
            <v/>
          </cell>
        </row>
        <row r="1185">
          <cell r="A1185">
            <v>595</v>
          </cell>
          <cell r="B1185">
            <v>5237</v>
          </cell>
          <cell r="C1185" t="str">
            <v>Schreibersite</v>
          </cell>
          <cell r="E1185" t="str">
            <v>https://www.mindat.org/1:1:3582:4</v>
          </cell>
        </row>
        <row r="1186">
          <cell r="A1186">
            <v>626</v>
          </cell>
          <cell r="B1186">
            <v>5237</v>
          </cell>
          <cell r="C1186" t="str">
            <v>Selenium</v>
          </cell>
          <cell r="E1186" t="str">
            <v>https://www.mindat.org/1:1:3611:1</v>
          </cell>
        </row>
        <row r="1187">
          <cell r="A1187">
            <v>667</v>
          </cell>
          <cell r="B1187">
            <v>5237</v>
          </cell>
          <cell r="C1187" t="str">
            <v>Siderazot</v>
          </cell>
          <cell r="E1187" t="str">
            <v>https://www.mindat.org/1:1:3646:3</v>
          </cell>
        </row>
        <row r="1188">
          <cell r="A1188">
            <v>680</v>
          </cell>
          <cell r="B1188">
            <v>5237</v>
          </cell>
          <cell r="C1188" t="str">
            <v>Silicon</v>
          </cell>
          <cell r="E1188" t="str">
            <v>https://www.mindat.org/1:1:3659:3</v>
          </cell>
        </row>
        <row r="1189">
          <cell r="A1189">
            <v>733</v>
          </cell>
          <cell r="B1189">
            <v>5237</v>
          </cell>
          <cell r="C1189" t="str">
            <v>Wairauite</v>
          </cell>
          <cell r="E1189" t="str">
            <v>https://www.mindat.org/1:1:4231:0</v>
          </cell>
        </row>
        <row r="1190">
          <cell r="A1190">
            <v>755</v>
          </cell>
          <cell r="B1190">
            <v>5237</v>
          </cell>
          <cell r="C1190" t="str">
            <v>Schachnerite</v>
          </cell>
          <cell r="E1190" t="str">
            <v>https://www.mindat.org/1:1:3553:4</v>
          </cell>
        </row>
        <row r="1191">
          <cell r="A1191">
            <v>886</v>
          </cell>
          <cell r="B1191">
            <v>5237</v>
          </cell>
          <cell r="C1191" t="str">
            <v>Rosickyite</v>
          </cell>
          <cell r="E1191" t="str">
            <v/>
          </cell>
        </row>
        <row r="1192">
          <cell r="A1192">
            <v>909</v>
          </cell>
          <cell r="B1192">
            <v>5237</v>
          </cell>
          <cell r="C1192" t="str">
            <v>Rutheniridosmine</v>
          </cell>
          <cell r="E1192" t="str">
            <v>https://www.mindat.org/1:1:3482:7</v>
          </cell>
        </row>
        <row r="1193">
          <cell r="A1193">
            <v>910</v>
          </cell>
          <cell r="B1193">
            <v>5237</v>
          </cell>
          <cell r="C1193" t="str">
            <v>Ruthenium</v>
          </cell>
          <cell r="E1193" t="str">
            <v>https://www.mindat.org/1:1:3483:4</v>
          </cell>
        </row>
        <row r="1194">
          <cell r="A1194">
            <v>911</v>
          </cell>
          <cell r="B1194">
            <v>5237</v>
          </cell>
          <cell r="C1194" t="str">
            <v>Ruthenosmiridium</v>
          </cell>
          <cell r="E1194" t="str">
            <v/>
          </cell>
        </row>
        <row r="1195">
          <cell r="A1195">
            <v>1013</v>
          </cell>
          <cell r="B1195">
            <v>5237</v>
          </cell>
          <cell r="C1195" t="str">
            <v>Rhenium</v>
          </cell>
          <cell r="E1195" t="str">
            <v/>
          </cell>
        </row>
        <row r="1196">
          <cell r="A1196">
            <v>1016</v>
          </cell>
          <cell r="B1196">
            <v>5237</v>
          </cell>
          <cell r="C1196" t="str">
            <v>Rhodium</v>
          </cell>
          <cell r="E1196" t="str">
            <v>https://www.mindat.org/1:1:3404:9</v>
          </cell>
        </row>
        <row r="1197">
          <cell r="A1197">
            <v>1176</v>
          </cell>
          <cell r="B1197">
            <v>5237</v>
          </cell>
          <cell r="C1197" t="str">
            <v>Platiniridium</v>
          </cell>
          <cell r="E1197" t="str">
            <v/>
          </cell>
        </row>
        <row r="1198">
          <cell r="A1198">
            <v>1177</v>
          </cell>
          <cell r="B1198">
            <v>5237</v>
          </cell>
          <cell r="C1198" t="str">
            <v>Platinum</v>
          </cell>
          <cell r="E1198" t="str">
            <v>https://www.mindat.org/1:1:3236:6</v>
          </cell>
        </row>
        <row r="1199">
          <cell r="A1199">
            <v>1190</v>
          </cell>
          <cell r="B1199">
            <v>5237</v>
          </cell>
          <cell r="C1199" t="str">
            <v>Plumbopalladinite</v>
          </cell>
          <cell r="E1199" t="str">
            <v>https://www.mindat.org/1:1:3240:3</v>
          </cell>
        </row>
        <row r="1200">
          <cell r="A1200">
            <v>1212</v>
          </cell>
          <cell r="B1200">
            <v>5237</v>
          </cell>
          <cell r="C1200" t="str">
            <v>Potarite</v>
          </cell>
          <cell r="E1200" t="str">
            <v>https://www.mindat.org/1:1:3266:3</v>
          </cell>
        </row>
        <row r="1201">
          <cell r="A1201">
            <v>1321</v>
          </cell>
          <cell r="B1201">
            <v>5237</v>
          </cell>
          <cell r="C1201" t="str">
            <v>Tin</v>
          </cell>
          <cell r="E1201" t="str">
            <v>https://www.mindat.org/1:1:3965:5</v>
          </cell>
        </row>
        <row r="1202">
          <cell r="A1202">
            <v>1403</v>
          </cell>
          <cell r="B1202">
            <v>5237</v>
          </cell>
          <cell r="C1202" t="str">
            <v>Tulameenite</v>
          </cell>
          <cell r="E1202" t="str">
            <v>https://www.mindat.org/1:1:4046:0</v>
          </cell>
        </row>
        <row r="1203">
          <cell r="A1203">
            <v>1544</v>
          </cell>
          <cell r="B1203">
            <v>5237</v>
          </cell>
          <cell r="C1203" t="str">
            <v>Barringerite</v>
          </cell>
          <cell r="E1203" t="str">
            <v>https://www.mindat.org/1:1:537:5</v>
          </cell>
        </row>
        <row r="1204">
          <cell r="A1204">
            <v>1590</v>
          </cell>
          <cell r="B1204">
            <v>5237</v>
          </cell>
          <cell r="C1204" t="str">
            <v>Cupalite</v>
          </cell>
          <cell r="E1204" t="str">
            <v/>
          </cell>
        </row>
        <row r="1205">
          <cell r="A1205">
            <v>1685</v>
          </cell>
          <cell r="B1205">
            <v>5237</v>
          </cell>
          <cell r="C1205" t="str">
            <v>Osmiridium</v>
          </cell>
          <cell r="E1205" t="str">
            <v/>
          </cell>
        </row>
        <row r="1206">
          <cell r="A1206">
            <v>1686</v>
          </cell>
          <cell r="B1206">
            <v>5237</v>
          </cell>
          <cell r="C1206" t="str">
            <v>Osmium</v>
          </cell>
          <cell r="E1206" t="str">
            <v>https://www.mindat.org/1:1:3037:9</v>
          </cell>
        </row>
        <row r="1207">
          <cell r="A1207">
            <v>1714</v>
          </cell>
          <cell r="B1207">
            <v>5237</v>
          </cell>
          <cell r="C1207" t="str">
            <v>Palladium</v>
          </cell>
          <cell r="E1207" t="str">
            <v>https://www.mindat.org/1:1:3067:6</v>
          </cell>
        </row>
        <row r="1208">
          <cell r="A1208">
            <v>1735</v>
          </cell>
          <cell r="B1208">
            <v>5237</v>
          </cell>
          <cell r="C1208" t="str">
            <v>Paradocrasite</v>
          </cell>
          <cell r="E1208" t="str">
            <v>https://www.mindat.org/1:1:3087:4</v>
          </cell>
        </row>
        <row r="1209">
          <cell r="A1209">
            <v>1756</v>
          </cell>
          <cell r="B1209">
            <v>5237</v>
          </cell>
          <cell r="C1209" t="str">
            <v>Paraschachnerite</v>
          </cell>
          <cell r="E1209" t="str">
            <v>https://www.mindat.org/1:1:3109:3</v>
          </cell>
        </row>
        <row r="1210">
          <cell r="A1210">
            <v>1857</v>
          </cell>
          <cell r="B1210">
            <v>5237</v>
          </cell>
          <cell r="C1210" t="str">
            <v>Electrum</v>
          </cell>
          <cell r="E1210" t="str">
            <v/>
          </cell>
        </row>
        <row r="1211">
          <cell r="A1211">
            <v>1913</v>
          </cell>
          <cell r="B1211">
            <v>5237</v>
          </cell>
          <cell r="C1211" t="str">
            <v>Eugenite</v>
          </cell>
          <cell r="E1211" t="str">
            <v>https://www.mindat.org/1:1:1422:5</v>
          </cell>
        </row>
        <row r="1212">
          <cell r="A1212">
            <v>1952</v>
          </cell>
          <cell r="B1212">
            <v>5237</v>
          </cell>
          <cell r="C1212" t="str">
            <v>Ferdisilicite</v>
          </cell>
          <cell r="E1212" t="str">
            <v/>
          </cell>
        </row>
        <row r="1213">
          <cell r="A1213">
            <v>2007</v>
          </cell>
          <cell r="B1213">
            <v>5237</v>
          </cell>
          <cell r="C1213" t="str">
            <v>Ferronickelplatinum</v>
          </cell>
          <cell r="E1213" t="str">
            <v>https://www.mindat.org/1:1:1523:9</v>
          </cell>
        </row>
        <row r="1214">
          <cell r="A1214">
            <v>2025</v>
          </cell>
          <cell r="B1214">
            <v>5237</v>
          </cell>
          <cell r="C1214" t="str">
            <v>Fersilicite</v>
          </cell>
          <cell r="E1214" t="str">
            <v/>
          </cell>
        </row>
        <row r="1215">
          <cell r="A1215">
            <v>2116</v>
          </cell>
          <cell r="B1215">
            <v>5237</v>
          </cell>
          <cell r="C1215" t="str">
            <v>Moissanite</v>
          </cell>
          <cell r="E1215" t="str">
            <v>https://www.mindat.org/1:1:2743:0</v>
          </cell>
        </row>
        <row r="1216">
          <cell r="A1216">
            <v>2117</v>
          </cell>
          <cell r="B1216">
            <v>5237</v>
          </cell>
          <cell r="C1216" t="str">
            <v>Moissanite-6h</v>
          </cell>
          <cell r="E1216" t="str">
            <v/>
          </cell>
        </row>
        <row r="1217">
          <cell r="A1217">
            <v>2165</v>
          </cell>
          <cell r="B1217">
            <v>5237</v>
          </cell>
          <cell r="C1217" t="str">
            <v>Moschellandsbergite</v>
          </cell>
          <cell r="E1217" t="str">
            <v>https://www.mindat.org/1:1:2789:8</v>
          </cell>
        </row>
        <row r="1218">
          <cell r="A1218">
            <v>2275</v>
          </cell>
          <cell r="B1218">
            <v>5237</v>
          </cell>
          <cell r="C1218" t="str">
            <v>Nickel</v>
          </cell>
          <cell r="E1218" t="str">
            <v>https://www.mindat.org/1:1:2895:6</v>
          </cell>
        </row>
        <row r="1219">
          <cell r="A1219">
            <v>2291</v>
          </cell>
          <cell r="B1219">
            <v>5237</v>
          </cell>
          <cell r="C1219" t="str">
            <v>Nierite</v>
          </cell>
          <cell r="E1219" t="str">
            <v/>
          </cell>
        </row>
        <row r="1220">
          <cell r="A1220">
            <v>2294</v>
          </cell>
          <cell r="B1220">
            <v>5237</v>
          </cell>
          <cell r="C1220" t="str">
            <v>Niggliite</v>
          </cell>
          <cell r="E1220" t="str">
            <v>https://www.mindat.org/1:1:2904:5</v>
          </cell>
        </row>
        <row r="1221">
          <cell r="A1221">
            <v>2384</v>
          </cell>
          <cell r="B1221">
            <v>5237</v>
          </cell>
          <cell r="C1221" t="str">
            <v>Lonsdaleite</v>
          </cell>
          <cell r="E1221" t="str">
            <v>https://www.mindat.org/1:1:2431:6</v>
          </cell>
        </row>
        <row r="1222">
          <cell r="A1222">
            <v>2589</v>
          </cell>
          <cell r="B1222">
            <v>5237</v>
          </cell>
          <cell r="C1222" t="str">
            <v>Mercury</v>
          </cell>
          <cell r="E1222" t="str">
            <v>https://www.mindat.org/1:1:2647:1</v>
          </cell>
        </row>
        <row r="1223">
          <cell r="A1223">
            <v>2792</v>
          </cell>
          <cell r="B1223">
            <v>5237</v>
          </cell>
          <cell r="C1223" t="str">
            <v>Gold</v>
          </cell>
          <cell r="E1223" t="str">
            <v>https://www.mindat.org/1:1:1720:2</v>
          </cell>
        </row>
        <row r="1224">
          <cell r="A1224">
            <v>2819</v>
          </cell>
          <cell r="B1224">
            <v>5237</v>
          </cell>
          <cell r="C1224" t="str">
            <v>Graphite</v>
          </cell>
          <cell r="E1224" t="str">
            <v>https://www.mindat.org/1:1:1740:0</v>
          </cell>
        </row>
        <row r="1225">
          <cell r="A1225">
            <v>2994</v>
          </cell>
          <cell r="B1225">
            <v>5237</v>
          </cell>
          <cell r="C1225" t="str">
            <v>Hongshiite</v>
          </cell>
          <cell r="E1225" t="str">
            <v>https://www.mindat.org/1:1:1929:9</v>
          </cell>
        </row>
        <row r="1226">
          <cell r="A1226">
            <v>3096</v>
          </cell>
          <cell r="B1226">
            <v>5237</v>
          </cell>
          <cell r="C1226" t="str">
            <v>Indium</v>
          </cell>
          <cell r="E1226" t="str">
            <v>https://www.mindat.org/1:1:2030:1</v>
          </cell>
        </row>
        <row r="1227">
          <cell r="A1227">
            <v>3112</v>
          </cell>
          <cell r="B1227">
            <v>5237</v>
          </cell>
          <cell r="C1227" t="str">
            <v>Iridium</v>
          </cell>
          <cell r="E1227" t="str">
            <v>https://www.mindat.org/1:1:2045:5</v>
          </cell>
        </row>
        <row r="1228">
          <cell r="A1228">
            <v>3113</v>
          </cell>
          <cell r="B1228">
            <v>5237</v>
          </cell>
          <cell r="C1228" t="str">
            <v>Iridosmine</v>
          </cell>
          <cell r="E1228" t="str">
            <v/>
          </cell>
        </row>
        <row r="1229">
          <cell r="A1229">
            <v>3115</v>
          </cell>
          <cell r="B1229">
            <v>5237</v>
          </cell>
          <cell r="C1229" t="str">
            <v>Iron</v>
          </cell>
          <cell r="E1229" t="str">
            <v>https://www.mindat.org/1:1:2047:9</v>
          </cell>
        </row>
        <row r="1230">
          <cell r="A1230">
            <v>3120</v>
          </cell>
          <cell r="B1230">
            <v>5237</v>
          </cell>
          <cell r="C1230" t="str">
            <v>Isoferroplatinum</v>
          </cell>
          <cell r="E1230" t="str">
            <v>https://www.mindat.org/1:1:2053:0</v>
          </cell>
        </row>
        <row r="1231">
          <cell r="A1231">
            <v>3336</v>
          </cell>
          <cell r="B1231">
            <v>5237</v>
          </cell>
          <cell r="C1231" t="str">
            <v>Kolymite</v>
          </cell>
          <cell r="E1231" t="str">
            <v>https://www.mindat.org/1:1:2244:2</v>
          </cell>
        </row>
        <row r="1232">
          <cell r="A1232">
            <v>3454</v>
          </cell>
          <cell r="B1232">
            <v>5237</v>
          </cell>
          <cell r="C1232" t="str">
            <v>Lead</v>
          </cell>
          <cell r="E1232" t="str">
            <v>https://www.mindat.org/1:1:2358:6</v>
          </cell>
        </row>
        <row r="1233">
          <cell r="A1233">
            <v>3522</v>
          </cell>
          <cell r="B1233">
            <v>5237</v>
          </cell>
          <cell r="C1233" t="str">
            <v>Bismuth</v>
          </cell>
          <cell r="E1233" t="str">
            <v>https://www.mindat.org/1:1:684:2</v>
          </cell>
        </row>
        <row r="1234">
          <cell r="A1234">
            <v>3651</v>
          </cell>
          <cell r="B1234">
            <v>5237</v>
          </cell>
          <cell r="C1234" t="str">
            <v>Cadmium</v>
          </cell>
          <cell r="E1234" t="str">
            <v>https://www.mindat.org/1:1:842:4</v>
          </cell>
        </row>
        <row r="1235">
          <cell r="A1235">
            <v>3789</v>
          </cell>
          <cell r="B1235">
            <v>5237</v>
          </cell>
          <cell r="C1235" t="str">
            <v>Chaoite</v>
          </cell>
          <cell r="E1235" t="str">
            <v>https://www.mindat.org/1:1:1207:8</v>
          </cell>
        </row>
        <row r="1236">
          <cell r="A1236">
            <v>3845</v>
          </cell>
          <cell r="B1236">
            <v>5237</v>
          </cell>
          <cell r="C1236" t="str">
            <v>Chromium</v>
          </cell>
          <cell r="E1236" t="str">
            <v>https://www.mindat.org/1:1:1037:1</v>
          </cell>
        </row>
        <row r="1237">
          <cell r="A1237">
            <v>3870</v>
          </cell>
          <cell r="B1237">
            <v>5237</v>
          </cell>
          <cell r="C1237" t="str">
            <v>Cliftonite</v>
          </cell>
          <cell r="E1237" t="str">
            <v/>
          </cell>
        </row>
        <row r="1238">
          <cell r="A1238">
            <v>3912</v>
          </cell>
          <cell r="B1238">
            <v>5237</v>
          </cell>
          <cell r="C1238" t="str">
            <v>Cohenite</v>
          </cell>
          <cell r="E1238" t="str">
            <v>https://www.mindat.org/1:1:1107:1</v>
          </cell>
        </row>
        <row r="1239">
          <cell r="A1239">
            <v>3932</v>
          </cell>
          <cell r="B1239">
            <v>5237</v>
          </cell>
          <cell r="C1239" t="str">
            <v>Copper</v>
          </cell>
          <cell r="E1239" t="str">
            <v>https://www.mindat.org/1:1:1209:2</v>
          </cell>
        </row>
        <row r="1240">
          <cell r="A1240">
            <v>4018</v>
          </cell>
          <cell r="B1240">
            <v>5237</v>
          </cell>
          <cell r="C1240" t="str">
            <v>Aluminum</v>
          </cell>
          <cell r="E1240" t="str">
            <v/>
          </cell>
        </row>
        <row r="1241">
          <cell r="A1241">
            <v>4077</v>
          </cell>
          <cell r="B1241">
            <v>5237</v>
          </cell>
          <cell r="C1241" t="str">
            <v>Antimony</v>
          </cell>
          <cell r="E1241" t="str">
            <v>https://www.mindat.org/1:1:262:4</v>
          </cell>
        </row>
        <row r="1242">
          <cell r="A1242">
            <v>4115</v>
          </cell>
          <cell r="B1242">
            <v>5237</v>
          </cell>
          <cell r="C1242" t="str">
            <v>Arsenic</v>
          </cell>
          <cell r="E1242" t="str">
            <v>https://www.mindat.org/1:1:357:1</v>
          </cell>
        </row>
        <row r="1243">
          <cell r="A1243">
            <v>4125</v>
          </cell>
          <cell r="B1243">
            <v>5237</v>
          </cell>
          <cell r="C1243" t="str">
            <v>Arsenolamprite</v>
          </cell>
          <cell r="E1243" t="str">
            <v>https://www.mindat.org/1:1:312:8</v>
          </cell>
        </row>
        <row r="1244">
          <cell r="A1244">
            <v>4157</v>
          </cell>
          <cell r="B1244">
            <v>5237</v>
          </cell>
          <cell r="C1244" t="str">
            <v>Atokite</v>
          </cell>
          <cell r="E1244" t="str">
            <v>https://www.mindat.org/1:1:413:6</v>
          </cell>
        </row>
        <row r="1245">
          <cell r="A1245">
            <v>4164</v>
          </cell>
          <cell r="B1245">
            <v>5237</v>
          </cell>
          <cell r="C1245" t="str">
            <v>Auricupride</v>
          </cell>
          <cell r="E1245" t="str">
            <v>https://www.mindat.org/1:1:423:3</v>
          </cell>
        </row>
        <row r="1246">
          <cell r="A1246">
            <v>4172</v>
          </cell>
          <cell r="B1246">
            <v>5237</v>
          </cell>
          <cell r="C1246" t="str">
            <v>Awaruite</v>
          </cell>
          <cell r="E1246" t="str">
            <v>https://www.mindat.org/1:1:439:4</v>
          </cell>
        </row>
        <row r="1247">
          <cell r="A1247">
            <v>4239</v>
          </cell>
          <cell r="B1247">
            <v>5237</v>
          </cell>
          <cell r="C1247" t="str">
            <v>Diamond</v>
          </cell>
          <cell r="E1247" t="str">
            <v>https://www.mindat.org/1:1:1282:5</v>
          </cell>
        </row>
        <row r="1248">
          <cell r="A1248">
            <v>73</v>
          </cell>
          <cell r="B1248">
            <v>5238</v>
          </cell>
          <cell r="C1248" t="str">
            <v>Wurtzite</v>
          </cell>
          <cell r="E1248" t="str">
            <v>https://www.mindat.org/1:1:4318:8</v>
          </cell>
        </row>
        <row r="1249">
          <cell r="A1249">
            <v>74</v>
          </cell>
          <cell r="B1249">
            <v>5238</v>
          </cell>
          <cell r="C1249" t="str">
            <v>Wurtzite-2h</v>
          </cell>
          <cell r="E1249" t="str">
            <v/>
          </cell>
        </row>
        <row r="1250">
          <cell r="A1250">
            <v>83</v>
          </cell>
          <cell r="B1250">
            <v>5238</v>
          </cell>
          <cell r="C1250" t="str">
            <v>Xanthoconite</v>
          </cell>
          <cell r="E1250" t="str">
            <v>https://www.mindat.org/1:1:4330:0</v>
          </cell>
        </row>
        <row r="1251">
          <cell r="A1251">
            <v>90</v>
          </cell>
          <cell r="B1251">
            <v>5238</v>
          </cell>
          <cell r="C1251" t="str">
            <v>Xilingolite</v>
          </cell>
          <cell r="E1251" t="str">
            <v>https://www.mindat.org/1:1:4336:2</v>
          </cell>
        </row>
        <row r="1252">
          <cell r="A1252">
            <v>92</v>
          </cell>
          <cell r="B1252">
            <v>5238</v>
          </cell>
          <cell r="C1252" t="str">
            <v>Xingzhongite</v>
          </cell>
          <cell r="E1252" t="str">
            <v>https://www.mindat.org/1:1:4339:3</v>
          </cell>
        </row>
        <row r="1253">
          <cell r="A1253">
            <v>101</v>
          </cell>
          <cell r="B1253">
            <v>5238</v>
          </cell>
          <cell r="C1253" t="str">
            <v>Yarrowite</v>
          </cell>
          <cell r="E1253" t="str">
            <v>https://www.mindat.org/1:1:4354:6</v>
          </cell>
        </row>
        <row r="1254">
          <cell r="A1254">
            <v>120</v>
          </cell>
          <cell r="B1254">
            <v>5238</v>
          </cell>
          <cell r="C1254" t="str">
            <v>Wallisite</v>
          </cell>
          <cell r="E1254" t="str">
            <v>https://www.mindat.org/1:1:4236:5</v>
          </cell>
        </row>
        <row r="1255">
          <cell r="A1255">
            <v>129</v>
          </cell>
          <cell r="B1255">
            <v>5238</v>
          </cell>
          <cell r="C1255" t="str">
            <v>Watanabeite</v>
          </cell>
          <cell r="E1255" t="str">
            <v>https://www.mindat.org/1:1:4246:4</v>
          </cell>
        </row>
        <row r="1256">
          <cell r="A1256">
            <v>141</v>
          </cell>
          <cell r="B1256">
            <v>5238</v>
          </cell>
          <cell r="C1256" t="str">
            <v>Weibullite</v>
          </cell>
          <cell r="E1256" t="str">
            <v>https://www.mindat.org/1:1:4257:0</v>
          </cell>
        </row>
        <row r="1257">
          <cell r="A1257">
            <v>146</v>
          </cell>
          <cell r="B1257">
            <v>5238</v>
          </cell>
          <cell r="C1257" t="str">
            <v>Weissbergite</v>
          </cell>
          <cell r="E1257" t="str">
            <v>https://www.mindat.org/1:1:4262:4</v>
          </cell>
        </row>
        <row r="1258">
          <cell r="A1258">
            <v>147</v>
          </cell>
          <cell r="B1258">
            <v>5238</v>
          </cell>
          <cell r="C1258" t="str">
            <v>Weissite</v>
          </cell>
          <cell r="E1258" t="str">
            <v>https://www.mindat.org/1:1:4263:1</v>
          </cell>
        </row>
        <row r="1259">
          <cell r="A1259">
            <v>157</v>
          </cell>
          <cell r="B1259">
            <v>5238</v>
          </cell>
          <cell r="C1259" t="str">
            <v>Westerveldite</v>
          </cell>
          <cell r="E1259" t="str">
            <v>https://www.mindat.org/1:1:4273:0</v>
          </cell>
        </row>
        <row r="1260">
          <cell r="A1260">
            <v>180</v>
          </cell>
          <cell r="B1260">
            <v>5238</v>
          </cell>
          <cell r="C1260" t="str">
            <v>Willyamite</v>
          </cell>
          <cell r="E1260" t="str">
            <v>https://www.mindat.org/1:1:4295:2</v>
          </cell>
        </row>
        <row r="1261">
          <cell r="A1261">
            <v>186</v>
          </cell>
          <cell r="B1261">
            <v>5238</v>
          </cell>
          <cell r="C1261" t="str">
            <v>Wittichenite</v>
          </cell>
          <cell r="E1261" t="str">
            <v>https://www.mindat.org/1:1:4300:3</v>
          </cell>
        </row>
        <row r="1262">
          <cell r="A1262">
            <v>187</v>
          </cell>
          <cell r="B1262">
            <v>5238</v>
          </cell>
          <cell r="C1262" t="str">
            <v>Wittite</v>
          </cell>
          <cell r="E1262" t="str">
            <v>https://www.mindat.org/1:1:4301:0</v>
          </cell>
        </row>
        <row r="1263">
          <cell r="A1263">
            <v>235</v>
          </cell>
          <cell r="B1263">
            <v>5238</v>
          </cell>
          <cell r="C1263" t="str">
            <v>Zinkenite</v>
          </cell>
          <cell r="E1263" t="str">
            <v>https://www.mindat.org/1:1:4417:8</v>
          </cell>
        </row>
        <row r="1264">
          <cell r="A1264">
            <v>262</v>
          </cell>
          <cell r="B1264">
            <v>5238</v>
          </cell>
          <cell r="C1264" t="str">
            <v>Ikunolite</v>
          </cell>
          <cell r="E1264" t="str">
            <v>https://www.mindat.org/1:1:2008:0</v>
          </cell>
        </row>
        <row r="1265">
          <cell r="A1265">
            <v>269</v>
          </cell>
          <cell r="B1265">
            <v>5238</v>
          </cell>
          <cell r="C1265" t="str">
            <v>Tennantite</v>
          </cell>
          <cell r="E1265" t="str">
            <v>https://www.mindat.org/1:1:3911:2</v>
          </cell>
        </row>
        <row r="1266">
          <cell r="A1266">
            <v>284</v>
          </cell>
          <cell r="B1266">
            <v>5238</v>
          </cell>
          <cell r="C1266" t="str">
            <v>Tetradymite</v>
          </cell>
          <cell r="E1266" t="str">
            <v>https://www.mindat.org/1:1:3921:1</v>
          </cell>
        </row>
        <row r="1267">
          <cell r="A1267">
            <v>286</v>
          </cell>
          <cell r="B1267">
            <v>5238</v>
          </cell>
          <cell r="C1267" t="str">
            <v>Tetrahedrite</v>
          </cell>
          <cell r="E1267" t="str">
            <v>https://www.mindat.org/1:1:3924:2</v>
          </cell>
        </row>
        <row r="1268">
          <cell r="A1268">
            <v>321</v>
          </cell>
          <cell r="B1268">
            <v>5238</v>
          </cell>
          <cell r="C1268" t="str">
            <v>Suredaite</v>
          </cell>
          <cell r="E1268" t="str">
            <v>https://www.mindat.org/1:1:7322:2</v>
          </cell>
        </row>
        <row r="1269">
          <cell r="A1269">
            <v>343</v>
          </cell>
          <cell r="B1269">
            <v>5238</v>
          </cell>
          <cell r="C1269" t="str">
            <v>Sylvanite</v>
          </cell>
          <cell r="E1269" t="str">
            <v>https://www.mindat.org/1:1:3849:8</v>
          </cell>
        </row>
        <row r="1270">
          <cell r="A1270">
            <v>375</v>
          </cell>
          <cell r="B1270">
            <v>5238</v>
          </cell>
          <cell r="C1270" t="str">
            <v>Talnakhite</v>
          </cell>
          <cell r="E1270" t="str">
            <v>https://www.mindat.org/1:1:3877:1</v>
          </cell>
        </row>
        <row r="1271">
          <cell r="A1271">
            <v>399</v>
          </cell>
          <cell r="B1271">
            <v>5238</v>
          </cell>
          <cell r="C1271" t="str">
            <v>Teallite</v>
          </cell>
          <cell r="E1271" t="str">
            <v>https://www.mindat.org/1:1:3900:6</v>
          </cell>
        </row>
        <row r="1272">
          <cell r="A1272">
            <v>405</v>
          </cell>
          <cell r="B1272">
            <v>5238</v>
          </cell>
          <cell r="C1272" t="str">
            <v>Tellurantimony</v>
          </cell>
          <cell r="E1272" t="str">
            <v>https://www.mindat.org/1:1:3904:4</v>
          </cell>
        </row>
        <row r="1273">
          <cell r="A1273">
            <v>408</v>
          </cell>
          <cell r="B1273">
            <v>5238</v>
          </cell>
          <cell r="C1273" t="str">
            <v>Tellurobismuthite</v>
          </cell>
          <cell r="E1273" t="str">
            <v>https://www.mindat.org/1:1:3907:5</v>
          </cell>
        </row>
        <row r="1274">
          <cell r="A1274">
            <v>410</v>
          </cell>
          <cell r="B1274">
            <v>5238</v>
          </cell>
          <cell r="C1274" t="str">
            <v>Telluropalladinite</v>
          </cell>
          <cell r="E1274" t="str">
            <v>https://www.mindat.org/1:1:3899:3</v>
          </cell>
        </row>
        <row r="1275">
          <cell r="A1275">
            <v>411</v>
          </cell>
          <cell r="B1275">
            <v>5238</v>
          </cell>
          <cell r="C1275" t="str">
            <v>Stannite</v>
          </cell>
          <cell r="E1275" t="str">
            <v>https://www.mindat.org/1:1:3747:7</v>
          </cell>
        </row>
        <row r="1276">
          <cell r="A1276">
            <v>412</v>
          </cell>
          <cell r="B1276">
            <v>5238</v>
          </cell>
          <cell r="C1276" t="str">
            <v>Stannoidite</v>
          </cell>
          <cell r="E1276" t="str">
            <v>https://www.mindat.org/1:1:3748:4</v>
          </cell>
        </row>
        <row r="1277">
          <cell r="A1277">
            <v>424</v>
          </cell>
          <cell r="B1277">
            <v>5238</v>
          </cell>
          <cell r="C1277" t="str">
            <v>Stephanite</v>
          </cell>
          <cell r="E1277" t="str">
            <v>https://www.mindat.org/1:1:3764:4</v>
          </cell>
        </row>
        <row r="1278">
          <cell r="A1278">
            <v>427</v>
          </cell>
          <cell r="B1278">
            <v>5238</v>
          </cell>
          <cell r="C1278" t="str">
            <v>Sternbergite</v>
          </cell>
          <cell r="E1278" t="str">
            <v>https://www.mindat.org/1:1:3767:5</v>
          </cell>
        </row>
        <row r="1279">
          <cell r="A1279">
            <v>428</v>
          </cell>
          <cell r="B1279">
            <v>5238</v>
          </cell>
          <cell r="C1279" t="str">
            <v>Sterryite</v>
          </cell>
          <cell r="E1279" t="str">
            <v>https://www.mindat.org/1:1:3768:2</v>
          </cell>
        </row>
        <row r="1280">
          <cell r="A1280">
            <v>438</v>
          </cell>
          <cell r="B1280">
            <v>5238</v>
          </cell>
          <cell r="C1280" t="str">
            <v>Stibiopalladinite</v>
          </cell>
          <cell r="E1280" t="str">
            <v>https://www.mindat.org/1:1:3758:3</v>
          </cell>
        </row>
        <row r="1281">
          <cell r="A1281">
            <v>442</v>
          </cell>
          <cell r="B1281">
            <v>5238</v>
          </cell>
          <cell r="C1281" t="str">
            <v>Stibnite</v>
          </cell>
          <cell r="E1281" t="str">
            <v>https://www.mindat.org/1:1:3782:8</v>
          </cell>
        </row>
        <row r="1282">
          <cell r="A1282">
            <v>447</v>
          </cell>
          <cell r="B1282">
            <v>5238</v>
          </cell>
          <cell r="C1282" t="str">
            <v>Stilleite</v>
          </cell>
          <cell r="E1282" t="str">
            <v>https://www.mindat.org/1:1:3786:6</v>
          </cell>
        </row>
        <row r="1283">
          <cell r="A1283">
            <v>448</v>
          </cell>
          <cell r="B1283">
            <v>5238</v>
          </cell>
          <cell r="C1283" t="str">
            <v>Stillwaterite</v>
          </cell>
          <cell r="E1283" t="str">
            <v>https://www.mindat.org/1:1:3787:3</v>
          </cell>
        </row>
        <row r="1284">
          <cell r="A1284">
            <v>466</v>
          </cell>
          <cell r="B1284">
            <v>5238</v>
          </cell>
          <cell r="C1284" t="str">
            <v>Stromeyerite</v>
          </cell>
          <cell r="E1284" t="str">
            <v>https://www.mindat.org/1:1:3803:0</v>
          </cell>
        </row>
        <row r="1285">
          <cell r="A1285">
            <v>488</v>
          </cell>
          <cell r="B1285">
            <v>5238</v>
          </cell>
          <cell r="C1285" t="str">
            <v>Stutzite</v>
          </cell>
          <cell r="E1285" t="str">
            <v/>
          </cell>
        </row>
        <row r="1286">
          <cell r="A1286">
            <v>499</v>
          </cell>
          <cell r="B1286">
            <v>5238</v>
          </cell>
          <cell r="C1286" t="str">
            <v>Sulvanite</v>
          </cell>
          <cell r="E1286" t="str">
            <v>https://www.mindat.org/1:1:3827:6</v>
          </cell>
        </row>
        <row r="1287">
          <cell r="A1287">
            <v>516</v>
          </cell>
          <cell r="B1287">
            <v>5238</v>
          </cell>
          <cell r="C1287" t="str">
            <v>Sinnerite</v>
          </cell>
          <cell r="E1287" t="str">
            <v>https://www.mindat.org/1:1:3675:3</v>
          </cell>
        </row>
        <row r="1288">
          <cell r="A1288">
            <v>520</v>
          </cell>
          <cell r="B1288">
            <v>5238</v>
          </cell>
          <cell r="C1288" t="str">
            <v>Skinnerite</v>
          </cell>
          <cell r="E1288" t="str">
            <v>https://www.mindat.org/1:1:3679:1</v>
          </cell>
        </row>
        <row r="1289">
          <cell r="A1289">
            <v>523</v>
          </cell>
          <cell r="B1289">
            <v>5238</v>
          </cell>
          <cell r="C1289" t="str">
            <v>Skutterudite</v>
          </cell>
          <cell r="E1289" t="str">
            <v>https://www.mindat.org/1:1:3682:1</v>
          </cell>
        </row>
        <row r="1290">
          <cell r="A1290">
            <v>528</v>
          </cell>
          <cell r="B1290">
            <v>5238</v>
          </cell>
          <cell r="C1290" t="str">
            <v>Smithite</v>
          </cell>
          <cell r="E1290" t="str">
            <v>https://www.mindat.org/1:1:3687:6</v>
          </cell>
        </row>
        <row r="1291">
          <cell r="A1291">
            <v>532</v>
          </cell>
          <cell r="B1291">
            <v>5238</v>
          </cell>
          <cell r="C1291" t="str">
            <v>Smythite</v>
          </cell>
          <cell r="E1291" t="str">
            <v>https://www.mindat.org/1:1:3691:3</v>
          </cell>
        </row>
        <row r="1292">
          <cell r="A1292">
            <v>560</v>
          </cell>
          <cell r="B1292">
            <v>5238</v>
          </cell>
          <cell r="C1292" t="str">
            <v>Sorbyite</v>
          </cell>
          <cell r="E1292" t="str">
            <v>https://www.mindat.org/1:1:3715:6</v>
          </cell>
        </row>
        <row r="1293">
          <cell r="A1293">
            <v>564</v>
          </cell>
          <cell r="B1293">
            <v>5238</v>
          </cell>
          <cell r="C1293" t="str">
            <v>Soucekite</v>
          </cell>
          <cell r="E1293" t="str">
            <v>https://www.mindat.org/1:1:3718:7</v>
          </cell>
        </row>
        <row r="1294">
          <cell r="A1294">
            <v>569</v>
          </cell>
          <cell r="B1294">
            <v>5238</v>
          </cell>
          <cell r="C1294" t="str">
            <v>Sperrylite</v>
          </cell>
          <cell r="E1294" t="str">
            <v>https://www.mindat.org/1:1:3723:1</v>
          </cell>
        </row>
        <row r="1295">
          <cell r="A1295">
            <v>574</v>
          </cell>
          <cell r="B1295">
            <v>5238</v>
          </cell>
          <cell r="C1295" t="str">
            <v>Sphalerite</v>
          </cell>
          <cell r="E1295" t="str">
            <v>https://www.mindat.org/1:1:3727:9</v>
          </cell>
        </row>
        <row r="1296">
          <cell r="A1296">
            <v>578</v>
          </cell>
          <cell r="B1296">
            <v>5238</v>
          </cell>
          <cell r="C1296" t="str">
            <v>Spionkopite</v>
          </cell>
          <cell r="E1296" t="str">
            <v>https://www.mindat.org/1:1:3730:9</v>
          </cell>
        </row>
        <row r="1297">
          <cell r="A1297">
            <v>587</v>
          </cell>
          <cell r="B1297">
            <v>5238</v>
          </cell>
          <cell r="C1297" t="str">
            <v>Stalderite</v>
          </cell>
          <cell r="E1297" t="str">
            <v>https://www.mindat.org/1:1:3744:6</v>
          </cell>
        </row>
        <row r="1298">
          <cell r="A1298">
            <v>628</v>
          </cell>
          <cell r="B1298">
            <v>5238</v>
          </cell>
          <cell r="C1298" t="str">
            <v>Seligmannite</v>
          </cell>
          <cell r="E1298" t="str">
            <v>https://www.mindat.org/1:1:3613:5</v>
          </cell>
        </row>
        <row r="1299">
          <cell r="A1299">
            <v>632</v>
          </cell>
          <cell r="B1299">
            <v>5238</v>
          </cell>
          <cell r="C1299" t="str">
            <v>Semseyite</v>
          </cell>
          <cell r="E1299" t="str">
            <v>https://www.mindat.org/1:1:3616:6</v>
          </cell>
        </row>
        <row r="1300">
          <cell r="A1300">
            <v>648</v>
          </cell>
          <cell r="B1300">
            <v>5238</v>
          </cell>
          <cell r="C1300" t="str">
            <v>Shandite</v>
          </cell>
          <cell r="E1300" t="str">
            <v>https://www.mindat.org/1:1:3631:9</v>
          </cell>
        </row>
        <row r="1301">
          <cell r="A1301">
            <v>675</v>
          </cell>
          <cell r="B1301">
            <v>5238</v>
          </cell>
          <cell r="C1301" t="str">
            <v>Siegenite</v>
          </cell>
          <cell r="E1301" t="str">
            <v>https://www.mindat.org/1:1:3655:5</v>
          </cell>
        </row>
        <row r="1302">
          <cell r="A1302">
            <v>685</v>
          </cell>
          <cell r="B1302">
            <v>5238</v>
          </cell>
          <cell r="C1302" t="str">
            <v>Vikingite</v>
          </cell>
          <cell r="E1302" t="str">
            <v>https://www.mindat.org/1:1:4179:5</v>
          </cell>
        </row>
        <row r="1303">
          <cell r="A1303">
            <v>686</v>
          </cell>
          <cell r="B1303">
            <v>5238</v>
          </cell>
          <cell r="C1303" t="str">
            <v>Villamaninite</v>
          </cell>
          <cell r="E1303" t="str">
            <v/>
          </cell>
        </row>
        <row r="1304">
          <cell r="A1304">
            <v>690</v>
          </cell>
          <cell r="B1304">
            <v>5238</v>
          </cell>
          <cell r="C1304" t="str">
            <v>Vincentite</v>
          </cell>
          <cell r="E1304" t="str">
            <v>https://www.mindat.org/1:1:4184:9</v>
          </cell>
        </row>
        <row r="1305">
          <cell r="A1305">
            <v>691</v>
          </cell>
          <cell r="B1305">
            <v>5238</v>
          </cell>
          <cell r="C1305" t="str">
            <v>Vinciennite</v>
          </cell>
          <cell r="E1305" t="str">
            <v>https://www.mindat.org/1:1:4185:6</v>
          </cell>
        </row>
        <row r="1306">
          <cell r="A1306">
            <v>693</v>
          </cell>
          <cell r="B1306">
            <v>5238</v>
          </cell>
          <cell r="C1306" t="str">
            <v>Violarite</v>
          </cell>
          <cell r="E1306" t="str">
            <v>https://www.mindat.org/1:1:4187:0</v>
          </cell>
        </row>
        <row r="1307">
          <cell r="A1307">
            <v>712</v>
          </cell>
          <cell r="B1307">
            <v>5238</v>
          </cell>
          <cell r="C1307" t="str">
            <v>Volynskite</v>
          </cell>
          <cell r="E1307" t="str">
            <v>https://www.mindat.org/1:1:4205:1</v>
          </cell>
        </row>
        <row r="1308">
          <cell r="A1308">
            <v>716</v>
          </cell>
          <cell r="B1308">
            <v>5238</v>
          </cell>
          <cell r="C1308" t="str">
            <v>Vrbaite</v>
          </cell>
          <cell r="E1308" t="str">
            <v>https://www.mindat.org/1:1:4211:2</v>
          </cell>
        </row>
        <row r="1309">
          <cell r="A1309">
            <v>718</v>
          </cell>
          <cell r="B1309">
            <v>5238</v>
          </cell>
          <cell r="C1309" t="str">
            <v>Vulcanite</v>
          </cell>
          <cell r="E1309" t="str">
            <v>https://www.mindat.org/1:1:4213:6</v>
          </cell>
        </row>
        <row r="1310">
          <cell r="A1310">
            <v>724</v>
          </cell>
          <cell r="B1310">
            <v>5238</v>
          </cell>
          <cell r="C1310" t="str">
            <v>Vysotskite</v>
          </cell>
          <cell r="E1310" t="str">
            <v>https://www.mindat.org/1:1:4221:1</v>
          </cell>
        </row>
        <row r="1311">
          <cell r="A1311">
            <v>734</v>
          </cell>
          <cell r="B1311">
            <v>5238</v>
          </cell>
          <cell r="C1311" t="str">
            <v>Wakabayashilite</v>
          </cell>
          <cell r="E1311" t="str">
            <v>https://www.mindat.org/1:1:4232:7</v>
          </cell>
        </row>
        <row r="1312">
          <cell r="A1312">
            <v>750</v>
          </cell>
          <cell r="B1312">
            <v>5238</v>
          </cell>
          <cell r="C1312" t="str">
            <v>Scainiite</v>
          </cell>
          <cell r="E1312" t="str">
            <v>https://www.mindat.org/1:1:7016:0</v>
          </cell>
        </row>
        <row r="1313">
          <cell r="A1313">
            <v>765</v>
          </cell>
          <cell r="B1313">
            <v>5238</v>
          </cell>
          <cell r="C1313" t="str">
            <v>Schirmerite</v>
          </cell>
          <cell r="E1313" t="str">
            <v/>
          </cell>
        </row>
        <row r="1314">
          <cell r="A1314">
            <v>774</v>
          </cell>
          <cell r="B1314">
            <v>5238</v>
          </cell>
          <cell r="C1314" t="str">
            <v>Sartorite</v>
          </cell>
          <cell r="E1314" t="str">
            <v>https://www.mindat.org/1:1:3537:4</v>
          </cell>
        </row>
        <row r="1315">
          <cell r="A1315">
            <v>778</v>
          </cell>
          <cell r="B1315">
            <v>5238</v>
          </cell>
          <cell r="C1315" t="str">
            <v>Uchucchacuaite</v>
          </cell>
          <cell r="E1315" t="str">
            <v>https://www.mindat.org/1:1:4075:0</v>
          </cell>
        </row>
        <row r="1316">
          <cell r="A1316">
            <v>782</v>
          </cell>
          <cell r="B1316">
            <v>5238</v>
          </cell>
          <cell r="C1316" t="str">
            <v>Ullmannite</v>
          </cell>
          <cell r="E1316" t="str">
            <v>https://www.mindat.org/1:1:4086:6</v>
          </cell>
        </row>
        <row r="1317">
          <cell r="A1317">
            <v>785</v>
          </cell>
          <cell r="B1317">
            <v>5238</v>
          </cell>
          <cell r="C1317" t="str">
            <v>Umangite</v>
          </cell>
          <cell r="E1317" t="str">
            <v>https://www.mindat.org/1:1:4090:3</v>
          </cell>
        </row>
        <row r="1318">
          <cell r="A1318">
            <v>824</v>
          </cell>
          <cell r="B1318">
            <v>5238</v>
          </cell>
          <cell r="C1318" t="str">
            <v>Uytenbogaardtite</v>
          </cell>
          <cell r="E1318" t="str">
            <v>https://www.mindat.org/1:1:4127:6</v>
          </cell>
        </row>
        <row r="1319">
          <cell r="A1319">
            <v>826</v>
          </cell>
          <cell r="B1319">
            <v>5238</v>
          </cell>
          <cell r="C1319" t="str">
            <v>Vaesite</v>
          </cell>
          <cell r="E1319" t="str">
            <v>https://www.mindat.org/1:1:4133:7</v>
          </cell>
        </row>
        <row r="1320">
          <cell r="A1320">
            <v>829</v>
          </cell>
          <cell r="B1320">
            <v>5238</v>
          </cell>
          <cell r="C1320" t="str">
            <v>Valleriite</v>
          </cell>
          <cell r="E1320" t="str">
            <v>https://www.mindat.org/1:1:4136:8</v>
          </cell>
        </row>
        <row r="1321">
          <cell r="A1321">
            <v>854</v>
          </cell>
          <cell r="B1321">
            <v>5238</v>
          </cell>
          <cell r="C1321" t="str">
            <v>Veenite</v>
          </cell>
          <cell r="E1321" t="str">
            <v>https://www.mindat.org/1:1:4167:2</v>
          </cell>
        </row>
        <row r="1322">
          <cell r="A1322">
            <v>873</v>
          </cell>
          <cell r="B1322">
            <v>5238</v>
          </cell>
          <cell r="C1322" t="str">
            <v>Roquesite</v>
          </cell>
          <cell r="E1322" t="str">
            <v>https://www.mindat.org/1:1:3445:2</v>
          </cell>
        </row>
        <row r="1323">
          <cell r="A1323">
            <v>893</v>
          </cell>
          <cell r="B1323">
            <v>5238</v>
          </cell>
          <cell r="C1323" t="str">
            <v>Routhierite</v>
          </cell>
          <cell r="E1323" t="str">
            <v>https://www.mindat.org/1:1:3464:3</v>
          </cell>
        </row>
        <row r="1324">
          <cell r="A1324">
            <v>901</v>
          </cell>
          <cell r="B1324">
            <v>5238</v>
          </cell>
          <cell r="C1324" t="str">
            <v>Rucklidgeite</v>
          </cell>
          <cell r="E1324" t="str">
            <v>https://www.mindat.org/1:1:3474:2</v>
          </cell>
        </row>
        <row r="1325">
          <cell r="A1325">
            <v>918</v>
          </cell>
          <cell r="B1325">
            <v>5238</v>
          </cell>
          <cell r="C1325" t="str">
            <v>Sabatierite</v>
          </cell>
          <cell r="E1325" t="str">
            <v>https://www.mindat.org/1:1:3492:6</v>
          </cell>
        </row>
        <row r="1326">
          <cell r="A1326">
            <v>926</v>
          </cell>
          <cell r="B1326">
            <v>5238</v>
          </cell>
          <cell r="C1326" t="str">
            <v>Safflorite</v>
          </cell>
          <cell r="E1326" t="str">
            <v>https://www.mindat.org/1:1:3500:8</v>
          </cell>
        </row>
        <row r="1327">
          <cell r="A1327">
            <v>932</v>
          </cell>
          <cell r="B1327">
            <v>5238</v>
          </cell>
          <cell r="C1327" t="str">
            <v>Sakuraiite</v>
          </cell>
          <cell r="E1327" t="str">
            <v>https://www.mindat.org/1:1:3506:0</v>
          </cell>
        </row>
        <row r="1328">
          <cell r="A1328">
            <v>940</v>
          </cell>
          <cell r="B1328">
            <v>5238</v>
          </cell>
          <cell r="C1328" t="str">
            <v>Samsonite</v>
          </cell>
          <cell r="E1328" t="str">
            <v>https://www.mindat.org/1:1:3516:9</v>
          </cell>
        </row>
        <row r="1329">
          <cell r="A1329">
            <v>955</v>
          </cell>
          <cell r="B1329">
            <v>5238</v>
          </cell>
          <cell r="C1329" t="str">
            <v>Sarabauite</v>
          </cell>
          <cell r="E1329" t="str">
            <v>https://www.mindat.org/1:1:3532:9</v>
          </cell>
        </row>
        <row r="1330">
          <cell r="A1330">
            <v>960</v>
          </cell>
          <cell r="B1330">
            <v>5238</v>
          </cell>
          <cell r="C1330" t="str">
            <v>Rammelsbergite</v>
          </cell>
          <cell r="E1330" t="str">
            <v>https://www.mindat.org/1:1:3357:8</v>
          </cell>
        </row>
        <row r="1331">
          <cell r="A1331">
            <v>961</v>
          </cell>
          <cell r="B1331">
            <v>5238</v>
          </cell>
          <cell r="C1331" t="str">
            <v>Rammeslbergite</v>
          </cell>
          <cell r="E1331" t="str">
            <v/>
          </cell>
        </row>
        <row r="1332">
          <cell r="A1332">
            <v>974</v>
          </cell>
          <cell r="B1332">
            <v>5238</v>
          </cell>
          <cell r="C1332" t="str">
            <v>Rasvumite</v>
          </cell>
          <cell r="E1332" t="str">
            <v>https://www.mindat.org/1:1:3369:1</v>
          </cell>
        </row>
        <row r="1333">
          <cell r="A1333">
            <v>975</v>
          </cell>
          <cell r="B1333">
            <v>5238</v>
          </cell>
          <cell r="C1333" t="str">
            <v>Rathite</v>
          </cell>
          <cell r="E1333" t="str">
            <v>https://www.mindat.org/1:1:3370:7</v>
          </cell>
        </row>
        <row r="1334">
          <cell r="A1334">
            <v>979</v>
          </cell>
          <cell r="B1334">
            <v>5238</v>
          </cell>
          <cell r="C1334" t="str">
            <v>Rayite</v>
          </cell>
          <cell r="E1334" t="str">
            <v>https://www.mindat.org/1:1:3374:5</v>
          </cell>
        </row>
        <row r="1335">
          <cell r="A1335">
            <v>980</v>
          </cell>
          <cell r="B1335">
            <v>5238</v>
          </cell>
          <cell r="C1335" t="str">
            <v>Realgar</v>
          </cell>
          <cell r="E1335" t="str">
            <v>https://www.mindat.org/1:1:3375:2</v>
          </cell>
        </row>
        <row r="1336">
          <cell r="A1336">
            <v>981</v>
          </cell>
          <cell r="B1336">
            <v>5238</v>
          </cell>
          <cell r="C1336" t="str">
            <v>Rebulite</v>
          </cell>
          <cell r="E1336" t="str">
            <v>https://www.mindat.org/1:1:3376:9</v>
          </cell>
        </row>
        <row r="1337">
          <cell r="A1337">
            <v>999</v>
          </cell>
          <cell r="B1337">
            <v>5238</v>
          </cell>
          <cell r="C1337" t="str">
            <v>Renierite</v>
          </cell>
          <cell r="E1337" t="str">
            <v>https://www.mindat.org/1:1:3389:9</v>
          </cell>
        </row>
        <row r="1338">
          <cell r="A1338">
            <v>1012</v>
          </cell>
          <cell r="B1338">
            <v>5238</v>
          </cell>
          <cell r="C1338" t="str">
            <v>Rheniite</v>
          </cell>
          <cell r="E1338" t="str">
            <v>https://www.mindat.org/1:1:7269:0</v>
          </cell>
        </row>
        <row r="1339">
          <cell r="A1339">
            <v>1020</v>
          </cell>
          <cell r="B1339">
            <v>5238</v>
          </cell>
          <cell r="C1339" t="str">
            <v>Rhodostannite</v>
          </cell>
          <cell r="E1339" t="str">
            <v>https://www.mindat.org/1:1:3408:7</v>
          </cell>
        </row>
        <row r="1340">
          <cell r="A1340">
            <v>1029</v>
          </cell>
          <cell r="B1340">
            <v>5238</v>
          </cell>
          <cell r="C1340" t="str">
            <v>Rickardite</v>
          </cell>
          <cell r="E1340" t="str">
            <v>https://www.mindat.org/1:1:3417:9</v>
          </cell>
        </row>
        <row r="1341">
          <cell r="A1341">
            <v>1042</v>
          </cell>
          <cell r="B1341">
            <v>5238</v>
          </cell>
          <cell r="C1341" t="str">
            <v>Robinsonite</v>
          </cell>
          <cell r="E1341" t="str">
            <v>https://www.mindat.org/1:1:3432:2</v>
          </cell>
        </row>
        <row r="1342">
          <cell r="A1342">
            <v>1068</v>
          </cell>
          <cell r="B1342">
            <v>5238</v>
          </cell>
          <cell r="C1342" t="str">
            <v>Proudite</v>
          </cell>
          <cell r="E1342" t="str">
            <v>https://www.mindat.org/1:1:3293:9</v>
          </cell>
        </row>
        <row r="1343">
          <cell r="A1343">
            <v>1069</v>
          </cell>
          <cell r="B1343">
            <v>5238</v>
          </cell>
          <cell r="C1343" t="str">
            <v>Proustite</v>
          </cell>
          <cell r="E1343" t="str">
            <v>https://www.mindat.org/1:1:3294:6</v>
          </cell>
        </row>
        <row r="1344">
          <cell r="A1344">
            <v>1089</v>
          </cell>
          <cell r="B1344">
            <v>5238</v>
          </cell>
          <cell r="C1344" t="str">
            <v>Putoranite</v>
          </cell>
          <cell r="E1344" t="str">
            <v>https://www.mindat.org/1:1:3312:7</v>
          </cell>
        </row>
        <row r="1345">
          <cell r="A1345">
            <v>1091</v>
          </cell>
          <cell r="B1345">
            <v>5238</v>
          </cell>
          <cell r="C1345" t="str">
            <v>Pyrargyrite</v>
          </cell>
          <cell r="E1345" t="str">
            <v>https://www.mindat.org/1:1:3313:4</v>
          </cell>
        </row>
        <row r="1346">
          <cell r="A1346">
            <v>1092</v>
          </cell>
          <cell r="B1346">
            <v>5238</v>
          </cell>
          <cell r="C1346" t="str">
            <v>Pyrite</v>
          </cell>
          <cell r="E1346" t="str">
            <v>https://www.mindat.org/1:1:3314:1</v>
          </cell>
        </row>
        <row r="1347">
          <cell r="A1347">
            <v>1104</v>
          </cell>
          <cell r="B1347">
            <v>5238</v>
          </cell>
          <cell r="C1347" t="str">
            <v>Pyrostilpnite</v>
          </cell>
          <cell r="E1347" t="str">
            <v>https://www.mindat.org/1:1:3325:7</v>
          </cell>
        </row>
        <row r="1348">
          <cell r="A1348">
            <v>1108</v>
          </cell>
          <cell r="B1348">
            <v>5238</v>
          </cell>
          <cell r="C1348" t="str">
            <v>Pyrrhotite</v>
          </cell>
          <cell r="E1348" t="str">
            <v>https://www.mindat.org/1:1:3328:8</v>
          </cell>
        </row>
        <row r="1349">
          <cell r="A1349">
            <v>1109</v>
          </cell>
          <cell r="B1349">
            <v>5238</v>
          </cell>
          <cell r="C1349" t="str">
            <v>Pyrrhotite-4c</v>
          </cell>
          <cell r="E1349" t="str">
            <v/>
          </cell>
        </row>
        <row r="1350">
          <cell r="A1350">
            <v>1110</v>
          </cell>
          <cell r="B1350">
            <v>5238</v>
          </cell>
          <cell r="C1350" t="str">
            <v>Paakkonenite</v>
          </cell>
          <cell r="E1350" t="str">
            <v/>
          </cell>
        </row>
        <row r="1351">
          <cell r="A1351">
            <v>1115</v>
          </cell>
          <cell r="B1351">
            <v>5238</v>
          </cell>
          <cell r="C1351" t="str">
            <v>Quadratite</v>
          </cell>
          <cell r="E1351" t="str">
            <v>https://www.mindat.org/1:1:7262:1</v>
          </cell>
        </row>
        <row r="1352">
          <cell r="A1352">
            <v>1129</v>
          </cell>
          <cell r="B1352">
            <v>5238</v>
          </cell>
          <cell r="C1352" t="str">
            <v>Radtkeite</v>
          </cell>
          <cell r="E1352" t="str">
            <v>https://www.mindat.org/1:1:3350:9</v>
          </cell>
        </row>
        <row r="1353">
          <cell r="A1353">
            <v>1130</v>
          </cell>
          <cell r="B1353">
            <v>5238</v>
          </cell>
          <cell r="C1353" t="str">
            <v>Raguinite</v>
          </cell>
          <cell r="E1353" t="str">
            <v>https://www.mindat.org/1:1:3351:6</v>
          </cell>
        </row>
        <row r="1354">
          <cell r="A1354">
            <v>1135</v>
          </cell>
          <cell r="B1354">
            <v>5238</v>
          </cell>
          <cell r="C1354" t="str">
            <v>Ramdohrite</v>
          </cell>
          <cell r="E1354" t="str">
            <v>https://www.mindat.org/1:1:3355:4</v>
          </cell>
        </row>
        <row r="1355">
          <cell r="A1355">
            <v>1151</v>
          </cell>
          <cell r="B1355">
            <v>5238</v>
          </cell>
          <cell r="C1355" t="str">
            <v>Picotpaulite</v>
          </cell>
          <cell r="E1355" t="str">
            <v>https://www.mindat.org/1:1:3205:2</v>
          </cell>
        </row>
        <row r="1356">
          <cell r="A1356">
            <v>1155</v>
          </cell>
          <cell r="B1356">
            <v>5238</v>
          </cell>
          <cell r="C1356" t="str">
            <v>Pierrotite</v>
          </cell>
          <cell r="E1356" t="str">
            <v>https://www.mindat.org/1:1:3209:0</v>
          </cell>
        </row>
        <row r="1357">
          <cell r="A1357">
            <v>1158</v>
          </cell>
          <cell r="B1357">
            <v>5238</v>
          </cell>
          <cell r="C1357" t="str">
            <v>Pilsenite</v>
          </cell>
          <cell r="E1357" t="str">
            <v>https://www.mindat.org/1:1:3213:7</v>
          </cell>
        </row>
        <row r="1358">
          <cell r="A1358">
            <v>1172</v>
          </cell>
          <cell r="B1358">
            <v>5238</v>
          </cell>
          <cell r="C1358" t="str">
            <v>Plagionite</v>
          </cell>
          <cell r="E1358" t="str">
            <v>https://www.mindat.org/1:1:3232:8</v>
          </cell>
        </row>
        <row r="1359">
          <cell r="A1359">
            <v>1175</v>
          </cell>
          <cell r="B1359">
            <v>5238</v>
          </cell>
          <cell r="C1359" t="str">
            <v>Platarsite</v>
          </cell>
          <cell r="E1359" t="str">
            <v>https://www.mindat.org/1:1:3235:9</v>
          </cell>
        </row>
        <row r="1360">
          <cell r="A1360">
            <v>1180</v>
          </cell>
          <cell r="B1360">
            <v>5238</v>
          </cell>
          <cell r="C1360" t="str">
            <v>Playfairite</v>
          </cell>
          <cell r="E1360" t="str">
            <v>https://www.mindat.org/1:1:3239:7</v>
          </cell>
        </row>
        <row r="1361">
          <cell r="A1361">
            <v>1196</v>
          </cell>
          <cell r="B1361">
            <v>5238</v>
          </cell>
          <cell r="C1361" t="str">
            <v>Polarite</v>
          </cell>
          <cell r="E1361" t="str">
            <v>https://www.mindat.org/1:1:3251:9</v>
          </cell>
        </row>
        <row r="1362">
          <cell r="A1362">
            <v>1198</v>
          </cell>
          <cell r="B1362">
            <v>5238</v>
          </cell>
          <cell r="C1362" t="str">
            <v>Polhemusite</v>
          </cell>
          <cell r="E1362" t="str">
            <v>https://www.mindat.org/1:1:3253:3</v>
          </cell>
        </row>
        <row r="1363">
          <cell r="A1363">
            <v>1202</v>
          </cell>
          <cell r="B1363">
            <v>5238</v>
          </cell>
          <cell r="C1363" t="str">
            <v>Polybasite</v>
          </cell>
          <cell r="E1363" t="str">
            <v>https://www.mindat.org/1:1:3256:4</v>
          </cell>
        </row>
        <row r="1364">
          <cell r="A1364">
            <v>1204</v>
          </cell>
          <cell r="B1364">
            <v>5238</v>
          </cell>
          <cell r="C1364" t="str">
            <v>Polydymite</v>
          </cell>
          <cell r="E1364" t="str">
            <v>https://www.mindat.org/1:1:3258:8</v>
          </cell>
        </row>
        <row r="1365">
          <cell r="A1365">
            <v>1227</v>
          </cell>
          <cell r="B1365">
            <v>5238</v>
          </cell>
          <cell r="C1365" t="str">
            <v>Tungstenite</v>
          </cell>
          <cell r="E1365" t="str">
            <v>https://www.mindat.org/1:1:4051:4</v>
          </cell>
        </row>
        <row r="1366">
          <cell r="A1366">
            <v>1228</v>
          </cell>
          <cell r="B1366">
            <v>5238</v>
          </cell>
          <cell r="C1366" t="str">
            <v>Tungstenite-3r</v>
          </cell>
          <cell r="E1366" t="str">
            <v/>
          </cell>
        </row>
        <row r="1367">
          <cell r="A1367">
            <v>1242</v>
          </cell>
          <cell r="B1367">
            <v>5238</v>
          </cell>
          <cell r="C1367" t="str">
            <v>Tvalchrelidzeite</v>
          </cell>
          <cell r="E1367" t="str">
            <v>https://www.mindat.org/1:1:4064:4</v>
          </cell>
        </row>
        <row r="1368">
          <cell r="A1368">
            <v>1246</v>
          </cell>
          <cell r="B1368">
            <v>5238</v>
          </cell>
          <cell r="C1368" t="str">
            <v>Twinnite</v>
          </cell>
          <cell r="E1368" t="str">
            <v>https://www.mindat.org/1:1:4067:5</v>
          </cell>
        </row>
        <row r="1369">
          <cell r="A1369">
            <v>1251</v>
          </cell>
          <cell r="B1369">
            <v>5238</v>
          </cell>
          <cell r="C1369" t="str">
            <v>Tyrrellite</v>
          </cell>
          <cell r="E1369" t="str">
            <v>https://www.mindat.org/1:1:4071:2</v>
          </cell>
        </row>
        <row r="1370">
          <cell r="A1370">
            <v>1256</v>
          </cell>
          <cell r="B1370">
            <v>5238</v>
          </cell>
          <cell r="C1370" t="str">
            <v>Pekoite</v>
          </cell>
          <cell r="E1370" t="str">
            <v>https://www.mindat.org/1:1:3144:4</v>
          </cell>
        </row>
        <row r="1371">
          <cell r="A1371">
            <v>1268</v>
          </cell>
          <cell r="B1371">
            <v>5238</v>
          </cell>
          <cell r="C1371" t="str">
            <v>Penroseite</v>
          </cell>
          <cell r="E1371" t="str">
            <v>https://www.mindat.org/1:1:3151:2</v>
          </cell>
        </row>
        <row r="1372">
          <cell r="A1372">
            <v>1272</v>
          </cell>
          <cell r="B1372">
            <v>5238</v>
          </cell>
          <cell r="C1372" t="str">
            <v>Pentlandite</v>
          </cell>
          <cell r="E1372" t="str">
            <v>https://www.mindat.org/1:1:3155:0</v>
          </cell>
        </row>
        <row r="1373">
          <cell r="A1373">
            <v>1285</v>
          </cell>
          <cell r="B1373">
            <v>5238</v>
          </cell>
          <cell r="C1373" t="str">
            <v>Perroudite</v>
          </cell>
          <cell r="E1373" t="str">
            <v>https://www.mindat.org/1:1:3169:7</v>
          </cell>
        </row>
        <row r="1374">
          <cell r="A1374">
            <v>1298</v>
          </cell>
          <cell r="B1374">
            <v>5238</v>
          </cell>
          <cell r="C1374" t="str">
            <v>Petrukite</v>
          </cell>
          <cell r="E1374" t="str">
            <v>https://www.mindat.org/1:1:3178:9</v>
          </cell>
        </row>
        <row r="1375">
          <cell r="A1375">
            <v>1301</v>
          </cell>
          <cell r="B1375">
            <v>5238</v>
          </cell>
          <cell r="C1375" t="str">
            <v>Petzite</v>
          </cell>
          <cell r="E1375" t="str">
            <v>https://www.mindat.org/1:1:3180:2</v>
          </cell>
        </row>
        <row r="1376">
          <cell r="A1376">
            <v>1326</v>
          </cell>
          <cell r="B1376">
            <v>5238</v>
          </cell>
          <cell r="C1376" t="str">
            <v>Tintinaite</v>
          </cell>
          <cell r="E1376" t="str">
            <v>https://www.mindat.org/1:1:3971:6</v>
          </cell>
        </row>
        <row r="1377">
          <cell r="A1377">
            <v>1340</v>
          </cell>
          <cell r="B1377">
            <v>5238</v>
          </cell>
          <cell r="C1377" t="str">
            <v>Tochilinite</v>
          </cell>
          <cell r="E1377" t="str">
            <v>https://www.mindat.org/1:1:3986:0</v>
          </cell>
        </row>
        <row r="1378">
          <cell r="A1378">
            <v>1356</v>
          </cell>
          <cell r="B1378">
            <v>5238</v>
          </cell>
          <cell r="C1378" t="str">
            <v>Toyohaite</v>
          </cell>
          <cell r="E1378" t="str">
            <v>https://www.mindat.org/1:1:4004:0</v>
          </cell>
        </row>
        <row r="1379">
          <cell r="A1379">
            <v>1361</v>
          </cell>
          <cell r="B1379">
            <v>5238</v>
          </cell>
          <cell r="C1379" t="str">
            <v>Treasurite</v>
          </cell>
          <cell r="E1379" t="str">
            <v>https://www.mindat.org/1:1:4008:8</v>
          </cell>
        </row>
        <row r="1380">
          <cell r="A1380">
            <v>1362</v>
          </cell>
          <cell r="B1380">
            <v>5238</v>
          </cell>
          <cell r="C1380" t="str">
            <v>Trechmannite</v>
          </cell>
          <cell r="E1380" t="str">
            <v>https://www.mindat.org/1:1:4009:5</v>
          </cell>
        </row>
        <row r="1381">
          <cell r="A1381">
            <v>1382</v>
          </cell>
          <cell r="B1381">
            <v>5238</v>
          </cell>
          <cell r="C1381" t="str">
            <v>Trogtalite</v>
          </cell>
          <cell r="E1381" t="str">
            <v>https://www.mindat.org/1:1:4028:6</v>
          </cell>
        </row>
        <row r="1382">
          <cell r="A1382">
            <v>1383</v>
          </cell>
          <cell r="B1382">
            <v>5238</v>
          </cell>
          <cell r="C1382" t="str">
            <v>Troilite</v>
          </cell>
          <cell r="E1382" t="str">
            <v>https://www.mindat.org/1:1:4029:3</v>
          </cell>
        </row>
        <row r="1383">
          <cell r="A1383">
            <v>1398</v>
          </cell>
          <cell r="B1383">
            <v>5238</v>
          </cell>
          <cell r="C1383" t="str">
            <v>Tsumoite</v>
          </cell>
          <cell r="E1383" t="str">
            <v>https://www.mindat.org/1:1:4041:5</v>
          </cell>
        </row>
        <row r="1384">
          <cell r="A1384">
            <v>1399</v>
          </cell>
          <cell r="B1384">
            <v>5238</v>
          </cell>
          <cell r="C1384" t="str">
            <v>Tucekite</v>
          </cell>
          <cell r="E1384" t="str">
            <v>https://www.mindat.org/1:1:4042:2</v>
          </cell>
        </row>
        <row r="1385">
          <cell r="A1385">
            <v>1417</v>
          </cell>
          <cell r="B1385">
            <v>5238</v>
          </cell>
          <cell r="C1385" t="str">
            <v>Benavidesite</v>
          </cell>
          <cell r="E1385" t="str">
            <v>https://www.mindat.org/1:1:623:1</v>
          </cell>
        </row>
        <row r="1386">
          <cell r="A1386">
            <v>1419</v>
          </cell>
          <cell r="B1386">
            <v>5238</v>
          </cell>
          <cell r="C1386" t="str">
            <v>Benjaminite</v>
          </cell>
          <cell r="E1386" t="str">
            <v>https://www.mindat.org/1:1:625:9</v>
          </cell>
        </row>
        <row r="1387">
          <cell r="A1387">
            <v>1420</v>
          </cell>
          <cell r="B1387">
            <v>5238</v>
          </cell>
          <cell r="C1387" t="str">
            <v>Benleonardite</v>
          </cell>
          <cell r="E1387" t="str">
            <v>https://www.mindat.org/1:1:817:8</v>
          </cell>
        </row>
        <row r="1388">
          <cell r="A1388">
            <v>1435</v>
          </cell>
          <cell r="B1388">
            <v>5238</v>
          </cell>
          <cell r="C1388" t="str">
            <v>Berndtite</v>
          </cell>
          <cell r="E1388" t="str">
            <v>https://www.mindat.org/1:1:637:4</v>
          </cell>
        </row>
        <row r="1389">
          <cell r="A1389">
            <v>1436</v>
          </cell>
          <cell r="B1389">
            <v>5238</v>
          </cell>
          <cell r="C1389" t="str">
            <v>Berndtite-2t</v>
          </cell>
          <cell r="E1389" t="str">
            <v/>
          </cell>
        </row>
        <row r="1390">
          <cell r="A1390">
            <v>1437</v>
          </cell>
          <cell r="B1390">
            <v>5238</v>
          </cell>
          <cell r="C1390" t="str">
            <v>Berndtite-4h</v>
          </cell>
          <cell r="E1390" t="str">
            <v/>
          </cell>
        </row>
        <row r="1391">
          <cell r="A1391">
            <v>1438</v>
          </cell>
          <cell r="B1391">
            <v>5238</v>
          </cell>
          <cell r="C1391" t="str">
            <v>Berryite</v>
          </cell>
          <cell r="E1391" t="str">
            <v>https://www.mindat.org/1:1:638:3</v>
          </cell>
        </row>
        <row r="1392">
          <cell r="A1392">
            <v>1440</v>
          </cell>
          <cell r="B1392">
            <v>5238</v>
          </cell>
          <cell r="C1392" t="str">
            <v>Berthierite</v>
          </cell>
          <cell r="E1392" t="str">
            <v>https://www.mindat.org/1:1:640:8</v>
          </cell>
        </row>
        <row r="1393">
          <cell r="A1393">
            <v>1446</v>
          </cell>
          <cell r="B1393">
            <v>5238</v>
          </cell>
          <cell r="C1393" t="str">
            <v>Berzelianite</v>
          </cell>
          <cell r="E1393" t="str">
            <v>https://www.mindat.org/1:1:645:3</v>
          </cell>
        </row>
        <row r="1394">
          <cell r="A1394">
            <v>1454</v>
          </cell>
          <cell r="B1394">
            <v>5238</v>
          </cell>
          <cell r="C1394" t="str">
            <v>Betekhtinite</v>
          </cell>
          <cell r="E1394" t="str">
            <v>https://www.mindat.org/1:1:650:5</v>
          </cell>
        </row>
        <row r="1395">
          <cell r="A1395">
            <v>1471</v>
          </cell>
          <cell r="B1395">
            <v>5238</v>
          </cell>
          <cell r="C1395" t="str">
            <v>Billingsleyite</v>
          </cell>
          <cell r="E1395" t="str">
            <v>https://www.mindat.org/1:1:675:4</v>
          </cell>
        </row>
        <row r="1396">
          <cell r="A1396">
            <v>1498</v>
          </cell>
          <cell r="B1396">
            <v>5238</v>
          </cell>
          <cell r="C1396" t="str">
            <v>Tiemannite</v>
          </cell>
          <cell r="E1396" t="str">
            <v>https://www.mindat.org/1:1:3957:0</v>
          </cell>
        </row>
        <row r="1397">
          <cell r="A1397">
            <v>1500</v>
          </cell>
          <cell r="B1397">
            <v>5238</v>
          </cell>
          <cell r="C1397" t="str">
            <v>Dimorphite</v>
          </cell>
          <cell r="E1397" t="str">
            <v>https://www.mindat.org/1:1:1292:4</v>
          </cell>
        </row>
        <row r="1398">
          <cell r="A1398">
            <v>1507</v>
          </cell>
          <cell r="B1398">
            <v>5238</v>
          </cell>
          <cell r="C1398" t="str">
            <v>Djerfisherite</v>
          </cell>
          <cell r="E1398" t="str">
            <v>https://www.mindat.org/1:1:1299:3</v>
          </cell>
        </row>
        <row r="1399">
          <cell r="A1399">
            <v>1508</v>
          </cell>
          <cell r="B1399">
            <v>5238</v>
          </cell>
          <cell r="C1399" t="str">
            <v>Djurleite</v>
          </cell>
          <cell r="E1399" t="str">
            <v>https://www.mindat.org/1:1:1300:6</v>
          </cell>
        </row>
        <row r="1400">
          <cell r="A1400">
            <v>1519</v>
          </cell>
          <cell r="B1400">
            <v>5238</v>
          </cell>
          <cell r="C1400" t="str">
            <v>Balkanite</v>
          </cell>
          <cell r="E1400" t="str">
            <v>https://www.mindat.org/1:1:496:9</v>
          </cell>
        </row>
        <row r="1401">
          <cell r="A1401">
            <v>1521</v>
          </cell>
          <cell r="B1401">
            <v>5238</v>
          </cell>
          <cell r="C1401" t="str">
            <v>Bambollaite</v>
          </cell>
          <cell r="E1401" t="str">
            <v>https://www.mindat.org/1:1:502:9</v>
          </cell>
        </row>
        <row r="1402">
          <cell r="A1402">
            <v>1549</v>
          </cell>
          <cell r="B1402">
            <v>5238</v>
          </cell>
          <cell r="C1402" t="str">
            <v>Bartonite</v>
          </cell>
          <cell r="E1402" t="str">
            <v>https://www.mindat.org/1:1:544:5</v>
          </cell>
        </row>
        <row r="1403">
          <cell r="A1403">
            <v>1563</v>
          </cell>
          <cell r="B1403">
            <v>5238</v>
          </cell>
          <cell r="C1403" t="str">
            <v>Baumhauerite</v>
          </cell>
          <cell r="E1403" t="str">
            <v>https://www.mindat.org/1:1:572:8</v>
          </cell>
        </row>
        <row r="1404">
          <cell r="A1404">
            <v>1564</v>
          </cell>
          <cell r="B1404">
            <v>5238</v>
          </cell>
          <cell r="C1404" t="str">
            <v>Baumhauerite-2a</v>
          </cell>
          <cell r="E1404" t="str">
            <v/>
          </cell>
        </row>
        <row r="1405">
          <cell r="A1405">
            <v>1592</v>
          </cell>
          <cell r="B1405">
            <v>5238</v>
          </cell>
          <cell r="C1405" t="str">
            <v>Cuprobismutite</v>
          </cell>
          <cell r="E1405" t="str">
            <v>https://www.mindat.org/1:1:1177:4</v>
          </cell>
        </row>
        <row r="1406">
          <cell r="A1406">
            <v>1600</v>
          </cell>
          <cell r="B1406">
            <v>5238</v>
          </cell>
          <cell r="C1406" t="str">
            <v>Cuprostibite</v>
          </cell>
          <cell r="E1406" t="str">
            <v>https://www.mindat.org/1:1:1193:4</v>
          </cell>
        </row>
        <row r="1407">
          <cell r="A1407">
            <v>1611</v>
          </cell>
          <cell r="B1407">
            <v>5238</v>
          </cell>
          <cell r="C1407" t="str">
            <v>Cylindrite</v>
          </cell>
          <cell r="E1407" t="str">
            <v>https://www.mindat.org/1:1:1204:7</v>
          </cell>
        </row>
        <row r="1408">
          <cell r="A1408">
            <v>1618</v>
          </cell>
          <cell r="B1408">
            <v>5238</v>
          </cell>
          <cell r="C1408" t="str">
            <v>Dadsonite</v>
          </cell>
          <cell r="E1408" t="str">
            <v>https://www.mindat.org/1:1:1213:9</v>
          </cell>
        </row>
        <row r="1409">
          <cell r="A1409">
            <v>1634</v>
          </cell>
          <cell r="B1409">
            <v>5238</v>
          </cell>
          <cell r="C1409" t="str">
            <v>Daubreelite</v>
          </cell>
          <cell r="E1409" t="str">
            <v/>
          </cell>
        </row>
        <row r="1410">
          <cell r="A1410">
            <v>1660</v>
          </cell>
          <cell r="B1410">
            <v>5238</v>
          </cell>
          <cell r="C1410" t="str">
            <v>Oosterboschite</v>
          </cell>
          <cell r="E1410" t="str">
            <v>https://www.mindat.org/1:1:3002:7</v>
          </cell>
        </row>
        <row r="1411">
          <cell r="A1411">
            <v>1662</v>
          </cell>
          <cell r="B1411">
            <v>5238</v>
          </cell>
          <cell r="C1411" t="str">
            <v>Orcelite</v>
          </cell>
          <cell r="E1411" t="str">
            <v>https://www.mindat.org/1:1:3012:6</v>
          </cell>
        </row>
        <row r="1412">
          <cell r="A1412">
            <v>1664</v>
          </cell>
          <cell r="B1412">
            <v>5238</v>
          </cell>
          <cell r="C1412" t="str">
            <v>Oregonite</v>
          </cell>
          <cell r="E1412" t="str">
            <v>https://www.mindat.org/1:1:3015:7</v>
          </cell>
        </row>
        <row r="1413">
          <cell r="A1413">
            <v>1665</v>
          </cell>
          <cell r="B1413">
            <v>5238</v>
          </cell>
          <cell r="C1413" t="str">
            <v>Orickite</v>
          </cell>
          <cell r="E1413" t="str">
            <v>https://www.mindat.org/1:1:3016:4</v>
          </cell>
        </row>
        <row r="1414">
          <cell r="A1414">
            <v>1670</v>
          </cell>
          <cell r="B1414">
            <v>5238</v>
          </cell>
          <cell r="C1414" t="str">
            <v>Orpiment</v>
          </cell>
          <cell r="E1414" t="str">
            <v>https://www.mindat.org/1:1:3021:8</v>
          </cell>
        </row>
        <row r="1415">
          <cell r="A1415">
            <v>1683</v>
          </cell>
          <cell r="B1415">
            <v>5238</v>
          </cell>
          <cell r="C1415" t="str">
            <v>Osarsite</v>
          </cell>
          <cell r="E1415" t="str">
            <v>https://www.mindat.org/1:1:3034:8</v>
          </cell>
        </row>
        <row r="1416">
          <cell r="A1416">
            <v>1692</v>
          </cell>
          <cell r="B1416">
            <v>5238</v>
          </cell>
          <cell r="C1416" t="str">
            <v>Ottemannite</v>
          </cell>
          <cell r="E1416" t="str">
            <v>https://www.mindat.org/1:1:3042:3</v>
          </cell>
        </row>
        <row r="1417">
          <cell r="A1417">
            <v>1696</v>
          </cell>
          <cell r="B1417">
            <v>5238</v>
          </cell>
          <cell r="C1417" t="str">
            <v>Ourayite</v>
          </cell>
          <cell r="E1417" t="str">
            <v>https://www.mindat.org/1:1:3046:1</v>
          </cell>
        </row>
        <row r="1418">
          <cell r="A1418">
            <v>1700</v>
          </cell>
          <cell r="B1418">
            <v>5238</v>
          </cell>
          <cell r="C1418" t="str">
            <v>Owyheeite</v>
          </cell>
          <cell r="E1418" t="str">
            <v>https://www.mindat.org/1:1:3049:2</v>
          </cell>
        </row>
        <row r="1419">
          <cell r="A1419">
            <v>1706</v>
          </cell>
          <cell r="B1419">
            <v>5238</v>
          </cell>
          <cell r="C1419" t="str">
            <v>Paderaite</v>
          </cell>
          <cell r="E1419" t="str">
            <v>https://www.mindat.org/1:1:3059:1</v>
          </cell>
        </row>
        <row r="1420">
          <cell r="A1420">
            <v>1716</v>
          </cell>
          <cell r="B1420">
            <v>5238</v>
          </cell>
          <cell r="C1420" t="str">
            <v>Palladobismutharsenide</v>
          </cell>
          <cell r="E1420" t="str">
            <v>https://www.mindat.org/1:1:3069:0</v>
          </cell>
        </row>
        <row r="1421">
          <cell r="A1421">
            <v>1718</v>
          </cell>
          <cell r="B1421">
            <v>5238</v>
          </cell>
          <cell r="C1421" t="str">
            <v>Palladseite</v>
          </cell>
          <cell r="E1421" t="str">
            <v>https://www.mindat.org/1:1:3070:6</v>
          </cell>
        </row>
        <row r="1422">
          <cell r="A1422">
            <v>1738</v>
          </cell>
          <cell r="B1422">
            <v>5238</v>
          </cell>
          <cell r="C1422" t="str">
            <v>Paraguanajuatite</v>
          </cell>
          <cell r="E1422" t="str">
            <v>https://www.mindat.org/1:1:3091:1</v>
          </cell>
        </row>
        <row r="1423">
          <cell r="A1423">
            <v>1752</v>
          </cell>
          <cell r="B1423">
            <v>5238</v>
          </cell>
          <cell r="C1423" t="str">
            <v>Parapierrotite</v>
          </cell>
          <cell r="E1423" t="str">
            <v>https://www.mindat.org/1:1:3105:5</v>
          </cell>
        </row>
        <row r="1424">
          <cell r="A1424">
            <v>1753</v>
          </cell>
          <cell r="B1424">
            <v>5238</v>
          </cell>
          <cell r="C1424" t="str">
            <v>Pararammelsbergite</v>
          </cell>
          <cell r="E1424" t="str">
            <v>https://www.mindat.org/1:1:3106:2</v>
          </cell>
        </row>
        <row r="1425">
          <cell r="A1425">
            <v>1754</v>
          </cell>
          <cell r="B1425">
            <v>5238</v>
          </cell>
          <cell r="C1425" t="str">
            <v>Pararealgar</v>
          </cell>
          <cell r="E1425" t="str">
            <v>https://www.mindat.org/1:1:3107:9</v>
          </cell>
        </row>
        <row r="1426">
          <cell r="A1426">
            <v>1771</v>
          </cell>
          <cell r="B1426">
            <v>5238</v>
          </cell>
          <cell r="C1426" t="str">
            <v>Parkerite</v>
          </cell>
          <cell r="E1426" t="str">
            <v>https://www.mindat.org/1:1:3122:2</v>
          </cell>
        </row>
        <row r="1427">
          <cell r="A1427">
            <v>1781</v>
          </cell>
          <cell r="B1427">
            <v>5238</v>
          </cell>
          <cell r="C1427" t="str">
            <v>Patronite</v>
          </cell>
          <cell r="E1427" t="str">
            <v/>
          </cell>
        </row>
        <row r="1428">
          <cell r="A1428">
            <v>1788</v>
          </cell>
          <cell r="B1428">
            <v>5238</v>
          </cell>
          <cell r="C1428" t="str">
            <v>Pavonite</v>
          </cell>
          <cell r="E1428" t="str">
            <v>https://www.mindat.org/1:1:3136:9</v>
          </cell>
        </row>
        <row r="1429">
          <cell r="A1429">
            <v>1789</v>
          </cell>
          <cell r="B1429">
            <v>5238</v>
          </cell>
          <cell r="C1429" t="str">
            <v>Paxite</v>
          </cell>
          <cell r="E1429" t="str">
            <v>https://www.mindat.org/1:1:3137:6</v>
          </cell>
        </row>
        <row r="1430">
          <cell r="A1430">
            <v>1790</v>
          </cell>
          <cell r="B1430">
            <v>5238</v>
          </cell>
          <cell r="C1430" t="str">
            <v>Pearceite</v>
          </cell>
          <cell r="E1430" t="str">
            <v>https://www.mindat.org/1:1:3138:3</v>
          </cell>
        </row>
        <row r="1431">
          <cell r="A1431">
            <v>1796</v>
          </cell>
          <cell r="B1431">
            <v>5238</v>
          </cell>
          <cell r="C1431" t="str">
            <v>Domeykite</v>
          </cell>
          <cell r="E1431" t="str">
            <v>https://www.mindat.org/1:1:1306:8</v>
          </cell>
        </row>
        <row r="1432">
          <cell r="A1432">
            <v>1798</v>
          </cell>
          <cell r="B1432">
            <v>5238</v>
          </cell>
          <cell r="C1432" t="str">
            <v>Donharrisite</v>
          </cell>
          <cell r="E1432" t="str">
            <v>https://www.mindat.org/1:1:1308:2</v>
          </cell>
        </row>
        <row r="1433">
          <cell r="A1433">
            <v>1812</v>
          </cell>
          <cell r="B1433">
            <v>5238</v>
          </cell>
          <cell r="C1433" t="str">
            <v>Drysdallite</v>
          </cell>
          <cell r="E1433" t="str">
            <v>https://www.mindat.org/1:1:1322:8</v>
          </cell>
        </row>
        <row r="1434">
          <cell r="A1434">
            <v>1814</v>
          </cell>
          <cell r="B1434">
            <v>5238</v>
          </cell>
          <cell r="C1434" t="str">
            <v>Dufrenoysite</v>
          </cell>
          <cell r="E1434" t="str">
            <v/>
          </cell>
        </row>
        <row r="1435">
          <cell r="A1435">
            <v>1823</v>
          </cell>
          <cell r="B1435">
            <v>5238</v>
          </cell>
          <cell r="C1435" t="str">
            <v>Duranusite</v>
          </cell>
          <cell r="E1435" t="str">
            <v>https://www.mindat.org/1:1:1333:4</v>
          </cell>
        </row>
        <row r="1436">
          <cell r="A1436">
            <v>1829</v>
          </cell>
          <cell r="B1436">
            <v>5238</v>
          </cell>
          <cell r="C1436" t="str">
            <v>Dyscrasite</v>
          </cell>
          <cell r="E1436" t="str">
            <v>https://www.mindat.org/1:1:1342:6</v>
          </cell>
        </row>
        <row r="1437">
          <cell r="A1437">
            <v>1839</v>
          </cell>
          <cell r="B1437">
            <v>5238</v>
          </cell>
          <cell r="C1437" t="str">
            <v>Eclarite</v>
          </cell>
          <cell r="E1437" t="str">
            <v>https://www.mindat.org/1:1:1349:5</v>
          </cell>
        </row>
        <row r="1438">
          <cell r="A1438">
            <v>1867</v>
          </cell>
          <cell r="B1438">
            <v>5238</v>
          </cell>
          <cell r="C1438" t="str">
            <v>Emplectite</v>
          </cell>
          <cell r="E1438" t="str">
            <v>https://www.mindat.org/1:1:1378:5</v>
          </cell>
        </row>
        <row r="1439">
          <cell r="A1439">
            <v>1868</v>
          </cell>
          <cell r="B1439">
            <v>5238</v>
          </cell>
          <cell r="C1439" t="str">
            <v>Empressite</v>
          </cell>
          <cell r="E1439" t="str">
            <v>https://www.mindat.org/1:1:1379:2</v>
          </cell>
        </row>
        <row r="1440">
          <cell r="A1440">
            <v>1869</v>
          </cell>
          <cell r="B1440">
            <v>5238</v>
          </cell>
          <cell r="C1440" t="str">
            <v>Enargite</v>
          </cell>
          <cell r="E1440" t="str">
            <v>https://www.mindat.org/1:1:1380:8</v>
          </cell>
        </row>
        <row r="1441">
          <cell r="A1441">
            <v>1881</v>
          </cell>
          <cell r="B1441">
            <v>5238</v>
          </cell>
          <cell r="C1441" t="str">
            <v>Erdite</v>
          </cell>
          <cell r="E1441" t="str">
            <v>https://www.mindat.org/1:1:1394:5</v>
          </cell>
        </row>
        <row r="1442">
          <cell r="A1442">
            <v>1890</v>
          </cell>
          <cell r="B1442">
            <v>5238</v>
          </cell>
          <cell r="C1442" t="str">
            <v>Erlichmanite</v>
          </cell>
          <cell r="E1442" t="str">
            <v>https://www.mindat.org/1:1:1401:0</v>
          </cell>
        </row>
        <row r="1443">
          <cell r="A1443">
            <v>1899</v>
          </cell>
          <cell r="B1443">
            <v>5238</v>
          </cell>
          <cell r="C1443" t="str">
            <v>Eskebornite</v>
          </cell>
          <cell r="E1443" t="str">
            <v>https://www.mindat.org/1:1:1409:6</v>
          </cell>
        </row>
        <row r="1444">
          <cell r="A1444">
            <v>1900</v>
          </cell>
          <cell r="B1444">
            <v>5238</v>
          </cell>
          <cell r="C1444" t="str">
            <v>Eskimoite</v>
          </cell>
          <cell r="E1444" t="str">
            <v>https://www.mindat.org/1:1:1410:2</v>
          </cell>
        </row>
        <row r="1445">
          <cell r="A1445">
            <v>1906</v>
          </cell>
          <cell r="B1445">
            <v>5238</v>
          </cell>
          <cell r="C1445" t="str">
            <v>Eucairite</v>
          </cell>
          <cell r="E1445" t="str">
            <v>https://www.mindat.org/1:1:1415:7</v>
          </cell>
        </row>
        <row r="1446">
          <cell r="A1446">
            <v>1932</v>
          </cell>
          <cell r="B1446">
            <v>5238</v>
          </cell>
          <cell r="C1446" t="str">
            <v>Falkmanite</v>
          </cell>
          <cell r="E1446" t="str">
            <v>https://www.mindat.org/1:1:1446:1</v>
          </cell>
        </row>
        <row r="1447">
          <cell r="A1447">
            <v>1933</v>
          </cell>
          <cell r="B1447">
            <v>5238</v>
          </cell>
          <cell r="C1447" t="str">
            <v>Famatinite</v>
          </cell>
          <cell r="E1447" t="str">
            <v>https://www.mindat.org/1:1:1451:5</v>
          </cell>
        </row>
        <row r="1448">
          <cell r="A1448">
            <v>1934</v>
          </cell>
          <cell r="B1448">
            <v>5238</v>
          </cell>
          <cell r="C1448" t="str">
            <v>Fangite</v>
          </cell>
          <cell r="E1448" t="str">
            <v>https://www.mindat.org/1:1:1452:2</v>
          </cell>
        </row>
        <row r="1449">
          <cell r="A1449">
            <v>2005</v>
          </cell>
          <cell r="B1449">
            <v>5238</v>
          </cell>
          <cell r="C1449" t="str">
            <v>Ferrokesterite</v>
          </cell>
          <cell r="E1449" t="str">
            <v/>
          </cell>
        </row>
        <row r="1450">
          <cell r="A1450">
            <v>2013</v>
          </cell>
          <cell r="B1450">
            <v>5238</v>
          </cell>
          <cell r="C1450" t="str">
            <v>Ferroselite</v>
          </cell>
          <cell r="E1450" t="str">
            <v>https://www.mindat.org/1:1:1527:7</v>
          </cell>
        </row>
        <row r="1451">
          <cell r="A1451">
            <v>2031</v>
          </cell>
          <cell r="B1451">
            <v>5238</v>
          </cell>
          <cell r="C1451" t="str">
            <v>Fettelite</v>
          </cell>
          <cell r="E1451" t="str">
            <v>https://www.mindat.org/1:1:1543:7</v>
          </cell>
        </row>
        <row r="1452">
          <cell r="A1452">
            <v>2041</v>
          </cell>
          <cell r="B1452">
            <v>5238</v>
          </cell>
          <cell r="C1452" t="str">
            <v>Fischesserite</v>
          </cell>
          <cell r="E1452" t="str">
            <v>https://www.mindat.org/1:1:1552:9</v>
          </cell>
        </row>
        <row r="1453">
          <cell r="A1453">
            <v>2042</v>
          </cell>
          <cell r="B1453">
            <v>5238</v>
          </cell>
          <cell r="C1453" t="str">
            <v>Fizelyite</v>
          </cell>
          <cell r="E1453" t="str">
            <v/>
          </cell>
        </row>
        <row r="1454">
          <cell r="A1454">
            <v>2045</v>
          </cell>
          <cell r="B1454">
            <v>5238</v>
          </cell>
          <cell r="C1454" t="str">
            <v>Fletcherite</v>
          </cell>
          <cell r="E1454" t="str">
            <v>https://www.mindat.org/1:1:1557:4</v>
          </cell>
        </row>
        <row r="1455">
          <cell r="A1455">
            <v>2079</v>
          </cell>
          <cell r="B1455">
            <v>5238</v>
          </cell>
          <cell r="C1455" t="str">
            <v>Miargyrite</v>
          </cell>
          <cell r="E1455" t="str">
            <v>https://www.mindat.org/1:1:2702:7</v>
          </cell>
        </row>
        <row r="1456">
          <cell r="A1456">
            <v>2082</v>
          </cell>
          <cell r="B1456">
            <v>5238</v>
          </cell>
          <cell r="C1456" t="str">
            <v>Michenerite</v>
          </cell>
          <cell r="E1456" t="str">
            <v>https://www.mindat.org/1:1:2703:4</v>
          </cell>
        </row>
        <row r="1457">
          <cell r="A1457">
            <v>2087</v>
          </cell>
          <cell r="B1457">
            <v>5238</v>
          </cell>
          <cell r="C1457" t="str">
            <v>Miharaite</v>
          </cell>
          <cell r="E1457" t="str">
            <v>https://www.mindat.org/1:1:2708:9</v>
          </cell>
        </row>
        <row r="1458">
          <cell r="A1458">
            <v>2090</v>
          </cell>
          <cell r="B1458">
            <v>5238</v>
          </cell>
          <cell r="C1458" t="str">
            <v>Millerite</v>
          </cell>
          <cell r="E1458" t="str">
            <v>https://www.mindat.org/1:1:2711:9</v>
          </cell>
        </row>
        <row r="1459">
          <cell r="A1459">
            <v>2113</v>
          </cell>
          <cell r="B1459">
            <v>5238</v>
          </cell>
          <cell r="C1459" t="str">
            <v>Modderite</v>
          </cell>
          <cell r="E1459" t="str">
            <v>https://www.mindat.org/1:1:2738:6</v>
          </cell>
        </row>
        <row r="1460">
          <cell r="A1460">
            <v>2114</v>
          </cell>
          <cell r="B1460">
            <v>5238</v>
          </cell>
          <cell r="C1460" t="str">
            <v>Mohite</v>
          </cell>
          <cell r="E1460" t="str">
            <v>https://www.mindat.org/1:1:2741:6</v>
          </cell>
        </row>
        <row r="1461">
          <cell r="A1461">
            <v>2120</v>
          </cell>
          <cell r="B1461">
            <v>5238</v>
          </cell>
          <cell r="C1461" t="str">
            <v>Molybdenite</v>
          </cell>
          <cell r="E1461" t="str">
            <v>https://www.mindat.org/1:1:2746:1</v>
          </cell>
        </row>
        <row r="1462">
          <cell r="A1462">
            <v>2121</v>
          </cell>
          <cell r="B1462">
            <v>5238</v>
          </cell>
          <cell r="C1462" t="str">
            <v>Molybdenite-2h</v>
          </cell>
          <cell r="E1462" t="str">
            <v/>
          </cell>
        </row>
        <row r="1463">
          <cell r="A1463">
            <v>2122</v>
          </cell>
          <cell r="B1463">
            <v>5238</v>
          </cell>
          <cell r="C1463" t="str">
            <v>Molybdenite-3R</v>
          </cell>
          <cell r="E1463" t="str">
            <v/>
          </cell>
        </row>
        <row r="1464">
          <cell r="A1464">
            <v>2131</v>
          </cell>
          <cell r="B1464">
            <v>5238</v>
          </cell>
          <cell r="C1464" t="str">
            <v>Moncheite</v>
          </cell>
          <cell r="E1464" t="str">
            <v>https://www.mindat.org/1:1:2754:6</v>
          </cell>
        </row>
        <row r="1465">
          <cell r="A1465">
            <v>2138</v>
          </cell>
          <cell r="B1465">
            <v>5238</v>
          </cell>
          <cell r="C1465" t="str">
            <v>Montbrayite</v>
          </cell>
          <cell r="E1465" t="str">
            <v>https://www.mindat.org/1:1:2761:4</v>
          </cell>
        </row>
        <row r="1466">
          <cell r="A1466">
            <v>2150</v>
          </cell>
          <cell r="B1466">
            <v>5238</v>
          </cell>
          <cell r="C1466" t="str">
            <v>Mooihoekite</v>
          </cell>
          <cell r="E1466" t="str">
            <v>https://www.mindat.org/1:1:2772:0</v>
          </cell>
        </row>
        <row r="1467">
          <cell r="A1467">
            <v>2195</v>
          </cell>
          <cell r="B1467">
            <v>5238</v>
          </cell>
          <cell r="C1467" t="str">
            <v>Muthmannite</v>
          </cell>
          <cell r="E1467" t="str">
            <v>https://www.mindat.org/1:1:2819:2</v>
          </cell>
        </row>
        <row r="1468">
          <cell r="A1468">
            <v>2197</v>
          </cell>
          <cell r="B1468">
            <v>5238</v>
          </cell>
          <cell r="C1468" t="str">
            <v>Makinenite</v>
          </cell>
          <cell r="E1468" t="str">
            <v/>
          </cell>
        </row>
        <row r="1469">
          <cell r="A1469">
            <v>2198</v>
          </cell>
          <cell r="B1469">
            <v>5238</v>
          </cell>
          <cell r="C1469" t="str">
            <v>Muckeite</v>
          </cell>
          <cell r="E1469" t="str">
            <v/>
          </cell>
        </row>
        <row r="1470">
          <cell r="A1470">
            <v>2211</v>
          </cell>
          <cell r="B1470">
            <v>5238</v>
          </cell>
          <cell r="C1470" t="str">
            <v>Nagyagite</v>
          </cell>
          <cell r="E1470" t="str">
            <v/>
          </cell>
        </row>
        <row r="1471">
          <cell r="A1471">
            <v>2251</v>
          </cell>
          <cell r="B1471">
            <v>5238</v>
          </cell>
          <cell r="C1471" t="str">
            <v>Naumannite</v>
          </cell>
          <cell r="E1471" t="str">
            <v>https://www.mindat.org/1:1:2866:6</v>
          </cell>
        </row>
        <row r="1472">
          <cell r="A1472">
            <v>2271</v>
          </cell>
          <cell r="B1472">
            <v>5238</v>
          </cell>
          <cell r="C1472" t="str">
            <v>Neyite</v>
          </cell>
          <cell r="E1472" t="str">
            <v>https://www.mindat.org/1:1:2888:8</v>
          </cell>
        </row>
        <row r="1473">
          <cell r="A1473">
            <v>2280</v>
          </cell>
          <cell r="B1473">
            <v>5238</v>
          </cell>
          <cell r="C1473" t="str">
            <v>Nickel-skutterudite</v>
          </cell>
          <cell r="E1473" t="str">
            <v/>
          </cell>
        </row>
        <row r="1474">
          <cell r="A1474">
            <v>2287</v>
          </cell>
          <cell r="B1474">
            <v>5238</v>
          </cell>
          <cell r="C1474" t="str">
            <v>Nickeline</v>
          </cell>
          <cell r="E1474" t="str">
            <v>https://www.mindat.org/1:1:2901:4</v>
          </cell>
        </row>
        <row r="1475">
          <cell r="A1475">
            <v>2323</v>
          </cell>
          <cell r="B1475">
            <v>5238</v>
          </cell>
          <cell r="C1475" t="str">
            <v>Nordstromite</v>
          </cell>
          <cell r="E1475" t="str">
            <v/>
          </cell>
        </row>
        <row r="1476">
          <cell r="A1476">
            <v>2330</v>
          </cell>
          <cell r="B1476">
            <v>5238</v>
          </cell>
          <cell r="C1476" t="str">
            <v>Novakite</v>
          </cell>
          <cell r="E1476" t="str">
            <v/>
          </cell>
        </row>
        <row r="1477">
          <cell r="A1477">
            <v>2331</v>
          </cell>
          <cell r="B1477">
            <v>5238</v>
          </cell>
          <cell r="C1477" t="str">
            <v>Nowackiite</v>
          </cell>
          <cell r="E1477" t="str">
            <v>https://www.mindat.org/1:1:2939:7</v>
          </cell>
        </row>
        <row r="1478">
          <cell r="A1478">
            <v>2335</v>
          </cell>
          <cell r="B1478">
            <v>5238</v>
          </cell>
          <cell r="C1478" t="str">
            <v>Nuffieldite</v>
          </cell>
          <cell r="E1478" t="str">
            <v>https://www.mindat.org/1:1:2941:0</v>
          </cell>
        </row>
        <row r="1479">
          <cell r="A1479">
            <v>2336</v>
          </cell>
          <cell r="B1479">
            <v>5238</v>
          </cell>
          <cell r="C1479" t="str">
            <v>Nukundamite</v>
          </cell>
          <cell r="E1479" t="str">
            <v>https://www.mindat.org/1:1:2942:7</v>
          </cell>
        </row>
        <row r="1480">
          <cell r="A1480">
            <v>2376</v>
          </cell>
          <cell r="B1480">
            <v>5238</v>
          </cell>
          <cell r="C1480" t="str">
            <v>Liveingite</v>
          </cell>
          <cell r="E1480" t="str">
            <v>https://www.mindat.org/1:1:2423:1</v>
          </cell>
        </row>
        <row r="1481">
          <cell r="A1481">
            <v>2377</v>
          </cell>
          <cell r="B1481">
            <v>5238</v>
          </cell>
          <cell r="C1481" t="str">
            <v>Livingstonite</v>
          </cell>
          <cell r="E1481" t="str">
            <v>https://www.mindat.org/1:1:2424:8</v>
          </cell>
        </row>
        <row r="1482">
          <cell r="A1482">
            <v>2387</v>
          </cell>
          <cell r="B1482">
            <v>5238</v>
          </cell>
          <cell r="C1482" t="str">
            <v>Lorandite</v>
          </cell>
          <cell r="E1482" t="str">
            <v/>
          </cell>
        </row>
        <row r="1483">
          <cell r="A1483">
            <v>2413</v>
          </cell>
          <cell r="B1483">
            <v>5238</v>
          </cell>
          <cell r="C1483" t="str">
            <v>Luzonite</v>
          </cell>
          <cell r="E1483" t="str">
            <v>https://www.mindat.org/1:1:2461:3</v>
          </cell>
        </row>
        <row r="1484">
          <cell r="A1484">
            <v>2416</v>
          </cell>
          <cell r="B1484">
            <v>5238</v>
          </cell>
          <cell r="C1484" t="str">
            <v>Lollingite</v>
          </cell>
          <cell r="E1484" t="str">
            <v/>
          </cell>
        </row>
        <row r="1485">
          <cell r="A1485">
            <v>2425</v>
          </cell>
          <cell r="B1485">
            <v>5238</v>
          </cell>
          <cell r="C1485" t="str">
            <v>Mackinawite</v>
          </cell>
          <cell r="E1485" t="str">
            <v>https://www.mindat.org/1:1:2512:2</v>
          </cell>
        </row>
        <row r="1486">
          <cell r="A1486">
            <v>2428</v>
          </cell>
          <cell r="B1486">
            <v>5238</v>
          </cell>
          <cell r="C1486" t="str">
            <v>Madocite</v>
          </cell>
          <cell r="E1486" t="str">
            <v>https://www.mindat.org/1:1:2517:7</v>
          </cell>
        </row>
        <row r="1487">
          <cell r="A1487">
            <v>2475</v>
          </cell>
          <cell r="B1487">
            <v>5238</v>
          </cell>
          <cell r="C1487" t="str">
            <v>Maldonite</v>
          </cell>
          <cell r="E1487" t="str">
            <v>https://www.mindat.org/1:1:2553:5</v>
          </cell>
        </row>
        <row r="1488">
          <cell r="A1488">
            <v>2518</v>
          </cell>
          <cell r="B1488">
            <v>5238</v>
          </cell>
          <cell r="C1488" t="str">
            <v>Marcasite</v>
          </cell>
          <cell r="E1488" t="str">
            <v>https://www.mindat.org/1:1:2571:9</v>
          </cell>
        </row>
        <row r="1489">
          <cell r="A1489">
            <v>2526</v>
          </cell>
          <cell r="B1489">
            <v>5238</v>
          </cell>
          <cell r="C1489" t="str">
            <v>Marrite</v>
          </cell>
          <cell r="E1489" t="str">
            <v>https://www.mindat.org/1:1:2579:5</v>
          </cell>
        </row>
        <row r="1490">
          <cell r="A1490">
            <v>2531</v>
          </cell>
          <cell r="B1490">
            <v>5238</v>
          </cell>
          <cell r="C1490" t="str">
            <v>Maslovite</v>
          </cell>
          <cell r="E1490" t="str">
            <v>https://www.mindat.org/1:1:2585:6</v>
          </cell>
        </row>
        <row r="1491">
          <cell r="A1491">
            <v>2537</v>
          </cell>
          <cell r="B1491">
            <v>5238</v>
          </cell>
          <cell r="C1491" t="str">
            <v>Matildite</v>
          </cell>
          <cell r="E1491" t="str">
            <v>https://www.mindat.org/1:1:2592:4</v>
          </cell>
        </row>
        <row r="1492">
          <cell r="A1492">
            <v>2540</v>
          </cell>
          <cell r="B1492">
            <v>5238</v>
          </cell>
          <cell r="C1492" t="str">
            <v>Mattagamite</v>
          </cell>
          <cell r="E1492" t="str">
            <v>https://www.mindat.org/1:1:2595:5</v>
          </cell>
        </row>
        <row r="1493">
          <cell r="A1493">
            <v>2544</v>
          </cell>
          <cell r="B1493">
            <v>5238</v>
          </cell>
          <cell r="C1493" t="str">
            <v>Maucherite</v>
          </cell>
          <cell r="E1493" t="str">
            <v>https://www.mindat.org/1:1:2599:3</v>
          </cell>
        </row>
        <row r="1494">
          <cell r="A1494">
            <v>2547</v>
          </cell>
          <cell r="B1494">
            <v>5238</v>
          </cell>
          <cell r="C1494" t="str">
            <v>Mawsonite</v>
          </cell>
          <cell r="E1494" t="str">
            <v>https://www.mindat.org/1:1:2604:4</v>
          </cell>
        </row>
        <row r="1495">
          <cell r="A1495">
            <v>2563</v>
          </cell>
          <cell r="B1495">
            <v>5238</v>
          </cell>
          <cell r="C1495" t="str">
            <v>Mckinstryite</v>
          </cell>
          <cell r="E1495" t="str">
            <v>https://www.mindat.org/1:1:2619:8</v>
          </cell>
        </row>
        <row r="1496">
          <cell r="A1496">
            <v>2581</v>
          </cell>
          <cell r="B1496">
            <v>5238</v>
          </cell>
          <cell r="C1496" t="str">
            <v>Melonite</v>
          </cell>
          <cell r="E1496" t="str">
            <v>https://www.mindat.org/1:1:2639:6</v>
          </cell>
        </row>
        <row r="1497">
          <cell r="A1497">
            <v>2586</v>
          </cell>
          <cell r="B1497">
            <v>5238</v>
          </cell>
          <cell r="C1497" t="str">
            <v>Meneghinite</v>
          </cell>
          <cell r="E1497" t="str">
            <v>https://www.mindat.org/1:1:2644:0</v>
          </cell>
        </row>
        <row r="1498">
          <cell r="A1498">
            <v>2592</v>
          </cell>
          <cell r="B1498">
            <v>5238</v>
          </cell>
          <cell r="C1498" t="str">
            <v>Merenskyite</v>
          </cell>
          <cell r="E1498" t="str">
            <v>https://www.mindat.org/1:1:2650:1</v>
          </cell>
        </row>
        <row r="1499">
          <cell r="A1499">
            <v>2595</v>
          </cell>
          <cell r="B1499">
            <v>5238</v>
          </cell>
          <cell r="C1499" t="str">
            <v>Mertieite</v>
          </cell>
          <cell r="E1499" t="str">
            <v/>
          </cell>
        </row>
        <row r="1500">
          <cell r="A1500">
            <v>2596</v>
          </cell>
          <cell r="B1500">
            <v>5238</v>
          </cell>
          <cell r="C1500" t="str">
            <v>Mertieite-I</v>
          </cell>
          <cell r="E1500" t="str">
            <v/>
          </cell>
        </row>
        <row r="1501">
          <cell r="A1501">
            <v>2597</v>
          </cell>
          <cell r="B1501">
            <v>5238</v>
          </cell>
          <cell r="C1501" t="str">
            <v>Mertieite-II</v>
          </cell>
          <cell r="E1501" t="str">
            <v>https://www.mindat.org/1:1:2655:6</v>
          </cell>
        </row>
        <row r="1502">
          <cell r="A1502">
            <v>2610</v>
          </cell>
          <cell r="B1502">
            <v>5238</v>
          </cell>
          <cell r="C1502" t="str">
            <v>Metacinnabar</v>
          </cell>
          <cell r="E1502" t="str">
            <v>https://www.mindat.org/1:1:2670:9</v>
          </cell>
        </row>
        <row r="1503">
          <cell r="A1503">
            <v>2626</v>
          </cell>
          <cell r="B1503">
            <v>5238</v>
          </cell>
          <cell r="C1503" t="str">
            <v>Metastibnite</v>
          </cell>
          <cell r="E1503" t="str">
            <v>https://www.mindat.org/1:1:2686:0</v>
          </cell>
        </row>
        <row r="1504">
          <cell r="A1504">
            <v>2655</v>
          </cell>
          <cell r="B1504">
            <v>5238</v>
          </cell>
          <cell r="C1504" t="str">
            <v>Franckeite</v>
          </cell>
          <cell r="E1504" t="str">
            <v>https://www.mindat.org/1:1:1592:5</v>
          </cell>
        </row>
        <row r="1505">
          <cell r="A1505">
            <v>2667</v>
          </cell>
          <cell r="B1505">
            <v>5238</v>
          </cell>
          <cell r="C1505" t="str">
            <v>Freboldite</v>
          </cell>
          <cell r="E1505" t="str">
            <v>https://www.mindat.org/1:1:1602:1</v>
          </cell>
        </row>
        <row r="1506">
          <cell r="A1506">
            <v>2670</v>
          </cell>
          <cell r="B1506">
            <v>5238</v>
          </cell>
          <cell r="C1506" t="str">
            <v>Freibergite</v>
          </cell>
          <cell r="E1506" t="str">
            <v>https://www.mindat.org/1:1:1605:2</v>
          </cell>
        </row>
        <row r="1507">
          <cell r="A1507">
            <v>2671</v>
          </cell>
          <cell r="B1507">
            <v>5238</v>
          </cell>
          <cell r="C1507" t="str">
            <v>Freieslebenite</v>
          </cell>
          <cell r="E1507" t="str">
            <v>https://www.mindat.org/1:1:1606:9</v>
          </cell>
        </row>
        <row r="1508">
          <cell r="A1508">
            <v>2676</v>
          </cell>
          <cell r="B1508">
            <v>5238</v>
          </cell>
          <cell r="C1508" t="str">
            <v>Friedrichite</v>
          </cell>
          <cell r="E1508" t="str">
            <v>https://www.mindat.org/1:1:1610:6</v>
          </cell>
        </row>
        <row r="1509">
          <cell r="A1509">
            <v>2678</v>
          </cell>
          <cell r="B1509">
            <v>5238</v>
          </cell>
          <cell r="C1509" t="str">
            <v>Frohbergite</v>
          </cell>
          <cell r="E1509" t="str">
            <v>https://www.mindat.org/1:1:1612:0</v>
          </cell>
        </row>
        <row r="1510">
          <cell r="A1510">
            <v>2681</v>
          </cell>
          <cell r="B1510">
            <v>5238</v>
          </cell>
          <cell r="C1510" t="str">
            <v>Froodite</v>
          </cell>
          <cell r="E1510" t="str">
            <v>https://www.mindat.org/1:1:1615:1</v>
          </cell>
        </row>
        <row r="1511">
          <cell r="A1511">
            <v>2684</v>
          </cell>
          <cell r="B1511">
            <v>5238</v>
          </cell>
          <cell r="C1511" t="str">
            <v>Fukuchilite</v>
          </cell>
          <cell r="E1511" t="str">
            <v>https://www.mindat.org/1:1:1620:5</v>
          </cell>
        </row>
        <row r="1512">
          <cell r="A1512">
            <v>2687</v>
          </cell>
          <cell r="B1512">
            <v>5238</v>
          </cell>
          <cell r="C1512" t="str">
            <v>Fuloppite</v>
          </cell>
          <cell r="E1512" t="str">
            <v/>
          </cell>
        </row>
        <row r="1513">
          <cell r="A1513">
            <v>2702</v>
          </cell>
          <cell r="B1513">
            <v>5238</v>
          </cell>
          <cell r="C1513" t="str">
            <v>Galena</v>
          </cell>
          <cell r="E1513" t="str">
            <v>https://www.mindat.org/1:1:1641:0</v>
          </cell>
        </row>
        <row r="1514">
          <cell r="A1514">
            <v>2703</v>
          </cell>
          <cell r="B1514">
            <v>5238</v>
          </cell>
          <cell r="C1514" t="str">
            <v>Galenobismutite</v>
          </cell>
          <cell r="E1514" t="str">
            <v>https://www.mindat.org/1:1:1642:7</v>
          </cell>
        </row>
        <row r="1515">
          <cell r="A1515">
            <v>2705</v>
          </cell>
          <cell r="B1515">
            <v>5238</v>
          </cell>
          <cell r="C1515" t="str">
            <v>Galkhaite</v>
          </cell>
          <cell r="E1515" t="str">
            <v>https://www.mindat.org/1:1:1643:4</v>
          </cell>
        </row>
        <row r="1516">
          <cell r="A1516">
            <v>2706</v>
          </cell>
          <cell r="B1516">
            <v>5238</v>
          </cell>
          <cell r="C1516" t="str">
            <v>Gallite</v>
          </cell>
          <cell r="E1516" t="str">
            <v>https://www.mindat.org/1:1:1644:1</v>
          </cell>
        </row>
        <row r="1517">
          <cell r="A1517">
            <v>2713</v>
          </cell>
          <cell r="B1517">
            <v>5238</v>
          </cell>
          <cell r="C1517" t="str">
            <v>Garavellite</v>
          </cell>
          <cell r="E1517" t="str">
            <v>https://www.mindat.org/1:1:1650:2</v>
          </cell>
        </row>
        <row r="1518">
          <cell r="A1518">
            <v>2730</v>
          </cell>
          <cell r="B1518">
            <v>5238</v>
          </cell>
          <cell r="C1518" t="str">
            <v>Geerite</v>
          </cell>
          <cell r="E1518" t="str">
            <v>https://www.mindat.org/1:1:1666:3</v>
          </cell>
        </row>
        <row r="1519">
          <cell r="A1519">
            <v>2731</v>
          </cell>
          <cell r="B1519">
            <v>5238</v>
          </cell>
          <cell r="C1519" t="str">
            <v>Geffroyite</v>
          </cell>
          <cell r="E1519" t="str">
            <v>https://www.mindat.org/1:1:1667:0</v>
          </cell>
        </row>
        <row r="1520">
          <cell r="A1520">
            <v>2736</v>
          </cell>
          <cell r="B1520">
            <v>5238</v>
          </cell>
          <cell r="C1520" t="str">
            <v>Genkinite</v>
          </cell>
          <cell r="E1520" t="str">
            <v>https://www.mindat.org/1:1:1672:4</v>
          </cell>
        </row>
        <row r="1521">
          <cell r="A1521">
            <v>2738</v>
          </cell>
          <cell r="B1521">
            <v>5238</v>
          </cell>
          <cell r="C1521" t="str">
            <v>Geocronite</v>
          </cell>
          <cell r="E1521" t="str">
            <v>https://www.mindat.org/1:1:1674:8</v>
          </cell>
        </row>
        <row r="1522">
          <cell r="A1522">
            <v>2748</v>
          </cell>
          <cell r="B1522">
            <v>5238</v>
          </cell>
          <cell r="C1522" t="str">
            <v>Germanite</v>
          </cell>
          <cell r="E1522" t="str">
            <v>https://www.mindat.org/1:1:1681:6</v>
          </cell>
        </row>
        <row r="1523">
          <cell r="A1523">
            <v>2750</v>
          </cell>
          <cell r="B1523">
            <v>5238</v>
          </cell>
          <cell r="C1523" t="str">
            <v>Gersdorffite</v>
          </cell>
          <cell r="E1523" t="str">
            <v/>
          </cell>
        </row>
        <row r="1524">
          <cell r="A1524">
            <v>2751</v>
          </cell>
          <cell r="B1524">
            <v>5238</v>
          </cell>
          <cell r="C1524" t="str">
            <v>Gerstleyite</v>
          </cell>
          <cell r="E1524" t="str">
            <v>https://www.mindat.org/1:1:1684:7</v>
          </cell>
        </row>
        <row r="1525">
          <cell r="A1525">
            <v>2753</v>
          </cell>
          <cell r="B1525">
            <v>5238</v>
          </cell>
          <cell r="C1525" t="str">
            <v>Getchellite</v>
          </cell>
          <cell r="E1525" t="str">
            <v>https://www.mindat.org/1:1:1686:1</v>
          </cell>
        </row>
        <row r="1526">
          <cell r="A1526">
            <v>2757</v>
          </cell>
          <cell r="B1526">
            <v>5238</v>
          </cell>
          <cell r="C1526" t="str">
            <v>Giessenite</v>
          </cell>
          <cell r="E1526" t="str">
            <v>https://www.mindat.org/1:1:1690:8</v>
          </cell>
        </row>
        <row r="1527">
          <cell r="A1527">
            <v>2760</v>
          </cell>
          <cell r="B1527">
            <v>5238</v>
          </cell>
          <cell r="C1527" t="str">
            <v>Gillulyite</v>
          </cell>
          <cell r="E1527" t="str">
            <v>https://www.mindat.org/1:1:1694:6</v>
          </cell>
        </row>
        <row r="1528">
          <cell r="A1528">
            <v>2765</v>
          </cell>
          <cell r="B1528">
            <v>5238</v>
          </cell>
          <cell r="C1528" t="str">
            <v>Giraudite</v>
          </cell>
          <cell r="E1528" t="str">
            <v>https://www.mindat.org/1:1:1698:4</v>
          </cell>
        </row>
        <row r="1529">
          <cell r="A1529">
            <v>2771</v>
          </cell>
          <cell r="B1529">
            <v>5238</v>
          </cell>
          <cell r="C1529" t="str">
            <v>Gladite</v>
          </cell>
          <cell r="E1529" t="str">
            <v>https://www.mindat.org/1:1:1705:9</v>
          </cell>
        </row>
        <row r="1530">
          <cell r="A1530">
            <v>2777</v>
          </cell>
          <cell r="B1530">
            <v>5238</v>
          </cell>
          <cell r="C1530" t="str">
            <v>Glaucodot</v>
          </cell>
          <cell r="E1530" t="str">
            <v>https://www.mindat.org/1:1:1709:7</v>
          </cell>
        </row>
        <row r="1531">
          <cell r="A1531">
            <v>2788</v>
          </cell>
          <cell r="B1531">
            <v>5238</v>
          </cell>
          <cell r="C1531" t="str">
            <v>Godlevskite</v>
          </cell>
          <cell r="E1531" t="str">
            <v>https://www.mindat.org/1:1:1716:5</v>
          </cell>
        </row>
        <row r="1532">
          <cell r="A1532">
            <v>2796</v>
          </cell>
          <cell r="B1532">
            <v>5238</v>
          </cell>
          <cell r="C1532" t="str">
            <v>Goldfieldite</v>
          </cell>
          <cell r="E1532" t="str">
            <v>https://www.mindat.org/1:1:1721:9</v>
          </cell>
        </row>
        <row r="1533">
          <cell r="A1533">
            <v>2820</v>
          </cell>
          <cell r="B1533">
            <v>5238</v>
          </cell>
          <cell r="C1533" t="str">
            <v>Gratonite</v>
          </cell>
          <cell r="E1533" t="str">
            <v>https://www.mindat.org/1:1:1741:7</v>
          </cell>
        </row>
        <row r="1534">
          <cell r="A1534">
            <v>2826</v>
          </cell>
          <cell r="B1534">
            <v>5238</v>
          </cell>
          <cell r="C1534" t="str">
            <v>Greenockite</v>
          </cell>
          <cell r="E1534" t="str">
            <v>https://www.mindat.org/1:1:1746:2</v>
          </cell>
        </row>
        <row r="1535">
          <cell r="A1535">
            <v>2829</v>
          </cell>
          <cell r="B1535">
            <v>5238</v>
          </cell>
          <cell r="C1535" t="str">
            <v>Greigite</v>
          </cell>
          <cell r="E1535" t="str">
            <v>https://www.mindat.org/1:1:1747:9</v>
          </cell>
        </row>
        <row r="1536">
          <cell r="A1536">
            <v>2839</v>
          </cell>
          <cell r="B1536">
            <v>5238</v>
          </cell>
          <cell r="C1536" t="str">
            <v>Grumiplucite</v>
          </cell>
          <cell r="E1536" t="str">
            <v>https://www.mindat.org/1:1:6981:2</v>
          </cell>
        </row>
        <row r="1537">
          <cell r="A1537">
            <v>2842</v>
          </cell>
          <cell r="B1537">
            <v>5238</v>
          </cell>
          <cell r="C1537" t="str">
            <v>Guanajuatite</v>
          </cell>
          <cell r="E1537" t="str">
            <v>https://www.mindat.org/1:1:1761:5</v>
          </cell>
        </row>
        <row r="1538">
          <cell r="A1538">
            <v>2845</v>
          </cell>
          <cell r="B1538">
            <v>5238</v>
          </cell>
          <cell r="C1538" t="str">
            <v>Gudmundite</v>
          </cell>
          <cell r="E1538" t="str">
            <v>https://www.mindat.org/1:1:1766:0</v>
          </cell>
        </row>
        <row r="1539">
          <cell r="A1539">
            <v>2847</v>
          </cell>
          <cell r="B1539">
            <v>5238</v>
          </cell>
          <cell r="C1539" t="str">
            <v>Guettardite</v>
          </cell>
          <cell r="E1539" t="str">
            <v>https://www.mindat.org/1:1:1768:4</v>
          </cell>
        </row>
        <row r="1540">
          <cell r="A1540">
            <v>2854</v>
          </cell>
          <cell r="B1540">
            <v>5238</v>
          </cell>
          <cell r="C1540" t="str">
            <v>Gustavite</v>
          </cell>
          <cell r="E1540" t="str">
            <v>https://www.mindat.org/1:1:1782:0</v>
          </cell>
        </row>
        <row r="1541">
          <cell r="A1541">
            <v>2871</v>
          </cell>
          <cell r="B1541">
            <v>5238</v>
          </cell>
          <cell r="C1541" t="str">
            <v>Hakite</v>
          </cell>
          <cell r="E1541" t="str">
            <v>https://www.mindat.org/1:1:1803:2</v>
          </cell>
        </row>
        <row r="1542">
          <cell r="A1542">
            <v>2878</v>
          </cell>
          <cell r="B1542">
            <v>5238</v>
          </cell>
          <cell r="C1542" t="str">
            <v>Hammarite</v>
          </cell>
          <cell r="E1542" t="str">
            <v>https://www.mindat.org/1:1:1812:4</v>
          </cell>
        </row>
        <row r="1543">
          <cell r="A1543">
            <v>2892</v>
          </cell>
          <cell r="B1543">
            <v>5238</v>
          </cell>
          <cell r="C1543" t="str">
            <v>Hastite</v>
          </cell>
          <cell r="E1543" t="str">
            <v/>
          </cell>
        </row>
        <row r="1544">
          <cell r="A1544">
            <v>2893</v>
          </cell>
          <cell r="B1544">
            <v>5238</v>
          </cell>
          <cell r="C1544" t="str">
            <v>Hatchite</v>
          </cell>
          <cell r="E1544" t="str">
            <v>https://www.mindat.org/1:1:1827:8</v>
          </cell>
        </row>
        <row r="1545">
          <cell r="A1545">
            <v>2895</v>
          </cell>
          <cell r="B1545">
            <v>5238</v>
          </cell>
          <cell r="C1545" t="str">
            <v>Hauchecornite</v>
          </cell>
          <cell r="E1545" t="str">
            <v>https://www.mindat.org/1:1:1829:2</v>
          </cell>
        </row>
        <row r="1546">
          <cell r="A1546">
            <v>2897</v>
          </cell>
          <cell r="B1546">
            <v>5238</v>
          </cell>
          <cell r="C1546" t="str">
            <v>Hauerite</v>
          </cell>
          <cell r="E1546" t="str">
            <v>https://www.mindat.org/1:1:1831:5</v>
          </cell>
        </row>
        <row r="1547">
          <cell r="A1547">
            <v>2900</v>
          </cell>
          <cell r="B1547">
            <v>5238</v>
          </cell>
          <cell r="C1547" t="str">
            <v>Hawleyite</v>
          </cell>
          <cell r="E1547" t="str">
            <v>https://www.mindat.org/1:1:1834:6</v>
          </cell>
        </row>
        <row r="1548">
          <cell r="A1548">
            <v>2903</v>
          </cell>
          <cell r="B1548">
            <v>5238</v>
          </cell>
          <cell r="C1548" t="str">
            <v>Haycockite</v>
          </cell>
          <cell r="E1548" t="str">
            <v>https://www.mindat.org/1:1:1837:7</v>
          </cell>
        </row>
        <row r="1549">
          <cell r="A1549">
            <v>2905</v>
          </cell>
          <cell r="B1549">
            <v>5238</v>
          </cell>
          <cell r="C1549" t="str">
            <v>Heazlewoodite</v>
          </cell>
          <cell r="E1549" t="str">
            <v>https://www.mindat.org/1:1:1839:1</v>
          </cell>
        </row>
        <row r="1550">
          <cell r="A1550">
            <v>2910</v>
          </cell>
          <cell r="B1550">
            <v>5238</v>
          </cell>
          <cell r="C1550" t="str">
            <v>Hedleyite</v>
          </cell>
          <cell r="E1550" t="str">
            <v>https://www.mindat.org/1:1:1843:8</v>
          </cell>
        </row>
        <row r="1551">
          <cell r="A1551">
            <v>2927</v>
          </cell>
          <cell r="B1551">
            <v>5238</v>
          </cell>
          <cell r="C1551" t="str">
            <v>Hemusite</v>
          </cell>
          <cell r="E1551" t="str">
            <v>https://www.mindat.org/1:1:1862:9</v>
          </cell>
        </row>
        <row r="1552">
          <cell r="A1552">
            <v>2934</v>
          </cell>
          <cell r="B1552">
            <v>5238</v>
          </cell>
          <cell r="C1552" t="str">
            <v>Henryite</v>
          </cell>
          <cell r="E1552" t="str">
            <v>https://www.mindat.org/1:1:1998:5</v>
          </cell>
        </row>
        <row r="1553">
          <cell r="A1553">
            <v>2939</v>
          </cell>
          <cell r="B1553">
            <v>5238</v>
          </cell>
          <cell r="C1553" t="str">
            <v>Herzenbergite</v>
          </cell>
          <cell r="E1553" t="str">
            <v>https://www.mindat.org/1:1:1880:3</v>
          </cell>
        </row>
        <row r="1554">
          <cell r="A1554">
            <v>2940</v>
          </cell>
          <cell r="B1554">
            <v>5238</v>
          </cell>
          <cell r="C1554" t="str">
            <v>Hessite</v>
          </cell>
          <cell r="E1554" t="str">
            <v>https://www.mindat.org/1:1:1881:0</v>
          </cell>
        </row>
        <row r="1555">
          <cell r="A1555">
            <v>2944</v>
          </cell>
          <cell r="B1555">
            <v>5238</v>
          </cell>
          <cell r="C1555" t="str">
            <v>Heteromorphite</v>
          </cell>
          <cell r="E1555" t="str">
            <v>https://www.mindat.org/1:1:1886:5</v>
          </cell>
        </row>
        <row r="1556">
          <cell r="A1556">
            <v>2957</v>
          </cell>
          <cell r="B1556">
            <v>5238</v>
          </cell>
          <cell r="C1556" t="str">
            <v>Heyrovskyite</v>
          </cell>
          <cell r="E1556" t="str">
            <v/>
          </cell>
        </row>
        <row r="1557">
          <cell r="A1557">
            <v>2977</v>
          </cell>
          <cell r="B1557">
            <v>5238</v>
          </cell>
          <cell r="C1557" t="str">
            <v>Hocartite</v>
          </cell>
          <cell r="E1557" t="str">
            <v>https://www.mindat.org/1:1:1911:4</v>
          </cell>
        </row>
        <row r="1558">
          <cell r="A1558">
            <v>2980</v>
          </cell>
          <cell r="B1558">
            <v>5238</v>
          </cell>
          <cell r="C1558" t="str">
            <v>Hodrushite</v>
          </cell>
          <cell r="E1558" t="str">
            <v/>
          </cell>
        </row>
        <row r="1559">
          <cell r="A1559">
            <v>2987</v>
          </cell>
          <cell r="B1559">
            <v>5238</v>
          </cell>
          <cell r="C1559" t="str">
            <v>Hollingworthite</v>
          </cell>
          <cell r="E1559" t="str">
            <v>https://www.mindat.org/1:1:1922:0</v>
          </cell>
        </row>
        <row r="1560">
          <cell r="A1560">
            <v>3018</v>
          </cell>
          <cell r="B1560">
            <v>5238</v>
          </cell>
          <cell r="C1560" t="str">
            <v>Hutchinsonite</v>
          </cell>
          <cell r="E1560" t="str">
            <v>https://www.mindat.org/1:1:1954:1</v>
          </cell>
        </row>
        <row r="1561">
          <cell r="A1561">
            <v>3059</v>
          </cell>
          <cell r="B1561">
            <v>5238</v>
          </cell>
          <cell r="C1561" t="str">
            <v>Hypercinnabar</v>
          </cell>
          <cell r="E1561" t="str">
            <v>https://www.mindat.org/1:1:1994:7</v>
          </cell>
        </row>
        <row r="1562">
          <cell r="A1562">
            <v>3069</v>
          </cell>
          <cell r="B1562">
            <v>5238</v>
          </cell>
          <cell r="C1562" t="str">
            <v>Idaite</v>
          </cell>
          <cell r="E1562" t="str">
            <v>https://www.mindat.org/1:1:2002:8</v>
          </cell>
        </row>
        <row r="1563">
          <cell r="A1563">
            <v>3073</v>
          </cell>
          <cell r="B1563">
            <v>5238</v>
          </cell>
          <cell r="C1563" t="str">
            <v>Ikunolite</v>
          </cell>
          <cell r="E1563" t="str">
            <v>https://www.mindat.org/1:1:2008:0</v>
          </cell>
        </row>
        <row r="1564">
          <cell r="A1564">
            <v>3086</v>
          </cell>
          <cell r="B1564">
            <v>5238</v>
          </cell>
          <cell r="C1564" t="str">
            <v>Imhofite</v>
          </cell>
          <cell r="E1564" t="str">
            <v>https://www.mindat.org/1:1:2019:6</v>
          </cell>
        </row>
        <row r="1565">
          <cell r="A1565">
            <v>3087</v>
          </cell>
          <cell r="B1565">
            <v>5238</v>
          </cell>
          <cell r="C1565" t="str">
            <v>Imiterite</v>
          </cell>
          <cell r="E1565" t="str">
            <v>https://www.mindat.org/1:1:2020:2</v>
          </cell>
        </row>
        <row r="1566">
          <cell r="A1566">
            <v>3095</v>
          </cell>
          <cell r="B1566">
            <v>5238</v>
          </cell>
          <cell r="C1566" t="str">
            <v>Indite</v>
          </cell>
          <cell r="E1566" t="str">
            <v>https://www.mindat.org/1:1:2029:5</v>
          </cell>
        </row>
        <row r="1567">
          <cell r="A1567">
            <v>3099</v>
          </cell>
          <cell r="B1567">
            <v>5238</v>
          </cell>
          <cell r="C1567" t="str">
            <v>Ingodite</v>
          </cell>
          <cell r="E1567" t="str">
            <v>https://www.mindat.org/1:1:2033:2</v>
          </cell>
        </row>
        <row r="1568">
          <cell r="A1568">
            <v>3123</v>
          </cell>
          <cell r="B1568">
            <v>5238</v>
          </cell>
          <cell r="C1568" t="str">
            <v>Isomertieite</v>
          </cell>
          <cell r="E1568" t="str">
            <v>https://www.mindat.org/1:1:2055:4</v>
          </cell>
        </row>
        <row r="1569">
          <cell r="A1569">
            <v>3129</v>
          </cell>
          <cell r="B1569">
            <v>5238</v>
          </cell>
          <cell r="C1569" t="str">
            <v>Izoklakeite</v>
          </cell>
          <cell r="E1569" t="str">
            <v>https://www.mindat.org/1:1:2060:8</v>
          </cell>
        </row>
        <row r="1570">
          <cell r="A1570">
            <v>3140</v>
          </cell>
          <cell r="B1570">
            <v>5238</v>
          </cell>
          <cell r="C1570" t="str">
            <v>Jalpaite</v>
          </cell>
          <cell r="E1570" t="str">
            <v>https://www.mindat.org/1:1:2069:1</v>
          </cell>
        </row>
        <row r="1571">
          <cell r="A1571">
            <v>3143</v>
          </cell>
          <cell r="B1571">
            <v>5238</v>
          </cell>
          <cell r="C1571" t="str">
            <v>Jamesonite</v>
          </cell>
          <cell r="E1571" t="str">
            <v>https://www.mindat.org/1:1:2072:1</v>
          </cell>
        </row>
        <row r="1572">
          <cell r="A1572">
            <v>3146</v>
          </cell>
          <cell r="B1572">
            <v>5238</v>
          </cell>
          <cell r="C1572" t="str">
            <v>Jankovicite</v>
          </cell>
          <cell r="E1572" t="str">
            <v/>
          </cell>
        </row>
        <row r="1573">
          <cell r="A1573">
            <v>3150</v>
          </cell>
          <cell r="B1573">
            <v>5238</v>
          </cell>
          <cell r="C1573" t="str">
            <v>Jaskolskiite</v>
          </cell>
          <cell r="E1573" t="str">
            <v/>
          </cell>
        </row>
        <row r="1574">
          <cell r="A1574">
            <v>3157</v>
          </cell>
          <cell r="B1574">
            <v>5238</v>
          </cell>
          <cell r="C1574" t="str">
            <v>Jentschite</v>
          </cell>
          <cell r="E1574" t="str">
            <v>https://www.mindat.org/1:1:5745:1</v>
          </cell>
        </row>
        <row r="1575">
          <cell r="A1575">
            <v>3160</v>
          </cell>
          <cell r="B1575">
            <v>5238</v>
          </cell>
          <cell r="C1575" t="str">
            <v>Jeromite</v>
          </cell>
          <cell r="E1575" t="str">
            <v/>
          </cell>
        </row>
        <row r="1576">
          <cell r="A1576">
            <v>3184</v>
          </cell>
          <cell r="B1576">
            <v>5238</v>
          </cell>
          <cell r="C1576" t="str">
            <v>Jordanite</v>
          </cell>
          <cell r="E1576" t="str">
            <v>https://www.mindat.org/1:1:2113:1</v>
          </cell>
        </row>
        <row r="1577">
          <cell r="A1577">
            <v>3185</v>
          </cell>
          <cell r="B1577">
            <v>5238</v>
          </cell>
          <cell r="C1577" t="str">
            <v>Jordisite</v>
          </cell>
          <cell r="E1577" t="str">
            <v>https://www.mindat.org/1:1:2114:8</v>
          </cell>
        </row>
        <row r="1578">
          <cell r="A1578">
            <v>3187</v>
          </cell>
          <cell r="B1578">
            <v>5238</v>
          </cell>
          <cell r="C1578" t="str">
            <v>Joseite</v>
          </cell>
          <cell r="E1578" t="str">
            <v/>
          </cell>
        </row>
        <row r="1579">
          <cell r="A1579">
            <v>3188</v>
          </cell>
          <cell r="B1579">
            <v>5238</v>
          </cell>
          <cell r="C1579" t="str">
            <v>Joseite-A</v>
          </cell>
          <cell r="E1579" t="str">
            <v/>
          </cell>
        </row>
        <row r="1580">
          <cell r="A1580">
            <v>3189</v>
          </cell>
          <cell r="B1580">
            <v>5238</v>
          </cell>
          <cell r="C1580" t="str">
            <v>Joseite-B</v>
          </cell>
          <cell r="E1580" t="str">
            <v/>
          </cell>
        </row>
        <row r="1581">
          <cell r="A1581">
            <v>3190</v>
          </cell>
          <cell r="B1581">
            <v>5238</v>
          </cell>
          <cell r="C1581" t="str">
            <v>Joseite-a</v>
          </cell>
          <cell r="E1581" t="str">
            <v/>
          </cell>
        </row>
        <row r="1582">
          <cell r="A1582">
            <v>3191</v>
          </cell>
          <cell r="B1582">
            <v>5238</v>
          </cell>
          <cell r="C1582" t="str">
            <v>Joseite-b</v>
          </cell>
          <cell r="E1582" t="str">
            <v/>
          </cell>
        </row>
        <row r="1583">
          <cell r="A1583">
            <v>3200</v>
          </cell>
          <cell r="B1583">
            <v>5238</v>
          </cell>
          <cell r="C1583" t="str">
            <v>Junoite</v>
          </cell>
          <cell r="E1583" t="str">
            <v>https://www.mindat.org/1:1:2124:7</v>
          </cell>
        </row>
        <row r="1584">
          <cell r="A1584">
            <v>3254</v>
          </cell>
          <cell r="B1584">
            <v>5238</v>
          </cell>
          <cell r="C1584" t="str">
            <v>Kawazulite</v>
          </cell>
          <cell r="E1584" t="str">
            <v>https://www.mindat.org/1:1:2170:4</v>
          </cell>
        </row>
        <row r="1585">
          <cell r="A1585">
            <v>3260</v>
          </cell>
          <cell r="B1585">
            <v>5238</v>
          </cell>
          <cell r="C1585" t="str">
            <v>Keithconnite</v>
          </cell>
          <cell r="E1585" t="str">
            <v>https://www.mindat.org/1:1:2176:6</v>
          </cell>
        </row>
        <row r="1586">
          <cell r="A1586">
            <v>3269</v>
          </cell>
          <cell r="B1586">
            <v>5238</v>
          </cell>
          <cell r="C1586" t="str">
            <v>Kenhsuite</v>
          </cell>
          <cell r="E1586" t="str">
            <v>https://www.mindat.org/1:1:7131:0</v>
          </cell>
        </row>
        <row r="1587">
          <cell r="A1587">
            <v>3274</v>
          </cell>
          <cell r="B1587">
            <v>5238</v>
          </cell>
          <cell r="C1587" t="str">
            <v>Kermesite</v>
          </cell>
          <cell r="E1587" t="str">
            <v>https://www.mindat.org/1:1:2187:2</v>
          </cell>
        </row>
        <row r="1588">
          <cell r="A1588">
            <v>3277</v>
          </cell>
          <cell r="B1588">
            <v>5238</v>
          </cell>
          <cell r="C1588" t="str">
            <v>Kesterite</v>
          </cell>
          <cell r="E1588" t="str">
            <v/>
          </cell>
        </row>
        <row r="1589">
          <cell r="A1589">
            <v>3292</v>
          </cell>
          <cell r="B1589">
            <v>5238</v>
          </cell>
          <cell r="C1589" t="str">
            <v>Kiddcreekite</v>
          </cell>
          <cell r="E1589" t="str">
            <v>https://www.mindat.org/1:1:2201:5</v>
          </cell>
        </row>
        <row r="1590">
          <cell r="A1590">
            <v>3311</v>
          </cell>
          <cell r="B1590">
            <v>5238</v>
          </cell>
          <cell r="C1590" t="str">
            <v>Kitkaite</v>
          </cell>
          <cell r="E1590" t="str">
            <v>https://www.mindat.org/1:1:2219:0</v>
          </cell>
        </row>
        <row r="1591">
          <cell r="A1591">
            <v>3319</v>
          </cell>
          <cell r="B1591">
            <v>5238</v>
          </cell>
          <cell r="C1591" t="str">
            <v>Klockmannite</v>
          </cell>
          <cell r="E1591" t="str">
            <v>https://www.mindat.org/1:1:2226:8</v>
          </cell>
        </row>
        <row r="1592">
          <cell r="A1592">
            <v>3324</v>
          </cell>
          <cell r="B1592">
            <v>5238</v>
          </cell>
          <cell r="C1592" t="str">
            <v>Kobellite</v>
          </cell>
          <cell r="E1592" t="str">
            <v>https://www.mindat.org/1:1:2233:6</v>
          </cell>
        </row>
        <row r="1593">
          <cell r="A1593">
            <v>3353</v>
          </cell>
          <cell r="B1593">
            <v>5238</v>
          </cell>
          <cell r="C1593" t="str">
            <v>Kostovite</v>
          </cell>
          <cell r="E1593" t="str">
            <v>https://www.mindat.org/1:1:2260:2</v>
          </cell>
        </row>
        <row r="1594">
          <cell r="A1594">
            <v>3356</v>
          </cell>
          <cell r="B1594">
            <v>5238</v>
          </cell>
          <cell r="C1594" t="str">
            <v>Kotulskite</v>
          </cell>
          <cell r="E1594" t="str">
            <v>https://www.mindat.org/1:1:2264:0</v>
          </cell>
        </row>
        <row r="1595">
          <cell r="A1595">
            <v>3357</v>
          </cell>
          <cell r="B1595">
            <v>5238</v>
          </cell>
          <cell r="C1595" t="str">
            <v>Koutekite</v>
          </cell>
          <cell r="E1595" t="str">
            <v>https://www.mindat.org/1:1:2265:7</v>
          </cell>
        </row>
        <row r="1596">
          <cell r="A1596">
            <v>3368</v>
          </cell>
          <cell r="B1596">
            <v>5238</v>
          </cell>
          <cell r="C1596" t="str">
            <v>Krennerite</v>
          </cell>
          <cell r="E1596" t="str">
            <v>https://www.mindat.org/1:1:2274:9</v>
          </cell>
        </row>
        <row r="1597">
          <cell r="A1597">
            <v>3373</v>
          </cell>
          <cell r="B1597">
            <v>5238</v>
          </cell>
          <cell r="C1597" t="str">
            <v>Krupkaite</v>
          </cell>
          <cell r="E1597" t="str">
            <v>https://www.mindat.org/1:1:2278:7</v>
          </cell>
        </row>
        <row r="1598">
          <cell r="A1598">
            <v>3375</v>
          </cell>
          <cell r="B1598">
            <v>5238</v>
          </cell>
          <cell r="C1598" t="str">
            <v>Krutovite</v>
          </cell>
          <cell r="E1598" t="str">
            <v>https://www.mindat.org/1:1:2280:0</v>
          </cell>
        </row>
        <row r="1599">
          <cell r="A1599">
            <v>3393</v>
          </cell>
          <cell r="B1599">
            <v>5238</v>
          </cell>
          <cell r="C1599" t="str">
            <v>Kutinaite</v>
          </cell>
          <cell r="E1599" t="str">
            <v>https://www.mindat.org/1:1:2298:5</v>
          </cell>
        </row>
        <row r="1600">
          <cell r="A1600">
            <v>3407</v>
          </cell>
          <cell r="B1600">
            <v>5238</v>
          </cell>
          <cell r="C1600" t="str">
            <v>Laffittite</v>
          </cell>
          <cell r="E1600" t="str">
            <v>https://www.mindat.org/1:1:2311:1</v>
          </cell>
        </row>
        <row r="1601">
          <cell r="A1601">
            <v>3410</v>
          </cell>
          <cell r="B1601">
            <v>5238</v>
          </cell>
          <cell r="C1601" t="str">
            <v>Laitakarite</v>
          </cell>
          <cell r="E1601" t="str">
            <v>https://www.mindat.org/1:1:2313:5</v>
          </cell>
        </row>
        <row r="1602">
          <cell r="A1602">
            <v>3418</v>
          </cell>
          <cell r="B1602">
            <v>5238</v>
          </cell>
          <cell r="C1602" t="str">
            <v>Langisite</v>
          </cell>
          <cell r="E1602" t="str">
            <v>https://www.mindat.org/1:1:2321:0</v>
          </cell>
        </row>
        <row r="1603">
          <cell r="A1603">
            <v>3426</v>
          </cell>
          <cell r="B1603">
            <v>5238</v>
          </cell>
          <cell r="C1603" t="str">
            <v>Laphamite</v>
          </cell>
          <cell r="E1603" t="str">
            <v>https://www.mindat.org/1:1:2328:9</v>
          </cell>
        </row>
        <row r="1604">
          <cell r="A1604">
            <v>3427</v>
          </cell>
          <cell r="B1604">
            <v>5238</v>
          </cell>
          <cell r="C1604" t="str">
            <v>Lapieite</v>
          </cell>
          <cell r="E1604" t="str">
            <v>https://www.mindat.org/1:1:2329:6</v>
          </cell>
        </row>
        <row r="1605">
          <cell r="A1605">
            <v>3437</v>
          </cell>
          <cell r="B1605">
            <v>5238</v>
          </cell>
          <cell r="C1605" t="str">
            <v>Launayite</v>
          </cell>
          <cell r="E1605" t="str">
            <v>https://www.mindat.org/1:1:2341:8</v>
          </cell>
        </row>
        <row r="1606">
          <cell r="A1606">
            <v>3440</v>
          </cell>
          <cell r="B1606">
            <v>5238</v>
          </cell>
          <cell r="C1606" t="str">
            <v>Laurite</v>
          </cell>
          <cell r="E1606" t="str">
            <v>https://www.mindat.org/1:1:2344:9</v>
          </cell>
        </row>
        <row r="1607">
          <cell r="A1607">
            <v>3444</v>
          </cell>
          <cell r="B1607">
            <v>5238</v>
          </cell>
          <cell r="C1607" t="str">
            <v>Lautite</v>
          </cell>
          <cell r="E1607" t="str">
            <v>https://www.mindat.org/1:1:2348:7</v>
          </cell>
        </row>
        <row r="1608">
          <cell r="A1608">
            <v>3470</v>
          </cell>
          <cell r="B1608">
            <v>5238</v>
          </cell>
          <cell r="C1608" t="str">
            <v>Lengenbachite</v>
          </cell>
          <cell r="E1608" t="str">
            <v>https://www.mindat.org/1:1:2373:9</v>
          </cell>
        </row>
        <row r="1609">
          <cell r="A1609">
            <v>3501</v>
          </cell>
          <cell r="B1609">
            <v>5238</v>
          </cell>
          <cell r="C1609" t="str">
            <v>Lillianite</v>
          </cell>
          <cell r="E1609" t="str">
            <v>https://www.mindat.org/1:1:2400:2</v>
          </cell>
        </row>
        <row r="1610">
          <cell r="A1610">
            <v>3510</v>
          </cell>
          <cell r="B1610">
            <v>5238</v>
          </cell>
          <cell r="C1610" t="str">
            <v>Lindstromite</v>
          </cell>
          <cell r="E1610" t="str">
            <v/>
          </cell>
        </row>
        <row r="1611">
          <cell r="A1611">
            <v>3511</v>
          </cell>
          <cell r="B1611">
            <v>5238</v>
          </cell>
          <cell r="C1611" t="str">
            <v>Linnaeite</v>
          </cell>
          <cell r="E1611" t="str">
            <v>https://www.mindat.org/1:1:2409:5</v>
          </cell>
        </row>
        <row r="1612">
          <cell r="A1612">
            <v>3523</v>
          </cell>
          <cell r="B1612">
            <v>5238</v>
          </cell>
          <cell r="C1612" t="str">
            <v>Bismuthinite</v>
          </cell>
          <cell r="E1612" t="str">
            <v>https://www.mindat.org/1:1:686:0</v>
          </cell>
        </row>
        <row r="1613">
          <cell r="A1613">
            <v>3527</v>
          </cell>
          <cell r="B1613">
            <v>5238</v>
          </cell>
          <cell r="C1613" t="str">
            <v>Bismutohauchecornite</v>
          </cell>
          <cell r="E1613" t="str">
            <v>https://www.mindat.org/1:1:658:7</v>
          </cell>
        </row>
        <row r="1614">
          <cell r="A1614">
            <v>3545</v>
          </cell>
          <cell r="B1614">
            <v>5238</v>
          </cell>
          <cell r="C1614" t="str">
            <v>Boggildite</v>
          </cell>
          <cell r="E1614" t="str">
            <v/>
          </cell>
        </row>
        <row r="1615">
          <cell r="A1615">
            <v>3548</v>
          </cell>
          <cell r="B1615">
            <v>5238</v>
          </cell>
          <cell r="C1615" t="str">
            <v>Bohdanowiczite</v>
          </cell>
          <cell r="E1615" t="str">
            <v>https://www.mindat.org/1:1:706:3</v>
          </cell>
        </row>
        <row r="1616">
          <cell r="A1616">
            <v>3563</v>
          </cell>
          <cell r="B1616">
            <v>5238</v>
          </cell>
          <cell r="C1616" t="str">
            <v>Bornhardtite</v>
          </cell>
          <cell r="E1616" t="str">
            <v>https://www.mindat.org/1:1:726:7</v>
          </cell>
        </row>
        <row r="1617">
          <cell r="A1617">
            <v>3564</v>
          </cell>
          <cell r="B1617">
            <v>5238</v>
          </cell>
          <cell r="C1617" t="str">
            <v>Bornite</v>
          </cell>
          <cell r="E1617" t="str">
            <v>https://www.mindat.org/1:1:727:6</v>
          </cell>
        </row>
        <row r="1618">
          <cell r="A1618">
            <v>3572</v>
          </cell>
          <cell r="B1618">
            <v>5238</v>
          </cell>
          <cell r="C1618" t="str">
            <v>Boulangerite</v>
          </cell>
          <cell r="E1618" t="str">
            <v>https://www.mindat.org/1:1:738:2</v>
          </cell>
        </row>
        <row r="1619">
          <cell r="A1619">
            <v>3573</v>
          </cell>
          <cell r="B1619">
            <v>5238</v>
          </cell>
          <cell r="C1619" t="str">
            <v>Bournonite</v>
          </cell>
          <cell r="E1619" t="str">
            <v>https://www.mindat.org/1:1:741:6</v>
          </cell>
        </row>
        <row r="1620">
          <cell r="A1620">
            <v>3582</v>
          </cell>
          <cell r="B1620">
            <v>5238</v>
          </cell>
          <cell r="C1620" t="str">
            <v>Braggite</v>
          </cell>
          <cell r="E1620" t="str">
            <v>https://www.mindat.org/1:1:751:3</v>
          </cell>
        </row>
        <row r="1621">
          <cell r="A1621">
            <v>3591</v>
          </cell>
          <cell r="B1621">
            <v>5238</v>
          </cell>
          <cell r="C1621" t="str">
            <v>Bravoite</v>
          </cell>
          <cell r="E1621" t="str">
            <v/>
          </cell>
        </row>
        <row r="1622">
          <cell r="A1622">
            <v>3594</v>
          </cell>
          <cell r="B1622">
            <v>5238</v>
          </cell>
          <cell r="C1622" t="str">
            <v>Breithauptite</v>
          </cell>
          <cell r="E1622" t="str">
            <v>https://www.mindat.org/1:1:763:8</v>
          </cell>
        </row>
        <row r="1623">
          <cell r="A1623">
            <v>3603</v>
          </cell>
          <cell r="B1623">
            <v>5238</v>
          </cell>
          <cell r="C1623" t="str">
            <v>Briartite</v>
          </cell>
          <cell r="E1623" t="str">
            <v>https://www.mindat.org/1:1:773:5</v>
          </cell>
        </row>
        <row r="1624">
          <cell r="A1624">
            <v>3622</v>
          </cell>
          <cell r="B1624">
            <v>5238</v>
          </cell>
          <cell r="C1624" t="str">
            <v>Buckhornite</v>
          </cell>
          <cell r="E1624" t="str">
            <v>https://www.mindat.org/1:1:795:7</v>
          </cell>
        </row>
        <row r="1625">
          <cell r="A1625">
            <v>3636</v>
          </cell>
          <cell r="B1625">
            <v>5238</v>
          </cell>
          <cell r="C1625" t="str">
            <v>Bursaite</v>
          </cell>
          <cell r="E1625" t="str">
            <v/>
          </cell>
        </row>
        <row r="1626">
          <cell r="A1626">
            <v>3652</v>
          </cell>
          <cell r="B1626">
            <v>5238</v>
          </cell>
          <cell r="C1626" t="str">
            <v>Cadmoselite</v>
          </cell>
          <cell r="E1626" t="str">
            <v>https://www.mindat.org/1:1:844:2</v>
          </cell>
        </row>
        <row r="1627">
          <cell r="A1627">
            <v>3657</v>
          </cell>
          <cell r="B1627">
            <v>5238</v>
          </cell>
          <cell r="C1627" t="str">
            <v>Calaverite</v>
          </cell>
          <cell r="E1627" t="str">
            <v>https://www.mindat.org/1:1:852:1</v>
          </cell>
        </row>
        <row r="1628">
          <cell r="A1628">
            <v>3685</v>
          </cell>
          <cell r="B1628">
            <v>5238</v>
          </cell>
          <cell r="C1628" t="str">
            <v>Cameronite</v>
          </cell>
          <cell r="E1628" t="str">
            <v>https://www.mindat.org/1:1:873:4</v>
          </cell>
        </row>
        <row r="1629">
          <cell r="A1629">
            <v>3694</v>
          </cell>
          <cell r="B1629">
            <v>5238</v>
          </cell>
          <cell r="C1629" t="str">
            <v>Canfieldite</v>
          </cell>
          <cell r="E1629" t="str">
            <v>https://www.mindat.org/1:1:882:2</v>
          </cell>
        </row>
        <row r="1630">
          <cell r="A1630">
            <v>3696</v>
          </cell>
          <cell r="B1630">
            <v>5238</v>
          </cell>
          <cell r="C1630" t="str">
            <v>Cannizzarite</v>
          </cell>
          <cell r="E1630" t="str">
            <v>https://www.mindat.org/1:1:883:1</v>
          </cell>
        </row>
        <row r="1631">
          <cell r="A1631">
            <v>3713</v>
          </cell>
          <cell r="B1631">
            <v>5238</v>
          </cell>
          <cell r="C1631" t="str">
            <v>Carlinite</v>
          </cell>
          <cell r="E1631" t="str">
            <v>https://www.mindat.org/1:1:901:6</v>
          </cell>
        </row>
        <row r="1632">
          <cell r="A1632">
            <v>3725</v>
          </cell>
          <cell r="B1632">
            <v>5238</v>
          </cell>
          <cell r="C1632" t="str">
            <v>Carrollite</v>
          </cell>
          <cell r="E1632" t="str">
            <v>https://www.mindat.org/1:1:911:3</v>
          </cell>
        </row>
        <row r="1633">
          <cell r="A1633">
            <v>3734</v>
          </cell>
          <cell r="B1633">
            <v>5238</v>
          </cell>
          <cell r="C1633" t="str">
            <v>Cattierite</v>
          </cell>
          <cell r="E1633" t="str">
            <v>https://www.mindat.org/1:1:920:1</v>
          </cell>
        </row>
        <row r="1634">
          <cell r="A1634">
            <v>3748</v>
          </cell>
          <cell r="B1634">
            <v>5238</v>
          </cell>
          <cell r="C1634" t="str">
            <v>Cernyite</v>
          </cell>
          <cell r="E1634" t="str">
            <v/>
          </cell>
        </row>
        <row r="1635">
          <cell r="A1635">
            <v>3754</v>
          </cell>
          <cell r="B1635">
            <v>5238</v>
          </cell>
          <cell r="C1635" t="str">
            <v>Cervelleite</v>
          </cell>
          <cell r="E1635" t="str">
            <v>https://www.mindat.org/1:1:937:1</v>
          </cell>
        </row>
        <row r="1636">
          <cell r="A1636">
            <v>3762</v>
          </cell>
          <cell r="B1636">
            <v>5238</v>
          </cell>
          <cell r="C1636" t="str">
            <v>Cetineite</v>
          </cell>
          <cell r="E1636" t="str">
            <v>https://www.mindat.org/1:1:943:2</v>
          </cell>
        </row>
        <row r="1637">
          <cell r="A1637">
            <v>3768</v>
          </cell>
          <cell r="B1637">
            <v>5238</v>
          </cell>
          <cell r="C1637" t="str">
            <v>Chabourneite</v>
          </cell>
          <cell r="E1637" t="str">
            <v/>
          </cell>
        </row>
        <row r="1638">
          <cell r="A1638">
            <v>3772</v>
          </cell>
          <cell r="B1638">
            <v>5238</v>
          </cell>
          <cell r="C1638" t="str">
            <v>Chalcocite</v>
          </cell>
          <cell r="E1638" t="str">
            <v>https://www.mindat.org/1:1:962:7</v>
          </cell>
        </row>
        <row r="1639">
          <cell r="A1639">
            <v>3778</v>
          </cell>
          <cell r="B1639">
            <v>5238</v>
          </cell>
          <cell r="C1639" t="str">
            <v>Chalcopyrite</v>
          </cell>
          <cell r="E1639" t="str">
            <v>https://www.mindat.org/1:1:955:7</v>
          </cell>
        </row>
        <row r="1640">
          <cell r="A1640">
            <v>3780</v>
          </cell>
          <cell r="B1640">
            <v>5238</v>
          </cell>
          <cell r="C1640" t="str">
            <v>Chalcostibite</v>
          </cell>
          <cell r="E1640" t="str">
            <v>https://www.mindat.org/1:1:983:0</v>
          </cell>
        </row>
        <row r="1641">
          <cell r="A1641">
            <v>3781</v>
          </cell>
          <cell r="B1641">
            <v>5238</v>
          </cell>
          <cell r="C1641" t="str">
            <v>Chalcothallite</v>
          </cell>
          <cell r="E1641" t="str">
            <v>https://www.mindat.org/1:1:978:8</v>
          </cell>
        </row>
        <row r="1642">
          <cell r="A1642">
            <v>3838</v>
          </cell>
          <cell r="B1642">
            <v>5238</v>
          </cell>
          <cell r="C1642" t="str">
            <v>Christite</v>
          </cell>
          <cell r="E1642" t="str">
            <v>https://www.mindat.org/1:1:1029:6</v>
          </cell>
        </row>
        <row r="1643">
          <cell r="A1643">
            <v>3860</v>
          </cell>
          <cell r="B1643">
            <v>5238</v>
          </cell>
          <cell r="C1643" t="str">
            <v>Cinnabar</v>
          </cell>
          <cell r="E1643" t="str">
            <v>https://www.mindat.org/1:1:1052:4</v>
          </cell>
        </row>
        <row r="1644">
          <cell r="A1644">
            <v>3866</v>
          </cell>
          <cell r="B1644">
            <v>5238</v>
          </cell>
          <cell r="C1644" t="str">
            <v>Clausthalite</v>
          </cell>
          <cell r="E1644" t="str">
            <v>https://www.mindat.org/1:1:1061:6</v>
          </cell>
        </row>
        <row r="1645">
          <cell r="A1645">
            <v>3893</v>
          </cell>
          <cell r="B1645">
            <v>5238</v>
          </cell>
          <cell r="C1645" t="str">
            <v>Clinosafflorite</v>
          </cell>
          <cell r="E1645" t="str">
            <v>https://www.mindat.org/1:1:1083:8</v>
          </cell>
        </row>
        <row r="1646">
          <cell r="A1646">
            <v>3900</v>
          </cell>
          <cell r="B1646">
            <v>5238</v>
          </cell>
          <cell r="C1646" t="str">
            <v>Cobaltpentlandite</v>
          </cell>
          <cell r="E1646" t="str">
            <v>https://www.mindat.org/1:1:1097:5</v>
          </cell>
        </row>
        <row r="1647">
          <cell r="A1647">
            <v>3903</v>
          </cell>
          <cell r="B1647">
            <v>5238</v>
          </cell>
          <cell r="C1647" t="str">
            <v>Cobaltite</v>
          </cell>
          <cell r="E1647" t="str">
            <v>https://www.mindat.org/1:1:1093:7</v>
          </cell>
        </row>
        <row r="1648">
          <cell r="A1648">
            <v>3915</v>
          </cell>
          <cell r="B1648">
            <v>5238</v>
          </cell>
          <cell r="C1648" t="str">
            <v>Coloradoite</v>
          </cell>
          <cell r="E1648" t="str">
            <v>https://www.mindat.org/1:1:1110:1</v>
          </cell>
        </row>
        <row r="1649">
          <cell r="A1649">
            <v>3918</v>
          </cell>
          <cell r="B1649">
            <v>5238</v>
          </cell>
          <cell r="C1649" t="str">
            <v>Colusite</v>
          </cell>
          <cell r="E1649" t="str">
            <v>https://www.mindat.org/1:1:1113:2</v>
          </cell>
        </row>
        <row r="1650">
          <cell r="A1650">
            <v>3929</v>
          </cell>
          <cell r="B1650">
            <v>5238</v>
          </cell>
          <cell r="C1650" t="str">
            <v>Cooperite</v>
          </cell>
          <cell r="E1650" t="str">
            <v>https://www.mindat.org/1:1:1123:1</v>
          </cell>
        </row>
        <row r="1651">
          <cell r="A1651">
            <v>3938</v>
          </cell>
          <cell r="B1651">
            <v>5238</v>
          </cell>
          <cell r="C1651" t="str">
            <v>Corderoite</v>
          </cell>
          <cell r="E1651" t="str">
            <v>https://www.mindat.org/1:1:1127:9</v>
          </cell>
        </row>
        <row r="1652">
          <cell r="A1652">
            <v>3945</v>
          </cell>
          <cell r="B1652">
            <v>5238</v>
          </cell>
          <cell r="C1652" t="str">
            <v>Acanthite</v>
          </cell>
          <cell r="E1652" t="str">
            <v>https://www.mindat.org/1:1:10:5</v>
          </cell>
        </row>
        <row r="1653">
          <cell r="A1653">
            <v>3968</v>
          </cell>
          <cell r="B1653">
            <v>5238</v>
          </cell>
          <cell r="C1653" t="str">
            <v>Aguilarite</v>
          </cell>
          <cell r="E1653" t="str">
            <v>https://www.mindat.org/1:1:59:4</v>
          </cell>
        </row>
        <row r="1654">
          <cell r="A1654">
            <v>3971</v>
          </cell>
          <cell r="B1654">
            <v>5238</v>
          </cell>
          <cell r="C1654" t="str">
            <v>Aikinite</v>
          </cell>
          <cell r="E1654" t="str">
            <v>https://www.mindat.org/1:1:63:1</v>
          </cell>
        </row>
        <row r="1655">
          <cell r="A1655">
            <v>3981</v>
          </cell>
          <cell r="B1655">
            <v>5238</v>
          </cell>
          <cell r="C1655" t="str">
            <v>Aktashite</v>
          </cell>
          <cell r="E1655" t="str">
            <v>https://www.mindat.org/1:1:74:7</v>
          </cell>
        </row>
        <row r="1656">
          <cell r="A1656">
            <v>3982</v>
          </cell>
          <cell r="B1656">
            <v>5238</v>
          </cell>
          <cell r="C1656" t="str">
            <v>Alabandite</v>
          </cell>
          <cell r="E1656" t="str">
            <v>https://www.mindat.org/1:1:89:1</v>
          </cell>
        </row>
        <row r="1657">
          <cell r="A1657">
            <v>3983</v>
          </cell>
          <cell r="B1657">
            <v>5238</v>
          </cell>
          <cell r="C1657" t="str">
            <v>Alacranite</v>
          </cell>
          <cell r="E1657" t="str">
            <v/>
          </cell>
        </row>
        <row r="1658">
          <cell r="A1658">
            <v>3992</v>
          </cell>
          <cell r="B1658">
            <v>5238</v>
          </cell>
          <cell r="C1658" t="str">
            <v>Algodonite</v>
          </cell>
          <cell r="E1658" t="str">
            <v>https://www.mindat.org/1:1:114:8</v>
          </cell>
        </row>
        <row r="1659">
          <cell r="A1659">
            <v>3999</v>
          </cell>
          <cell r="B1659">
            <v>5238</v>
          </cell>
          <cell r="C1659" t="str">
            <v>Allargentum</v>
          </cell>
          <cell r="E1659" t="str">
            <v>https://www.mindat.org/1:1:128:1</v>
          </cell>
        </row>
        <row r="1660">
          <cell r="A1660">
            <v>4001</v>
          </cell>
          <cell r="B1660">
            <v>5238</v>
          </cell>
          <cell r="C1660" t="str">
            <v>Alloclasite</v>
          </cell>
          <cell r="E1660" t="str">
            <v>https://www.mindat.org/1:1:134:2</v>
          </cell>
        </row>
        <row r="1661">
          <cell r="A1661">
            <v>4007</v>
          </cell>
          <cell r="B1661">
            <v>5238</v>
          </cell>
          <cell r="C1661" t="str">
            <v>Altaite</v>
          </cell>
          <cell r="E1661" t="str">
            <v>https://www.mindat.org/1:1:147:6</v>
          </cell>
        </row>
        <row r="1662">
          <cell r="A1662">
            <v>4055</v>
          </cell>
          <cell r="B1662">
            <v>5238</v>
          </cell>
          <cell r="C1662" t="str">
            <v>Andorite</v>
          </cell>
          <cell r="E1662" t="str">
            <v/>
          </cell>
        </row>
        <row r="1663">
          <cell r="A1663">
            <v>4063</v>
          </cell>
          <cell r="B1663">
            <v>5238</v>
          </cell>
          <cell r="C1663" t="str">
            <v>Anilite</v>
          </cell>
          <cell r="E1663" t="str">
            <v>https://www.mindat.org/1:1:236:9</v>
          </cell>
        </row>
        <row r="1664">
          <cell r="A1664">
            <v>4075</v>
          </cell>
          <cell r="B1664">
            <v>5238</v>
          </cell>
          <cell r="C1664" t="str">
            <v>Antimonpearceite</v>
          </cell>
          <cell r="E1664" t="str">
            <v/>
          </cell>
        </row>
        <row r="1665">
          <cell r="A1665">
            <v>4089</v>
          </cell>
          <cell r="B1665">
            <v>5238</v>
          </cell>
          <cell r="C1665" t="str">
            <v>Aramayoite</v>
          </cell>
          <cell r="E1665" t="str">
            <v>https://www.mindat.org/1:1:310:0</v>
          </cell>
        </row>
        <row r="1666">
          <cell r="A1666">
            <v>4100</v>
          </cell>
          <cell r="B1666">
            <v>5238</v>
          </cell>
          <cell r="C1666" t="str">
            <v>Argentopentlandite</v>
          </cell>
          <cell r="E1666" t="str">
            <v>https://www.mindat.org/1:1:291:6</v>
          </cell>
        </row>
        <row r="1667">
          <cell r="A1667">
            <v>4101</v>
          </cell>
          <cell r="B1667">
            <v>5238</v>
          </cell>
          <cell r="C1667" t="str">
            <v>Argentopyrite</v>
          </cell>
          <cell r="E1667" t="str">
            <v>https://www.mindat.org/1:1:299:8</v>
          </cell>
        </row>
        <row r="1668">
          <cell r="A1668">
            <v>4104</v>
          </cell>
          <cell r="B1668">
            <v>5238</v>
          </cell>
          <cell r="C1668" t="str">
            <v>Argyrodite</v>
          </cell>
          <cell r="E1668" t="str">
            <v>https://www.mindat.org/1:1:331:3</v>
          </cell>
        </row>
        <row r="1669">
          <cell r="A1669">
            <v>4124</v>
          </cell>
          <cell r="B1669">
            <v>5238</v>
          </cell>
          <cell r="C1669" t="str">
            <v>Arsenohauchecornite</v>
          </cell>
          <cell r="E1669" t="str">
            <v>https://www.mindat.org/1:1:301:2</v>
          </cell>
        </row>
        <row r="1670">
          <cell r="A1670">
            <v>4127</v>
          </cell>
          <cell r="B1670">
            <v>5238</v>
          </cell>
          <cell r="C1670" t="str">
            <v>Arsenopalladinite</v>
          </cell>
          <cell r="E1670" t="str">
            <v>https://www.mindat.org/1:1:303:0</v>
          </cell>
        </row>
        <row r="1671">
          <cell r="A1671">
            <v>4128</v>
          </cell>
          <cell r="B1671">
            <v>5238</v>
          </cell>
          <cell r="C1671" t="str">
            <v>Arsenopyrite</v>
          </cell>
          <cell r="E1671" t="str">
            <v>https://www.mindat.org/1:1:305:8</v>
          </cell>
        </row>
        <row r="1672">
          <cell r="A1672">
            <v>4129</v>
          </cell>
          <cell r="B1672">
            <v>5238</v>
          </cell>
          <cell r="C1672" t="str">
            <v>Arsenosulvanite</v>
          </cell>
          <cell r="E1672" t="str">
            <v/>
          </cell>
        </row>
        <row r="1673">
          <cell r="A1673">
            <v>4130</v>
          </cell>
          <cell r="B1673">
            <v>5238</v>
          </cell>
          <cell r="C1673" t="str">
            <v>Arsenpolybasite</v>
          </cell>
          <cell r="E1673" t="str">
            <v/>
          </cell>
        </row>
        <row r="1674">
          <cell r="A1674">
            <v>4142</v>
          </cell>
          <cell r="B1674">
            <v>5238</v>
          </cell>
          <cell r="C1674" t="str">
            <v>Aschamalmite</v>
          </cell>
          <cell r="E1674" t="str">
            <v>https://www.mindat.org/1:1:386:3</v>
          </cell>
        </row>
        <row r="1675">
          <cell r="A1675">
            <v>4154</v>
          </cell>
          <cell r="B1675">
            <v>5238</v>
          </cell>
          <cell r="C1675" t="str">
            <v>Athabascaite</v>
          </cell>
          <cell r="E1675" t="str">
            <v>https://www.mindat.org/1:1:408:4</v>
          </cell>
        </row>
        <row r="1676">
          <cell r="A1676">
            <v>4155</v>
          </cell>
          <cell r="B1676">
            <v>5238</v>
          </cell>
          <cell r="C1676" t="str">
            <v>Atheneite</v>
          </cell>
          <cell r="E1676" t="str">
            <v>https://www.mindat.org/1:1:409:3</v>
          </cell>
        </row>
        <row r="1677">
          <cell r="A1677">
            <v>4166</v>
          </cell>
          <cell r="B1677">
            <v>5238</v>
          </cell>
          <cell r="C1677" t="str">
            <v>Aurostibite</v>
          </cell>
          <cell r="E1677" t="str">
            <v>https://www.mindat.org/1:1:430:3</v>
          </cell>
        </row>
        <row r="1678">
          <cell r="A1678">
            <v>4194</v>
          </cell>
          <cell r="B1678">
            <v>5238</v>
          </cell>
          <cell r="C1678" t="str">
            <v>Cosalite</v>
          </cell>
          <cell r="E1678" t="str">
            <v>https://www.mindat.org/1:1:1139:2</v>
          </cell>
        </row>
        <row r="1679">
          <cell r="A1679">
            <v>4196</v>
          </cell>
          <cell r="B1679">
            <v>5238</v>
          </cell>
          <cell r="C1679" t="str">
            <v>Costibite</v>
          </cell>
          <cell r="E1679" t="str">
            <v>https://www.mindat.org/1:1:1140:8</v>
          </cell>
        </row>
        <row r="1680">
          <cell r="A1680">
            <v>4200</v>
          </cell>
          <cell r="B1680">
            <v>5238</v>
          </cell>
          <cell r="C1680" t="str">
            <v>Covellite</v>
          </cell>
          <cell r="E1680" t="str">
            <v>https://www.mindat.org/1:1:1144:6</v>
          </cell>
        </row>
        <row r="1681">
          <cell r="A1681">
            <v>4202</v>
          </cell>
          <cell r="B1681">
            <v>5238</v>
          </cell>
          <cell r="C1681" t="str">
            <v>Coyoteite</v>
          </cell>
          <cell r="E1681" t="str">
            <v>https://www.mindat.org/1:1:1146:0</v>
          </cell>
        </row>
        <row r="1682">
          <cell r="A1682">
            <v>4211</v>
          </cell>
          <cell r="B1682">
            <v>5238</v>
          </cell>
          <cell r="C1682" t="str">
            <v>Crookesite</v>
          </cell>
          <cell r="E1682" t="str">
            <v>https://www.mindat.org/1:1:1159:0</v>
          </cell>
        </row>
        <row r="1683">
          <cell r="A1683">
            <v>4219</v>
          </cell>
          <cell r="B1683">
            <v>5238</v>
          </cell>
          <cell r="C1683" t="str">
            <v>Cubanite</v>
          </cell>
          <cell r="E1683" t="str">
            <v>https://www.mindat.org/1:1:1168:2</v>
          </cell>
        </row>
        <row r="1684">
          <cell r="A1684">
            <v>4241</v>
          </cell>
          <cell r="B1684">
            <v>5238</v>
          </cell>
          <cell r="C1684" t="str">
            <v>Diaphorite</v>
          </cell>
          <cell r="E1684" t="str">
            <v>https://www.mindat.org/1:1:1284:9</v>
          </cell>
        </row>
        <row r="1685">
          <cell r="A1685">
            <v>4249</v>
          </cell>
          <cell r="B1685">
            <v>5238</v>
          </cell>
          <cell r="C1685" t="str">
            <v>Digenite</v>
          </cell>
          <cell r="E1685" t="str">
            <v>https://www.mindat.org/1:1:1291:7</v>
          </cell>
        </row>
        <row r="1686">
          <cell r="A1686">
            <v>106</v>
          </cell>
          <cell r="B1686">
            <v>5239</v>
          </cell>
          <cell r="C1686" t="str">
            <v>Yedlinite</v>
          </cell>
          <cell r="E1686" t="str">
            <v>https://www.mindat.org/1:1:4359:1</v>
          </cell>
        </row>
        <row r="1687">
          <cell r="A1687">
            <v>137</v>
          </cell>
          <cell r="B1687">
            <v>5239</v>
          </cell>
          <cell r="C1687" t="str">
            <v>Weberite</v>
          </cell>
          <cell r="E1687" t="str">
            <v>https://www.mindat.org/1:1:4253:2</v>
          </cell>
        </row>
        <row r="1688">
          <cell r="A1688">
            <v>246</v>
          </cell>
          <cell r="B1688">
            <v>5239</v>
          </cell>
          <cell r="C1688" t="str">
            <v>Zirklerite</v>
          </cell>
          <cell r="E1688" t="str">
            <v>https://www.mindat.org/1:1:4426:0</v>
          </cell>
        </row>
        <row r="1689">
          <cell r="A1689">
            <v>272</v>
          </cell>
          <cell r="B1689">
            <v>5239</v>
          </cell>
          <cell r="C1689" t="str">
            <v>Terlinguaite</v>
          </cell>
          <cell r="E1689" t="str">
            <v>https://www.mindat.org/1:1:3914:3</v>
          </cell>
        </row>
        <row r="1690">
          <cell r="A1690">
            <v>317</v>
          </cell>
          <cell r="B1690">
            <v>5239</v>
          </cell>
          <cell r="C1690" t="str">
            <v>Zavaritskite</v>
          </cell>
          <cell r="E1690" t="str">
            <v>https://www.mindat.org/1:1:4389:8</v>
          </cell>
        </row>
        <row r="1691">
          <cell r="A1691">
            <v>344</v>
          </cell>
          <cell r="B1691">
            <v>5239</v>
          </cell>
          <cell r="C1691" t="str">
            <v>Sylvite</v>
          </cell>
          <cell r="E1691" t="str">
            <v>https://www.mindat.org/1:1:3850:4</v>
          </cell>
        </row>
        <row r="1692">
          <cell r="A1692">
            <v>361</v>
          </cell>
          <cell r="B1692">
            <v>5239</v>
          </cell>
          <cell r="C1692" t="str">
            <v>Tachyhydrite</v>
          </cell>
          <cell r="E1692" t="str">
            <v>https://www.mindat.org/1:1:3865:8</v>
          </cell>
        </row>
        <row r="1693">
          <cell r="A1693">
            <v>422</v>
          </cell>
          <cell r="B1693">
            <v>5239</v>
          </cell>
          <cell r="C1693" t="str">
            <v>Stenonite</v>
          </cell>
          <cell r="E1693" t="str">
            <v>https://www.mindat.org/1:1:3762:0</v>
          </cell>
        </row>
        <row r="1694">
          <cell r="A1694">
            <v>509</v>
          </cell>
          <cell r="B1694">
            <v>5239</v>
          </cell>
          <cell r="C1694" t="str">
            <v>Simonkolleite</v>
          </cell>
          <cell r="E1694" t="str">
            <v>https://www.mindat.org/1:1:3668:5</v>
          </cell>
        </row>
        <row r="1695">
          <cell r="A1695">
            <v>629</v>
          </cell>
          <cell r="B1695">
            <v>5239</v>
          </cell>
          <cell r="C1695" t="str">
            <v>Sellaite</v>
          </cell>
          <cell r="E1695" t="str">
            <v>https://www.mindat.org/1:1:3614:2</v>
          </cell>
        </row>
        <row r="1696">
          <cell r="A1696">
            <v>687</v>
          </cell>
          <cell r="B1696">
            <v>5239</v>
          </cell>
          <cell r="C1696" t="str">
            <v>Villiaumite</v>
          </cell>
          <cell r="E1696" t="str">
            <v>https://www.mindat.org/1:1:4181:8</v>
          </cell>
        </row>
        <row r="1697">
          <cell r="A1697">
            <v>817</v>
          </cell>
          <cell r="B1697">
            <v>5239</v>
          </cell>
          <cell r="C1697" t="str">
            <v>Usovite</v>
          </cell>
          <cell r="E1697" t="str">
            <v>https://www.mindat.org/1:1:4121:4</v>
          </cell>
        </row>
        <row r="1698">
          <cell r="A1698">
            <v>818</v>
          </cell>
          <cell r="B1698">
            <v>5239</v>
          </cell>
          <cell r="C1698" t="str">
            <v>Ussingite</v>
          </cell>
          <cell r="E1698" t="str">
            <v>https://www.mindat.org/1:1:4122:1</v>
          </cell>
        </row>
        <row r="1699">
          <cell r="A1699">
            <v>933</v>
          </cell>
          <cell r="B1699">
            <v>5239</v>
          </cell>
          <cell r="C1699" t="str">
            <v>Salammoniac</v>
          </cell>
          <cell r="E1699" t="str">
            <v>https://www.mindat.org/1:1:3507:7</v>
          </cell>
        </row>
        <row r="1700">
          <cell r="A1700">
            <v>1036</v>
          </cell>
          <cell r="B1700">
            <v>5239</v>
          </cell>
          <cell r="C1700" t="str">
            <v>Rinneite</v>
          </cell>
          <cell r="E1700" t="str">
            <v>https://www.mindat.org/1:1:3423:0</v>
          </cell>
        </row>
        <row r="1701">
          <cell r="A1701">
            <v>1050</v>
          </cell>
          <cell r="B1701">
            <v>5239</v>
          </cell>
          <cell r="C1701" t="str">
            <v>Rokuhnite</v>
          </cell>
          <cell r="E1701" t="str">
            <v/>
          </cell>
        </row>
        <row r="1702">
          <cell r="A1702">
            <v>1051</v>
          </cell>
          <cell r="B1702">
            <v>5239</v>
          </cell>
          <cell r="C1702" t="str">
            <v>Poyarkovite</v>
          </cell>
          <cell r="E1702" t="str">
            <v>https://www.mindat.org/1:1:3276:2</v>
          </cell>
        </row>
        <row r="1703">
          <cell r="A1703">
            <v>1062</v>
          </cell>
          <cell r="B1703">
            <v>5239</v>
          </cell>
          <cell r="C1703" t="str">
            <v>Prosopite</v>
          </cell>
          <cell r="E1703" t="str">
            <v>https://www.mindat.org/1:1:3287:8</v>
          </cell>
        </row>
        <row r="1704">
          <cell r="A1704">
            <v>1072</v>
          </cell>
          <cell r="B1704">
            <v>5239</v>
          </cell>
          <cell r="C1704" t="str">
            <v>Pseudoboleite</v>
          </cell>
          <cell r="E1704" t="str">
            <v>https://www.mindat.org/1:1:3301:1</v>
          </cell>
        </row>
        <row r="1705">
          <cell r="A1705">
            <v>1074</v>
          </cell>
          <cell r="B1705">
            <v>5239</v>
          </cell>
          <cell r="C1705" t="str">
            <v>Pseudocotunnite</v>
          </cell>
          <cell r="E1705" t="str">
            <v>https://www.mindat.org/1:1:3303:5</v>
          </cell>
        </row>
        <row r="1706">
          <cell r="A1706">
            <v>1133</v>
          </cell>
          <cell r="B1706">
            <v>5239</v>
          </cell>
          <cell r="C1706" t="str">
            <v>Ralstonite</v>
          </cell>
          <cell r="E1706" t="str">
            <v/>
          </cell>
        </row>
        <row r="1707">
          <cell r="A1707">
            <v>1160</v>
          </cell>
          <cell r="B1707">
            <v>5239</v>
          </cell>
          <cell r="C1707" t="str">
            <v>Pinalite</v>
          </cell>
          <cell r="E1707" t="str">
            <v>https://www.mindat.org/1:1:3215:1</v>
          </cell>
        </row>
        <row r="1708">
          <cell r="A1708">
            <v>1161</v>
          </cell>
          <cell r="B1708">
            <v>5239</v>
          </cell>
          <cell r="C1708" t="str">
            <v>Pinchite</v>
          </cell>
          <cell r="E1708" t="str">
            <v>https://www.mindat.org/1:1:3216:8</v>
          </cell>
        </row>
        <row r="1709">
          <cell r="A1709">
            <v>1244</v>
          </cell>
          <cell r="B1709">
            <v>5239</v>
          </cell>
          <cell r="C1709" t="str">
            <v>Tveitite-(Y)</v>
          </cell>
          <cell r="E1709" t="str">
            <v>https://www.mindat.org/1:1:4066:8</v>
          </cell>
        </row>
        <row r="1710">
          <cell r="A1710">
            <v>1258</v>
          </cell>
          <cell r="B1710">
            <v>5239</v>
          </cell>
          <cell r="C1710" t="str">
            <v>Penfieldite</v>
          </cell>
          <cell r="E1710" t="str">
            <v>https://www.mindat.org/1:1:3146:8</v>
          </cell>
        </row>
        <row r="1711">
          <cell r="A1711">
            <v>1278</v>
          </cell>
          <cell r="B1711">
            <v>5239</v>
          </cell>
          <cell r="C1711" t="str">
            <v>Perite</v>
          </cell>
          <cell r="E1711" t="str">
            <v>https://www.mindat.org/1:1:3162:8</v>
          </cell>
        </row>
        <row r="1712">
          <cell r="A1712">
            <v>1318</v>
          </cell>
          <cell r="B1712">
            <v>5239</v>
          </cell>
          <cell r="C1712" t="str">
            <v>Tikhonenkovite</v>
          </cell>
          <cell r="E1712" t="str">
            <v>https://www.mindat.org/1:1:3961:7</v>
          </cell>
        </row>
        <row r="1713">
          <cell r="A1713">
            <v>1341</v>
          </cell>
          <cell r="B1713">
            <v>5239</v>
          </cell>
          <cell r="C1713" t="str">
            <v>Tocornalite</v>
          </cell>
          <cell r="E1713" t="str">
            <v>https://www.mindat.org/1:1:3987:7</v>
          </cell>
        </row>
        <row r="1714">
          <cell r="A1714">
            <v>1412</v>
          </cell>
          <cell r="B1714">
            <v>5239</v>
          </cell>
          <cell r="C1714" t="str">
            <v>Belovite-(Ce)</v>
          </cell>
          <cell r="E1714" t="str">
            <v>https://www.mindat.org/1:1:618:9</v>
          </cell>
        </row>
        <row r="1715">
          <cell r="A1715">
            <v>1413</v>
          </cell>
          <cell r="B1715">
            <v>5239</v>
          </cell>
          <cell r="C1715" t="str">
            <v>Belovite-(La)</v>
          </cell>
          <cell r="E1715" t="str">
            <v>https://www.mindat.org/1:1:6822:8</v>
          </cell>
        </row>
        <row r="1716">
          <cell r="A1716">
            <v>1462</v>
          </cell>
          <cell r="B1716">
            <v>5239</v>
          </cell>
          <cell r="C1716" t="str">
            <v>Bideauxite</v>
          </cell>
          <cell r="E1716" t="str">
            <v>https://www.mindat.org/1:1:662:0</v>
          </cell>
        </row>
        <row r="1717">
          <cell r="A1717">
            <v>1477</v>
          </cell>
          <cell r="B1717">
            <v>5239</v>
          </cell>
          <cell r="C1717" t="str">
            <v>Bischofite</v>
          </cell>
          <cell r="E1717" t="str">
            <v>https://www.mindat.org/1:1:681:5</v>
          </cell>
        </row>
        <row r="1718">
          <cell r="A1718">
            <v>1485</v>
          </cell>
          <cell r="B1718">
            <v>5239</v>
          </cell>
          <cell r="C1718" t="str">
            <v>Thomsenolite</v>
          </cell>
          <cell r="E1718" t="str">
            <v>https://www.mindat.org/1:1:3940:2</v>
          </cell>
        </row>
        <row r="1719">
          <cell r="A1719">
            <v>1490</v>
          </cell>
          <cell r="B1719">
            <v>5239</v>
          </cell>
          <cell r="C1719" t="str">
            <v>Thorikosite</v>
          </cell>
          <cell r="E1719" t="str">
            <v>https://www.mindat.org/1:1:3945:7</v>
          </cell>
        </row>
        <row r="1720">
          <cell r="A1720">
            <v>1528</v>
          </cell>
          <cell r="B1720">
            <v>5239</v>
          </cell>
          <cell r="C1720" t="str">
            <v>Bararite</v>
          </cell>
          <cell r="E1720" t="str">
            <v>https://www.mindat.org/1:1:511:7</v>
          </cell>
        </row>
        <row r="1721">
          <cell r="A1721">
            <v>1633</v>
          </cell>
          <cell r="B1721">
            <v>5239</v>
          </cell>
          <cell r="C1721" t="str">
            <v>Daubreeite</v>
          </cell>
          <cell r="E1721" t="str">
            <v/>
          </cell>
        </row>
        <row r="1722">
          <cell r="A1722">
            <v>1642</v>
          </cell>
          <cell r="B1722">
            <v>5239</v>
          </cell>
          <cell r="C1722" t="str">
            <v>Creedite</v>
          </cell>
          <cell r="E1722" t="str">
            <v>https://www.mindat.org/1:1:1151:4</v>
          </cell>
        </row>
        <row r="1723">
          <cell r="A1723">
            <v>1659</v>
          </cell>
          <cell r="B1723">
            <v>5239</v>
          </cell>
          <cell r="C1723" t="str">
            <v>Onoratoite</v>
          </cell>
          <cell r="E1723" t="str">
            <v>https://www.mindat.org/1:1:2997:7</v>
          </cell>
        </row>
        <row r="1724">
          <cell r="A1724">
            <v>1705</v>
          </cell>
          <cell r="B1724">
            <v>5239</v>
          </cell>
          <cell r="C1724" t="str">
            <v>Pachnolite</v>
          </cell>
          <cell r="E1724" t="str">
            <v>https://www.mindat.org/1:1:3058:4</v>
          </cell>
        </row>
        <row r="1725">
          <cell r="A1725">
            <v>1743</v>
          </cell>
          <cell r="B1725">
            <v>5239</v>
          </cell>
          <cell r="C1725" t="str">
            <v>Paralaurionite</v>
          </cell>
          <cell r="E1725" t="str">
            <v>https://www.mindat.org/1:1:3096:6</v>
          </cell>
        </row>
        <row r="1726">
          <cell r="A1726">
            <v>1763</v>
          </cell>
          <cell r="B1726">
            <v>5239</v>
          </cell>
          <cell r="C1726" t="str">
            <v>Paratacamite</v>
          </cell>
          <cell r="E1726" t="str">
            <v>https://www.mindat.org/1:1:3115:4</v>
          </cell>
        </row>
        <row r="1727">
          <cell r="A1727">
            <v>1772</v>
          </cell>
          <cell r="B1727">
            <v>5239</v>
          </cell>
          <cell r="C1727" t="str">
            <v>Parkinsonite</v>
          </cell>
          <cell r="E1727" t="str">
            <v>https://www.mindat.org/1:1:3123:9</v>
          </cell>
        </row>
        <row r="1728">
          <cell r="A1728">
            <v>1804</v>
          </cell>
          <cell r="B1728">
            <v>5239</v>
          </cell>
          <cell r="C1728" t="str">
            <v>Douglasite</v>
          </cell>
          <cell r="E1728" t="str">
            <v>https://www.mindat.org/1:1:1314:3</v>
          </cell>
        </row>
        <row r="1729">
          <cell r="A1729">
            <v>1837</v>
          </cell>
          <cell r="B1729">
            <v>5239</v>
          </cell>
          <cell r="C1729" t="str">
            <v>Ecdemite</v>
          </cell>
          <cell r="E1729" t="str">
            <v>https://www.mindat.org/1:1:1363:1</v>
          </cell>
        </row>
        <row r="1730">
          <cell r="A1730">
            <v>1849</v>
          </cell>
          <cell r="B1730">
            <v>5239</v>
          </cell>
          <cell r="C1730" t="str">
            <v>Eglestonite</v>
          </cell>
          <cell r="E1730" t="str">
            <v>https://www.mindat.org/1:1:1357:0</v>
          </cell>
        </row>
        <row r="1731">
          <cell r="A1731">
            <v>1861</v>
          </cell>
          <cell r="B1731">
            <v>5239</v>
          </cell>
          <cell r="C1731" t="str">
            <v>Elpasolite</v>
          </cell>
          <cell r="E1731" t="str">
            <v>https://www.mindat.org/1:1:1369:3</v>
          </cell>
        </row>
        <row r="1732">
          <cell r="A1732">
            <v>1884</v>
          </cell>
          <cell r="B1732">
            <v>5239</v>
          </cell>
          <cell r="C1732" t="str">
            <v>Eriochalcite</v>
          </cell>
          <cell r="E1732" t="str">
            <v>https://www.mindat.org/1:1:1398:3</v>
          </cell>
        </row>
        <row r="1733">
          <cell r="A1733">
            <v>1898</v>
          </cell>
          <cell r="B1733">
            <v>5239</v>
          </cell>
          <cell r="C1733" t="str">
            <v>Erythrosiderite</v>
          </cell>
          <cell r="E1733" t="str">
            <v>https://www.mindat.org/1:1:1408:9</v>
          </cell>
        </row>
        <row r="1734">
          <cell r="A1734">
            <v>2024</v>
          </cell>
          <cell r="B1734">
            <v>5239</v>
          </cell>
          <cell r="C1734" t="str">
            <v>Ferruccite</v>
          </cell>
          <cell r="E1734" t="str">
            <v>https://www.mindat.org/1:1:1537:6</v>
          </cell>
        </row>
        <row r="1735">
          <cell r="A1735">
            <v>2035</v>
          </cell>
          <cell r="B1735">
            <v>5239</v>
          </cell>
          <cell r="C1735" t="str">
            <v>Fiedlerite</v>
          </cell>
          <cell r="E1735" t="str">
            <v>https://www.mindat.org/1:1:1547:5</v>
          </cell>
        </row>
        <row r="1736">
          <cell r="A1736">
            <v>2036</v>
          </cell>
          <cell r="B1736">
            <v>5239</v>
          </cell>
          <cell r="C1736" t="str">
            <v>Fiedlerite-2m</v>
          </cell>
          <cell r="E1736" t="str">
            <v/>
          </cell>
        </row>
        <row r="1737">
          <cell r="A1737">
            <v>2056</v>
          </cell>
          <cell r="B1737">
            <v>5239</v>
          </cell>
          <cell r="C1737" t="str">
            <v>Fluocerite</v>
          </cell>
          <cell r="E1737" t="str">
            <v/>
          </cell>
        </row>
        <row r="1738">
          <cell r="A1738">
            <v>2057</v>
          </cell>
          <cell r="B1738">
            <v>5239</v>
          </cell>
          <cell r="C1738" t="str">
            <v>Fluocerite-(Ce)</v>
          </cell>
          <cell r="E1738" t="str">
            <v>https://www.mindat.org/1:1:1567:3</v>
          </cell>
        </row>
        <row r="1739">
          <cell r="A1739">
            <v>2058</v>
          </cell>
          <cell r="B1739">
            <v>5239</v>
          </cell>
          <cell r="C1739" t="str">
            <v>Fluocerite-(La)</v>
          </cell>
          <cell r="E1739" t="str">
            <v>https://www.mindat.org/1:1:1568:0</v>
          </cell>
        </row>
        <row r="1740">
          <cell r="A1740">
            <v>2067</v>
          </cell>
          <cell r="B1740">
            <v>5239</v>
          </cell>
          <cell r="C1740" t="str">
            <v>Fluorite</v>
          </cell>
          <cell r="E1740" t="str">
            <v>https://www.mindat.org/1:1:1576:5</v>
          </cell>
        </row>
        <row r="1741">
          <cell r="A1741">
            <v>2086</v>
          </cell>
          <cell r="B1741">
            <v>5239</v>
          </cell>
          <cell r="C1741" t="str">
            <v>Miersite</v>
          </cell>
          <cell r="E1741" t="str">
            <v>https://www.mindat.org/1:1:2707:2</v>
          </cell>
        </row>
        <row r="1742">
          <cell r="A1742">
            <v>2110</v>
          </cell>
          <cell r="B1742">
            <v>5239</v>
          </cell>
          <cell r="C1742" t="str">
            <v>Mitscherlichite</v>
          </cell>
          <cell r="E1742" t="str">
            <v>https://www.mindat.org/1:1:2729:4</v>
          </cell>
        </row>
        <row r="1743">
          <cell r="A1743">
            <v>2127</v>
          </cell>
          <cell r="B1743">
            <v>5239</v>
          </cell>
          <cell r="C1743" t="str">
            <v>Molysite</v>
          </cell>
          <cell r="E1743" t="str">
            <v>https://www.mindat.org/1:1:2749:2</v>
          </cell>
        </row>
        <row r="1744">
          <cell r="A1744">
            <v>2166</v>
          </cell>
          <cell r="B1744">
            <v>5239</v>
          </cell>
          <cell r="C1744" t="str">
            <v>Mosesite</v>
          </cell>
          <cell r="E1744" t="str">
            <v>https://www.mindat.org/1:1:2790:4</v>
          </cell>
        </row>
        <row r="1745">
          <cell r="A1745">
            <v>2188</v>
          </cell>
          <cell r="B1745">
            <v>5239</v>
          </cell>
          <cell r="C1745" t="str">
            <v>Murdochite</v>
          </cell>
          <cell r="E1745" t="str">
            <v>https://www.mindat.org/1:1:2812:3</v>
          </cell>
        </row>
        <row r="1746">
          <cell r="A1746">
            <v>2207</v>
          </cell>
          <cell r="B1746">
            <v>5239</v>
          </cell>
          <cell r="C1746" t="str">
            <v>Nadorite</v>
          </cell>
          <cell r="E1746" t="str">
            <v>https://www.mindat.org/1:1:2827:7</v>
          </cell>
        </row>
        <row r="1747">
          <cell r="A1747">
            <v>2223</v>
          </cell>
          <cell r="B1747">
            <v>5239</v>
          </cell>
          <cell r="C1747" t="str">
            <v>Nantokite</v>
          </cell>
          <cell r="E1747" t="str">
            <v>https://www.mindat.org/1:1:2840:6</v>
          </cell>
        </row>
        <row r="1748">
          <cell r="A1748">
            <v>2256</v>
          </cell>
          <cell r="B1748">
            <v>5239</v>
          </cell>
          <cell r="C1748" t="str">
            <v>Neighborite</v>
          </cell>
          <cell r="E1748" t="str">
            <v>https://www.mindat.org/1:1:2871:0</v>
          </cell>
        </row>
        <row r="1749">
          <cell r="A1749">
            <v>2284</v>
          </cell>
          <cell r="B1749">
            <v>5239</v>
          </cell>
          <cell r="C1749" t="str">
            <v>Nickelbischofite</v>
          </cell>
          <cell r="E1749" t="str">
            <v>https://www.mindat.org/1:1:2892:5</v>
          </cell>
        </row>
        <row r="1750">
          <cell r="A1750">
            <v>2477</v>
          </cell>
          <cell r="B1750">
            <v>5239</v>
          </cell>
          <cell r="C1750" t="str">
            <v>Malladrite</v>
          </cell>
          <cell r="E1750" t="str">
            <v>https://www.mindat.org/1:1:2554:2</v>
          </cell>
        </row>
        <row r="1751">
          <cell r="A1751">
            <v>2527</v>
          </cell>
          <cell r="B1751">
            <v>5239</v>
          </cell>
          <cell r="C1751" t="str">
            <v>Marshite</v>
          </cell>
          <cell r="E1751" t="str">
            <v>https://www.mindat.org/1:1:2580:1</v>
          </cell>
        </row>
        <row r="1752">
          <cell r="A1752">
            <v>2538</v>
          </cell>
          <cell r="B1752">
            <v>5239</v>
          </cell>
          <cell r="C1752" t="str">
            <v>Matlockite</v>
          </cell>
          <cell r="E1752" t="str">
            <v>https://www.mindat.org/1:1:2593:1</v>
          </cell>
        </row>
        <row r="1753">
          <cell r="A1753">
            <v>2574</v>
          </cell>
          <cell r="B1753">
            <v>5239</v>
          </cell>
          <cell r="C1753" t="str">
            <v>Melanothallite</v>
          </cell>
          <cell r="E1753" t="str">
            <v>https://www.mindat.org/1:1:2623:5</v>
          </cell>
        </row>
        <row r="1754">
          <cell r="A1754">
            <v>2583</v>
          </cell>
          <cell r="B1754">
            <v>5239</v>
          </cell>
          <cell r="C1754" t="str">
            <v>Mendipite</v>
          </cell>
          <cell r="E1754" t="str">
            <v>https://www.mindat.org/1:1:2641:9</v>
          </cell>
        </row>
        <row r="1755">
          <cell r="A1755">
            <v>2590</v>
          </cell>
          <cell r="B1755">
            <v>5239</v>
          </cell>
          <cell r="C1755" t="str">
            <v>Mereheadite</v>
          </cell>
          <cell r="E1755" t="str">
            <v>https://www.mindat.org/1:1:2648:8</v>
          </cell>
        </row>
        <row r="1756">
          <cell r="A1756">
            <v>2660</v>
          </cell>
          <cell r="B1756">
            <v>5239</v>
          </cell>
          <cell r="C1756" t="str">
            <v>Frankdicksonite</v>
          </cell>
          <cell r="E1756" t="str">
            <v>https://www.mindat.org/1:1:1596:3</v>
          </cell>
        </row>
        <row r="1757">
          <cell r="A1757">
            <v>2692</v>
          </cell>
          <cell r="B1757">
            <v>5239</v>
          </cell>
          <cell r="C1757" t="str">
            <v>Gagarinite-(Y)</v>
          </cell>
          <cell r="E1757" t="str">
            <v>https://www.mindat.org/1:1:1629:8</v>
          </cell>
        </row>
        <row r="1758">
          <cell r="A1758">
            <v>2727</v>
          </cell>
          <cell r="B1758">
            <v>5239</v>
          </cell>
          <cell r="C1758" t="str">
            <v>Gearksutite</v>
          </cell>
          <cell r="E1758" t="str">
            <v>https://www.mindat.org/1:1:1663:2</v>
          </cell>
        </row>
        <row r="1759">
          <cell r="A1759">
            <v>2755</v>
          </cell>
          <cell r="B1759">
            <v>5239</v>
          </cell>
          <cell r="C1759" t="str">
            <v>Gianellaite</v>
          </cell>
          <cell r="E1759" t="str">
            <v>https://www.mindat.org/1:1:1688:5</v>
          </cell>
        </row>
        <row r="1760">
          <cell r="A1760">
            <v>2830</v>
          </cell>
          <cell r="B1760">
            <v>5239</v>
          </cell>
          <cell r="C1760" t="str">
            <v>Griceite</v>
          </cell>
          <cell r="E1760" t="str">
            <v>https://www.mindat.org/1:1:1749:3</v>
          </cell>
        </row>
        <row r="1761">
          <cell r="A1761">
            <v>2872</v>
          </cell>
          <cell r="B1761">
            <v>5239</v>
          </cell>
          <cell r="C1761" t="str">
            <v>Halite</v>
          </cell>
          <cell r="E1761" t="str">
            <v>https://www.mindat.org/1:1:1804:9</v>
          </cell>
        </row>
        <row r="1762">
          <cell r="A1762">
            <v>2916</v>
          </cell>
          <cell r="B1762">
            <v>5239</v>
          </cell>
          <cell r="C1762" t="str">
            <v>Heliophyllite</v>
          </cell>
          <cell r="E1762" t="str">
            <v>https://www.mindat.org/1:1:1363:1</v>
          </cell>
        </row>
        <row r="1763">
          <cell r="A1763">
            <v>2923</v>
          </cell>
          <cell r="B1763">
            <v>5239</v>
          </cell>
          <cell r="C1763" t="str">
            <v>Hematophanite</v>
          </cell>
          <cell r="E1763" t="str">
            <v>https://www.mindat.org/1:1:1858:2</v>
          </cell>
        </row>
        <row r="1764">
          <cell r="A1764">
            <v>2962</v>
          </cell>
          <cell r="B1764">
            <v>5239</v>
          </cell>
          <cell r="C1764" t="str">
            <v>Hieratite</v>
          </cell>
          <cell r="E1764" t="str">
            <v>https://www.mindat.org/1:1:1900:8</v>
          </cell>
        </row>
        <row r="1765">
          <cell r="A1765">
            <v>3038</v>
          </cell>
          <cell r="B1765">
            <v>5239</v>
          </cell>
          <cell r="C1765" t="str">
            <v>Hydromolysite</v>
          </cell>
          <cell r="E1765" t="str">
            <v/>
          </cell>
        </row>
        <row r="1766">
          <cell r="A1766">
            <v>3040</v>
          </cell>
          <cell r="B1766">
            <v>5239</v>
          </cell>
          <cell r="C1766" t="str">
            <v>Hydrophilite</v>
          </cell>
          <cell r="E1766" t="str">
            <v/>
          </cell>
        </row>
        <row r="1767">
          <cell r="A1767">
            <v>3104</v>
          </cell>
          <cell r="B1767">
            <v>5239</v>
          </cell>
          <cell r="C1767" t="str">
            <v>Iodargyrite</v>
          </cell>
          <cell r="E1767" t="str">
            <v>https://www.mindat.org/1:1:2037:0</v>
          </cell>
        </row>
        <row r="1768">
          <cell r="A1768">
            <v>3147</v>
          </cell>
          <cell r="B1768">
            <v>5239</v>
          </cell>
          <cell r="C1768" t="str">
            <v>Jarlite</v>
          </cell>
          <cell r="E1768" t="str">
            <v>https://www.mindat.org/1:1:2076:9</v>
          </cell>
        </row>
        <row r="1769">
          <cell r="A1769">
            <v>3268</v>
          </cell>
          <cell r="B1769">
            <v>5239</v>
          </cell>
          <cell r="C1769" t="str">
            <v>Kempite</v>
          </cell>
          <cell r="E1769" t="str">
            <v>https://www.mindat.org/1:1:2183:4</v>
          </cell>
        </row>
        <row r="1770">
          <cell r="A1770">
            <v>3282</v>
          </cell>
          <cell r="B1770">
            <v>5239</v>
          </cell>
          <cell r="C1770" t="str">
            <v>Khaidarkanite</v>
          </cell>
          <cell r="E1770" t="str">
            <v>https://www.mindat.org/1:1:7135:8</v>
          </cell>
        </row>
        <row r="1771">
          <cell r="A1771">
            <v>3318</v>
          </cell>
          <cell r="B1771">
            <v>5239</v>
          </cell>
          <cell r="C1771" t="str">
            <v>Kleinite</v>
          </cell>
          <cell r="E1771" t="str">
            <v>https://www.mindat.org/1:1:2225:1</v>
          </cell>
        </row>
        <row r="1772">
          <cell r="A1772">
            <v>3327</v>
          </cell>
          <cell r="B1772">
            <v>5239</v>
          </cell>
          <cell r="C1772" t="str">
            <v>Koenenite</v>
          </cell>
          <cell r="E1772" t="str">
            <v>https://www.mindat.org/1:1:2306:7</v>
          </cell>
        </row>
        <row r="1773">
          <cell r="A1773">
            <v>3367</v>
          </cell>
          <cell r="B1773">
            <v>5239</v>
          </cell>
          <cell r="C1773" t="str">
            <v>Kremersite</v>
          </cell>
          <cell r="E1773" t="str">
            <v>https://www.mindat.org/1:1:2273:2</v>
          </cell>
        </row>
        <row r="1774">
          <cell r="A1774">
            <v>3438</v>
          </cell>
          <cell r="B1774">
            <v>5239</v>
          </cell>
          <cell r="C1774" t="str">
            <v>Laurelite</v>
          </cell>
          <cell r="E1774" t="str">
            <v>https://www.mindat.org/1:1:2342:5</v>
          </cell>
        </row>
        <row r="1775">
          <cell r="A1775">
            <v>3439</v>
          </cell>
          <cell r="B1775">
            <v>5239</v>
          </cell>
          <cell r="C1775" t="str">
            <v>Laurionite</v>
          </cell>
          <cell r="E1775" t="str">
            <v>https://www.mindat.org/1:1:2343:2</v>
          </cell>
        </row>
        <row r="1776">
          <cell r="A1776">
            <v>3448</v>
          </cell>
          <cell r="B1776">
            <v>5239</v>
          </cell>
          <cell r="C1776" t="str">
            <v>Lawrencite</v>
          </cell>
          <cell r="E1776" t="str">
            <v>https://www.mindat.org/1:1:2351:7</v>
          </cell>
        </row>
        <row r="1777">
          <cell r="A1777">
            <v>3480</v>
          </cell>
          <cell r="B1777">
            <v>5239</v>
          </cell>
          <cell r="C1777" t="str">
            <v>Lesukite</v>
          </cell>
          <cell r="E1777" t="str">
            <v>https://www.mindat.org/1:1:7153:2</v>
          </cell>
        </row>
        <row r="1778">
          <cell r="A1778">
            <v>3521</v>
          </cell>
          <cell r="B1778">
            <v>5239</v>
          </cell>
          <cell r="C1778" t="str">
            <v>Bismoclite</v>
          </cell>
          <cell r="E1778" t="str">
            <v>https://www.mindat.org/1:1:683:3</v>
          </cell>
        </row>
        <row r="1779">
          <cell r="A1779">
            <v>3539</v>
          </cell>
          <cell r="B1779">
            <v>5239</v>
          </cell>
          <cell r="C1779" t="str">
            <v>Blixite</v>
          </cell>
          <cell r="E1779" t="str">
            <v>https://www.mindat.org/1:1:696:7</v>
          </cell>
        </row>
        <row r="1780">
          <cell r="A1780">
            <v>3541</v>
          </cell>
          <cell r="B1780">
            <v>5239</v>
          </cell>
          <cell r="C1780" t="str">
            <v>Blodite</v>
          </cell>
          <cell r="E1780" t="str">
            <v/>
          </cell>
        </row>
        <row r="1781">
          <cell r="A1781">
            <v>3550</v>
          </cell>
          <cell r="B1781">
            <v>5239</v>
          </cell>
          <cell r="C1781" t="str">
            <v>Boleite</v>
          </cell>
          <cell r="E1781" t="str">
            <v>https://www.mindat.org/1:1:712:4</v>
          </cell>
        </row>
        <row r="1782">
          <cell r="A1782">
            <v>3569</v>
          </cell>
          <cell r="B1782">
            <v>5239</v>
          </cell>
          <cell r="C1782" t="str">
            <v>Botallackite</v>
          </cell>
          <cell r="E1782" t="str">
            <v>https://www.mindat.org/1:1:732:8</v>
          </cell>
        </row>
        <row r="1783">
          <cell r="A1783">
            <v>3612</v>
          </cell>
          <cell r="B1783">
            <v>5239</v>
          </cell>
          <cell r="C1783" t="str">
            <v>Bromargyrite</v>
          </cell>
          <cell r="E1783" t="str">
            <v>https://www.mindat.org/1:1:783:2</v>
          </cell>
        </row>
        <row r="1784">
          <cell r="A1784">
            <v>3640</v>
          </cell>
          <cell r="B1784">
            <v>5239</v>
          </cell>
          <cell r="C1784" t="str">
            <v>Buttgenbachite</v>
          </cell>
          <cell r="E1784" t="str">
            <v>https://www.mindat.org/1:1:811:4</v>
          </cell>
        </row>
        <row r="1785">
          <cell r="A1785">
            <v>3653</v>
          </cell>
          <cell r="B1785">
            <v>5239</v>
          </cell>
          <cell r="C1785" t="str">
            <v>Cadwaladerite</v>
          </cell>
          <cell r="E1785" t="str">
            <v>https://www.mindat.org/1:1:845:1</v>
          </cell>
        </row>
        <row r="1786">
          <cell r="A1786">
            <v>3674</v>
          </cell>
          <cell r="B1786">
            <v>5239</v>
          </cell>
          <cell r="C1786" t="str">
            <v>Calcjarlite</v>
          </cell>
          <cell r="E1786" t="str">
            <v>https://www.mindat.org/1:1:861:9</v>
          </cell>
        </row>
        <row r="1787">
          <cell r="A1787">
            <v>3681</v>
          </cell>
          <cell r="B1787">
            <v>5239</v>
          </cell>
          <cell r="C1787" t="str">
            <v>Calomel</v>
          </cell>
          <cell r="E1787" t="str">
            <v>https://www.mindat.org/1:1:869:1</v>
          </cell>
        </row>
        <row r="1788">
          <cell r="A1788">
            <v>3682</v>
          </cell>
          <cell r="B1788">
            <v>5239</v>
          </cell>
          <cell r="C1788" t="str">
            <v>Calumetite</v>
          </cell>
          <cell r="E1788" t="str">
            <v>https://www.mindat.org/1:1:870:7</v>
          </cell>
        </row>
        <row r="1789">
          <cell r="A1789">
            <v>3712</v>
          </cell>
          <cell r="B1789">
            <v>5239</v>
          </cell>
          <cell r="C1789" t="str">
            <v>Carlhintzeite</v>
          </cell>
          <cell r="E1789" t="str">
            <v>https://www.mindat.org/1:1:900:7</v>
          </cell>
        </row>
        <row r="1790">
          <cell r="A1790">
            <v>3719</v>
          </cell>
          <cell r="B1790">
            <v>5239</v>
          </cell>
          <cell r="C1790" t="str">
            <v>Carnallite</v>
          </cell>
          <cell r="E1790" t="str">
            <v>https://www.mindat.org/1:1:906:1</v>
          </cell>
        </row>
        <row r="1791">
          <cell r="A1791">
            <v>3721</v>
          </cell>
          <cell r="B1791">
            <v>5239</v>
          </cell>
          <cell r="C1791" t="str">
            <v>Carobbiite</v>
          </cell>
          <cell r="E1791" t="str">
            <v>https://www.mindat.org/1:1:908:9</v>
          </cell>
        </row>
        <row r="1792">
          <cell r="A1792">
            <v>3817</v>
          </cell>
          <cell r="B1792">
            <v>5239</v>
          </cell>
          <cell r="C1792" t="str">
            <v>Chiolite</v>
          </cell>
          <cell r="E1792" t="str">
            <v>https://www.mindat.org/1:1:1006:7</v>
          </cell>
        </row>
        <row r="1793">
          <cell r="A1793">
            <v>3820</v>
          </cell>
          <cell r="B1793">
            <v>5239</v>
          </cell>
          <cell r="C1793" t="str">
            <v>Chloraluminite</v>
          </cell>
          <cell r="E1793" t="str">
            <v>https://www.mindat.org/1:1:1012:8</v>
          </cell>
        </row>
        <row r="1794">
          <cell r="A1794">
            <v>3822</v>
          </cell>
          <cell r="B1794">
            <v>5239</v>
          </cell>
          <cell r="C1794" t="str">
            <v>Chlorargyrite</v>
          </cell>
          <cell r="E1794" t="str">
            <v>https://www.mindat.org/1:1:1014:2</v>
          </cell>
        </row>
        <row r="1795">
          <cell r="A1795">
            <v>3828</v>
          </cell>
          <cell r="B1795">
            <v>5239</v>
          </cell>
          <cell r="C1795" t="str">
            <v>Chlormanganokalite</v>
          </cell>
          <cell r="E1795" t="str">
            <v>https://www.mindat.org/1:1:1019:7</v>
          </cell>
        </row>
        <row r="1796">
          <cell r="A1796">
            <v>3829</v>
          </cell>
          <cell r="B1796">
            <v>5239</v>
          </cell>
          <cell r="C1796" t="str">
            <v>Chlorocalcite</v>
          </cell>
          <cell r="E1796" t="str">
            <v>https://www.mindat.org/1:1:1020:3</v>
          </cell>
        </row>
        <row r="1797">
          <cell r="A1797">
            <v>3833</v>
          </cell>
          <cell r="B1797">
            <v>5239</v>
          </cell>
          <cell r="C1797" t="str">
            <v>Chloroxiphite</v>
          </cell>
          <cell r="E1797" t="str">
            <v>https://www.mindat.org/1:1:953:9</v>
          </cell>
        </row>
        <row r="1798">
          <cell r="A1798">
            <v>3851</v>
          </cell>
          <cell r="B1798">
            <v>5239</v>
          </cell>
          <cell r="C1798" t="str">
            <v>Chukhrovite</v>
          </cell>
          <cell r="E1798" t="str">
            <v/>
          </cell>
        </row>
        <row r="1799">
          <cell r="A1799">
            <v>3852</v>
          </cell>
          <cell r="B1799">
            <v>5239</v>
          </cell>
          <cell r="C1799" t="str">
            <v>Chukhrovite-(Ce)</v>
          </cell>
          <cell r="E1799" t="str">
            <v>https://www.mindat.org/1:1:1044:9</v>
          </cell>
        </row>
        <row r="1800">
          <cell r="A1800">
            <v>3853</v>
          </cell>
          <cell r="B1800">
            <v>5239</v>
          </cell>
          <cell r="C1800" t="str">
            <v>Chukhrovite-(Y)</v>
          </cell>
          <cell r="E1800" t="str">
            <v>https://www.mindat.org/1:1:1045:6</v>
          </cell>
        </row>
        <row r="1801">
          <cell r="A1801">
            <v>3863</v>
          </cell>
          <cell r="B1801">
            <v>5239</v>
          </cell>
          <cell r="C1801" t="str">
            <v>Claringbullite</v>
          </cell>
          <cell r="E1801" t="str">
            <v>https://www.mindat.org/1:1:1058:6</v>
          </cell>
        </row>
        <row r="1802">
          <cell r="A1802">
            <v>3916</v>
          </cell>
          <cell r="B1802">
            <v>5239</v>
          </cell>
          <cell r="C1802" t="str">
            <v>Colquiriite</v>
          </cell>
          <cell r="E1802" t="str">
            <v>https://www.mindat.org/1:1:1111:8</v>
          </cell>
        </row>
        <row r="1803">
          <cell r="A1803">
            <v>3919</v>
          </cell>
          <cell r="B1803">
            <v>5239</v>
          </cell>
          <cell r="C1803" t="str">
            <v>Comancheite</v>
          </cell>
          <cell r="E1803" t="str">
            <v>https://www.mindat.org/1:1:1114:9</v>
          </cell>
        </row>
        <row r="1804">
          <cell r="A1804">
            <v>3925</v>
          </cell>
          <cell r="B1804">
            <v>5239</v>
          </cell>
          <cell r="C1804" t="str">
            <v>Connellite</v>
          </cell>
          <cell r="E1804" t="str">
            <v>https://www.mindat.org/1:1:1120:0</v>
          </cell>
        </row>
        <row r="1805">
          <cell r="A1805">
            <v>3943</v>
          </cell>
          <cell r="B1805">
            <v>5239</v>
          </cell>
          <cell r="C1805" t="str">
            <v>Abhurite</v>
          </cell>
          <cell r="E1805" t="str">
            <v>https://www.mindat.org/1:1:4:2</v>
          </cell>
        </row>
        <row r="1806">
          <cell r="A1806">
            <v>4070</v>
          </cell>
          <cell r="B1806">
            <v>5239</v>
          </cell>
          <cell r="C1806" t="str">
            <v>Antarcticite</v>
          </cell>
          <cell r="E1806" t="str">
            <v>https://www.mindat.org/1:1:251:8</v>
          </cell>
        </row>
        <row r="1807">
          <cell r="A1807">
            <v>4072</v>
          </cell>
          <cell r="B1807">
            <v>5239</v>
          </cell>
          <cell r="C1807" t="str">
            <v>Anthonyite</v>
          </cell>
          <cell r="E1807" t="str">
            <v>https://www.mindat.org/1:1:253:6</v>
          </cell>
        </row>
        <row r="1808">
          <cell r="A1808">
            <v>4090</v>
          </cell>
          <cell r="B1808">
            <v>5239</v>
          </cell>
          <cell r="C1808" t="str">
            <v>Aravaipaite</v>
          </cell>
          <cell r="E1808" t="str">
            <v>https://www.mindat.org/1:1:311:9</v>
          </cell>
        </row>
        <row r="1809">
          <cell r="A1809">
            <v>4147</v>
          </cell>
          <cell r="B1809">
            <v>5239</v>
          </cell>
          <cell r="C1809" t="str">
            <v>Asisite</v>
          </cell>
          <cell r="E1809" t="str">
            <v>https://www.mindat.org/1:1:391:5</v>
          </cell>
        </row>
        <row r="1810">
          <cell r="A1810">
            <v>4152</v>
          </cell>
          <cell r="B1810">
            <v>5239</v>
          </cell>
          <cell r="C1810" t="str">
            <v>Atacamite</v>
          </cell>
          <cell r="E1810" t="str">
            <v>https://www.mindat.org/1:1:406:6</v>
          </cell>
        </row>
        <row r="1811">
          <cell r="A1811">
            <v>4171</v>
          </cell>
          <cell r="B1811">
            <v>5239</v>
          </cell>
          <cell r="C1811" t="str">
            <v>Avogadrite</v>
          </cell>
          <cell r="E1811" t="str">
            <v>https://www.mindat.org/1:1:438:5</v>
          </cell>
        </row>
        <row r="1812">
          <cell r="A1812">
            <v>4197</v>
          </cell>
          <cell r="B1812">
            <v>5239</v>
          </cell>
          <cell r="C1812" t="str">
            <v>Cotunnite</v>
          </cell>
          <cell r="E1812" t="str">
            <v>https://www.mindat.org/1:1:1141:5</v>
          </cell>
        </row>
        <row r="1813">
          <cell r="A1813">
            <v>4213</v>
          </cell>
          <cell r="B1813">
            <v>5239</v>
          </cell>
          <cell r="C1813" t="str">
            <v>Cryolite</v>
          </cell>
          <cell r="E1813" t="str">
            <v>https://www.mindat.org/1:1:1161:3</v>
          </cell>
        </row>
        <row r="1814">
          <cell r="A1814">
            <v>4214</v>
          </cell>
          <cell r="B1814">
            <v>5239</v>
          </cell>
          <cell r="C1814" t="str">
            <v>Cryolithionite</v>
          </cell>
          <cell r="E1814" t="str">
            <v>https://www.mindat.org/1:1:1162:0</v>
          </cell>
        </row>
        <row r="1815">
          <cell r="A1815">
            <v>4215</v>
          </cell>
          <cell r="B1815">
            <v>5239</v>
          </cell>
          <cell r="C1815" t="str">
            <v>Cryptohalite</v>
          </cell>
          <cell r="E1815" t="str">
            <v>https://www.mindat.org/1:1:1163:7</v>
          </cell>
        </row>
        <row r="1816">
          <cell r="A1816">
            <v>4220</v>
          </cell>
          <cell r="B1816">
            <v>5239</v>
          </cell>
          <cell r="C1816" t="str">
            <v>Cumengite</v>
          </cell>
          <cell r="E1816" t="str">
            <v/>
          </cell>
        </row>
        <row r="1817">
          <cell r="A1817">
            <v>4237</v>
          </cell>
          <cell r="B1817">
            <v>5239</v>
          </cell>
          <cell r="C1817" t="str">
            <v>Diaboleite</v>
          </cell>
          <cell r="E1817" t="str">
            <v>https://www.mindat.org/1:1:1276:4</v>
          </cell>
        </row>
        <row r="1818">
          <cell r="A1818">
            <v>79</v>
          </cell>
          <cell r="B1818">
            <v>5240</v>
          </cell>
          <cell r="C1818" t="str">
            <v>Wolsendorfite</v>
          </cell>
          <cell r="E1818" t="str">
            <v/>
          </cell>
        </row>
        <row r="1819">
          <cell r="A1819">
            <v>80</v>
          </cell>
          <cell r="B1819">
            <v>5240</v>
          </cell>
          <cell r="C1819" t="str">
            <v>Wulfingite</v>
          </cell>
          <cell r="E1819" t="str">
            <v/>
          </cell>
        </row>
        <row r="1820">
          <cell r="A1820">
            <v>81</v>
          </cell>
          <cell r="B1820">
            <v>5240</v>
          </cell>
          <cell r="C1820" t="str">
            <v>Wustite</v>
          </cell>
          <cell r="E1820" t="str">
            <v/>
          </cell>
        </row>
        <row r="1821">
          <cell r="A1821">
            <v>118</v>
          </cell>
          <cell r="B1821">
            <v>5240</v>
          </cell>
          <cell r="C1821" t="str">
            <v>Yttrocrasite-(Y)</v>
          </cell>
          <cell r="E1821" t="str">
            <v>https://www.mindat.org/1:1:4370:6</v>
          </cell>
        </row>
        <row r="1822">
          <cell r="A1822">
            <v>119</v>
          </cell>
          <cell r="B1822">
            <v>5240</v>
          </cell>
          <cell r="C1822" t="str">
            <v>Yttropyrochlore-(Y)</v>
          </cell>
          <cell r="E1822" t="str">
            <v/>
          </cell>
        </row>
        <row r="1823">
          <cell r="A1823">
            <v>168</v>
          </cell>
          <cell r="B1823">
            <v>5240</v>
          </cell>
          <cell r="C1823" t="str">
            <v>Wickmanite</v>
          </cell>
          <cell r="E1823" t="str">
            <v>https://www.mindat.org/1:1:4283:9</v>
          </cell>
        </row>
        <row r="1824">
          <cell r="A1824">
            <v>183</v>
          </cell>
          <cell r="B1824">
            <v>5240</v>
          </cell>
          <cell r="C1824" t="str">
            <v>Winstanleyite</v>
          </cell>
          <cell r="E1824" t="str">
            <v>https://www.mindat.org/1:1:4297:6</v>
          </cell>
        </row>
        <row r="1825">
          <cell r="A1825">
            <v>188</v>
          </cell>
          <cell r="B1825">
            <v>5240</v>
          </cell>
          <cell r="C1825" t="str">
            <v>Wodginite</v>
          </cell>
          <cell r="E1825" t="str">
            <v>https://www.mindat.org/1:1:4302:7</v>
          </cell>
        </row>
        <row r="1826">
          <cell r="A1826">
            <v>191</v>
          </cell>
          <cell r="B1826">
            <v>5240</v>
          </cell>
          <cell r="C1826" t="str">
            <v>Wolframite</v>
          </cell>
          <cell r="E1826" t="str">
            <v/>
          </cell>
        </row>
        <row r="1827">
          <cell r="A1827">
            <v>192</v>
          </cell>
          <cell r="B1827">
            <v>5240</v>
          </cell>
          <cell r="C1827" t="str">
            <v>Wolframiteseries</v>
          </cell>
          <cell r="E1827" t="str">
            <v/>
          </cell>
        </row>
        <row r="1828">
          <cell r="A1828">
            <v>201</v>
          </cell>
          <cell r="B1828">
            <v>5240</v>
          </cell>
          <cell r="C1828" t="str">
            <v>Woodruffite</v>
          </cell>
          <cell r="E1828" t="str">
            <v>https://www.mindat.org/1:1:4312:6</v>
          </cell>
        </row>
        <row r="1829">
          <cell r="A1829">
            <v>208</v>
          </cell>
          <cell r="B1829">
            <v>5240</v>
          </cell>
          <cell r="C1829" t="str">
            <v>Zemannite</v>
          </cell>
          <cell r="E1829" t="str">
            <v>https://www.mindat.org/1:1:4392:8</v>
          </cell>
        </row>
        <row r="1830">
          <cell r="A1830">
            <v>219</v>
          </cell>
          <cell r="B1830">
            <v>5240</v>
          </cell>
          <cell r="C1830" t="str">
            <v>Zimbabweite</v>
          </cell>
          <cell r="E1830" t="str">
            <v>https://www.mindat.org/1:1:4403:1</v>
          </cell>
        </row>
        <row r="1831">
          <cell r="A1831">
            <v>226</v>
          </cell>
          <cell r="B1831">
            <v>5240</v>
          </cell>
          <cell r="C1831" t="str">
            <v>Zincite</v>
          </cell>
          <cell r="E1831" t="str">
            <v>https://www.mindat.org/1:1:4410:9</v>
          </cell>
        </row>
        <row r="1832">
          <cell r="A1832">
            <v>239</v>
          </cell>
          <cell r="B1832">
            <v>5240</v>
          </cell>
          <cell r="C1832" t="str">
            <v>Zirconolite</v>
          </cell>
          <cell r="E1832" t="str">
            <v>https://www.mindat.org/1:1:4422:2</v>
          </cell>
        </row>
        <row r="1833">
          <cell r="A1833">
            <v>240</v>
          </cell>
          <cell r="B1833">
            <v>5240</v>
          </cell>
          <cell r="C1833" t="str">
            <v>Zirconolite-2m</v>
          </cell>
          <cell r="E1833" t="str">
            <v/>
          </cell>
        </row>
        <row r="1834">
          <cell r="A1834">
            <v>241</v>
          </cell>
          <cell r="B1834">
            <v>5240</v>
          </cell>
          <cell r="C1834" t="str">
            <v>Zirconolite-3o</v>
          </cell>
          <cell r="E1834" t="str">
            <v/>
          </cell>
        </row>
        <row r="1835">
          <cell r="A1835">
            <v>242</v>
          </cell>
          <cell r="B1835">
            <v>5240</v>
          </cell>
          <cell r="C1835" t="str">
            <v>Zirconolite-3t</v>
          </cell>
          <cell r="E1835" t="str">
            <v/>
          </cell>
        </row>
        <row r="1836">
          <cell r="A1836">
            <v>245</v>
          </cell>
          <cell r="B1836">
            <v>5240</v>
          </cell>
          <cell r="C1836" t="str">
            <v>Zirkelite</v>
          </cell>
          <cell r="E1836" t="str">
            <v>https://www.mindat.org/1:1:4425:3</v>
          </cell>
        </row>
        <row r="1837">
          <cell r="A1837">
            <v>270</v>
          </cell>
          <cell r="B1837">
            <v>5240</v>
          </cell>
          <cell r="C1837" t="str">
            <v>Tenorite</v>
          </cell>
          <cell r="E1837" t="str">
            <v>https://www.mindat.org/1:1:3912:9</v>
          </cell>
        </row>
        <row r="1838">
          <cell r="A1838">
            <v>289</v>
          </cell>
          <cell r="B1838">
            <v>5240</v>
          </cell>
          <cell r="C1838" t="str">
            <v>Crednerite</v>
          </cell>
          <cell r="E1838" t="str">
            <v>https://www.mindat.org/1:1:1150:7</v>
          </cell>
        </row>
        <row r="1839">
          <cell r="A1839">
            <v>292</v>
          </cell>
          <cell r="B1839">
            <v>5240</v>
          </cell>
          <cell r="C1839" t="str">
            <v>Tetrawickmanite</v>
          </cell>
          <cell r="E1839" t="str">
            <v>https://www.mindat.org/1:1:3928:0</v>
          </cell>
        </row>
        <row r="1840">
          <cell r="A1840">
            <v>300</v>
          </cell>
          <cell r="B1840">
            <v>5240</v>
          </cell>
          <cell r="C1840" t="str">
            <v>Yttrotantalite-(Y)</v>
          </cell>
          <cell r="E1840" t="str">
            <v>https://www.mindat.org/1:1:4373:7</v>
          </cell>
        </row>
        <row r="1841">
          <cell r="A1841">
            <v>301</v>
          </cell>
          <cell r="B1841">
            <v>5240</v>
          </cell>
          <cell r="C1841" t="str">
            <v>Yttrotungstite-(Y)</v>
          </cell>
          <cell r="E1841" t="str">
            <v>https://www.mindat.org/1:1:4374:4</v>
          </cell>
        </row>
        <row r="1842">
          <cell r="A1842">
            <v>339</v>
          </cell>
          <cell r="B1842">
            <v>5240</v>
          </cell>
          <cell r="C1842" t="str">
            <v>Swedenborgite</v>
          </cell>
          <cell r="E1842" t="str">
            <v>https://www.mindat.org/1:1:3845:0</v>
          </cell>
        </row>
        <row r="1843">
          <cell r="A1843">
            <v>340</v>
          </cell>
          <cell r="B1843">
            <v>5240</v>
          </cell>
          <cell r="C1843" t="str">
            <v>Sweetite</v>
          </cell>
          <cell r="E1843" t="str">
            <v>https://www.mindat.org/1:1:3846:7</v>
          </cell>
        </row>
        <row r="1844">
          <cell r="A1844">
            <v>358</v>
          </cell>
          <cell r="B1844">
            <v>5240</v>
          </cell>
          <cell r="C1844" t="str">
            <v>Sohngeite</v>
          </cell>
          <cell r="E1844" t="str">
            <v/>
          </cell>
        </row>
        <row r="1845">
          <cell r="A1845">
            <v>359</v>
          </cell>
          <cell r="B1845">
            <v>5240</v>
          </cell>
          <cell r="C1845" t="str">
            <v>Taaffeite</v>
          </cell>
          <cell r="E1845" t="str">
            <v/>
          </cell>
        </row>
        <row r="1846">
          <cell r="A1846">
            <v>369</v>
          </cell>
          <cell r="B1846">
            <v>5240</v>
          </cell>
          <cell r="C1846" t="str">
            <v>Takanelite</v>
          </cell>
          <cell r="E1846" t="str">
            <v>https://www.mindat.org/1:1:3871:9</v>
          </cell>
        </row>
        <row r="1847">
          <cell r="A1847">
            <v>381</v>
          </cell>
          <cell r="B1847">
            <v>5240</v>
          </cell>
          <cell r="C1847" t="str">
            <v>Tantalaeschynite-(Y)</v>
          </cell>
          <cell r="E1847" t="str">
            <v>https://www.mindat.org/1:1:3881:8</v>
          </cell>
        </row>
        <row r="1848">
          <cell r="A1848">
            <v>382</v>
          </cell>
          <cell r="B1848">
            <v>5240</v>
          </cell>
          <cell r="C1848" t="str">
            <v>Tantaliteseries</v>
          </cell>
          <cell r="E1848" t="str">
            <v/>
          </cell>
        </row>
        <row r="1849">
          <cell r="A1849">
            <v>383</v>
          </cell>
          <cell r="B1849">
            <v>5240</v>
          </cell>
          <cell r="C1849" t="str">
            <v>Tanteuxenite-(Y)</v>
          </cell>
          <cell r="E1849" t="str">
            <v>https://www.mindat.org/1:1:3883:2</v>
          </cell>
        </row>
        <row r="1850">
          <cell r="A1850">
            <v>385</v>
          </cell>
          <cell r="B1850">
            <v>5240</v>
          </cell>
          <cell r="C1850" t="str">
            <v>Tapiolite</v>
          </cell>
          <cell r="E1850" t="str">
            <v>https://www.mindat.org/1:1:29336:9</v>
          </cell>
        </row>
        <row r="1851">
          <cell r="A1851">
            <v>386</v>
          </cell>
          <cell r="B1851">
            <v>5240</v>
          </cell>
          <cell r="C1851" t="str">
            <v>Tapioliteseries</v>
          </cell>
          <cell r="E1851" t="str">
            <v/>
          </cell>
        </row>
        <row r="1852">
          <cell r="A1852">
            <v>396</v>
          </cell>
          <cell r="B1852">
            <v>5240</v>
          </cell>
          <cell r="C1852" t="str">
            <v>Tausonite</v>
          </cell>
          <cell r="E1852" t="str">
            <v>https://www.mindat.org/1:1:3895:5</v>
          </cell>
        </row>
        <row r="1853">
          <cell r="A1853">
            <v>398</v>
          </cell>
          <cell r="B1853">
            <v>5240</v>
          </cell>
          <cell r="C1853" t="str">
            <v>Tazheranite</v>
          </cell>
          <cell r="E1853" t="str">
            <v>https://www.mindat.org/1:1:3897:9</v>
          </cell>
        </row>
        <row r="1854">
          <cell r="A1854">
            <v>402</v>
          </cell>
          <cell r="B1854">
            <v>5240</v>
          </cell>
          <cell r="C1854" t="str">
            <v>Teineite</v>
          </cell>
          <cell r="E1854" t="str">
            <v>https://www.mindat.org/1:1:3902:0</v>
          </cell>
        </row>
        <row r="1855">
          <cell r="A1855">
            <v>406</v>
          </cell>
          <cell r="B1855">
            <v>5240</v>
          </cell>
          <cell r="C1855" t="str">
            <v>Tellurite</v>
          </cell>
          <cell r="E1855" t="str">
            <v>https://www.mindat.org/1:1:3905:1</v>
          </cell>
        </row>
        <row r="1856">
          <cell r="A1856">
            <v>421</v>
          </cell>
          <cell r="B1856">
            <v>5240</v>
          </cell>
          <cell r="C1856" t="str">
            <v>Stenhuggarite</v>
          </cell>
          <cell r="E1856" t="str">
            <v>https://www.mindat.org/1:1:3761:3</v>
          </cell>
        </row>
        <row r="1857">
          <cell r="A1857">
            <v>429</v>
          </cell>
          <cell r="B1857">
            <v>5240</v>
          </cell>
          <cell r="C1857" t="str">
            <v>Stetefeldtite</v>
          </cell>
          <cell r="E1857" t="str">
            <v>https://www.mindat.org/1:1:3769:9</v>
          </cell>
        </row>
        <row r="1858">
          <cell r="A1858">
            <v>433</v>
          </cell>
          <cell r="B1858">
            <v>5240</v>
          </cell>
          <cell r="C1858" t="str">
            <v>Stibiconite</v>
          </cell>
          <cell r="E1858" t="str">
            <v>https://www.mindat.org/1:1:3776:7</v>
          </cell>
        </row>
        <row r="1859">
          <cell r="A1859">
            <v>439</v>
          </cell>
          <cell r="B1859">
            <v>5240</v>
          </cell>
          <cell r="C1859" t="str">
            <v>Stibiotantalite</v>
          </cell>
          <cell r="E1859" t="str">
            <v>https://www.mindat.org/1:1:3739:2</v>
          </cell>
        </row>
        <row r="1860">
          <cell r="A1860">
            <v>440</v>
          </cell>
          <cell r="B1860">
            <v>5240</v>
          </cell>
          <cell r="C1860" t="str">
            <v>Stibivanite</v>
          </cell>
          <cell r="E1860" t="str">
            <v>https://www.mindat.org/1:1:3781:1</v>
          </cell>
        </row>
        <row r="1861">
          <cell r="A1861">
            <v>441</v>
          </cell>
          <cell r="B1861">
            <v>5240</v>
          </cell>
          <cell r="C1861" t="str">
            <v>Stibivanite-2m</v>
          </cell>
          <cell r="E1861" t="str">
            <v/>
          </cell>
        </row>
        <row r="1862">
          <cell r="A1862">
            <v>451</v>
          </cell>
          <cell r="B1862">
            <v>5240</v>
          </cell>
          <cell r="C1862" t="str">
            <v>Stishovite</v>
          </cell>
          <cell r="E1862" t="str">
            <v>https://www.mindat.org/1:1:3790:3</v>
          </cell>
        </row>
        <row r="1863">
          <cell r="A1863">
            <v>458</v>
          </cell>
          <cell r="B1863">
            <v>5240</v>
          </cell>
          <cell r="C1863" t="str">
            <v>Stottite</v>
          </cell>
          <cell r="E1863" t="str">
            <v>https://www.mindat.org/1:1:3795:8</v>
          </cell>
        </row>
        <row r="1864">
          <cell r="A1864">
            <v>459</v>
          </cell>
          <cell r="B1864">
            <v>5240</v>
          </cell>
          <cell r="C1864" t="str">
            <v>Straczekite</v>
          </cell>
          <cell r="E1864" t="str">
            <v>https://www.mindat.org/1:1:3796:5</v>
          </cell>
        </row>
        <row r="1865">
          <cell r="A1865">
            <v>481</v>
          </cell>
          <cell r="B1865">
            <v>5240</v>
          </cell>
          <cell r="C1865" t="str">
            <v>Struverite</v>
          </cell>
          <cell r="E1865" t="str">
            <v/>
          </cell>
        </row>
        <row r="1866">
          <cell r="A1866">
            <v>485</v>
          </cell>
          <cell r="B1866">
            <v>5240</v>
          </cell>
          <cell r="C1866" t="str">
            <v>Studtite</v>
          </cell>
          <cell r="E1866" t="str">
            <v>https://www.mindat.org/1:1:3815:3</v>
          </cell>
        </row>
        <row r="1867">
          <cell r="A1867">
            <v>500</v>
          </cell>
          <cell r="B1867">
            <v>5240</v>
          </cell>
          <cell r="C1867" t="str">
            <v>Sillenite</v>
          </cell>
          <cell r="E1867" t="str">
            <v/>
          </cell>
        </row>
        <row r="1868">
          <cell r="A1868">
            <v>510</v>
          </cell>
          <cell r="B1868">
            <v>5240</v>
          </cell>
          <cell r="C1868" t="str">
            <v>Simplotite</v>
          </cell>
          <cell r="E1868" t="str">
            <v>https://www.mindat.org/1:1:3669:2</v>
          </cell>
        </row>
        <row r="1869">
          <cell r="A1869">
            <v>511</v>
          </cell>
          <cell r="B1869">
            <v>5240</v>
          </cell>
          <cell r="C1869" t="str">
            <v>Simpsonite</v>
          </cell>
          <cell r="E1869" t="str">
            <v>https://www.mindat.org/1:1:3670:8</v>
          </cell>
        </row>
        <row r="1870">
          <cell r="A1870">
            <v>553</v>
          </cell>
          <cell r="B1870">
            <v>5240</v>
          </cell>
          <cell r="C1870" t="str">
            <v>Sofiite</v>
          </cell>
          <cell r="E1870" t="str">
            <v>https://www.mindat.org/1:1:3714:9</v>
          </cell>
        </row>
        <row r="1871">
          <cell r="A1871">
            <v>557</v>
          </cell>
          <cell r="B1871">
            <v>5240</v>
          </cell>
          <cell r="C1871" t="str">
            <v>Sonoraite</v>
          </cell>
          <cell r="E1871" t="str">
            <v>https://www.mindat.org/1:1:3712:5</v>
          </cell>
        </row>
        <row r="1872">
          <cell r="A1872">
            <v>570</v>
          </cell>
          <cell r="B1872">
            <v>5240</v>
          </cell>
          <cell r="C1872" t="str">
            <v>Spertiniite</v>
          </cell>
          <cell r="E1872" t="str">
            <v>https://www.mindat.org/1:1:3724:8</v>
          </cell>
        </row>
        <row r="1873">
          <cell r="A1873">
            <v>576</v>
          </cell>
          <cell r="B1873">
            <v>5240</v>
          </cell>
          <cell r="C1873" t="str">
            <v>Spinel</v>
          </cell>
          <cell r="E1873" t="str">
            <v>https://www.mindat.org/1:1:3729:3</v>
          </cell>
        </row>
        <row r="1874">
          <cell r="A1874">
            <v>577</v>
          </cell>
          <cell r="B1874">
            <v>5240</v>
          </cell>
          <cell r="C1874" t="str">
            <v>Spinelgroup</v>
          </cell>
          <cell r="E1874" t="str">
            <v/>
          </cell>
        </row>
        <row r="1875">
          <cell r="A1875">
            <v>579</v>
          </cell>
          <cell r="B1875">
            <v>5240</v>
          </cell>
          <cell r="C1875" t="str">
            <v>Spiroffite</v>
          </cell>
          <cell r="E1875" t="str">
            <v>https://www.mindat.org/1:1:3731:6</v>
          </cell>
        </row>
        <row r="1876">
          <cell r="A1876">
            <v>584</v>
          </cell>
          <cell r="B1876">
            <v>5240</v>
          </cell>
          <cell r="C1876" t="str">
            <v>Squawcreekite</v>
          </cell>
          <cell r="E1876" t="str">
            <v/>
          </cell>
        </row>
        <row r="1877">
          <cell r="A1877">
            <v>585</v>
          </cell>
          <cell r="B1877">
            <v>5240</v>
          </cell>
          <cell r="C1877" t="str">
            <v>Srebrodolskite</v>
          </cell>
          <cell r="E1877" t="str">
            <v>https://www.mindat.org/1:1:3736:1</v>
          </cell>
        </row>
        <row r="1878">
          <cell r="A1878">
            <v>586</v>
          </cell>
          <cell r="B1878">
            <v>5240</v>
          </cell>
          <cell r="C1878" t="str">
            <v>Srilankite</v>
          </cell>
          <cell r="E1878" t="str">
            <v>https://www.mindat.org/1:1:3737:8</v>
          </cell>
        </row>
        <row r="1879">
          <cell r="A1879">
            <v>596</v>
          </cell>
          <cell r="B1879">
            <v>5240</v>
          </cell>
          <cell r="C1879" t="str">
            <v>Schreyerite</v>
          </cell>
          <cell r="E1879" t="str">
            <v>https://www.mindat.org/1:1:3583:1</v>
          </cell>
        </row>
        <row r="1880">
          <cell r="A1880">
            <v>604</v>
          </cell>
          <cell r="B1880">
            <v>5240</v>
          </cell>
          <cell r="C1880" t="str">
            <v>Schwartzembergite</v>
          </cell>
          <cell r="E1880" t="str">
            <v>https://www.mindat.org/1:1:3592:3</v>
          </cell>
        </row>
        <row r="1881">
          <cell r="A1881">
            <v>611</v>
          </cell>
          <cell r="B1881">
            <v>5240</v>
          </cell>
          <cell r="C1881" t="str">
            <v>Scotlandite</v>
          </cell>
          <cell r="E1881" t="str">
            <v>https://www.mindat.org/1:1:3597:8</v>
          </cell>
        </row>
        <row r="1882">
          <cell r="A1882">
            <v>612</v>
          </cell>
          <cell r="B1882">
            <v>5240</v>
          </cell>
          <cell r="C1882" t="str">
            <v>Scrutinyite</v>
          </cell>
          <cell r="E1882" t="str">
            <v>https://www.mindat.org/1:1:3598:5</v>
          </cell>
        </row>
        <row r="1883">
          <cell r="A1883">
            <v>617</v>
          </cell>
          <cell r="B1883">
            <v>5240</v>
          </cell>
          <cell r="C1883" t="str">
            <v>Seeligerite</v>
          </cell>
          <cell r="E1883" t="str">
            <v>https://www.mindat.org/1:1:3603:6</v>
          </cell>
        </row>
        <row r="1884">
          <cell r="A1884">
            <v>633</v>
          </cell>
          <cell r="B1884">
            <v>5240</v>
          </cell>
          <cell r="C1884" t="str">
            <v>Senaite</v>
          </cell>
          <cell r="E1884" t="str">
            <v>https://www.mindat.org/1:1:3617:3</v>
          </cell>
        </row>
        <row r="1885">
          <cell r="A1885">
            <v>634</v>
          </cell>
          <cell r="B1885">
            <v>5240</v>
          </cell>
          <cell r="C1885" t="str">
            <v>Senarmontite</v>
          </cell>
          <cell r="E1885" t="str">
            <v>https://www.mindat.org/1:1:3618:0</v>
          </cell>
        </row>
        <row r="1886">
          <cell r="A1886">
            <v>636</v>
          </cell>
          <cell r="B1886">
            <v>5240</v>
          </cell>
          <cell r="C1886" t="str">
            <v>Sengierite</v>
          </cell>
          <cell r="E1886" t="str">
            <v>https://www.mindat.org/1:1:3620:3</v>
          </cell>
        </row>
        <row r="1887">
          <cell r="A1887">
            <v>647</v>
          </cell>
          <cell r="B1887">
            <v>5240</v>
          </cell>
          <cell r="C1887" t="str">
            <v>Shakhovite</v>
          </cell>
          <cell r="E1887" t="str">
            <v>https://www.mindat.org/1:1:3630:2</v>
          </cell>
        </row>
        <row r="1888">
          <cell r="A1888">
            <v>653</v>
          </cell>
          <cell r="B1888">
            <v>5240</v>
          </cell>
          <cell r="C1888" t="str">
            <v>Shcherbinaite</v>
          </cell>
          <cell r="E1888" t="str">
            <v>https://www.mindat.org/1:1:3636:4</v>
          </cell>
        </row>
        <row r="1889">
          <cell r="A1889">
            <v>655</v>
          </cell>
          <cell r="B1889">
            <v>5240</v>
          </cell>
          <cell r="C1889" t="str">
            <v>Sherwoodite</v>
          </cell>
          <cell r="E1889" t="str">
            <v>https://www.mindat.org/1:1:3637:1</v>
          </cell>
        </row>
        <row r="1890">
          <cell r="A1890">
            <v>674</v>
          </cell>
          <cell r="B1890">
            <v>5240</v>
          </cell>
          <cell r="C1890" t="str">
            <v>Sidwillite</v>
          </cell>
          <cell r="E1890" t="str">
            <v>https://www.mindat.org/1:1:3654:8</v>
          </cell>
        </row>
        <row r="1891">
          <cell r="A1891">
            <v>679</v>
          </cell>
          <cell r="B1891">
            <v>5240</v>
          </cell>
          <cell r="C1891" t="str">
            <v>Silhydrite</v>
          </cell>
          <cell r="E1891" t="str">
            <v>https://www.mindat.org/1:1:3658:6</v>
          </cell>
        </row>
        <row r="1892">
          <cell r="A1892">
            <v>683</v>
          </cell>
          <cell r="B1892">
            <v>5240</v>
          </cell>
          <cell r="C1892" t="str">
            <v>Vigezzite</v>
          </cell>
          <cell r="E1892" t="str">
            <v>https://www.mindat.org/1:1:4177:1</v>
          </cell>
        </row>
        <row r="1893">
          <cell r="A1893">
            <v>720</v>
          </cell>
          <cell r="B1893">
            <v>5240</v>
          </cell>
          <cell r="C1893" t="str">
            <v>Vuorelainenite</v>
          </cell>
          <cell r="E1893" t="str">
            <v>https://www.mindat.org/1:1:4217:4</v>
          </cell>
        </row>
        <row r="1894">
          <cell r="A1894">
            <v>727</v>
          </cell>
          <cell r="B1894">
            <v>5240</v>
          </cell>
          <cell r="C1894" t="str">
            <v>Wad</v>
          </cell>
          <cell r="E1894" t="str">
            <v/>
          </cell>
        </row>
        <row r="1895">
          <cell r="A1895">
            <v>742</v>
          </cell>
          <cell r="B1895">
            <v>5240</v>
          </cell>
          <cell r="C1895" t="str">
            <v>Satpaevite</v>
          </cell>
          <cell r="E1895" t="str">
            <v>https://www.mindat.org/1:1:3542:8</v>
          </cell>
        </row>
        <row r="1896">
          <cell r="A1896">
            <v>756</v>
          </cell>
          <cell r="B1896">
            <v>5240</v>
          </cell>
          <cell r="C1896" t="str">
            <v>Schafarzikite</v>
          </cell>
          <cell r="E1896" t="str">
            <v>https://www.mindat.org/1:1:3554:1</v>
          </cell>
        </row>
        <row r="1897">
          <cell r="A1897">
            <v>768</v>
          </cell>
          <cell r="B1897">
            <v>5240</v>
          </cell>
          <cell r="C1897" t="str">
            <v>Schmitterite</v>
          </cell>
          <cell r="E1897" t="str">
            <v>https://www.mindat.org/1:1:3570:1</v>
          </cell>
        </row>
        <row r="1898">
          <cell r="A1898">
            <v>769</v>
          </cell>
          <cell r="B1898">
            <v>5240</v>
          </cell>
          <cell r="C1898" t="str">
            <v>Schneiderhohnite</v>
          </cell>
          <cell r="E1898" t="str">
            <v/>
          </cell>
        </row>
        <row r="1899">
          <cell r="A1899">
            <v>771</v>
          </cell>
          <cell r="B1899">
            <v>5240</v>
          </cell>
          <cell r="C1899" t="str">
            <v>Schoenfliesite</v>
          </cell>
          <cell r="E1899" t="str">
            <v>https://www.mindat.org/1:1:3573:2</v>
          </cell>
        </row>
        <row r="1900">
          <cell r="A1900">
            <v>772</v>
          </cell>
          <cell r="B1900">
            <v>5240</v>
          </cell>
          <cell r="C1900" t="str">
            <v>Schoepite</v>
          </cell>
          <cell r="E1900" t="str">
            <v>https://www.mindat.org/1:1:3574:9</v>
          </cell>
        </row>
        <row r="1901">
          <cell r="A1901">
            <v>788</v>
          </cell>
          <cell r="B1901">
            <v>5240</v>
          </cell>
          <cell r="C1901" t="str">
            <v>Umohoite</v>
          </cell>
          <cell r="E1901" t="str">
            <v>https://www.mindat.org/1:1:4093:4</v>
          </cell>
        </row>
        <row r="1902">
          <cell r="A1902">
            <v>798</v>
          </cell>
          <cell r="B1902">
            <v>5240</v>
          </cell>
          <cell r="C1902" t="str">
            <v>Uraninite</v>
          </cell>
          <cell r="E1902" t="str">
            <v>https://www.mindat.org/1:1:4102:3</v>
          </cell>
        </row>
        <row r="1903">
          <cell r="A1903">
            <v>799</v>
          </cell>
          <cell r="B1903">
            <v>5240</v>
          </cell>
          <cell r="C1903" t="str">
            <v>Uranmicrolite</v>
          </cell>
          <cell r="E1903" t="str">
            <v/>
          </cell>
        </row>
        <row r="1904">
          <cell r="A1904">
            <v>807</v>
          </cell>
          <cell r="B1904">
            <v>5240</v>
          </cell>
          <cell r="C1904" t="str">
            <v>Uranosphaerite</v>
          </cell>
          <cell r="E1904" t="str">
            <v>https://www.mindat.org/1:1:4112:2</v>
          </cell>
        </row>
        <row r="1905">
          <cell r="A1905">
            <v>810</v>
          </cell>
          <cell r="B1905">
            <v>5240</v>
          </cell>
          <cell r="C1905" t="str">
            <v>Uranpyrochlore</v>
          </cell>
          <cell r="E1905" t="str">
            <v/>
          </cell>
        </row>
        <row r="1906">
          <cell r="A1906">
            <v>821</v>
          </cell>
          <cell r="B1906">
            <v>5240</v>
          </cell>
          <cell r="C1906" t="str">
            <v>Uvanite</v>
          </cell>
          <cell r="E1906" t="str">
            <v>https://www.mindat.org/1:1:4124:5</v>
          </cell>
        </row>
        <row r="1907">
          <cell r="A1907">
            <v>827</v>
          </cell>
          <cell r="B1907">
            <v>5240</v>
          </cell>
          <cell r="C1907" t="str">
            <v>Vajdakite</v>
          </cell>
          <cell r="E1907" t="str">
            <v>https://www.mindat.org/1:1:7053:5</v>
          </cell>
        </row>
        <row r="1908">
          <cell r="A1908">
            <v>828</v>
          </cell>
          <cell r="B1908">
            <v>5240</v>
          </cell>
          <cell r="C1908" t="str">
            <v>Valentinite</v>
          </cell>
          <cell r="E1908" t="str">
            <v>https://www.mindat.org/1:1:4135:1</v>
          </cell>
        </row>
        <row r="1909">
          <cell r="A1909">
            <v>834</v>
          </cell>
          <cell r="B1909">
            <v>5240</v>
          </cell>
          <cell r="C1909" t="str">
            <v>Vandenbrandeite</v>
          </cell>
          <cell r="E1909" t="str">
            <v>https://www.mindat.org/1:1:4144:3</v>
          </cell>
        </row>
        <row r="1910">
          <cell r="A1910">
            <v>835</v>
          </cell>
          <cell r="B1910">
            <v>5240</v>
          </cell>
          <cell r="C1910" t="str">
            <v>Vandendriesscheite</v>
          </cell>
          <cell r="E1910" t="str">
            <v>https://www.mindat.org/1:1:4145:0</v>
          </cell>
        </row>
        <row r="1911">
          <cell r="A1911">
            <v>837</v>
          </cell>
          <cell r="B1911">
            <v>5240</v>
          </cell>
          <cell r="C1911" t="str">
            <v>Vanoxite</v>
          </cell>
          <cell r="E1911" t="str">
            <v>https://www.mindat.org/1:1:4149:8</v>
          </cell>
        </row>
        <row r="1912">
          <cell r="A1912">
            <v>840</v>
          </cell>
          <cell r="B1912">
            <v>5240</v>
          </cell>
          <cell r="C1912" t="str">
            <v>Vanuralite</v>
          </cell>
          <cell r="E1912" t="str">
            <v>https://www.mindat.org/1:1:4152:8</v>
          </cell>
        </row>
        <row r="1913">
          <cell r="A1913">
            <v>844</v>
          </cell>
          <cell r="B1913">
            <v>5240</v>
          </cell>
          <cell r="C1913" t="str">
            <v>Varlamoffite</v>
          </cell>
          <cell r="E1913" t="str">
            <v>https://www.mindat.org/1:1:4157:3</v>
          </cell>
        </row>
        <row r="1914">
          <cell r="A1914">
            <v>858</v>
          </cell>
          <cell r="B1914">
            <v>5240</v>
          </cell>
          <cell r="C1914" t="str">
            <v>Vernadite</v>
          </cell>
          <cell r="E1914" t="str">
            <v>https://www.mindat.org/1:1:4171:9</v>
          </cell>
        </row>
        <row r="1915">
          <cell r="A1915">
            <v>860</v>
          </cell>
          <cell r="B1915">
            <v>5240</v>
          </cell>
          <cell r="C1915" t="str">
            <v>Versiliaite</v>
          </cell>
          <cell r="E1915" t="str">
            <v>https://www.mindat.org/1:1:4173:3</v>
          </cell>
        </row>
        <row r="1916">
          <cell r="A1916">
            <v>867</v>
          </cell>
          <cell r="B1916">
            <v>5240</v>
          </cell>
          <cell r="C1916" t="str">
            <v>Romanechite</v>
          </cell>
          <cell r="E1916" t="str">
            <v/>
          </cell>
        </row>
        <row r="1917">
          <cell r="A1917">
            <v>868</v>
          </cell>
          <cell r="B1917">
            <v>5240</v>
          </cell>
          <cell r="C1917" t="str">
            <v>Romarchite</v>
          </cell>
          <cell r="E1917" t="str">
            <v>https://www.mindat.org/1:1:3442:1</v>
          </cell>
        </row>
        <row r="1918">
          <cell r="A1918">
            <v>869</v>
          </cell>
          <cell r="B1918">
            <v>5240</v>
          </cell>
          <cell r="C1918" t="str">
            <v>Romeite</v>
          </cell>
          <cell r="E1918" t="str">
            <v/>
          </cell>
        </row>
        <row r="1919">
          <cell r="A1919">
            <v>888</v>
          </cell>
          <cell r="B1919">
            <v>5240</v>
          </cell>
          <cell r="C1919" t="str">
            <v>Rossite</v>
          </cell>
          <cell r="E1919" t="str">
            <v>https://www.mindat.org/1:1:3460:5</v>
          </cell>
        </row>
        <row r="1920">
          <cell r="A1920">
            <v>892</v>
          </cell>
          <cell r="B1920">
            <v>5240</v>
          </cell>
          <cell r="C1920" t="str">
            <v>Rouseite</v>
          </cell>
          <cell r="E1920" t="str">
            <v>https://www.mindat.org/1:1:3463:6</v>
          </cell>
        </row>
        <row r="1921">
          <cell r="A1921">
            <v>905</v>
          </cell>
          <cell r="B1921">
            <v>5240</v>
          </cell>
          <cell r="C1921" t="str">
            <v>Russellite</v>
          </cell>
          <cell r="E1921" t="str">
            <v>https://www.mindat.org/1:1:3478:0</v>
          </cell>
        </row>
        <row r="1922">
          <cell r="A1922">
            <v>913</v>
          </cell>
          <cell r="B1922">
            <v>5240</v>
          </cell>
          <cell r="C1922" t="str">
            <v>Rutile</v>
          </cell>
          <cell r="E1922" t="str">
            <v>https://www.mindat.org/1:1:3486:5</v>
          </cell>
        </row>
        <row r="1923">
          <cell r="A1923">
            <v>914</v>
          </cell>
          <cell r="B1923">
            <v>5240</v>
          </cell>
          <cell r="C1923" t="str">
            <v>Rynersonite</v>
          </cell>
          <cell r="E1923" t="str">
            <v>https://www.mindat.org/1:1:3488:9</v>
          </cell>
        </row>
        <row r="1924">
          <cell r="A1924">
            <v>935</v>
          </cell>
          <cell r="B1924">
            <v>5240</v>
          </cell>
          <cell r="C1924" t="str">
            <v>Salesite</v>
          </cell>
          <cell r="E1924" t="str">
            <v>https://www.mindat.org/1:1:3509:1</v>
          </cell>
        </row>
        <row r="1925">
          <cell r="A1925">
            <v>937</v>
          </cell>
          <cell r="B1925">
            <v>5240</v>
          </cell>
          <cell r="C1925" t="str">
            <v>Samarskite-(Y)</v>
          </cell>
          <cell r="E1925" t="str">
            <v>https://www.mindat.org/1:1:3512:1</v>
          </cell>
        </row>
        <row r="1926">
          <cell r="A1926">
            <v>947</v>
          </cell>
          <cell r="B1926">
            <v>5240</v>
          </cell>
          <cell r="C1926" t="str">
            <v>Sanmartinite</v>
          </cell>
          <cell r="E1926" t="str">
            <v>https://www.mindat.org/1:1:3523:7</v>
          </cell>
        </row>
        <row r="1927">
          <cell r="A1927">
            <v>959</v>
          </cell>
          <cell r="B1927">
            <v>5240</v>
          </cell>
          <cell r="C1927" t="str">
            <v>Rameauite</v>
          </cell>
          <cell r="E1927" t="str">
            <v>https://www.mindat.org/1:1:3356:1</v>
          </cell>
        </row>
        <row r="1928">
          <cell r="A1928">
            <v>963</v>
          </cell>
          <cell r="B1928">
            <v>5240</v>
          </cell>
          <cell r="C1928" t="str">
            <v>Ramsdellite</v>
          </cell>
          <cell r="E1928" t="str">
            <v>https://www.mindat.org/1:1:3359:2</v>
          </cell>
        </row>
        <row r="1929">
          <cell r="A1929">
            <v>964</v>
          </cell>
          <cell r="B1929">
            <v>5240</v>
          </cell>
          <cell r="C1929" t="str">
            <v>Rancieite</v>
          </cell>
          <cell r="E1929" t="str">
            <v/>
          </cell>
        </row>
        <row r="1930">
          <cell r="A1930">
            <v>966</v>
          </cell>
          <cell r="B1930">
            <v>5240</v>
          </cell>
          <cell r="C1930" t="str">
            <v>Rankamaite</v>
          </cell>
          <cell r="E1930" t="str">
            <v>https://www.mindat.org/1:1:3362:2</v>
          </cell>
        </row>
        <row r="1931">
          <cell r="A1931">
            <v>973</v>
          </cell>
          <cell r="B1931">
            <v>5240</v>
          </cell>
          <cell r="C1931" t="str">
            <v>Raspite</v>
          </cell>
          <cell r="E1931" t="str">
            <v>https://www.mindat.org/1:1:3368:4</v>
          </cell>
        </row>
        <row r="1932">
          <cell r="A1932">
            <v>977</v>
          </cell>
          <cell r="B1932">
            <v>5240</v>
          </cell>
          <cell r="C1932" t="str">
            <v>Rauvite</v>
          </cell>
          <cell r="E1932" t="str">
            <v>https://www.mindat.org/1:1:3372:1</v>
          </cell>
        </row>
        <row r="1933">
          <cell r="A1933">
            <v>986</v>
          </cell>
          <cell r="B1933">
            <v>5240</v>
          </cell>
          <cell r="C1933" t="str">
            <v>Redledgeite</v>
          </cell>
          <cell r="E1933" t="str">
            <v>https://www.mindat.org/1:1:3380:6</v>
          </cell>
        </row>
        <row r="1934">
          <cell r="A1934">
            <v>993</v>
          </cell>
          <cell r="B1934">
            <v>5240</v>
          </cell>
          <cell r="C1934" t="str">
            <v>Reinerite</v>
          </cell>
          <cell r="E1934" t="str">
            <v>https://www.mindat.org/1:1:3386:8</v>
          </cell>
        </row>
        <row r="1935">
          <cell r="A1935">
            <v>1027</v>
          </cell>
          <cell r="B1935">
            <v>5240</v>
          </cell>
          <cell r="C1935" t="str">
            <v>Richetite</v>
          </cell>
          <cell r="E1935" t="str">
            <v>https://www.mindat.org/1:1:3415:5</v>
          </cell>
        </row>
        <row r="1936">
          <cell r="A1936">
            <v>1044</v>
          </cell>
          <cell r="B1936">
            <v>5240</v>
          </cell>
          <cell r="C1936" t="str">
            <v>Rodalquilarite</v>
          </cell>
          <cell r="E1936" t="str">
            <v>https://www.mindat.org/1:1:3435:3</v>
          </cell>
        </row>
        <row r="1937">
          <cell r="A1937">
            <v>1058</v>
          </cell>
          <cell r="B1937">
            <v>5240</v>
          </cell>
          <cell r="C1937" t="str">
            <v>Priderite</v>
          </cell>
          <cell r="E1937" t="str">
            <v>https://www.mindat.org/1:1:3282:3</v>
          </cell>
        </row>
        <row r="1938">
          <cell r="A1938">
            <v>1064</v>
          </cell>
          <cell r="B1938">
            <v>5240</v>
          </cell>
          <cell r="C1938" t="str">
            <v>Protasite</v>
          </cell>
          <cell r="E1938" t="str">
            <v>https://www.mindat.org/1:1:3289:2</v>
          </cell>
        </row>
        <row r="1939">
          <cell r="A1939">
            <v>1073</v>
          </cell>
          <cell r="B1939">
            <v>5240</v>
          </cell>
          <cell r="C1939" t="str">
            <v>Pseudobrookite</v>
          </cell>
          <cell r="E1939" t="str">
            <v>https://www.mindat.org/1:1:3302:8</v>
          </cell>
        </row>
        <row r="1940">
          <cell r="A1940">
            <v>1078</v>
          </cell>
          <cell r="B1940">
            <v>5240</v>
          </cell>
          <cell r="C1940" t="str">
            <v>Pseudorutile</v>
          </cell>
          <cell r="E1940" t="str">
            <v>https://www.mindat.org/1:1:3296:0</v>
          </cell>
        </row>
        <row r="1941">
          <cell r="A1941">
            <v>1080</v>
          </cell>
          <cell r="B1941">
            <v>5240</v>
          </cell>
          <cell r="C1941" t="str">
            <v>Psilomelane(generalterm)</v>
          </cell>
          <cell r="E1941" t="str">
            <v/>
          </cell>
        </row>
        <row r="1942">
          <cell r="A1942">
            <v>1095</v>
          </cell>
          <cell r="B1942">
            <v>5240</v>
          </cell>
          <cell r="C1942" t="str">
            <v>Pyrochlore</v>
          </cell>
          <cell r="E1942" t="str">
            <v/>
          </cell>
        </row>
        <row r="1943">
          <cell r="A1943">
            <v>1096</v>
          </cell>
          <cell r="B1943">
            <v>5240</v>
          </cell>
          <cell r="C1943" t="str">
            <v>Pyrochroite</v>
          </cell>
          <cell r="E1943" t="str">
            <v>https://www.mindat.org/1:1:3317:2</v>
          </cell>
        </row>
        <row r="1944">
          <cell r="A1944">
            <v>1097</v>
          </cell>
          <cell r="B1944">
            <v>5240</v>
          </cell>
          <cell r="C1944" t="str">
            <v>Pyrolusite</v>
          </cell>
          <cell r="E1944" t="str">
            <v>https://www.mindat.org/1:1:3318:9</v>
          </cell>
        </row>
        <row r="1945">
          <cell r="A1945">
            <v>1100</v>
          </cell>
          <cell r="B1945">
            <v>5240</v>
          </cell>
          <cell r="C1945" t="str">
            <v>Pyrophanite</v>
          </cell>
          <cell r="E1945" t="str">
            <v>https://www.mindat.org/1:1:3322:6</v>
          </cell>
        </row>
        <row r="1946">
          <cell r="A1946">
            <v>1118</v>
          </cell>
          <cell r="B1946">
            <v>5240</v>
          </cell>
          <cell r="C1946" t="str">
            <v>Quartz</v>
          </cell>
          <cell r="E1946" t="str">
            <v>https://www.mindat.org/1:1:3337:0</v>
          </cell>
        </row>
        <row r="1947">
          <cell r="A1947">
            <v>1120</v>
          </cell>
          <cell r="B1947">
            <v>5240</v>
          </cell>
          <cell r="C1947" t="str">
            <v>Quenselite</v>
          </cell>
          <cell r="E1947" t="str">
            <v>https://www.mindat.org/1:1:3340:0</v>
          </cell>
        </row>
        <row r="1948">
          <cell r="A1948">
            <v>1122</v>
          </cell>
          <cell r="B1948">
            <v>5240</v>
          </cell>
          <cell r="C1948" t="str">
            <v>Quetzalcoatlite</v>
          </cell>
          <cell r="E1948" t="str">
            <v>https://www.mindat.org/1:1:3343:1</v>
          </cell>
        </row>
        <row r="1949">
          <cell r="A1949">
            <v>1132</v>
          </cell>
          <cell r="B1949">
            <v>5240</v>
          </cell>
          <cell r="C1949" t="str">
            <v>Rajite</v>
          </cell>
          <cell r="E1949" t="str">
            <v>https://www.mindat.org/1:1:3353:0</v>
          </cell>
        </row>
        <row r="1950">
          <cell r="A1950">
            <v>1178</v>
          </cell>
          <cell r="B1950">
            <v>5240</v>
          </cell>
          <cell r="C1950" t="str">
            <v>Plattnerite</v>
          </cell>
          <cell r="E1950" t="str">
            <v>https://www.mindat.org/1:1:3237:3</v>
          </cell>
        </row>
        <row r="1951">
          <cell r="A1951">
            <v>1184</v>
          </cell>
          <cell r="B1951">
            <v>5240</v>
          </cell>
          <cell r="C1951" t="str">
            <v>Plumboferrite</v>
          </cell>
          <cell r="E1951" t="str">
            <v>https://www.mindat.org/1:1:3246:5</v>
          </cell>
        </row>
        <row r="1952">
          <cell r="A1952">
            <v>1188</v>
          </cell>
          <cell r="B1952">
            <v>5240</v>
          </cell>
          <cell r="C1952" t="str">
            <v>Plumbomicrolite</v>
          </cell>
          <cell r="E1952" t="str">
            <v/>
          </cell>
        </row>
        <row r="1953">
          <cell r="A1953">
            <v>1191</v>
          </cell>
          <cell r="B1953">
            <v>5240</v>
          </cell>
          <cell r="C1953" t="str">
            <v>Plumbopyrochlore</v>
          </cell>
          <cell r="E1953" t="str">
            <v/>
          </cell>
        </row>
        <row r="1954">
          <cell r="A1954">
            <v>1203</v>
          </cell>
          <cell r="B1954">
            <v>5240</v>
          </cell>
          <cell r="C1954" t="str">
            <v>Polycrase-(Y)</v>
          </cell>
          <cell r="E1954" t="str">
            <v>https://www.mindat.org/1:1:3257:1</v>
          </cell>
        </row>
        <row r="1955">
          <cell r="A1955">
            <v>1207</v>
          </cell>
          <cell r="B1955">
            <v>5240</v>
          </cell>
          <cell r="C1955" t="str">
            <v>Polymignite</v>
          </cell>
          <cell r="E1955" t="str">
            <v/>
          </cell>
        </row>
        <row r="1956">
          <cell r="A1956">
            <v>1210</v>
          </cell>
          <cell r="B1956">
            <v>5240</v>
          </cell>
          <cell r="C1956" t="str">
            <v>Portlandite</v>
          </cell>
          <cell r="E1956" t="str">
            <v>https://www.mindat.org/1:1:3264:9</v>
          </cell>
        </row>
        <row r="1957">
          <cell r="A1957">
            <v>1223</v>
          </cell>
          <cell r="B1957">
            <v>5240</v>
          </cell>
          <cell r="C1957" t="str">
            <v>Poughite</v>
          </cell>
          <cell r="E1957" t="str">
            <v>https://www.mindat.org/1:1:3273:1</v>
          </cell>
        </row>
        <row r="1958">
          <cell r="A1958">
            <v>1229</v>
          </cell>
          <cell r="B1958">
            <v>5240</v>
          </cell>
          <cell r="C1958" t="str">
            <v>Tungstibite</v>
          </cell>
          <cell r="E1958" t="str">
            <v>https://www.mindat.org/1:1:4052:1</v>
          </cell>
        </row>
        <row r="1959">
          <cell r="A1959">
            <v>1230</v>
          </cell>
          <cell r="B1959">
            <v>5240</v>
          </cell>
          <cell r="C1959" t="str">
            <v>Tungstite</v>
          </cell>
          <cell r="E1959" t="str">
            <v>https://www.mindat.org/1:1:4054:5</v>
          </cell>
        </row>
        <row r="1960">
          <cell r="A1960">
            <v>1252</v>
          </cell>
          <cell r="B1960">
            <v>5240</v>
          </cell>
          <cell r="C1960" t="str">
            <v>Tyuyamunite</v>
          </cell>
          <cell r="E1960" t="str">
            <v>https://www.mindat.org/1:1:4072:9</v>
          </cell>
        </row>
        <row r="1961">
          <cell r="A1961">
            <v>1277</v>
          </cell>
          <cell r="B1961">
            <v>5240</v>
          </cell>
          <cell r="C1961" t="str">
            <v>Periclase</v>
          </cell>
          <cell r="E1961" t="str">
            <v>https://www.mindat.org/1:1:3161:1</v>
          </cell>
        </row>
        <row r="1962">
          <cell r="A1962">
            <v>1282</v>
          </cell>
          <cell r="B1962">
            <v>5240</v>
          </cell>
          <cell r="C1962" t="str">
            <v>Perovskite</v>
          </cell>
          <cell r="E1962" t="str">
            <v>https://www.mindat.org/1:1:3166:6</v>
          </cell>
        </row>
        <row r="1963">
          <cell r="A1963">
            <v>1299</v>
          </cell>
          <cell r="B1963">
            <v>5240</v>
          </cell>
          <cell r="C1963" t="str">
            <v>Petscheckite</v>
          </cell>
          <cell r="E1963" t="str">
            <v>https://www.mindat.org/1:1:3179:6</v>
          </cell>
        </row>
        <row r="1964">
          <cell r="A1964">
            <v>1333</v>
          </cell>
          <cell r="B1964">
            <v>5240</v>
          </cell>
          <cell r="C1964" t="str">
            <v>Titanowodginite</v>
          </cell>
          <cell r="E1964" t="str">
            <v>https://www.mindat.org/1:1:3979:2</v>
          </cell>
        </row>
        <row r="1965">
          <cell r="A1965">
            <v>1337</v>
          </cell>
          <cell r="B1965">
            <v>5240</v>
          </cell>
          <cell r="C1965" t="str">
            <v>Tlapallite</v>
          </cell>
          <cell r="E1965" t="str">
            <v>https://www.mindat.org/1:1:3983:9</v>
          </cell>
        </row>
        <row r="1966">
          <cell r="A1966">
            <v>1342</v>
          </cell>
          <cell r="B1966">
            <v>5240</v>
          </cell>
          <cell r="C1966" t="str">
            <v>Todorokite</v>
          </cell>
          <cell r="E1966" t="str">
            <v>https://www.mindat.org/1:1:3988:4</v>
          </cell>
        </row>
        <row r="1967">
          <cell r="A1967">
            <v>1347</v>
          </cell>
          <cell r="B1967">
            <v>5240</v>
          </cell>
          <cell r="C1967" t="str">
            <v>Tomichite</v>
          </cell>
          <cell r="E1967" t="str">
            <v>https://www.mindat.org/1:1:3993:8</v>
          </cell>
        </row>
        <row r="1968">
          <cell r="A1968">
            <v>1365</v>
          </cell>
          <cell r="B1968">
            <v>5240</v>
          </cell>
          <cell r="C1968" t="str">
            <v>Trevorite</v>
          </cell>
          <cell r="E1968" t="str">
            <v>https://www.mindat.org/1:1:4012:5</v>
          </cell>
        </row>
        <row r="1969">
          <cell r="A1969">
            <v>1367</v>
          </cell>
          <cell r="B1969">
            <v>5240</v>
          </cell>
          <cell r="C1969" t="str">
            <v>Tridymite</v>
          </cell>
          <cell r="E1969" t="str">
            <v>https://www.mindat.org/1:1:4015:6</v>
          </cell>
        </row>
        <row r="1970">
          <cell r="A1970">
            <v>1368</v>
          </cell>
          <cell r="B1970">
            <v>5240</v>
          </cell>
          <cell r="C1970" t="str">
            <v>Trigonite</v>
          </cell>
          <cell r="E1970" t="str">
            <v>https://www.mindat.org/1:1:4016:3</v>
          </cell>
        </row>
        <row r="1971">
          <cell r="A1971">
            <v>1376</v>
          </cell>
          <cell r="B1971">
            <v>5240</v>
          </cell>
          <cell r="C1971" t="str">
            <v>Trippkeite</v>
          </cell>
          <cell r="E1971" t="str">
            <v>https://www.mindat.org/1:1:4023:1</v>
          </cell>
        </row>
        <row r="1972">
          <cell r="A1972">
            <v>1377</v>
          </cell>
          <cell r="B1972">
            <v>5240</v>
          </cell>
          <cell r="C1972" t="str">
            <v>Tripuhyite</v>
          </cell>
          <cell r="E1972" t="str">
            <v>https://www.mindat.org/1:1:4024:8</v>
          </cell>
        </row>
        <row r="1973">
          <cell r="A1973">
            <v>1410</v>
          </cell>
          <cell r="B1973">
            <v>5240</v>
          </cell>
          <cell r="C1973" t="str">
            <v>Bellingerite</v>
          </cell>
          <cell r="E1973" t="str">
            <v>https://www.mindat.org/1:1:612:5</v>
          </cell>
        </row>
        <row r="1974">
          <cell r="A1974">
            <v>1414</v>
          </cell>
          <cell r="B1974">
            <v>5240</v>
          </cell>
          <cell r="C1974" t="str">
            <v>Belyankinite</v>
          </cell>
          <cell r="E1974" t="str">
            <v>https://www.mindat.org/1:1:619:8</v>
          </cell>
        </row>
        <row r="1975">
          <cell r="A1975">
            <v>1427</v>
          </cell>
          <cell r="B1975">
            <v>5240</v>
          </cell>
          <cell r="C1975" t="str">
            <v>Berdesinskiite</v>
          </cell>
          <cell r="E1975" t="str">
            <v>https://www.mindat.org/1:1:630:1</v>
          </cell>
        </row>
        <row r="1976">
          <cell r="A1976">
            <v>1451</v>
          </cell>
          <cell r="B1976">
            <v>5240</v>
          </cell>
          <cell r="C1976" t="str">
            <v>Barnesite</v>
          </cell>
          <cell r="E1976" t="str">
            <v>https://www.mindat.org/1:1:533:9</v>
          </cell>
        </row>
        <row r="1977">
          <cell r="A1977">
            <v>1453</v>
          </cell>
          <cell r="B1977">
            <v>5240</v>
          </cell>
          <cell r="C1977" t="str">
            <v>Betafite</v>
          </cell>
          <cell r="E1977" t="str">
            <v/>
          </cell>
        </row>
        <row r="1978">
          <cell r="A1978">
            <v>1464</v>
          </cell>
          <cell r="B1978">
            <v>5240</v>
          </cell>
          <cell r="C1978" t="str">
            <v>Biehlite</v>
          </cell>
          <cell r="E1978" t="str">
            <v>https://www.mindat.org/1:1:7581:3</v>
          </cell>
        </row>
        <row r="1979">
          <cell r="A1979">
            <v>1470</v>
          </cell>
          <cell r="B1979">
            <v>5240</v>
          </cell>
          <cell r="C1979" t="str">
            <v>Billietite</v>
          </cell>
          <cell r="E1979" t="str">
            <v>https://www.mindat.org/1:1:674:5</v>
          </cell>
        </row>
        <row r="1980">
          <cell r="A1980">
            <v>1472</v>
          </cell>
          <cell r="B1980">
            <v>5240</v>
          </cell>
          <cell r="C1980" t="str">
            <v>Bindheimite</v>
          </cell>
          <cell r="E1980" t="str">
            <v>https://www.mindat.org/1:1:676:3</v>
          </cell>
        </row>
        <row r="1981">
          <cell r="A1981">
            <v>1476</v>
          </cell>
          <cell r="B1981">
            <v>5240</v>
          </cell>
          <cell r="C1981" t="str">
            <v>Birnessite</v>
          </cell>
          <cell r="E1981" t="str">
            <v>https://www.mindat.org/1:1:680:6</v>
          </cell>
        </row>
        <row r="1982">
          <cell r="A1982">
            <v>1479</v>
          </cell>
          <cell r="B1982">
            <v>5240</v>
          </cell>
          <cell r="C1982" t="str">
            <v>Theophrastite</v>
          </cell>
          <cell r="E1982" t="str">
            <v>https://www.mindat.org/1:1:3936:5</v>
          </cell>
        </row>
        <row r="1983">
          <cell r="A1983">
            <v>1488</v>
          </cell>
          <cell r="B1983">
            <v>5240</v>
          </cell>
          <cell r="C1983" t="str">
            <v>Thoreaulite</v>
          </cell>
          <cell r="E1983" t="str">
            <v>https://www.mindat.org/1:1:3943:3</v>
          </cell>
        </row>
        <row r="1984">
          <cell r="A1984">
            <v>1489</v>
          </cell>
          <cell r="B1984">
            <v>5240</v>
          </cell>
          <cell r="C1984" t="str">
            <v>Thorianite</v>
          </cell>
          <cell r="E1984" t="str">
            <v>https://www.mindat.org/1:1:3944:0</v>
          </cell>
        </row>
        <row r="1985">
          <cell r="A1985">
            <v>1525</v>
          </cell>
          <cell r="B1985">
            <v>5240</v>
          </cell>
          <cell r="C1985" t="str">
            <v>Bannermanite</v>
          </cell>
          <cell r="E1985" t="str">
            <v>https://www.mindat.org/1:1:508:3</v>
          </cell>
        </row>
        <row r="1986">
          <cell r="A1986">
            <v>1534</v>
          </cell>
          <cell r="B1986">
            <v>5240</v>
          </cell>
          <cell r="C1986" t="str">
            <v>Bariandite</v>
          </cell>
          <cell r="E1986" t="str">
            <v>https://www.mindat.org/1:1:522:3</v>
          </cell>
        </row>
        <row r="1987">
          <cell r="A1987">
            <v>1538</v>
          </cell>
          <cell r="B1987">
            <v>5240</v>
          </cell>
          <cell r="C1987" t="str">
            <v>Bariopyrochlore</v>
          </cell>
          <cell r="E1987" t="str">
            <v/>
          </cell>
        </row>
        <row r="1988">
          <cell r="A1988">
            <v>1567</v>
          </cell>
          <cell r="B1988">
            <v>5240</v>
          </cell>
          <cell r="C1988" t="str">
            <v>Bauranoite</v>
          </cell>
          <cell r="E1988" t="str">
            <v>https://www.mindat.org/1:1:574:6</v>
          </cell>
        </row>
        <row r="1989">
          <cell r="A1989">
            <v>1582</v>
          </cell>
          <cell r="B1989">
            <v>5240</v>
          </cell>
          <cell r="C1989" t="str">
            <v>Becquerelite</v>
          </cell>
          <cell r="E1989" t="str">
            <v>https://www.mindat.org/1:1:597:7</v>
          </cell>
        </row>
        <row r="1990">
          <cell r="A1990">
            <v>1585</v>
          </cell>
          <cell r="B1990">
            <v>5240</v>
          </cell>
          <cell r="C1990" t="str">
            <v>Behoite</v>
          </cell>
          <cell r="E1990" t="str">
            <v>https://www.mindat.org/1:1:603:7</v>
          </cell>
        </row>
        <row r="1991">
          <cell r="A1991">
            <v>1591</v>
          </cell>
          <cell r="B1991">
            <v>5240</v>
          </cell>
          <cell r="C1991" t="str">
            <v>Cuprite</v>
          </cell>
          <cell r="E1991" t="str">
            <v>https://www.mindat.org/1:1:1172:9</v>
          </cell>
        </row>
        <row r="1992">
          <cell r="A1992">
            <v>1599</v>
          </cell>
          <cell r="B1992">
            <v>5240</v>
          </cell>
          <cell r="C1992" t="str">
            <v>Cuprospinel</v>
          </cell>
          <cell r="E1992" t="str">
            <v>https://www.mindat.org/1:1:1192:7</v>
          </cell>
        </row>
        <row r="1993">
          <cell r="A1993">
            <v>1603</v>
          </cell>
          <cell r="B1993">
            <v>5240</v>
          </cell>
          <cell r="C1993" t="str">
            <v>Curienite</v>
          </cell>
          <cell r="E1993" t="str">
            <v>https://www.mindat.org/1:1:1196:5</v>
          </cell>
        </row>
        <row r="1994">
          <cell r="A1994">
            <v>1604</v>
          </cell>
          <cell r="B1994">
            <v>5240</v>
          </cell>
          <cell r="C1994" t="str">
            <v>Curite</v>
          </cell>
          <cell r="E1994" t="str">
            <v>https://www.mindat.org/1:1:1197:2</v>
          </cell>
        </row>
        <row r="1995">
          <cell r="A1995">
            <v>1606</v>
          </cell>
          <cell r="B1995">
            <v>5240</v>
          </cell>
          <cell r="C1995" t="str">
            <v>Cuzticite</v>
          </cell>
          <cell r="E1995" t="str">
            <v>https://www.mindat.org/1:1:1199:6</v>
          </cell>
        </row>
        <row r="1996">
          <cell r="A1996">
            <v>1636</v>
          </cell>
          <cell r="B1996">
            <v>5240</v>
          </cell>
          <cell r="C1996" t="str">
            <v>Davidite</v>
          </cell>
          <cell r="E1996" t="str">
            <v/>
          </cell>
        </row>
        <row r="1997">
          <cell r="A1997">
            <v>1637</v>
          </cell>
          <cell r="B1997">
            <v>5240</v>
          </cell>
          <cell r="C1997" t="str">
            <v>Davidite-(Ce)</v>
          </cell>
          <cell r="E1997" t="str">
            <v>https://www.mindat.org/1:1:1233:7</v>
          </cell>
        </row>
        <row r="1998">
          <cell r="A1998">
            <v>1638</v>
          </cell>
          <cell r="B1998">
            <v>5240</v>
          </cell>
          <cell r="C1998" t="str">
            <v>Davidite-(La)</v>
          </cell>
          <cell r="E1998" t="str">
            <v>https://www.mindat.org/1:1:1234:4</v>
          </cell>
        </row>
        <row r="1999">
          <cell r="A1999">
            <v>1648</v>
          </cell>
          <cell r="B1999">
            <v>5240</v>
          </cell>
          <cell r="C1999" t="str">
            <v>Delafossite</v>
          </cell>
          <cell r="E1999" t="str">
            <v>https://www.mindat.org/1:1:1248:1</v>
          </cell>
        </row>
        <row r="2000">
          <cell r="A2000">
            <v>1661</v>
          </cell>
          <cell r="B2000">
            <v>5240</v>
          </cell>
          <cell r="C2000" t="str">
            <v>Opal</v>
          </cell>
          <cell r="E2000" t="str">
            <v>https://www.mindat.org/1:1:3004:1</v>
          </cell>
        </row>
        <row r="2001">
          <cell r="A2001">
            <v>1663</v>
          </cell>
          <cell r="B2001">
            <v>5240</v>
          </cell>
          <cell r="C2001" t="str">
            <v>Ordonezite</v>
          </cell>
          <cell r="E2001" t="str">
            <v/>
          </cell>
        </row>
        <row r="2002">
          <cell r="A2002">
            <v>1672</v>
          </cell>
          <cell r="B2002">
            <v>5240</v>
          </cell>
          <cell r="C2002" t="str">
            <v>Orthobrannerite</v>
          </cell>
          <cell r="E2002" t="str">
            <v>https://www.mindat.org/1:1:3023:2</v>
          </cell>
        </row>
        <row r="2003">
          <cell r="A2003">
            <v>1727</v>
          </cell>
          <cell r="B2003">
            <v>5240</v>
          </cell>
          <cell r="C2003" t="str">
            <v>Parabariomicrolite</v>
          </cell>
          <cell r="E2003" t="str">
            <v/>
          </cell>
        </row>
        <row r="2004">
          <cell r="A2004">
            <v>1742</v>
          </cell>
          <cell r="B2004">
            <v>5240</v>
          </cell>
          <cell r="C2004" t="str">
            <v>Parakhinite</v>
          </cell>
          <cell r="E2004" t="str">
            <v/>
          </cell>
        </row>
        <row r="2005">
          <cell r="A2005">
            <v>1745</v>
          </cell>
          <cell r="B2005">
            <v>5240</v>
          </cell>
          <cell r="C2005" t="str">
            <v>Paramelaconite</v>
          </cell>
          <cell r="E2005" t="str">
            <v>https://www.mindat.org/1:1:3098:0</v>
          </cell>
        </row>
        <row r="2006">
          <cell r="A2006">
            <v>1747</v>
          </cell>
          <cell r="B2006">
            <v>5240</v>
          </cell>
          <cell r="C2006" t="str">
            <v>Paramontroseite</v>
          </cell>
          <cell r="E2006" t="str">
            <v>https://www.mindat.org/1:1:3100:0</v>
          </cell>
        </row>
        <row r="2007">
          <cell r="A2007">
            <v>1764</v>
          </cell>
          <cell r="B2007">
            <v>5240</v>
          </cell>
          <cell r="C2007" t="str">
            <v>Paratellurite</v>
          </cell>
          <cell r="E2007" t="str">
            <v>https://www.mindat.org/1:1:3116:1</v>
          </cell>
        </row>
        <row r="2008">
          <cell r="A2008">
            <v>1777</v>
          </cell>
          <cell r="B2008">
            <v>5240</v>
          </cell>
          <cell r="C2008" t="str">
            <v>Partzite</v>
          </cell>
          <cell r="E2008" t="str">
            <v/>
          </cell>
        </row>
        <row r="2009">
          <cell r="A2009">
            <v>1780</v>
          </cell>
          <cell r="B2009">
            <v>5240</v>
          </cell>
          <cell r="C2009" t="str">
            <v>Pascoite</v>
          </cell>
          <cell r="E2009" t="str">
            <v>https://www.mindat.org/1:1:3130:7</v>
          </cell>
        </row>
        <row r="2010">
          <cell r="A2010">
            <v>1787</v>
          </cell>
          <cell r="B2010">
            <v>5240</v>
          </cell>
          <cell r="C2010" t="str">
            <v>Paulmooreite</v>
          </cell>
          <cell r="E2010" t="str">
            <v>https://www.mindat.org/1:1:3135:2</v>
          </cell>
        </row>
        <row r="2011">
          <cell r="A2011">
            <v>1795</v>
          </cell>
          <cell r="B2011">
            <v>5240</v>
          </cell>
          <cell r="C2011" t="str">
            <v>Doloresite</v>
          </cell>
          <cell r="E2011" t="str">
            <v>https://www.mindat.org/1:1:1305:1</v>
          </cell>
        </row>
        <row r="2012">
          <cell r="A2012">
            <v>1806</v>
          </cell>
          <cell r="B2012">
            <v>5240</v>
          </cell>
          <cell r="C2012" t="str">
            <v>Doyleite</v>
          </cell>
          <cell r="E2012" t="str">
            <v>https://www.mindat.org/1:1:1316:7</v>
          </cell>
        </row>
        <row r="2013">
          <cell r="A2013">
            <v>1826</v>
          </cell>
          <cell r="B2013">
            <v>5240</v>
          </cell>
          <cell r="C2013" t="str">
            <v>Duttonite</v>
          </cell>
          <cell r="E2013" t="str">
            <v>https://www.mindat.org/1:1:1335:8</v>
          </cell>
        </row>
        <row r="2014">
          <cell r="A2014">
            <v>1830</v>
          </cell>
          <cell r="B2014">
            <v>5240</v>
          </cell>
          <cell r="C2014" t="str">
            <v>Dzhalindite</v>
          </cell>
          <cell r="E2014" t="str">
            <v>https://www.mindat.org/1:1:1339:6</v>
          </cell>
        </row>
        <row r="2015">
          <cell r="A2015">
            <v>1866</v>
          </cell>
          <cell r="B2015">
            <v>5240</v>
          </cell>
          <cell r="C2015" t="str">
            <v>Emmonsite</v>
          </cell>
          <cell r="E2015" t="str">
            <v>https://www.mindat.org/1:1:1377:8</v>
          </cell>
        </row>
        <row r="2016">
          <cell r="A2016">
            <v>1891</v>
          </cell>
          <cell r="B2016">
            <v>5240</v>
          </cell>
          <cell r="C2016" t="str">
            <v>Ernienickelite</v>
          </cell>
          <cell r="E2016" t="str">
            <v>https://www.mindat.org/1:1:1402:7</v>
          </cell>
        </row>
        <row r="2017">
          <cell r="A2017">
            <v>1901</v>
          </cell>
          <cell r="B2017">
            <v>5240</v>
          </cell>
          <cell r="C2017" t="str">
            <v>Eskolaite</v>
          </cell>
          <cell r="E2017" t="str">
            <v>https://www.mindat.org/1:1:1411:9</v>
          </cell>
        </row>
        <row r="2018">
          <cell r="A2018">
            <v>1916</v>
          </cell>
          <cell r="B2018">
            <v>5240</v>
          </cell>
          <cell r="C2018" t="str">
            <v>Euxenite-(Y)</v>
          </cell>
          <cell r="E2018" t="str">
            <v>https://www.mindat.org/1:1:1425:6</v>
          </cell>
        </row>
        <row r="2019">
          <cell r="A2019">
            <v>1923</v>
          </cell>
          <cell r="B2019">
            <v>5240</v>
          </cell>
          <cell r="C2019" t="str">
            <v>Eztlite</v>
          </cell>
          <cell r="E2019" t="str">
            <v>https://www.mindat.org/1:1:1432:4</v>
          </cell>
        </row>
        <row r="2020">
          <cell r="A2020">
            <v>1928</v>
          </cell>
          <cell r="B2020">
            <v>5240</v>
          </cell>
          <cell r="C2020" t="str">
            <v>Fairbankite</v>
          </cell>
          <cell r="E2020" t="str">
            <v>https://www.mindat.org/1:1:1439:3</v>
          </cell>
        </row>
        <row r="2021">
          <cell r="A2021">
            <v>1946</v>
          </cell>
          <cell r="B2021">
            <v>5240</v>
          </cell>
          <cell r="C2021" t="str">
            <v>Feitknechtite</v>
          </cell>
          <cell r="E2021" t="str">
            <v>https://www.mindat.org/1:1:1473:7</v>
          </cell>
        </row>
        <row r="2022">
          <cell r="A2022">
            <v>1950</v>
          </cell>
          <cell r="B2022">
            <v>5240</v>
          </cell>
          <cell r="C2022" t="str">
            <v>Ferberite</v>
          </cell>
          <cell r="E2022" t="str">
            <v>https://www.mindat.org/1:1:1476:8</v>
          </cell>
        </row>
        <row r="2023">
          <cell r="A2023">
            <v>1962</v>
          </cell>
          <cell r="B2023">
            <v>5240</v>
          </cell>
          <cell r="C2023" t="str">
            <v>Fernandinite</v>
          </cell>
          <cell r="E2023" t="str">
            <v>https://www.mindat.org/1:1:1483:6</v>
          </cell>
        </row>
        <row r="2024">
          <cell r="A2024">
            <v>1963</v>
          </cell>
          <cell r="B2024">
            <v>5240</v>
          </cell>
          <cell r="C2024" t="str">
            <v>Feroxyhyte</v>
          </cell>
          <cell r="E2024" t="str">
            <v>https://www.mindat.org/1:1:1484:3</v>
          </cell>
        </row>
        <row r="2025">
          <cell r="A2025">
            <v>1973</v>
          </cell>
          <cell r="B2025">
            <v>5240</v>
          </cell>
          <cell r="C2025" t="str">
            <v>Ferrihydrite</v>
          </cell>
          <cell r="E2025" t="str">
            <v>https://www.mindat.org/1:1:1493:5</v>
          </cell>
        </row>
        <row r="2026">
          <cell r="A2026">
            <v>1984</v>
          </cell>
          <cell r="B2026">
            <v>5240</v>
          </cell>
          <cell r="C2026" t="str">
            <v>Ferritungstite</v>
          </cell>
          <cell r="E2026" t="str">
            <v/>
          </cell>
        </row>
        <row r="2027">
          <cell r="A2027">
            <v>1998</v>
          </cell>
          <cell r="B2027">
            <v>5240</v>
          </cell>
          <cell r="C2027" t="str">
            <v>Ferrocolumbite</v>
          </cell>
          <cell r="E2027" t="str">
            <v/>
          </cell>
        </row>
        <row r="2028">
          <cell r="A2028">
            <v>2016</v>
          </cell>
          <cell r="B2028">
            <v>5240</v>
          </cell>
          <cell r="C2028" t="str">
            <v>Ferrotantalite</v>
          </cell>
          <cell r="E2028" t="str">
            <v/>
          </cell>
        </row>
        <row r="2029">
          <cell r="A2029">
            <v>2017</v>
          </cell>
          <cell r="B2029">
            <v>5240</v>
          </cell>
          <cell r="C2029" t="str">
            <v>Ferrotapiolite</v>
          </cell>
          <cell r="E2029" t="str">
            <v/>
          </cell>
        </row>
        <row r="2030">
          <cell r="A2030">
            <v>2027</v>
          </cell>
          <cell r="B2030">
            <v>5240</v>
          </cell>
          <cell r="C2030" t="str">
            <v>Fersmite</v>
          </cell>
          <cell r="E2030" t="str">
            <v>https://www.mindat.org/1:1:1539:0</v>
          </cell>
        </row>
        <row r="2031">
          <cell r="A2031">
            <v>2029</v>
          </cell>
          <cell r="B2031">
            <v>5240</v>
          </cell>
          <cell r="C2031" t="str">
            <v>Fervanite</v>
          </cell>
          <cell r="E2031" t="str">
            <v>https://www.mindat.org/1:1:1541:3</v>
          </cell>
        </row>
        <row r="2032">
          <cell r="A2032">
            <v>2030</v>
          </cell>
          <cell r="B2032">
            <v>5240</v>
          </cell>
          <cell r="C2032" t="str">
            <v>Fetiasite</v>
          </cell>
          <cell r="E2032" t="str">
            <v>https://www.mindat.org/1:1:1542:0</v>
          </cell>
        </row>
        <row r="2033">
          <cell r="A2033">
            <v>2037</v>
          </cell>
          <cell r="B2033">
            <v>5240</v>
          </cell>
          <cell r="C2033" t="str">
            <v>Filipstadite</v>
          </cell>
          <cell r="E2033" t="str">
            <v>https://www.mindat.org/1:1:1548:2</v>
          </cell>
        </row>
        <row r="2034">
          <cell r="A2034">
            <v>2040</v>
          </cell>
          <cell r="B2034">
            <v>5240</v>
          </cell>
          <cell r="C2034" t="str">
            <v>Finnemanite</v>
          </cell>
          <cell r="E2034" t="str">
            <v>https://www.mindat.org/1:1:1551:2</v>
          </cell>
        </row>
        <row r="2035">
          <cell r="A2035">
            <v>2077</v>
          </cell>
          <cell r="B2035">
            <v>5240</v>
          </cell>
          <cell r="C2035" t="str">
            <v>Meymacite</v>
          </cell>
          <cell r="E2035" t="str">
            <v>https://www.mindat.org/1:1:2700:3</v>
          </cell>
        </row>
        <row r="2036">
          <cell r="A2036">
            <v>2084</v>
          </cell>
          <cell r="B2036">
            <v>5240</v>
          </cell>
          <cell r="C2036" t="str">
            <v>Microlite</v>
          </cell>
          <cell r="E2036" t="str">
            <v/>
          </cell>
        </row>
        <row r="2037">
          <cell r="A2037">
            <v>2101</v>
          </cell>
          <cell r="B2037">
            <v>5240</v>
          </cell>
          <cell r="C2037" t="str">
            <v>Minium</v>
          </cell>
          <cell r="E2037" t="str">
            <v>https://www.mindat.org/1:1:2721:8</v>
          </cell>
        </row>
        <row r="2038">
          <cell r="A2038">
            <v>2112</v>
          </cell>
          <cell r="B2038">
            <v>5240</v>
          </cell>
          <cell r="C2038" t="str">
            <v>Moctezumite</v>
          </cell>
          <cell r="E2038" t="str">
            <v>https://www.mindat.org/1:1:2737:9</v>
          </cell>
        </row>
        <row r="2039">
          <cell r="A2039">
            <v>2123</v>
          </cell>
          <cell r="B2039">
            <v>5240</v>
          </cell>
          <cell r="C2039" t="str">
            <v>Molybdite</v>
          </cell>
          <cell r="E2039" t="str">
            <v>https://www.mindat.org/1:1:2748:5</v>
          </cell>
        </row>
        <row r="2040">
          <cell r="A2040">
            <v>2125</v>
          </cell>
          <cell r="B2040">
            <v>5240</v>
          </cell>
          <cell r="C2040" t="str">
            <v>Molybdomenite</v>
          </cell>
          <cell r="E2040" t="str">
            <v>https://www.mindat.org/1:1:2733:1</v>
          </cell>
        </row>
        <row r="2041">
          <cell r="A2041">
            <v>2134</v>
          </cell>
          <cell r="B2041">
            <v>5240</v>
          </cell>
          <cell r="C2041" t="str">
            <v>Monimolite</v>
          </cell>
          <cell r="E2041" t="str">
            <v>https://www.mindat.org/1:1:2757:7</v>
          </cell>
        </row>
        <row r="2042">
          <cell r="A2042">
            <v>2141</v>
          </cell>
          <cell r="B2042">
            <v>5240</v>
          </cell>
          <cell r="C2042" t="str">
            <v>Monteponite</v>
          </cell>
          <cell r="E2042" t="str">
            <v>https://www.mindat.org/1:1:2764:5</v>
          </cell>
        </row>
        <row r="2043">
          <cell r="A2043">
            <v>2147</v>
          </cell>
          <cell r="B2043">
            <v>5240</v>
          </cell>
          <cell r="C2043" t="str">
            <v>Montroseite</v>
          </cell>
          <cell r="E2043" t="str">
            <v>https://www.mindat.org/1:1:2769:0</v>
          </cell>
        </row>
        <row r="2044">
          <cell r="A2044">
            <v>2149</v>
          </cell>
          <cell r="B2044">
            <v>5240</v>
          </cell>
          <cell r="C2044" t="str">
            <v>Montroydite</v>
          </cell>
          <cell r="E2044" t="str">
            <v>https://www.mindat.org/1:1:2771:3</v>
          </cell>
        </row>
        <row r="2045">
          <cell r="A2045">
            <v>2154</v>
          </cell>
          <cell r="B2045">
            <v>5240</v>
          </cell>
          <cell r="C2045" t="str">
            <v>Mopungite</v>
          </cell>
          <cell r="E2045" t="str">
            <v>https://www.mindat.org/1:1:2777:5</v>
          </cell>
        </row>
        <row r="2046">
          <cell r="A2046">
            <v>2172</v>
          </cell>
          <cell r="B2046">
            <v>5240</v>
          </cell>
          <cell r="C2046" t="str">
            <v>Mourite</v>
          </cell>
          <cell r="E2046" t="str">
            <v>https://www.mindat.org/1:1:2797:3</v>
          </cell>
        </row>
        <row r="2047">
          <cell r="A2047">
            <v>2178</v>
          </cell>
          <cell r="B2047">
            <v>5240</v>
          </cell>
          <cell r="C2047" t="str">
            <v>Mroseite</v>
          </cell>
          <cell r="E2047" t="str">
            <v>https://www.mindat.org/1:1:2802:4</v>
          </cell>
        </row>
        <row r="2048">
          <cell r="A2048">
            <v>2186</v>
          </cell>
          <cell r="B2048">
            <v>5240</v>
          </cell>
          <cell r="C2048" t="str">
            <v>Munirite</v>
          </cell>
          <cell r="E2048" t="str">
            <v>https://www.mindat.org/1:1:2810:9</v>
          </cell>
        </row>
        <row r="2049">
          <cell r="A2049">
            <v>2187</v>
          </cell>
          <cell r="B2049">
            <v>5240</v>
          </cell>
          <cell r="C2049" t="str">
            <v>Murataite</v>
          </cell>
          <cell r="E2049" t="str">
            <v/>
          </cell>
        </row>
        <row r="2050">
          <cell r="A2050">
            <v>2192</v>
          </cell>
          <cell r="B2050">
            <v>5240</v>
          </cell>
          <cell r="C2050" t="str">
            <v>Musgravite</v>
          </cell>
          <cell r="E2050" t="str">
            <v/>
          </cell>
        </row>
        <row r="2051">
          <cell r="A2051">
            <v>2193</v>
          </cell>
          <cell r="B2051">
            <v>5240</v>
          </cell>
          <cell r="C2051" t="str">
            <v>Mushistonite</v>
          </cell>
          <cell r="E2051" t="str">
            <v>https://www.mindat.org/1:1:2817:8</v>
          </cell>
        </row>
        <row r="2052">
          <cell r="A2052">
            <v>2194</v>
          </cell>
          <cell r="B2052">
            <v>5240</v>
          </cell>
          <cell r="C2052" t="str">
            <v>Muskoxite</v>
          </cell>
          <cell r="E2052" t="str">
            <v>https://www.mindat.org/1:1:2818:5</v>
          </cell>
        </row>
        <row r="2053">
          <cell r="A2053">
            <v>2230</v>
          </cell>
          <cell r="B2053">
            <v>5240</v>
          </cell>
          <cell r="C2053" t="str">
            <v>Natanite</v>
          </cell>
          <cell r="E2053" t="str">
            <v>https://www.mindat.org/1:1:2847:5</v>
          </cell>
        </row>
        <row r="2054">
          <cell r="A2054">
            <v>2248</v>
          </cell>
          <cell r="B2054">
            <v>5240</v>
          </cell>
          <cell r="C2054" t="str">
            <v>Natrotantite</v>
          </cell>
          <cell r="E2054" t="str">
            <v>https://www.mindat.org/1:1:2864:2</v>
          </cell>
        </row>
        <row r="2055">
          <cell r="A2055">
            <v>2252</v>
          </cell>
          <cell r="B2055">
            <v>5240</v>
          </cell>
          <cell r="C2055" t="str">
            <v>Navajoite</v>
          </cell>
          <cell r="E2055" t="str">
            <v>https://www.mindat.org/1:1:2867:3</v>
          </cell>
        </row>
        <row r="2056">
          <cell r="A2056">
            <v>2254</v>
          </cell>
          <cell r="B2056">
            <v>5240</v>
          </cell>
          <cell r="C2056" t="str">
            <v>Nealite</v>
          </cell>
          <cell r="E2056" t="str">
            <v>https://www.mindat.org/1:1:2869:7</v>
          </cell>
        </row>
        <row r="2057">
          <cell r="A2057">
            <v>2293</v>
          </cell>
          <cell r="B2057">
            <v>5240</v>
          </cell>
          <cell r="C2057" t="str">
            <v>Nigerite</v>
          </cell>
          <cell r="E2057" t="str">
            <v/>
          </cell>
        </row>
        <row r="2058">
          <cell r="A2058">
            <v>2314</v>
          </cell>
          <cell r="B2058">
            <v>5240</v>
          </cell>
          <cell r="C2058" t="str">
            <v>Nolanite</v>
          </cell>
          <cell r="E2058" t="str">
            <v>https://www.mindat.org/1:1:2922:9</v>
          </cell>
        </row>
        <row r="2059">
          <cell r="A2059">
            <v>2322</v>
          </cell>
          <cell r="B2059">
            <v>5240</v>
          </cell>
          <cell r="C2059" t="str">
            <v>Nordstrandite</v>
          </cell>
          <cell r="E2059" t="str">
            <v>https://www.mindat.org/1:1:2930:4</v>
          </cell>
        </row>
        <row r="2060">
          <cell r="A2060">
            <v>2334</v>
          </cell>
          <cell r="B2060">
            <v>5240</v>
          </cell>
          <cell r="C2060" t="str">
            <v>Nsutite</v>
          </cell>
          <cell r="E2060" t="str">
            <v>https://www.mindat.org/1:1:2940:3</v>
          </cell>
        </row>
        <row r="2061">
          <cell r="A2061">
            <v>2342</v>
          </cell>
          <cell r="B2061">
            <v>5240</v>
          </cell>
          <cell r="C2061" t="str">
            <v>Oboyerite</v>
          </cell>
          <cell r="E2061" t="str">
            <v>https://www.mindat.org/1:1:3055:3</v>
          </cell>
        </row>
        <row r="2062">
          <cell r="A2062">
            <v>2366</v>
          </cell>
          <cell r="B2062">
            <v>5240</v>
          </cell>
          <cell r="C2062" t="str">
            <v>Litharge</v>
          </cell>
          <cell r="E2062" t="str">
            <v>https://www.mindat.org/1:1:2466:8</v>
          </cell>
        </row>
        <row r="2063">
          <cell r="A2063">
            <v>2369</v>
          </cell>
          <cell r="B2063">
            <v>5240</v>
          </cell>
          <cell r="C2063" t="str">
            <v>Lithiophorite</v>
          </cell>
          <cell r="E2063" t="str">
            <v>https://www.mindat.org/1:1:2419:4</v>
          </cell>
        </row>
        <row r="2064">
          <cell r="A2064">
            <v>2385</v>
          </cell>
          <cell r="B2064">
            <v>5240</v>
          </cell>
          <cell r="C2064" t="str">
            <v>Loparite-(Ce)</v>
          </cell>
          <cell r="E2064" t="str">
            <v>https://www.mindat.org/1:1:2432:3</v>
          </cell>
        </row>
        <row r="2065">
          <cell r="A2065">
            <v>2388</v>
          </cell>
          <cell r="B2065">
            <v>5240</v>
          </cell>
          <cell r="C2065" t="str">
            <v>Loranskite-(Y)</v>
          </cell>
          <cell r="E2065" t="str">
            <v>https://www.mindat.org/1:1:2435:4</v>
          </cell>
        </row>
        <row r="2066">
          <cell r="A2066">
            <v>2396</v>
          </cell>
          <cell r="B2066">
            <v>5240</v>
          </cell>
          <cell r="C2066" t="str">
            <v>Loveringite</v>
          </cell>
          <cell r="E2066" t="str">
            <v>https://www.mindat.org/1:1:2444:6</v>
          </cell>
        </row>
        <row r="2067">
          <cell r="A2067">
            <v>2400</v>
          </cell>
          <cell r="B2067">
            <v>5240</v>
          </cell>
          <cell r="C2067" t="str">
            <v>Lucasite-(Ce)</v>
          </cell>
          <cell r="E2067" t="str">
            <v>https://www.mindat.org/1:1:2449:1</v>
          </cell>
        </row>
        <row r="2068">
          <cell r="A2068">
            <v>2404</v>
          </cell>
          <cell r="B2068">
            <v>5240</v>
          </cell>
          <cell r="C2068" t="str">
            <v>Ludlockite</v>
          </cell>
          <cell r="E2068" t="str">
            <v>https://www.mindat.org/1:1:2453:8</v>
          </cell>
        </row>
        <row r="2069">
          <cell r="A2069">
            <v>2406</v>
          </cell>
          <cell r="B2069">
            <v>5240</v>
          </cell>
          <cell r="C2069" t="str">
            <v>Lueshite</v>
          </cell>
          <cell r="E2069" t="str">
            <v>https://www.mindat.org/1:1:2455:2</v>
          </cell>
        </row>
        <row r="2070">
          <cell r="A2070">
            <v>2421</v>
          </cell>
          <cell r="B2070">
            <v>5240</v>
          </cell>
          <cell r="C2070" t="str">
            <v>Macedonite</v>
          </cell>
          <cell r="E2070" t="str">
            <v>https://www.mindat.org/1:1:2507:8</v>
          </cell>
        </row>
        <row r="2071">
          <cell r="A2071">
            <v>2424</v>
          </cell>
          <cell r="B2071">
            <v>5240</v>
          </cell>
          <cell r="C2071" t="str">
            <v>Mackayite</v>
          </cell>
          <cell r="E2071" t="str">
            <v>https://www.mindat.org/1:1:2511:5</v>
          </cell>
        </row>
        <row r="2072">
          <cell r="A2072">
            <v>2432</v>
          </cell>
          <cell r="B2072">
            <v>5240</v>
          </cell>
          <cell r="C2072" t="str">
            <v>Maghemite</v>
          </cell>
          <cell r="E2072" t="str">
            <v>https://www.mindat.org/1:1:2533:7</v>
          </cell>
        </row>
        <row r="2073">
          <cell r="A2073">
            <v>2439</v>
          </cell>
          <cell r="B2073">
            <v>5240</v>
          </cell>
          <cell r="C2073" t="str">
            <v>Magnesiochromite</v>
          </cell>
          <cell r="E2073" t="str">
            <v>https://www.mindat.org/1:1:2493:4</v>
          </cell>
        </row>
        <row r="2074">
          <cell r="A2074">
            <v>2445</v>
          </cell>
          <cell r="B2074">
            <v>5240</v>
          </cell>
          <cell r="C2074" t="str">
            <v>Magnesioferrite</v>
          </cell>
          <cell r="E2074" t="str">
            <v>https://www.mindat.org/1:1:2501:6</v>
          </cell>
        </row>
        <row r="2075">
          <cell r="A2075">
            <v>2459</v>
          </cell>
          <cell r="B2075">
            <v>5240</v>
          </cell>
          <cell r="C2075" t="str">
            <v>Magnetite</v>
          </cell>
          <cell r="E2075" t="str">
            <v>https://www.mindat.org/1:1:2538:2</v>
          </cell>
        </row>
        <row r="2076">
          <cell r="A2076">
            <v>2460</v>
          </cell>
          <cell r="B2076">
            <v>5240</v>
          </cell>
          <cell r="C2076" t="str">
            <v>Magnetoplumbite</v>
          </cell>
          <cell r="E2076" t="str">
            <v>https://www.mindat.org/1:1:2539:9</v>
          </cell>
        </row>
        <row r="2077">
          <cell r="A2077">
            <v>2463</v>
          </cell>
          <cell r="B2077">
            <v>5240</v>
          </cell>
          <cell r="C2077" t="str">
            <v>Magnolite</v>
          </cell>
          <cell r="E2077" t="str">
            <v>https://www.mindat.org/1:1:2542:9</v>
          </cell>
        </row>
        <row r="2078">
          <cell r="A2078">
            <v>2464</v>
          </cell>
          <cell r="B2078">
            <v>5240</v>
          </cell>
          <cell r="C2078" t="str">
            <v>Magnussonite</v>
          </cell>
          <cell r="E2078" t="str">
            <v>https://www.mindat.org/1:1:2543:6</v>
          </cell>
        </row>
        <row r="2079">
          <cell r="A2079">
            <v>2483</v>
          </cell>
          <cell r="B2079">
            <v>5240</v>
          </cell>
          <cell r="C2079" t="str">
            <v>Mandarinoite</v>
          </cell>
          <cell r="E2079" t="str">
            <v>https://www.mindat.org/1:1:2561:0</v>
          </cell>
        </row>
        <row r="2080">
          <cell r="A2080">
            <v>2495</v>
          </cell>
          <cell r="B2080">
            <v>5240</v>
          </cell>
          <cell r="C2080" t="str">
            <v>Manganite</v>
          </cell>
          <cell r="E2080" t="str">
            <v>https://www.mindat.org/1:1:2519:1</v>
          </cell>
        </row>
        <row r="2081">
          <cell r="A2081">
            <v>2497</v>
          </cell>
          <cell r="B2081">
            <v>5240</v>
          </cell>
          <cell r="C2081" t="str">
            <v>Manganocolumbite</v>
          </cell>
          <cell r="E2081" t="str">
            <v/>
          </cell>
        </row>
        <row r="2082">
          <cell r="A2082">
            <v>2503</v>
          </cell>
          <cell r="B2082">
            <v>5240</v>
          </cell>
          <cell r="C2082" t="str">
            <v>Crichtonite</v>
          </cell>
          <cell r="E2082" t="str">
            <v>https://www.mindat.org/1:1:1153:8</v>
          </cell>
        </row>
        <row r="2083">
          <cell r="A2083">
            <v>2506</v>
          </cell>
          <cell r="B2083">
            <v>5240</v>
          </cell>
          <cell r="C2083" t="str">
            <v>Manganosite</v>
          </cell>
          <cell r="E2083" t="str">
            <v>https://www.mindat.org/1:1:2503:0</v>
          </cell>
        </row>
        <row r="2084">
          <cell r="A2084">
            <v>2507</v>
          </cell>
          <cell r="B2084">
            <v>5240</v>
          </cell>
          <cell r="C2084" t="str">
            <v>Manganostibite</v>
          </cell>
          <cell r="E2084" t="str">
            <v>https://www.mindat.org/1:1:2528:3</v>
          </cell>
        </row>
        <row r="2085">
          <cell r="A2085">
            <v>2508</v>
          </cell>
          <cell r="B2085">
            <v>5240</v>
          </cell>
          <cell r="C2085" t="str">
            <v>Manganotantalite</v>
          </cell>
          <cell r="E2085" t="str">
            <v/>
          </cell>
        </row>
        <row r="2086">
          <cell r="A2086">
            <v>2513</v>
          </cell>
          <cell r="B2086">
            <v>5240</v>
          </cell>
          <cell r="C2086" t="str">
            <v>Manjiroite</v>
          </cell>
          <cell r="E2086" t="str">
            <v>https://www.mindat.org/1:1:2566:5</v>
          </cell>
        </row>
        <row r="2087">
          <cell r="A2087">
            <v>2514</v>
          </cell>
          <cell r="B2087">
            <v>5240</v>
          </cell>
          <cell r="C2087" t="str">
            <v>Mannardite</v>
          </cell>
          <cell r="E2087" t="str">
            <v>https://www.mindat.org/1:1:2567:2</v>
          </cell>
        </row>
        <row r="2088">
          <cell r="A2088">
            <v>2519</v>
          </cell>
          <cell r="B2088">
            <v>5240</v>
          </cell>
          <cell r="C2088" t="str">
            <v>Margaritasite</v>
          </cell>
          <cell r="E2088" t="str">
            <v>https://www.mindat.org/1:1:2572:6</v>
          </cell>
        </row>
        <row r="2089">
          <cell r="A2089">
            <v>2525</v>
          </cell>
          <cell r="B2089">
            <v>5240</v>
          </cell>
          <cell r="C2089" t="str">
            <v>Marokite</v>
          </cell>
          <cell r="E2089" t="str">
            <v>https://www.mindat.org/1:1:2578:8</v>
          </cell>
        </row>
        <row r="2090">
          <cell r="A2090">
            <v>2529</v>
          </cell>
          <cell r="B2090">
            <v>5240</v>
          </cell>
          <cell r="C2090" t="str">
            <v>Marthozite</v>
          </cell>
          <cell r="E2090" t="str">
            <v>https://www.mindat.org/1:1:2582:5</v>
          </cell>
        </row>
        <row r="2091">
          <cell r="A2091">
            <v>2532</v>
          </cell>
          <cell r="B2091">
            <v>5240</v>
          </cell>
          <cell r="C2091" t="str">
            <v>Massicot</v>
          </cell>
          <cell r="E2091" t="str">
            <v>https://www.mindat.org/1:1:2587:0</v>
          </cell>
        </row>
        <row r="2092">
          <cell r="A2092">
            <v>2534</v>
          </cell>
          <cell r="B2092">
            <v>5240</v>
          </cell>
          <cell r="C2092" t="str">
            <v>Masuyite</v>
          </cell>
          <cell r="E2092" t="str">
            <v>https://www.mindat.org/1:1:2589:4</v>
          </cell>
        </row>
        <row r="2093">
          <cell r="A2093">
            <v>2549</v>
          </cell>
          <cell r="B2093">
            <v>5240</v>
          </cell>
          <cell r="C2093" t="str">
            <v>Mayenite</v>
          </cell>
          <cell r="E2093" t="str">
            <v/>
          </cell>
        </row>
        <row r="2094">
          <cell r="A2094">
            <v>2571</v>
          </cell>
          <cell r="B2094">
            <v>5240</v>
          </cell>
          <cell r="C2094" t="str">
            <v>Melanophlogite</v>
          </cell>
          <cell r="E2094" t="str">
            <v>https://www.mindat.org/1:1:2630:3</v>
          </cell>
        </row>
        <row r="2095">
          <cell r="A2095">
            <v>2572</v>
          </cell>
          <cell r="B2095">
            <v>5240</v>
          </cell>
          <cell r="C2095" t="str">
            <v>Melanostibite</v>
          </cell>
          <cell r="E2095" t="str">
            <v>https://www.mindat.org/1:1:2631:0</v>
          </cell>
        </row>
        <row r="2096">
          <cell r="A2096">
            <v>2575</v>
          </cell>
          <cell r="B2096">
            <v>5240</v>
          </cell>
          <cell r="C2096" t="str">
            <v>Melanovanadite</v>
          </cell>
          <cell r="E2096" t="str">
            <v>https://www.mindat.org/1:1:2622:8</v>
          </cell>
        </row>
        <row r="2097">
          <cell r="A2097">
            <v>2614</v>
          </cell>
          <cell r="B2097">
            <v>5240</v>
          </cell>
          <cell r="C2097" t="str">
            <v>Metahewettite</v>
          </cell>
          <cell r="E2097" t="str">
            <v>https://www.mindat.org/1:1:2674:7</v>
          </cell>
        </row>
        <row r="2098">
          <cell r="A2098">
            <v>2620</v>
          </cell>
          <cell r="B2098">
            <v>5240</v>
          </cell>
          <cell r="C2098" t="str">
            <v>Metamunirite</v>
          </cell>
          <cell r="E2098" t="str">
            <v>https://www.mindat.org/1:1:2680:8</v>
          </cell>
        </row>
        <row r="2099">
          <cell r="A2099">
            <v>2622</v>
          </cell>
          <cell r="B2099">
            <v>5240</v>
          </cell>
          <cell r="C2099" t="str">
            <v>Metarossite</v>
          </cell>
          <cell r="E2099" t="str">
            <v>https://www.mindat.org/1:1:2682:2</v>
          </cell>
        </row>
        <row r="2100">
          <cell r="A2100">
            <v>2624</v>
          </cell>
          <cell r="B2100">
            <v>5240</v>
          </cell>
          <cell r="C2100" t="str">
            <v>Metaschoepite</v>
          </cell>
          <cell r="E2100" t="str">
            <v>https://www.mindat.org/1:1:2684:6</v>
          </cell>
        </row>
        <row r="2101">
          <cell r="A2101">
            <v>2630</v>
          </cell>
          <cell r="B2101">
            <v>5240</v>
          </cell>
          <cell r="C2101" t="str">
            <v>Metatyuyamunite</v>
          </cell>
          <cell r="E2101" t="str">
            <v>https://www.mindat.org/1:1:2690:7</v>
          </cell>
        </row>
        <row r="2102">
          <cell r="A2102">
            <v>2650</v>
          </cell>
          <cell r="B2102">
            <v>5240</v>
          </cell>
          <cell r="C2102" t="str">
            <v>Fourmarierite</v>
          </cell>
          <cell r="E2102" t="str">
            <v>https://www.mindat.org/1:1:1587:1</v>
          </cell>
        </row>
        <row r="2103">
          <cell r="A2103">
            <v>2652</v>
          </cell>
          <cell r="B2103">
            <v>5240</v>
          </cell>
          <cell r="C2103" t="str">
            <v>Francevillite</v>
          </cell>
          <cell r="E2103" t="str">
            <v>https://www.mindat.org/1:1:1589:5</v>
          </cell>
        </row>
        <row r="2104">
          <cell r="A2104">
            <v>2654</v>
          </cell>
          <cell r="B2104">
            <v>5240</v>
          </cell>
          <cell r="C2104" t="str">
            <v>Francisite</v>
          </cell>
          <cell r="E2104" t="str">
            <v>https://www.mindat.org/1:1:1591:8</v>
          </cell>
        </row>
        <row r="2105">
          <cell r="A2105">
            <v>2658</v>
          </cell>
          <cell r="B2105">
            <v>5240</v>
          </cell>
          <cell r="C2105" t="str">
            <v>Franconite</v>
          </cell>
          <cell r="E2105" t="str">
            <v>https://www.mindat.org/1:1:1595:6</v>
          </cell>
        </row>
        <row r="2106">
          <cell r="A2106">
            <v>2663</v>
          </cell>
          <cell r="B2106">
            <v>5240</v>
          </cell>
          <cell r="C2106" t="str">
            <v>Franklinite</v>
          </cell>
          <cell r="E2106" t="str">
            <v>https://www.mindat.org/1:1:1598:7</v>
          </cell>
        </row>
        <row r="2107">
          <cell r="A2107">
            <v>2669</v>
          </cell>
          <cell r="B2107">
            <v>5240</v>
          </cell>
          <cell r="C2107" t="str">
            <v>Freedite</v>
          </cell>
          <cell r="E2107" t="str">
            <v>https://www.mindat.org/1:1:1604:5</v>
          </cell>
        </row>
        <row r="2108">
          <cell r="A2108">
            <v>2677</v>
          </cell>
          <cell r="B2108">
            <v>5240</v>
          </cell>
          <cell r="C2108" t="str">
            <v>Fritzscheite</v>
          </cell>
          <cell r="E2108" t="str">
            <v>https://www.mindat.org/1:1:1611:3</v>
          </cell>
        </row>
        <row r="2109">
          <cell r="A2109">
            <v>2696</v>
          </cell>
          <cell r="B2109">
            <v>5240</v>
          </cell>
          <cell r="C2109" t="str">
            <v>Gahnite</v>
          </cell>
          <cell r="E2109" t="str">
            <v>https://www.mindat.org/1:1:1632:8</v>
          </cell>
        </row>
        <row r="2110">
          <cell r="A2110">
            <v>2700</v>
          </cell>
          <cell r="B2110">
            <v>5240</v>
          </cell>
          <cell r="C2110" t="str">
            <v>Galaxite</v>
          </cell>
          <cell r="E2110" t="str">
            <v>https://www.mindat.org/1:1:1639:7</v>
          </cell>
        </row>
        <row r="2111">
          <cell r="A2111">
            <v>2728</v>
          </cell>
          <cell r="B2111">
            <v>5240</v>
          </cell>
          <cell r="C2111" t="str">
            <v>Gebhardite</v>
          </cell>
          <cell r="E2111" t="str">
            <v>https://www.mindat.org/1:1:1664:9</v>
          </cell>
        </row>
        <row r="2112">
          <cell r="A2112">
            <v>2734</v>
          </cell>
          <cell r="B2112">
            <v>5240</v>
          </cell>
          <cell r="C2112" t="str">
            <v>Geikielite</v>
          </cell>
          <cell r="E2112" t="str">
            <v>https://www.mindat.org/1:1:1670:0</v>
          </cell>
        </row>
        <row r="2113">
          <cell r="A2113">
            <v>2743</v>
          </cell>
          <cell r="B2113">
            <v>5240</v>
          </cell>
          <cell r="C2113" t="str">
            <v>Georgiadesite</v>
          </cell>
          <cell r="E2113" t="str">
            <v>https://www.mindat.org/1:1:1677:9</v>
          </cell>
        </row>
        <row r="2114">
          <cell r="A2114">
            <v>2744</v>
          </cell>
          <cell r="B2114">
            <v>5240</v>
          </cell>
          <cell r="C2114" t="str">
            <v>Gerasimovskite</v>
          </cell>
          <cell r="E2114" t="str">
            <v>https://www.mindat.org/1:1:1678:6</v>
          </cell>
        </row>
        <row r="2115">
          <cell r="A2115">
            <v>2756</v>
          </cell>
          <cell r="B2115">
            <v>5240</v>
          </cell>
          <cell r="C2115" t="str">
            <v>Gibbsite</v>
          </cell>
          <cell r="E2115" t="str">
            <v>https://www.mindat.org/1:1:1689:2</v>
          </cell>
        </row>
        <row r="2116">
          <cell r="A2116">
            <v>2766</v>
          </cell>
          <cell r="B2116">
            <v>5240</v>
          </cell>
          <cell r="C2116" t="str">
            <v>Girdite</v>
          </cell>
          <cell r="E2116" t="str">
            <v/>
          </cell>
        </row>
        <row r="2117">
          <cell r="A2117">
            <v>2791</v>
          </cell>
          <cell r="B2117">
            <v>5240</v>
          </cell>
          <cell r="C2117" t="str">
            <v>Goethite</v>
          </cell>
          <cell r="E2117" t="str">
            <v>https://www.mindat.org/1:1:1719:6</v>
          </cell>
        </row>
        <row r="2118">
          <cell r="A2118">
            <v>2813</v>
          </cell>
          <cell r="B2118">
            <v>5240</v>
          </cell>
          <cell r="C2118" t="str">
            <v>Graemite</v>
          </cell>
          <cell r="E2118" t="str">
            <v>https://www.mindat.org/1:1:1734:9</v>
          </cell>
        </row>
        <row r="2119">
          <cell r="A2119">
            <v>2818</v>
          </cell>
          <cell r="B2119">
            <v>5240</v>
          </cell>
          <cell r="C2119" t="str">
            <v>Grantsite</v>
          </cell>
          <cell r="E2119" t="str">
            <v>https://www.mindat.org/1:1:1739:4</v>
          </cell>
        </row>
        <row r="2120">
          <cell r="A2120">
            <v>2831</v>
          </cell>
          <cell r="B2120">
            <v>5240</v>
          </cell>
          <cell r="C2120" t="str">
            <v>Grimaldiite</v>
          </cell>
          <cell r="E2120" t="str">
            <v>https://www.mindat.org/1:1:1750:9</v>
          </cell>
        </row>
        <row r="2121">
          <cell r="A2121">
            <v>2837</v>
          </cell>
          <cell r="B2121">
            <v>5240</v>
          </cell>
          <cell r="C2121" t="str">
            <v>Groutite</v>
          </cell>
          <cell r="E2121" t="str">
            <v>https://www.mindat.org/1:1:1756:1</v>
          </cell>
        </row>
        <row r="2122">
          <cell r="A2122">
            <v>2850</v>
          </cell>
          <cell r="B2122">
            <v>5240</v>
          </cell>
          <cell r="C2122" t="str">
            <v>Guilleminite</v>
          </cell>
          <cell r="E2122" t="str">
            <v>https://www.mindat.org/1:1:1771:4</v>
          </cell>
        </row>
        <row r="2123">
          <cell r="A2123">
            <v>2883</v>
          </cell>
          <cell r="B2123">
            <v>5240</v>
          </cell>
          <cell r="C2123" t="str">
            <v>Hannebachite</v>
          </cell>
          <cell r="E2123" t="str">
            <v>https://www.mindat.org/1:1:1997:8</v>
          </cell>
        </row>
        <row r="2124">
          <cell r="A2124">
            <v>2898</v>
          </cell>
          <cell r="B2124">
            <v>5240</v>
          </cell>
          <cell r="C2124" t="str">
            <v>Hausmannite</v>
          </cell>
          <cell r="E2124" t="str">
            <v>https://www.mindat.org/1:1:1832:2</v>
          </cell>
        </row>
        <row r="2125">
          <cell r="A2125">
            <v>2921</v>
          </cell>
          <cell r="B2125">
            <v>5240</v>
          </cell>
          <cell r="C2125" t="str">
            <v>Hematite</v>
          </cell>
          <cell r="E2125" t="str">
            <v>https://www.mindat.org/1:1:1856:8</v>
          </cell>
        </row>
        <row r="2126">
          <cell r="A2126">
            <v>2928</v>
          </cell>
          <cell r="B2126">
            <v>5240</v>
          </cell>
          <cell r="C2126" t="str">
            <v>Hendersonite</v>
          </cell>
          <cell r="E2126" t="str">
            <v>https://www.mindat.org/1:1:1863:6</v>
          </cell>
        </row>
        <row r="2127">
          <cell r="A2127">
            <v>2936</v>
          </cell>
          <cell r="B2127">
            <v>5240</v>
          </cell>
          <cell r="C2127" t="str">
            <v>Hercynite</v>
          </cell>
          <cell r="E2127" t="str">
            <v>https://www.mindat.org/1:1:1875:9</v>
          </cell>
        </row>
        <row r="2128">
          <cell r="A2128">
            <v>2941</v>
          </cell>
          <cell r="B2128">
            <v>5240</v>
          </cell>
          <cell r="C2128" t="str">
            <v>Hetaerolite</v>
          </cell>
          <cell r="E2128" t="str">
            <v>https://www.mindat.org/1:1:1883:4</v>
          </cell>
        </row>
        <row r="2129">
          <cell r="A2129">
            <v>2942</v>
          </cell>
          <cell r="B2129">
            <v>5240</v>
          </cell>
          <cell r="C2129" t="str">
            <v>Heterogenite</v>
          </cell>
          <cell r="E2129" t="str">
            <v>https://www.mindat.org/1:1:1885:8</v>
          </cell>
        </row>
        <row r="2130">
          <cell r="A2130">
            <v>2943</v>
          </cell>
          <cell r="B2130">
            <v>5240</v>
          </cell>
          <cell r="C2130" t="str">
            <v>Heterogenite-2h</v>
          </cell>
          <cell r="E2130" t="str">
            <v/>
          </cell>
        </row>
        <row r="2131">
          <cell r="A2131">
            <v>2951</v>
          </cell>
          <cell r="B2131">
            <v>5240</v>
          </cell>
          <cell r="C2131" t="str">
            <v>Hewettite</v>
          </cell>
          <cell r="E2131" t="str">
            <v>https://www.mindat.org/1:1:1890:2</v>
          </cell>
        </row>
        <row r="2132">
          <cell r="A2132">
            <v>2959</v>
          </cell>
          <cell r="B2132">
            <v>5240</v>
          </cell>
          <cell r="C2132" t="str">
            <v>Hibonite</v>
          </cell>
          <cell r="E2132" t="str">
            <v>https://www.mindat.org/1:1:1897:1</v>
          </cell>
        </row>
        <row r="2133">
          <cell r="A2133">
            <v>2978</v>
          </cell>
          <cell r="B2133">
            <v>5240</v>
          </cell>
          <cell r="C2133" t="str">
            <v>Hochelagaite</v>
          </cell>
          <cell r="E2133" t="str">
            <v>https://www.mindat.org/1:1:1912:1</v>
          </cell>
        </row>
        <row r="2134">
          <cell r="A2134">
            <v>2986</v>
          </cell>
          <cell r="B2134">
            <v>5240</v>
          </cell>
          <cell r="C2134" t="str">
            <v>Hollandite</v>
          </cell>
          <cell r="E2134" t="str">
            <v>https://www.mindat.org/1:1:1921:3</v>
          </cell>
        </row>
        <row r="2135">
          <cell r="A2135">
            <v>2993</v>
          </cell>
          <cell r="B2135">
            <v>5240</v>
          </cell>
          <cell r="C2135" t="str">
            <v>Hongquiite</v>
          </cell>
          <cell r="E2135" t="str">
            <v/>
          </cell>
        </row>
        <row r="2136">
          <cell r="A2136">
            <v>3007</v>
          </cell>
          <cell r="B2136">
            <v>5240</v>
          </cell>
          <cell r="C2136" t="str">
            <v>Huemulite</v>
          </cell>
          <cell r="E2136" t="str">
            <v>https://www.mindat.org/1:1:1941:1</v>
          </cell>
        </row>
        <row r="2137">
          <cell r="A2137">
            <v>3012</v>
          </cell>
          <cell r="B2137">
            <v>5240</v>
          </cell>
          <cell r="C2137" t="str">
            <v>Hummerite</v>
          </cell>
          <cell r="E2137" t="str">
            <v>https://www.mindat.org/1:1:1948:0</v>
          </cell>
        </row>
        <row r="2138">
          <cell r="A2138">
            <v>3026</v>
          </cell>
          <cell r="B2138">
            <v>5240</v>
          </cell>
          <cell r="C2138" t="str">
            <v>Hydrocalumite</v>
          </cell>
          <cell r="E2138" t="str">
            <v>https://www.mindat.org/1:1:1968:8</v>
          </cell>
        </row>
        <row r="2139">
          <cell r="A2139">
            <v>3034</v>
          </cell>
          <cell r="B2139">
            <v>5240</v>
          </cell>
          <cell r="C2139" t="str">
            <v>Hydrohetaerolite</v>
          </cell>
          <cell r="E2139" t="str">
            <v/>
          </cell>
        </row>
        <row r="2140">
          <cell r="A2140">
            <v>3045</v>
          </cell>
          <cell r="B2140">
            <v>5240</v>
          </cell>
          <cell r="C2140" t="str">
            <v>Hydrotungstite</v>
          </cell>
          <cell r="E2140" t="str">
            <v>https://www.mindat.org/1:1:1988:6</v>
          </cell>
        </row>
        <row r="2141">
          <cell r="A2141">
            <v>3062</v>
          </cell>
          <cell r="B2141">
            <v>5240</v>
          </cell>
          <cell r="C2141" t="str">
            <v>Haggite</v>
          </cell>
          <cell r="E2141" t="str">
            <v/>
          </cell>
        </row>
        <row r="2142">
          <cell r="A2142">
            <v>3063</v>
          </cell>
          <cell r="B2142">
            <v>5240</v>
          </cell>
          <cell r="C2142" t="str">
            <v>Hogbomite</v>
          </cell>
          <cell r="E2142" t="str">
            <v/>
          </cell>
        </row>
        <row r="2143">
          <cell r="A2143">
            <v>3065</v>
          </cell>
          <cell r="B2143">
            <v>5240</v>
          </cell>
          <cell r="C2143" t="str">
            <v>Hubnerite</v>
          </cell>
          <cell r="E2143" t="str">
            <v/>
          </cell>
        </row>
        <row r="2144">
          <cell r="A2144">
            <v>3067</v>
          </cell>
          <cell r="B2144">
            <v>5240</v>
          </cell>
          <cell r="C2144" t="str">
            <v>Ianthinite</v>
          </cell>
          <cell r="E2144" t="str">
            <v>https://www.mindat.org/1:1:2000:4</v>
          </cell>
        </row>
        <row r="2145">
          <cell r="A2145">
            <v>3079</v>
          </cell>
          <cell r="B2145">
            <v>5240</v>
          </cell>
          <cell r="C2145" t="str">
            <v>Ilmenite</v>
          </cell>
          <cell r="E2145" t="str">
            <v>https://www.mindat.org/1:1:2013:4</v>
          </cell>
        </row>
        <row r="2146">
          <cell r="A2146">
            <v>3080</v>
          </cell>
          <cell r="B2146">
            <v>5240</v>
          </cell>
          <cell r="C2146" t="str">
            <v>Ilmenorutile</v>
          </cell>
          <cell r="E2146" t="str">
            <v/>
          </cell>
        </row>
        <row r="2147">
          <cell r="A2147">
            <v>3081</v>
          </cell>
          <cell r="B2147">
            <v>5240</v>
          </cell>
          <cell r="C2147" t="str">
            <v>Ilsemannite</v>
          </cell>
          <cell r="E2147" t="str">
            <v>https://www.mindat.org/1:1:2015:8</v>
          </cell>
        </row>
        <row r="2148">
          <cell r="A2148">
            <v>3098</v>
          </cell>
          <cell r="B2148">
            <v>5240</v>
          </cell>
          <cell r="C2148" t="str">
            <v>Ingersonite</v>
          </cell>
          <cell r="E2148" t="str">
            <v>https://www.mindat.org/1:1:2032:5</v>
          </cell>
        </row>
        <row r="2149">
          <cell r="A2149">
            <v>3105</v>
          </cell>
          <cell r="B2149">
            <v>5240</v>
          </cell>
          <cell r="C2149" t="str">
            <v>Iowaite</v>
          </cell>
          <cell r="E2149" t="str">
            <v>https://www.mindat.org/1:1:2038:7</v>
          </cell>
        </row>
        <row r="2150">
          <cell r="A2150">
            <v>3114</v>
          </cell>
          <cell r="B2150">
            <v>5240</v>
          </cell>
          <cell r="C2150" t="str">
            <v>Iriginite</v>
          </cell>
          <cell r="E2150" t="str">
            <v>https://www.mindat.org/1:1:2046:2</v>
          </cell>
        </row>
        <row r="2151">
          <cell r="A2151">
            <v>3117</v>
          </cell>
          <cell r="B2151">
            <v>5240</v>
          </cell>
          <cell r="C2151" t="str">
            <v>Ishikawaite</v>
          </cell>
          <cell r="E2151" t="str">
            <v>https://www.mindat.org/1:1:2050:9</v>
          </cell>
        </row>
        <row r="2152">
          <cell r="A2152">
            <v>3127</v>
          </cell>
          <cell r="B2152">
            <v>5240</v>
          </cell>
          <cell r="C2152" t="str">
            <v>Iwakiite</v>
          </cell>
          <cell r="E2152" t="str">
            <v/>
          </cell>
        </row>
        <row r="2153">
          <cell r="A2153">
            <v>3128</v>
          </cell>
          <cell r="B2153">
            <v>5240</v>
          </cell>
          <cell r="C2153" t="str">
            <v>Ixiolite</v>
          </cell>
          <cell r="E2153" t="str">
            <v>https://www.mindat.org/1:1:2059:2</v>
          </cell>
        </row>
        <row r="2154">
          <cell r="A2154">
            <v>3131</v>
          </cell>
          <cell r="B2154">
            <v>5240</v>
          </cell>
          <cell r="C2154" t="str">
            <v>Jacobsite</v>
          </cell>
          <cell r="E2154" t="str">
            <v>https://www.mindat.org/1:1:2061:5</v>
          </cell>
        </row>
        <row r="2155">
          <cell r="A2155">
            <v>3141</v>
          </cell>
          <cell r="B2155">
            <v>5240</v>
          </cell>
          <cell r="C2155" t="str">
            <v>Jamborite</v>
          </cell>
          <cell r="E2155" t="str">
            <v>https://www.mindat.org/1:1:2070:7</v>
          </cell>
        </row>
        <row r="2156">
          <cell r="A2156">
            <v>3144</v>
          </cell>
          <cell r="B2156">
            <v>5240</v>
          </cell>
          <cell r="C2156" t="str">
            <v>Janggunite</v>
          </cell>
          <cell r="E2156" t="str">
            <v>https://www.mindat.org/1:1:2073:8</v>
          </cell>
        </row>
        <row r="2157">
          <cell r="A2157">
            <v>3152</v>
          </cell>
          <cell r="B2157">
            <v>5240</v>
          </cell>
          <cell r="C2157" t="str">
            <v>Jeanbandyite</v>
          </cell>
          <cell r="E2157" t="str">
            <v>https://www.mindat.org/1:1:2084:4</v>
          </cell>
        </row>
        <row r="2158">
          <cell r="A2158">
            <v>3158</v>
          </cell>
          <cell r="B2158">
            <v>5240</v>
          </cell>
          <cell r="C2158" t="str">
            <v>Jeppeite</v>
          </cell>
          <cell r="E2158" t="str">
            <v>https://www.mindat.org/1:1:2089:9</v>
          </cell>
        </row>
        <row r="2159">
          <cell r="A2159">
            <v>3219</v>
          </cell>
          <cell r="B2159">
            <v>5240</v>
          </cell>
          <cell r="C2159" t="str">
            <v>Kalipyrochlore</v>
          </cell>
          <cell r="E2159" t="str">
            <v/>
          </cell>
        </row>
        <row r="2160">
          <cell r="A2160">
            <v>3227</v>
          </cell>
          <cell r="B2160">
            <v>5240</v>
          </cell>
          <cell r="C2160" t="str">
            <v>Kamiokite</v>
          </cell>
          <cell r="E2160" t="str">
            <v>https://www.mindat.org/1:1:2147:6</v>
          </cell>
        </row>
        <row r="2161">
          <cell r="A2161">
            <v>3239</v>
          </cell>
          <cell r="B2161">
            <v>5240</v>
          </cell>
          <cell r="C2161" t="str">
            <v>Karelianite</v>
          </cell>
          <cell r="E2161" t="str">
            <v>https://www.mindat.org/1:1:2158:2</v>
          </cell>
        </row>
        <row r="2162">
          <cell r="A2162">
            <v>3240</v>
          </cell>
          <cell r="B2162">
            <v>5240</v>
          </cell>
          <cell r="C2162" t="str">
            <v>Karibibite</v>
          </cell>
          <cell r="E2162" t="str">
            <v>https://www.mindat.org/1:1:2159:9</v>
          </cell>
        </row>
        <row r="2163">
          <cell r="A2163">
            <v>3247</v>
          </cell>
          <cell r="B2163">
            <v>5240</v>
          </cell>
          <cell r="C2163" t="str">
            <v>Kassite</v>
          </cell>
          <cell r="E2163" t="str">
            <v>https://www.mindat.org/1:1:2166:7</v>
          </cell>
        </row>
        <row r="2164">
          <cell r="A2164">
            <v>3270</v>
          </cell>
          <cell r="B2164">
            <v>5240</v>
          </cell>
          <cell r="C2164" t="str">
            <v>Kennedyite</v>
          </cell>
          <cell r="E2164" t="str">
            <v/>
          </cell>
        </row>
        <row r="2165">
          <cell r="A2165">
            <v>3276</v>
          </cell>
          <cell r="B2165">
            <v>5240</v>
          </cell>
          <cell r="C2165" t="str">
            <v>Kerstenite</v>
          </cell>
          <cell r="E2165" t="str">
            <v/>
          </cell>
        </row>
        <row r="2166">
          <cell r="A2166">
            <v>3288</v>
          </cell>
          <cell r="B2166">
            <v>5240</v>
          </cell>
          <cell r="C2166" t="str">
            <v>Khinite</v>
          </cell>
          <cell r="E2166" t="str">
            <v>https://www.mindat.org/1:1:2199:5</v>
          </cell>
        </row>
        <row r="2167">
          <cell r="A2167">
            <v>3298</v>
          </cell>
          <cell r="B2167">
            <v>5240</v>
          </cell>
          <cell r="C2167" t="str">
            <v>Kimrobinsonite</v>
          </cell>
          <cell r="E2167" t="str">
            <v>https://www.mindat.org/1:1:2207:7</v>
          </cell>
        </row>
        <row r="2168">
          <cell r="A2168">
            <v>3303</v>
          </cell>
          <cell r="B2168">
            <v>5240</v>
          </cell>
          <cell r="C2168" t="str">
            <v>Kinichilite</v>
          </cell>
          <cell r="E2168" t="str">
            <v>https://www.mindat.org/1:1:2212:1</v>
          </cell>
        </row>
        <row r="2169">
          <cell r="A2169">
            <v>3323</v>
          </cell>
          <cell r="B2169">
            <v>5240</v>
          </cell>
          <cell r="C2169" t="str">
            <v>Kobeite-(Y)</v>
          </cell>
          <cell r="E2169" t="str">
            <v>https://www.mindat.org/1:1:2232:9</v>
          </cell>
        </row>
        <row r="2170">
          <cell r="A2170">
            <v>3326</v>
          </cell>
          <cell r="B2170">
            <v>5240</v>
          </cell>
          <cell r="C2170" t="str">
            <v>Koechlinite</v>
          </cell>
          <cell r="E2170" t="str">
            <v>https://www.mindat.org/1:1:2235:0</v>
          </cell>
        </row>
        <row r="2171">
          <cell r="A2171">
            <v>3388</v>
          </cell>
          <cell r="B2171">
            <v>5240</v>
          </cell>
          <cell r="C2171" t="str">
            <v>Kuranakhite</v>
          </cell>
          <cell r="E2171" t="str">
            <v>https://www.mindat.org/1:1:2292:3</v>
          </cell>
        </row>
        <row r="2172">
          <cell r="A2172">
            <v>3414</v>
          </cell>
          <cell r="B2172">
            <v>5240</v>
          </cell>
          <cell r="C2172" t="str">
            <v>Landauite</v>
          </cell>
          <cell r="E2172" t="str">
            <v>https://www.mindat.org/1:1:2317:3</v>
          </cell>
        </row>
        <row r="2173">
          <cell r="A2173">
            <v>3434</v>
          </cell>
          <cell r="B2173">
            <v>5240</v>
          </cell>
          <cell r="C2173" t="str">
            <v>Latrappite</v>
          </cell>
          <cell r="E2173" t="str">
            <v>https://www.mindat.org/1:1:2337:1</v>
          </cell>
        </row>
        <row r="2174">
          <cell r="A2174">
            <v>3442</v>
          </cell>
          <cell r="B2174">
            <v>5240</v>
          </cell>
          <cell r="C2174" t="str">
            <v>Lautarite</v>
          </cell>
          <cell r="E2174" t="str">
            <v>https://www.mindat.org/1:1:2346:3</v>
          </cell>
        </row>
        <row r="2175">
          <cell r="A2175">
            <v>3465</v>
          </cell>
          <cell r="B2175">
            <v>5240</v>
          </cell>
          <cell r="C2175" t="str">
            <v>Leiteite</v>
          </cell>
          <cell r="E2175" t="str">
            <v>https://www.mindat.org/1:1:2370:8</v>
          </cell>
        </row>
        <row r="2176">
          <cell r="A2176">
            <v>3473</v>
          </cell>
          <cell r="B2176">
            <v>5240</v>
          </cell>
          <cell r="C2176" t="str">
            <v>Lenoblite</v>
          </cell>
          <cell r="E2176" t="str">
            <v>https://www.mindat.org/1:1:2376:0</v>
          </cell>
        </row>
        <row r="2177">
          <cell r="A2177">
            <v>3476</v>
          </cell>
          <cell r="B2177">
            <v>5240</v>
          </cell>
          <cell r="C2177" t="str">
            <v>Lepidocrocite</v>
          </cell>
          <cell r="E2177" t="str">
            <v>https://www.mindat.org/1:1:2379:1</v>
          </cell>
        </row>
        <row r="2178">
          <cell r="A2178">
            <v>3493</v>
          </cell>
          <cell r="B2178">
            <v>5240</v>
          </cell>
          <cell r="C2178" t="str">
            <v>Liandratite</v>
          </cell>
          <cell r="E2178" t="str">
            <v>https://www.mindat.org/1:1:2391:3</v>
          </cell>
        </row>
        <row r="2179">
          <cell r="A2179">
            <v>3502</v>
          </cell>
          <cell r="B2179">
            <v>5240</v>
          </cell>
          <cell r="C2179" t="str">
            <v>Lime</v>
          </cell>
          <cell r="E2179" t="str">
            <v>https://www.mindat.org/1:1:2401:9</v>
          </cell>
        </row>
        <row r="2180">
          <cell r="A2180">
            <v>3503</v>
          </cell>
          <cell r="B2180">
            <v>5240</v>
          </cell>
          <cell r="C2180" t="str">
            <v>Limonite</v>
          </cell>
          <cell r="E2180" t="str">
            <v/>
          </cell>
        </row>
        <row r="2181">
          <cell r="A2181">
            <v>3520</v>
          </cell>
          <cell r="B2181">
            <v>5240</v>
          </cell>
          <cell r="C2181" t="str">
            <v>Bismite</v>
          </cell>
          <cell r="E2181" t="str">
            <v>https://www.mindat.org/1:1:682:4</v>
          </cell>
        </row>
        <row r="2182">
          <cell r="A2182">
            <v>3528</v>
          </cell>
          <cell r="B2182">
            <v>5240</v>
          </cell>
          <cell r="C2182" t="str">
            <v>Bismutomicrolite</v>
          </cell>
          <cell r="E2182" t="str">
            <v/>
          </cell>
        </row>
        <row r="2183">
          <cell r="A2183">
            <v>3530</v>
          </cell>
          <cell r="B2183">
            <v>5240</v>
          </cell>
          <cell r="C2183" t="str">
            <v>Bismutostibiconite</v>
          </cell>
          <cell r="E2183" t="str">
            <v>https://www.mindat.org/1:1:659:6</v>
          </cell>
        </row>
        <row r="2184">
          <cell r="A2184">
            <v>3531</v>
          </cell>
          <cell r="B2184">
            <v>5240</v>
          </cell>
          <cell r="C2184" t="str">
            <v>Bismutotantalite</v>
          </cell>
          <cell r="E2184" t="str">
            <v>https://www.mindat.org/1:1:663:9</v>
          </cell>
        </row>
        <row r="2185">
          <cell r="A2185">
            <v>3533</v>
          </cell>
          <cell r="B2185">
            <v>5240</v>
          </cell>
          <cell r="C2185" t="str">
            <v>Bixbyite</v>
          </cell>
          <cell r="E2185" t="str">
            <v>https://www.mindat.org/1:1:691:2</v>
          </cell>
        </row>
        <row r="2186">
          <cell r="A2186">
            <v>3535</v>
          </cell>
          <cell r="B2186">
            <v>5240</v>
          </cell>
          <cell r="C2186" t="str">
            <v>Blakeite</v>
          </cell>
          <cell r="E2186" t="str">
            <v>https://www.mindat.org/1:1:693:0</v>
          </cell>
        </row>
        <row r="2187">
          <cell r="A2187">
            <v>3549</v>
          </cell>
          <cell r="B2187">
            <v>5240</v>
          </cell>
          <cell r="C2187" t="str">
            <v>Bokite</v>
          </cell>
          <cell r="E2187" t="str">
            <v>https://www.mindat.org/1:1:709:0</v>
          </cell>
        </row>
        <row r="2188">
          <cell r="A2188">
            <v>3571</v>
          </cell>
          <cell r="B2188">
            <v>5240</v>
          </cell>
          <cell r="C2188" t="str">
            <v>Bottinoite</v>
          </cell>
          <cell r="E2188" t="str">
            <v>https://www.mindat.org/1:1:735:5</v>
          </cell>
        </row>
        <row r="2189">
          <cell r="A2189">
            <v>3587</v>
          </cell>
          <cell r="B2189">
            <v>5240</v>
          </cell>
          <cell r="C2189" t="str">
            <v>Brannerite</v>
          </cell>
          <cell r="E2189" t="str">
            <v>https://www.mindat.org/1:1:754:0</v>
          </cell>
        </row>
        <row r="2190">
          <cell r="A2190">
            <v>3613</v>
          </cell>
          <cell r="B2190">
            <v>5240</v>
          </cell>
          <cell r="C2190" t="str">
            <v>Bromellite</v>
          </cell>
          <cell r="E2190" t="str">
            <v>https://www.mindat.org/1:1:784:1</v>
          </cell>
        </row>
        <row r="2191">
          <cell r="A2191">
            <v>3614</v>
          </cell>
          <cell r="B2191">
            <v>5240</v>
          </cell>
          <cell r="C2191" t="str">
            <v>Brookite</v>
          </cell>
          <cell r="E2191" t="str">
            <v>https://www.mindat.org/1:1:787:8</v>
          </cell>
        </row>
        <row r="2192">
          <cell r="A2192">
            <v>3615</v>
          </cell>
          <cell r="B2192">
            <v>5240</v>
          </cell>
          <cell r="C2192" t="str">
            <v>Brownmillerite</v>
          </cell>
          <cell r="E2192" t="str">
            <v>https://www.mindat.org/1:1:790:2</v>
          </cell>
        </row>
        <row r="2193">
          <cell r="A2193">
            <v>3616</v>
          </cell>
          <cell r="B2193">
            <v>5240</v>
          </cell>
          <cell r="C2193" t="str">
            <v>Brucite</v>
          </cell>
          <cell r="E2193" t="str">
            <v>https://www.mindat.org/1:1:820:2</v>
          </cell>
        </row>
        <row r="2194">
          <cell r="A2194">
            <v>3618</v>
          </cell>
          <cell r="B2194">
            <v>5240</v>
          </cell>
          <cell r="C2194" t="str">
            <v>Brunogeierite</v>
          </cell>
          <cell r="E2194" t="str">
            <v>https://www.mindat.org/1:1:792:0</v>
          </cell>
        </row>
        <row r="2195">
          <cell r="A2195">
            <v>3620</v>
          </cell>
          <cell r="B2195">
            <v>5240</v>
          </cell>
          <cell r="C2195" t="str">
            <v>Bruggenite</v>
          </cell>
          <cell r="E2195" t="str">
            <v/>
          </cell>
        </row>
        <row r="2196">
          <cell r="A2196">
            <v>3630</v>
          </cell>
          <cell r="B2196">
            <v>5240</v>
          </cell>
          <cell r="C2196" t="str">
            <v>Bunsenite</v>
          </cell>
          <cell r="E2196" t="str">
            <v>https://www.mindat.org/1:1:801:7</v>
          </cell>
        </row>
        <row r="2197">
          <cell r="A2197">
            <v>3644</v>
          </cell>
          <cell r="B2197">
            <v>5240</v>
          </cell>
          <cell r="C2197" t="str">
            <v>Bystromite</v>
          </cell>
          <cell r="E2197" t="str">
            <v/>
          </cell>
        </row>
        <row r="2198">
          <cell r="A2198">
            <v>3646</v>
          </cell>
          <cell r="B2198">
            <v>5240</v>
          </cell>
          <cell r="C2198" t="str">
            <v>Bohmite</v>
          </cell>
          <cell r="E2198" t="str">
            <v/>
          </cell>
        </row>
        <row r="2199">
          <cell r="A2199">
            <v>3654</v>
          </cell>
          <cell r="B2199">
            <v>5240</v>
          </cell>
          <cell r="C2199" t="str">
            <v>Cafarsite</v>
          </cell>
          <cell r="E2199" t="str">
            <v>https://www.mindat.org/1:1:849:7</v>
          </cell>
        </row>
        <row r="2200">
          <cell r="A2200">
            <v>3669</v>
          </cell>
          <cell r="B2200">
            <v>5240</v>
          </cell>
          <cell r="C2200" t="str">
            <v>Calciotantite</v>
          </cell>
          <cell r="E2200" t="str">
            <v>https://www.mindat.org/1:1:834:5</v>
          </cell>
        </row>
        <row r="2201">
          <cell r="A2201">
            <v>3683</v>
          </cell>
          <cell r="B2201">
            <v>5240</v>
          </cell>
          <cell r="C2201" t="str">
            <v>Calzirtite</v>
          </cell>
          <cell r="E2201" t="str">
            <v>https://www.mindat.org/1:1:871:6</v>
          </cell>
        </row>
        <row r="2202">
          <cell r="A2202">
            <v>3711</v>
          </cell>
          <cell r="B2202">
            <v>5240</v>
          </cell>
          <cell r="C2202" t="str">
            <v>Carlfriesite</v>
          </cell>
          <cell r="E2202" t="str">
            <v>https://www.mindat.org/1:1:899:2</v>
          </cell>
        </row>
        <row r="2203">
          <cell r="A2203">
            <v>3717</v>
          </cell>
          <cell r="B2203">
            <v>5240</v>
          </cell>
          <cell r="C2203" t="str">
            <v>Carmichaelite</v>
          </cell>
          <cell r="E2203" t="str">
            <v>https://www.mindat.org/1:1:6849:5</v>
          </cell>
        </row>
        <row r="2204">
          <cell r="A2204">
            <v>3720</v>
          </cell>
          <cell r="B2204">
            <v>5240</v>
          </cell>
          <cell r="C2204" t="str">
            <v>Carnotite</v>
          </cell>
          <cell r="E2204" t="str">
            <v>https://www.mindat.org/1:1:907:0</v>
          </cell>
        </row>
        <row r="2205">
          <cell r="A2205">
            <v>3731</v>
          </cell>
          <cell r="B2205">
            <v>5240</v>
          </cell>
          <cell r="C2205" t="str">
            <v>Cassiterite</v>
          </cell>
          <cell r="E2205" t="str">
            <v>https://www.mindat.org/1:1:917:7</v>
          </cell>
        </row>
        <row r="2206">
          <cell r="A2206">
            <v>3745</v>
          </cell>
          <cell r="B2206">
            <v>5240</v>
          </cell>
          <cell r="C2206" t="str">
            <v>Cerianite-(Ce)</v>
          </cell>
          <cell r="E2206" t="str">
            <v>https://www.mindat.org/1:1:929:2</v>
          </cell>
        </row>
        <row r="2207">
          <cell r="A2207">
            <v>3753</v>
          </cell>
          <cell r="B2207">
            <v>5240</v>
          </cell>
          <cell r="C2207" t="str">
            <v>Cervantite</v>
          </cell>
          <cell r="E2207" t="str">
            <v>https://www.mindat.org/1:1:936:2</v>
          </cell>
        </row>
        <row r="2208">
          <cell r="A2208">
            <v>3756</v>
          </cell>
          <cell r="B2208">
            <v>5240</v>
          </cell>
          <cell r="C2208" t="str">
            <v>Cesarolite</v>
          </cell>
          <cell r="E2208" t="str">
            <v/>
          </cell>
        </row>
        <row r="2209">
          <cell r="A2209">
            <v>3757</v>
          </cell>
          <cell r="B2209">
            <v>5240</v>
          </cell>
          <cell r="C2209" t="str">
            <v>Cesbronite</v>
          </cell>
          <cell r="E2209" t="str">
            <v>https://www.mindat.org/1:1:940:5</v>
          </cell>
        </row>
        <row r="2210">
          <cell r="A2210">
            <v>3774</v>
          </cell>
          <cell r="B2210">
            <v>5240</v>
          </cell>
          <cell r="C2210" t="str">
            <v>Chalcomenite</v>
          </cell>
          <cell r="E2210" t="str">
            <v>https://www.mindat.org/1:1:949:6</v>
          </cell>
        </row>
        <row r="2211">
          <cell r="A2211">
            <v>3776</v>
          </cell>
          <cell r="B2211">
            <v>5240</v>
          </cell>
          <cell r="C2211" t="str">
            <v>Chalcophanite</v>
          </cell>
          <cell r="E2211" t="str">
            <v>https://www.mindat.org/1:1:947:8</v>
          </cell>
        </row>
        <row r="2212">
          <cell r="A2212">
            <v>3785</v>
          </cell>
          <cell r="B2212">
            <v>5240</v>
          </cell>
          <cell r="C2212" t="str">
            <v>Changbaiite</v>
          </cell>
          <cell r="E2212" t="str">
            <v>https://www.mindat.org/1:1:968:1</v>
          </cell>
        </row>
        <row r="2213">
          <cell r="A2213">
            <v>3834</v>
          </cell>
          <cell r="B2213">
            <v>5240</v>
          </cell>
          <cell r="C2213" t="str">
            <v>Choloalite</v>
          </cell>
          <cell r="E2213" t="str">
            <v>https://www.mindat.org/1:1:1026:5</v>
          </cell>
        </row>
        <row r="2214">
          <cell r="A2214">
            <v>3844</v>
          </cell>
          <cell r="B2214">
            <v>5240</v>
          </cell>
          <cell r="C2214" t="str">
            <v>Chromite</v>
          </cell>
          <cell r="E2214" t="str">
            <v>https://www.mindat.org/1:1:1036:4</v>
          </cell>
        </row>
        <row r="2215">
          <cell r="A2215">
            <v>3847</v>
          </cell>
          <cell r="B2215">
            <v>5240</v>
          </cell>
          <cell r="C2215" t="str">
            <v>Chrysoberyl</v>
          </cell>
          <cell r="E2215" t="str">
            <v>https://www.mindat.org/1:1:1039:5</v>
          </cell>
        </row>
        <row r="2216">
          <cell r="A2216">
            <v>3864</v>
          </cell>
          <cell r="B2216">
            <v>5240</v>
          </cell>
          <cell r="C2216" t="str">
            <v>Clarkeite</v>
          </cell>
          <cell r="E2216" t="str">
            <v>https://www.mindat.org/1:1:1059:3</v>
          </cell>
        </row>
        <row r="2217">
          <cell r="A2217">
            <v>3865</v>
          </cell>
          <cell r="B2217">
            <v>5240</v>
          </cell>
          <cell r="C2217" t="str">
            <v>Claudetite</v>
          </cell>
          <cell r="E2217" t="str">
            <v>https://www.mindat.org/1:1:1060:9</v>
          </cell>
        </row>
        <row r="2218">
          <cell r="A2218">
            <v>3869</v>
          </cell>
          <cell r="B2218">
            <v>5240</v>
          </cell>
          <cell r="C2218" t="str">
            <v>Cliffordite</v>
          </cell>
          <cell r="E2218" t="str">
            <v>https://www.mindat.org/1:1:1064:7</v>
          </cell>
        </row>
        <row r="2219">
          <cell r="A2219">
            <v>3906</v>
          </cell>
          <cell r="B2219">
            <v>5240</v>
          </cell>
          <cell r="C2219" t="str">
            <v>Cobaltomenite</v>
          </cell>
          <cell r="E2219" t="str">
            <v>https://www.mindat.org/1:1:1092:0</v>
          </cell>
        </row>
        <row r="2220">
          <cell r="A2220">
            <v>3910</v>
          </cell>
          <cell r="B2220">
            <v>5240</v>
          </cell>
          <cell r="C2220" t="str">
            <v>Coesite</v>
          </cell>
          <cell r="E2220" t="str">
            <v>https://www.mindat.org/1:1:1104:0</v>
          </cell>
        </row>
        <row r="2221">
          <cell r="A2221">
            <v>3917</v>
          </cell>
          <cell r="B2221">
            <v>5240</v>
          </cell>
          <cell r="C2221" t="str">
            <v>Columbite</v>
          </cell>
          <cell r="E2221" t="str">
            <v/>
          </cell>
        </row>
        <row r="2222">
          <cell r="A2222">
            <v>3922</v>
          </cell>
          <cell r="B2222">
            <v>5240</v>
          </cell>
          <cell r="C2222" t="str">
            <v>Compreignacite</v>
          </cell>
          <cell r="E2222" t="str">
            <v>https://www.mindat.org/1:1:1117:0</v>
          </cell>
        </row>
        <row r="2223">
          <cell r="A2223">
            <v>3957</v>
          </cell>
          <cell r="B2223">
            <v>5240</v>
          </cell>
          <cell r="C2223" t="str">
            <v>Aeschynite</v>
          </cell>
          <cell r="E2223" t="str">
            <v/>
          </cell>
        </row>
        <row r="2224">
          <cell r="A2224">
            <v>3958</v>
          </cell>
          <cell r="B2224">
            <v>5240</v>
          </cell>
          <cell r="C2224" t="str">
            <v>Aeschynite-(Ce)</v>
          </cell>
          <cell r="E2224" t="str">
            <v>https://www.mindat.org/1:1:37:2</v>
          </cell>
        </row>
        <row r="2225">
          <cell r="A2225">
            <v>3959</v>
          </cell>
          <cell r="B2225">
            <v>5240</v>
          </cell>
          <cell r="C2225" t="str">
            <v>Aeschynite-(Nd)</v>
          </cell>
          <cell r="E2225" t="str">
            <v>https://www.mindat.org/1:1:38:9</v>
          </cell>
        </row>
        <row r="2226">
          <cell r="A2226">
            <v>3960</v>
          </cell>
          <cell r="B2226">
            <v>5240</v>
          </cell>
          <cell r="C2226" t="str">
            <v>Aeschynite-(Y)</v>
          </cell>
          <cell r="E2226" t="str">
            <v>https://www.mindat.org/1:1:39:6</v>
          </cell>
        </row>
        <row r="2227">
          <cell r="A2227">
            <v>3967</v>
          </cell>
          <cell r="B2227">
            <v>5240</v>
          </cell>
          <cell r="C2227" t="str">
            <v>Agrinierite</v>
          </cell>
          <cell r="E2227" t="str">
            <v>https://www.mindat.org/1:1:58:7</v>
          </cell>
        </row>
        <row r="2228">
          <cell r="A2228">
            <v>3970</v>
          </cell>
          <cell r="B2228">
            <v>5240</v>
          </cell>
          <cell r="C2228" t="str">
            <v>Ahlfeldite</v>
          </cell>
          <cell r="E2228" t="str">
            <v>https://www.mindat.org/1:1:61:7</v>
          </cell>
        </row>
        <row r="2229">
          <cell r="A2229">
            <v>3973</v>
          </cell>
          <cell r="B2229">
            <v>5240</v>
          </cell>
          <cell r="C2229" t="str">
            <v>Akaganeite</v>
          </cell>
          <cell r="E2229" t="str">
            <v>https://www.mindat.org/1:1:67:9</v>
          </cell>
        </row>
        <row r="2230">
          <cell r="A2230">
            <v>3976</v>
          </cell>
          <cell r="B2230">
            <v>5240</v>
          </cell>
          <cell r="C2230" t="str">
            <v>Akermanite</v>
          </cell>
          <cell r="E2230" t="str">
            <v/>
          </cell>
        </row>
        <row r="2231">
          <cell r="A2231">
            <v>4049</v>
          </cell>
          <cell r="B2231">
            <v>5240</v>
          </cell>
          <cell r="C2231" t="str">
            <v>Anatase</v>
          </cell>
          <cell r="E2231" t="str">
            <v>https://www.mindat.org/1:1:213:8</v>
          </cell>
        </row>
        <row r="2232">
          <cell r="A2232">
            <v>4050</v>
          </cell>
          <cell r="B2232">
            <v>5240</v>
          </cell>
          <cell r="C2232" t="str">
            <v>Ancylite-(Ce)</v>
          </cell>
          <cell r="E2232" t="str">
            <v>https://www.mindat.org/1:1:216:5</v>
          </cell>
        </row>
        <row r="2233">
          <cell r="A2233">
            <v>4051</v>
          </cell>
          <cell r="B2233">
            <v>5240</v>
          </cell>
          <cell r="C2233" t="str">
            <v>Ancylite-(La)</v>
          </cell>
          <cell r="E2233" t="str">
            <v>https://www.mindat.org/1:1:6800:6</v>
          </cell>
        </row>
        <row r="2234">
          <cell r="A2234">
            <v>4064</v>
          </cell>
          <cell r="B2234">
            <v>5240</v>
          </cell>
          <cell r="C2234" t="str">
            <v>Ankangite</v>
          </cell>
          <cell r="E2234" t="str">
            <v/>
          </cell>
        </row>
        <row r="2235">
          <cell r="A2235">
            <v>4086</v>
          </cell>
          <cell r="B2235">
            <v>5240</v>
          </cell>
          <cell r="C2235" t="str">
            <v>Apuanite</v>
          </cell>
          <cell r="E2235" t="str">
            <v>https://www.mindat.org/1:1:285:5</v>
          </cell>
        </row>
        <row r="2236">
          <cell r="A2236">
            <v>4103</v>
          </cell>
          <cell r="B2236">
            <v>5240</v>
          </cell>
          <cell r="C2236" t="str">
            <v>Argutite</v>
          </cell>
          <cell r="E2236" t="str">
            <v>https://www.mindat.org/1:1:330:4</v>
          </cell>
        </row>
        <row r="2237">
          <cell r="A2237">
            <v>4107</v>
          </cell>
          <cell r="B2237">
            <v>5240</v>
          </cell>
          <cell r="C2237" t="str">
            <v>Armalcolite</v>
          </cell>
          <cell r="E2237" t="str">
            <v>https://www.mindat.org/1:1:341:0</v>
          </cell>
        </row>
        <row r="2238">
          <cell r="A2238">
            <v>4108</v>
          </cell>
          <cell r="B2238">
            <v>5240</v>
          </cell>
          <cell r="C2238" t="str">
            <v>Armangite</v>
          </cell>
          <cell r="E2238" t="str">
            <v>https://www.mindat.org/1:1:342:9</v>
          </cell>
        </row>
        <row r="2239">
          <cell r="A2239">
            <v>4126</v>
          </cell>
          <cell r="B2239">
            <v>5240</v>
          </cell>
          <cell r="C2239" t="str">
            <v>Arsenolite</v>
          </cell>
          <cell r="E2239" t="str">
            <v>https://www.mindat.org/1:1:294:3</v>
          </cell>
        </row>
        <row r="2240">
          <cell r="A2240">
            <v>4139</v>
          </cell>
          <cell r="B2240">
            <v>5240</v>
          </cell>
          <cell r="C2240" t="str">
            <v>Asbecasite</v>
          </cell>
          <cell r="E2240" t="str">
            <v>https://www.mindat.org/1:1:382:7</v>
          </cell>
        </row>
        <row r="2241">
          <cell r="A2241">
            <v>4141</v>
          </cell>
          <cell r="B2241">
            <v>5240</v>
          </cell>
          <cell r="C2241" t="str">
            <v>Asbolane</v>
          </cell>
          <cell r="E2241" t="str">
            <v>https://www.mindat.org/1:1:384:5</v>
          </cell>
        </row>
        <row r="2242">
          <cell r="A2242">
            <v>4165</v>
          </cell>
          <cell r="B2242">
            <v>5240</v>
          </cell>
          <cell r="C2242" t="str">
            <v>Aurorite</v>
          </cell>
          <cell r="E2242" t="str">
            <v>https://www.mindat.org/1:1:428:8</v>
          </cell>
        </row>
        <row r="2243">
          <cell r="A2243">
            <v>4170</v>
          </cell>
          <cell r="B2243">
            <v>5240</v>
          </cell>
          <cell r="C2243" t="str">
            <v>Avicennite</v>
          </cell>
          <cell r="E2243" t="str">
            <v>https://www.mindat.org/1:1:437:6</v>
          </cell>
        </row>
        <row r="2244">
          <cell r="A2244">
            <v>4178</v>
          </cell>
          <cell r="B2244">
            <v>5240</v>
          </cell>
          <cell r="C2244" t="str">
            <v>Baddeleyite</v>
          </cell>
          <cell r="E2244" t="str">
            <v>https://www.mindat.org/1:1:480:8</v>
          </cell>
        </row>
        <row r="2245">
          <cell r="A2245">
            <v>4181</v>
          </cell>
          <cell r="B2245">
            <v>5240</v>
          </cell>
          <cell r="C2245" t="str">
            <v>Bahianite</v>
          </cell>
          <cell r="E2245" t="str">
            <v>https://www.mindat.org/1:1:484:4</v>
          </cell>
        </row>
        <row r="2246">
          <cell r="A2246">
            <v>4190</v>
          </cell>
          <cell r="B2246">
            <v>5240</v>
          </cell>
          <cell r="C2246" t="str">
            <v>Coronadite</v>
          </cell>
          <cell r="E2246" t="str">
            <v>https://www.mindat.org/1:1:1134:7</v>
          </cell>
        </row>
        <row r="2247">
          <cell r="A2247">
            <v>4192</v>
          </cell>
          <cell r="B2247">
            <v>5240</v>
          </cell>
          <cell r="C2247" t="str">
            <v>Corundum</v>
          </cell>
          <cell r="E2247" t="str">
            <v>https://www.mindat.org/1:1:1136:1</v>
          </cell>
        </row>
        <row r="2248">
          <cell r="A2248">
            <v>4193</v>
          </cell>
          <cell r="B2248">
            <v>5240</v>
          </cell>
          <cell r="C2248" t="str">
            <v>Corvusite</v>
          </cell>
          <cell r="E2248" t="str">
            <v>https://www.mindat.org/1:1:1138:5</v>
          </cell>
        </row>
        <row r="2249">
          <cell r="A2249">
            <v>4198</v>
          </cell>
          <cell r="B2249">
            <v>5240</v>
          </cell>
          <cell r="C2249" t="str">
            <v>Coulsonite</v>
          </cell>
          <cell r="E2249" t="str">
            <v>https://www.mindat.org/1:1:1142:2</v>
          </cell>
        </row>
        <row r="2250">
          <cell r="A2250">
            <v>4207</v>
          </cell>
          <cell r="B2250">
            <v>5240</v>
          </cell>
          <cell r="C2250" t="str">
            <v>Cristobalite</v>
          </cell>
          <cell r="E2250" t="str">
            <v>https://www.mindat.org/1:1:1155:2</v>
          </cell>
        </row>
        <row r="2251">
          <cell r="A2251">
            <v>4216</v>
          </cell>
          <cell r="B2251">
            <v>5240</v>
          </cell>
          <cell r="C2251" t="str">
            <v>Cryptomelane</v>
          </cell>
          <cell r="E2251" t="str">
            <v>https://www.mindat.org/1:1:1164:4</v>
          </cell>
        </row>
        <row r="2252">
          <cell r="A2252">
            <v>4223</v>
          </cell>
          <cell r="B2252">
            <v>5240</v>
          </cell>
          <cell r="C2252" t="str">
            <v>Delrioite</v>
          </cell>
          <cell r="E2252" t="str">
            <v>https://www.mindat.org/1:1:1255:9</v>
          </cell>
        </row>
        <row r="2253">
          <cell r="A2253">
            <v>4225</v>
          </cell>
          <cell r="B2253">
            <v>5240</v>
          </cell>
          <cell r="C2253" t="str">
            <v>Demesmaekerite</v>
          </cell>
          <cell r="E2253" t="str">
            <v>https://www.mindat.org/1:1:1259:7</v>
          </cell>
        </row>
        <row r="2254">
          <cell r="A2254">
            <v>4227</v>
          </cell>
          <cell r="B2254">
            <v>5240</v>
          </cell>
          <cell r="C2254" t="str">
            <v>Denningite</v>
          </cell>
          <cell r="E2254" t="str">
            <v>https://www.mindat.org/1:1:1262:7</v>
          </cell>
        </row>
        <row r="2255">
          <cell r="A2255">
            <v>4228</v>
          </cell>
          <cell r="B2255">
            <v>5240</v>
          </cell>
          <cell r="C2255" t="str">
            <v>Derbylite</v>
          </cell>
          <cell r="E2255" t="str">
            <v>https://www.mindat.org/1:1:1263:4</v>
          </cell>
        </row>
        <row r="2256">
          <cell r="A2256">
            <v>4229</v>
          </cell>
          <cell r="B2256">
            <v>5240</v>
          </cell>
          <cell r="C2256" t="str">
            <v>Derriksite</v>
          </cell>
          <cell r="E2256" t="str">
            <v>https://www.mindat.org/1:1:1264:1</v>
          </cell>
        </row>
        <row r="2257">
          <cell r="A2257">
            <v>4242</v>
          </cell>
          <cell r="B2257">
            <v>5240</v>
          </cell>
          <cell r="C2257" t="str">
            <v>Diaspore</v>
          </cell>
          <cell r="E2257" t="str">
            <v>https://www.mindat.org/1:1:1285:6</v>
          </cell>
        </row>
        <row r="2258">
          <cell r="A2258">
            <v>4245</v>
          </cell>
          <cell r="B2258">
            <v>5240</v>
          </cell>
          <cell r="C2258" t="str">
            <v>Dickthomssenite</v>
          </cell>
          <cell r="E2258" t="str">
            <v>https://www.mindat.org/1:1:11216:1</v>
          </cell>
        </row>
        <row r="2259">
          <cell r="A2259">
            <v>4248</v>
          </cell>
          <cell r="B2259">
            <v>5240</v>
          </cell>
          <cell r="C2259" t="str">
            <v>Dietzeite</v>
          </cell>
          <cell r="E2259" t="str">
            <v>https://www.mindat.org/1:1:1290:0</v>
          </cell>
        </row>
        <row r="2260">
          <cell r="A2260">
            <v>75</v>
          </cell>
          <cell r="B2260">
            <v>5241</v>
          </cell>
          <cell r="C2260" t="str">
            <v>Wyartite</v>
          </cell>
          <cell r="E2260" t="str">
            <v>https://www.mindat.org/1:1:4319:5</v>
          </cell>
        </row>
        <row r="2261">
          <cell r="A2261">
            <v>140</v>
          </cell>
          <cell r="B2261">
            <v>5241</v>
          </cell>
          <cell r="C2261" t="str">
            <v>Wegscheiderite</v>
          </cell>
          <cell r="E2261" t="str">
            <v>https://www.mindat.org/1:1:4256:3</v>
          </cell>
        </row>
        <row r="2262">
          <cell r="A2262">
            <v>150</v>
          </cell>
          <cell r="B2262">
            <v>5241</v>
          </cell>
          <cell r="C2262" t="str">
            <v>Weloganite</v>
          </cell>
          <cell r="E2262" t="str">
            <v>https://www.mindat.org/1:1:4266:2</v>
          </cell>
        </row>
        <row r="2263">
          <cell r="A2263">
            <v>185</v>
          </cell>
          <cell r="B2263">
            <v>5241</v>
          </cell>
          <cell r="C2263" t="str">
            <v>Witherite</v>
          </cell>
          <cell r="E2263" t="str">
            <v>https://www.mindat.org/1:1:4299:0</v>
          </cell>
        </row>
        <row r="2264">
          <cell r="A2264">
            <v>207</v>
          </cell>
          <cell r="B2264">
            <v>5241</v>
          </cell>
          <cell r="C2264" t="str">
            <v>Zellerite</v>
          </cell>
          <cell r="E2264" t="str">
            <v>https://www.mindat.org/1:1:4391:1</v>
          </cell>
        </row>
        <row r="2265">
          <cell r="A2265">
            <v>232</v>
          </cell>
          <cell r="B2265">
            <v>5241</v>
          </cell>
          <cell r="C2265" t="str">
            <v>Zincrosasite</v>
          </cell>
          <cell r="E2265" t="str">
            <v>https://www.mindat.org/1:1:4414:7</v>
          </cell>
        </row>
        <row r="2266">
          <cell r="A2266">
            <v>249</v>
          </cell>
          <cell r="B2266">
            <v>5241</v>
          </cell>
          <cell r="C2266" t="str">
            <v>Znucalite</v>
          </cell>
          <cell r="E2266" t="str">
            <v>https://www.mindat.org/1:1:4428:4</v>
          </cell>
        </row>
        <row r="2267">
          <cell r="A2267">
            <v>268</v>
          </cell>
          <cell r="B2267">
            <v>5241</v>
          </cell>
          <cell r="C2267" t="str">
            <v>Tengerite-(Y)</v>
          </cell>
          <cell r="E2267" t="str">
            <v>https://www.mindat.org/1:1:3910:5</v>
          </cell>
        </row>
        <row r="2268">
          <cell r="A2268">
            <v>279</v>
          </cell>
          <cell r="B2268">
            <v>5241</v>
          </cell>
          <cell r="C2268" t="str">
            <v>Teschemacherite</v>
          </cell>
          <cell r="E2268" t="str">
            <v>https://www.mindat.org/1:1:3918:1</v>
          </cell>
        </row>
        <row r="2269">
          <cell r="A2269">
            <v>316</v>
          </cell>
          <cell r="B2269">
            <v>5241</v>
          </cell>
          <cell r="C2269" t="str">
            <v>Zaratite</v>
          </cell>
          <cell r="E2269" t="str">
            <v>https://www.mindat.org/1:1:4388:1</v>
          </cell>
        </row>
        <row r="2270">
          <cell r="A2270">
            <v>325</v>
          </cell>
          <cell r="B2270">
            <v>5241</v>
          </cell>
          <cell r="C2270" t="str">
            <v>Susannite</v>
          </cell>
          <cell r="E2270" t="str">
            <v>https://www.mindat.org/1:1:3833:7</v>
          </cell>
        </row>
        <row r="2271">
          <cell r="A2271">
            <v>330</v>
          </cell>
          <cell r="B2271">
            <v>5241</v>
          </cell>
          <cell r="C2271" t="str">
            <v>Sveite</v>
          </cell>
          <cell r="E2271" t="str">
            <v>https://www.mindat.org/1:1:3838:2</v>
          </cell>
        </row>
        <row r="2272">
          <cell r="A2272">
            <v>338</v>
          </cell>
          <cell r="B2272">
            <v>5241</v>
          </cell>
          <cell r="C2272" t="str">
            <v>Swartzite</v>
          </cell>
          <cell r="E2272" t="str">
            <v>https://www.mindat.org/1:1:3844:3</v>
          </cell>
        </row>
        <row r="2273">
          <cell r="A2273">
            <v>348</v>
          </cell>
          <cell r="B2273">
            <v>5241</v>
          </cell>
          <cell r="C2273" t="str">
            <v>Synchysite</v>
          </cell>
          <cell r="E2273" t="str">
            <v/>
          </cell>
        </row>
        <row r="2274">
          <cell r="A2274">
            <v>349</v>
          </cell>
          <cell r="B2274">
            <v>5241</v>
          </cell>
          <cell r="C2274" t="str">
            <v>Synchysite-(Ce)</v>
          </cell>
          <cell r="E2274" t="str">
            <v>https://www.mindat.org/1:1:3853:5</v>
          </cell>
        </row>
        <row r="2275">
          <cell r="A2275">
            <v>350</v>
          </cell>
          <cell r="B2275">
            <v>5241</v>
          </cell>
          <cell r="C2275" t="str">
            <v>Synchysite-(Nd)</v>
          </cell>
          <cell r="E2275" t="str">
            <v>https://www.mindat.org/1:1:3854:2</v>
          </cell>
        </row>
        <row r="2276">
          <cell r="A2276">
            <v>351</v>
          </cell>
          <cell r="B2276">
            <v>5241</v>
          </cell>
          <cell r="C2276" t="str">
            <v>Synchysite-(Y)</v>
          </cell>
          <cell r="E2276" t="str">
            <v>https://www.mindat.org/1:1:3855:9</v>
          </cell>
        </row>
        <row r="2277">
          <cell r="A2277">
            <v>372</v>
          </cell>
          <cell r="B2277">
            <v>5241</v>
          </cell>
          <cell r="C2277" t="str">
            <v>Takovite</v>
          </cell>
          <cell r="E2277" t="str">
            <v>https://www.mindat.org/1:1:3874:0</v>
          </cell>
        </row>
        <row r="2278">
          <cell r="A2278">
            <v>443</v>
          </cell>
          <cell r="B2278">
            <v>5241</v>
          </cell>
          <cell r="C2278" t="str">
            <v>Stichtite</v>
          </cell>
          <cell r="E2278" t="str">
            <v>https://www.mindat.org/1:1:3784:2</v>
          </cell>
        </row>
        <row r="2279">
          <cell r="A2279">
            <v>468</v>
          </cell>
          <cell r="B2279">
            <v>5241</v>
          </cell>
          <cell r="C2279" t="str">
            <v>Strontianite</v>
          </cell>
          <cell r="E2279" t="str">
            <v>https://www.mindat.org/1:1:3805:4</v>
          </cell>
        </row>
        <row r="2280">
          <cell r="A2280">
            <v>472</v>
          </cell>
          <cell r="B2280">
            <v>5241</v>
          </cell>
          <cell r="C2280" t="str">
            <v>Strontiodresserite</v>
          </cell>
          <cell r="E2280" t="str">
            <v>https://www.mindat.org/1:1:3774:3</v>
          </cell>
        </row>
        <row r="2281">
          <cell r="A2281">
            <v>519</v>
          </cell>
          <cell r="B2281">
            <v>5241</v>
          </cell>
          <cell r="C2281" t="str">
            <v>Sjogrenite</v>
          </cell>
          <cell r="E2281" t="str">
            <v/>
          </cell>
        </row>
        <row r="2282">
          <cell r="A2282">
            <v>529</v>
          </cell>
          <cell r="B2282">
            <v>5241</v>
          </cell>
          <cell r="C2282" t="str">
            <v>Smithsonite</v>
          </cell>
          <cell r="E2282" t="str">
            <v>https://www.mindat.org/1:1:3688:3</v>
          </cell>
        </row>
        <row r="2283">
          <cell r="A2283">
            <v>573</v>
          </cell>
          <cell r="B2283">
            <v>5241</v>
          </cell>
          <cell r="C2283" t="str">
            <v>Sphaerocobaltite</v>
          </cell>
          <cell r="E2283" t="str">
            <v/>
          </cell>
        </row>
        <row r="2284">
          <cell r="A2284">
            <v>597</v>
          </cell>
          <cell r="B2284">
            <v>5241</v>
          </cell>
          <cell r="C2284" t="str">
            <v>Schrockingerite</v>
          </cell>
          <cell r="E2284" t="str">
            <v/>
          </cell>
        </row>
        <row r="2285">
          <cell r="A2285">
            <v>607</v>
          </cell>
          <cell r="B2285">
            <v>5241</v>
          </cell>
          <cell r="C2285" t="str">
            <v>Sclarite</v>
          </cell>
          <cell r="E2285" t="str">
            <v>https://www.mindat.org/1:1:3593:0</v>
          </cell>
        </row>
        <row r="2286">
          <cell r="A2286">
            <v>650</v>
          </cell>
          <cell r="B2286">
            <v>5241</v>
          </cell>
          <cell r="C2286" t="str">
            <v>Sharpite</v>
          </cell>
          <cell r="E2286" t="str">
            <v>https://www.mindat.org/1:1:3633:3</v>
          </cell>
        </row>
        <row r="2287">
          <cell r="A2287">
            <v>659</v>
          </cell>
          <cell r="B2287">
            <v>5241</v>
          </cell>
          <cell r="C2287" t="str">
            <v>Shomyokite-(Y)</v>
          </cell>
          <cell r="E2287" t="str">
            <v/>
          </cell>
        </row>
        <row r="2288">
          <cell r="A2288">
            <v>660</v>
          </cell>
          <cell r="B2288">
            <v>5241</v>
          </cell>
          <cell r="C2288" t="str">
            <v>Shortite</v>
          </cell>
          <cell r="E2288" t="str">
            <v>https://www.mindat.org/1:1:3640:1</v>
          </cell>
        </row>
        <row r="2289">
          <cell r="A2289">
            <v>668</v>
          </cell>
          <cell r="B2289">
            <v>5241</v>
          </cell>
          <cell r="C2289" t="str">
            <v>Siderite</v>
          </cell>
          <cell r="E2289" t="str">
            <v>https://www.mindat.org/1:1:3647:0</v>
          </cell>
        </row>
        <row r="2290">
          <cell r="A2290">
            <v>672</v>
          </cell>
          <cell r="B2290">
            <v>5241</v>
          </cell>
          <cell r="C2290" t="str">
            <v>Sidorenkite</v>
          </cell>
          <cell r="E2290" t="str">
            <v>https://www.mindat.org/1:1:3653:1</v>
          </cell>
        </row>
        <row r="2291">
          <cell r="A2291">
            <v>706</v>
          </cell>
          <cell r="B2291">
            <v>5241</v>
          </cell>
          <cell r="C2291" t="str">
            <v>Voglite</v>
          </cell>
          <cell r="E2291" t="str">
            <v>https://www.mindat.org/1:1:4199:3</v>
          </cell>
        </row>
        <row r="2292">
          <cell r="A2292">
            <v>753</v>
          </cell>
          <cell r="B2292">
            <v>5241</v>
          </cell>
          <cell r="C2292" t="str">
            <v>Scarbroite</v>
          </cell>
          <cell r="E2292" t="str">
            <v>https://www.mindat.org/1:1:3551:0</v>
          </cell>
        </row>
        <row r="2293">
          <cell r="A2293">
            <v>848</v>
          </cell>
          <cell r="B2293">
            <v>5241</v>
          </cell>
          <cell r="C2293" t="str">
            <v>Vaterite</v>
          </cell>
          <cell r="E2293" t="str">
            <v>https://www.mindat.org/1:1:4161:0</v>
          </cell>
        </row>
        <row r="2294">
          <cell r="A2294">
            <v>875</v>
          </cell>
          <cell r="B2294">
            <v>5241</v>
          </cell>
          <cell r="C2294" t="str">
            <v>Rosasite</v>
          </cell>
          <cell r="E2294" t="str">
            <v>https://www.mindat.org/1:1:3447:6</v>
          </cell>
        </row>
        <row r="2295">
          <cell r="A2295">
            <v>891</v>
          </cell>
          <cell r="B2295">
            <v>5241</v>
          </cell>
          <cell r="C2295" t="str">
            <v>Roubaultite</v>
          </cell>
          <cell r="E2295" t="str">
            <v>https://www.mindat.org/1:1:3462:9</v>
          </cell>
        </row>
        <row r="2296">
          <cell r="A2296">
            <v>912</v>
          </cell>
          <cell r="B2296">
            <v>5241</v>
          </cell>
          <cell r="C2296" t="str">
            <v>Rutherfordine</v>
          </cell>
          <cell r="E2296" t="str">
            <v>https://www.mindat.org/1:1:3484:1</v>
          </cell>
        </row>
        <row r="2297">
          <cell r="A2297">
            <v>921</v>
          </cell>
          <cell r="B2297">
            <v>5241</v>
          </cell>
          <cell r="C2297" t="str">
            <v>Sabinaite</v>
          </cell>
          <cell r="E2297" t="str">
            <v>https://www.mindat.org/1:1:3495:7</v>
          </cell>
        </row>
        <row r="2298">
          <cell r="A2298">
            <v>927</v>
          </cell>
          <cell r="B2298">
            <v>5241</v>
          </cell>
          <cell r="C2298" t="str">
            <v>Sahamalite-(Ce)</v>
          </cell>
          <cell r="E2298" t="str">
            <v>https://www.mindat.org/1:1:3501:5</v>
          </cell>
        </row>
        <row r="2299">
          <cell r="A2299">
            <v>989</v>
          </cell>
          <cell r="B2299">
            <v>5241</v>
          </cell>
          <cell r="C2299" t="str">
            <v>Reevesite</v>
          </cell>
          <cell r="E2299" t="str">
            <v>https://www.mindat.org/1:1:3383:7</v>
          </cell>
        </row>
        <row r="2300">
          <cell r="A2300">
            <v>1018</v>
          </cell>
          <cell r="B2300">
            <v>5241</v>
          </cell>
          <cell r="C2300" t="str">
            <v>Rhodochrosite</v>
          </cell>
          <cell r="E2300" t="str">
            <v>https://www.mindat.org/1:1:3406:3</v>
          </cell>
        </row>
        <row r="2301">
          <cell r="A2301">
            <v>1093</v>
          </cell>
          <cell r="B2301">
            <v>5241</v>
          </cell>
          <cell r="C2301" t="str">
            <v>Pyroaurite</v>
          </cell>
          <cell r="E2301" t="str">
            <v>https://www.mindat.org/1:1:3330:1</v>
          </cell>
        </row>
        <row r="2302">
          <cell r="A2302">
            <v>1126</v>
          </cell>
          <cell r="B2302">
            <v>5241</v>
          </cell>
          <cell r="C2302" t="str">
            <v>Rabbittite</v>
          </cell>
          <cell r="E2302" t="str">
            <v>https://www.mindat.org/1:1:3347:9</v>
          </cell>
        </row>
        <row r="2303">
          <cell r="A2303">
            <v>1167</v>
          </cell>
          <cell r="B2303">
            <v>5241</v>
          </cell>
          <cell r="C2303" t="str">
            <v>Pirssonite</v>
          </cell>
          <cell r="E2303" t="str">
            <v>https://www.mindat.org/1:1:3220:5</v>
          </cell>
        </row>
        <row r="2304">
          <cell r="A2304">
            <v>1189</v>
          </cell>
          <cell r="B2304">
            <v>5241</v>
          </cell>
          <cell r="C2304" t="str">
            <v>Plumbonacrite</v>
          </cell>
          <cell r="E2304" t="str">
            <v>https://www.mindat.org/1:1:3229:8</v>
          </cell>
        </row>
        <row r="2305">
          <cell r="A2305">
            <v>1195</v>
          </cell>
          <cell r="B2305">
            <v>5241</v>
          </cell>
          <cell r="C2305" t="str">
            <v>Pokrovskite</v>
          </cell>
          <cell r="E2305" t="str">
            <v>https://www.mindat.org/1:1:3250:2</v>
          </cell>
        </row>
        <row r="2306">
          <cell r="A2306">
            <v>1232</v>
          </cell>
          <cell r="B2306">
            <v>5241</v>
          </cell>
          <cell r="C2306" t="str">
            <v>Tunisite</v>
          </cell>
          <cell r="E2306" t="str">
            <v>https://www.mindat.org/1:1:4056:9</v>
          </cell>
        </row>
        <row r="2307">
          <cell r="A2307">
            <v>1247</v>
          </cell>
          <cell r="B2307">
            <v>5241</v>
          </cell>
          <cell r="C2307" t="str">
            <v>Tychite</v>
          </cell>
          <cell r="E2307" t="str">
            <v>https://www.mindat.org/1:1:4068:2</v>
          </cell>
        </row>
        <row r="2308">
          <cell r="A2308">
            <v>1316</v>
          </cell>
          <cell r="B2308">
            <v>5241</v>
          </cell>
          <cell r="C2308" t="str">
            <v>Phosgenite</v>
          </cell>
          <cell r="E2308" t="str">
            <v>https://www.mindat.org/1:1:3195:6</v>
          </cell>
        </row>
        <row r="2309">
          <cell r="A2309">
            <v>1385</v>
          </cell>
          <cell r="B2309">
            <v>5241</v>
          </cell>
          <cell r="C2309" t="str">
            <v>Trona</v>
          </cell>
          <cell r="E2309" t="str">
            <v>https://www.mindat.org/1:1:4031:6</v>
          </cell>
        </row>
        <row r="2310">
          <cell r="A2310">
            <v>1421</v>
          </cell>
          <cell r="B2310">
            <v>5241</v>
          </cell>
          <cell r="C2310" t="str">
            <v>Benstonite</v>
          </cell>
          <cell r="E2310" t="str">
            <v>https://www.mindat.org/1:1:626:8</v>
          </cell>
        </row>
        <row r="2311">
          <cell r="A2311">
            <v>1458</v>
          </cell>
          <cell r="B2311">
            <v>5241</v>
          </cell>
          <cell r="C2311" t="str">
            <v>Beyerite</v>
          </cell>
          <cell r="E2311" t="str">
            <v>https://www.mindat.org/1:1:654:1</v>
          </cell>
        </row>
        <row r="2312">
          <cell r="A2312">
            <v>1501</v>
          </cell>
          <cell r="B2312">
            <v>5241</v>
          </cell>
          <cell r="C2312" t="str">
            <v>Diomignite</v>
          </cell>
          <cell r="E2312" t="str">
            <v/>
          </cell>
        </row>
        <row r="2313">
          <cell r="A2313">
            <v>1512</v>
          </cell>
          <cell r="B2313">
            <v>5241</v>
          </cell>
          <cell r="C2313" t="str">
            <v>Dolomite</v>
          </cell>
          <cell r="E2313" t="str">
            <v>https://www.mindat.org/1:1:1304:4</v>
          </cell>
        </row>
        <row r="2314">
          <cell r="A2314">
            <v>1531</v>
          </cell>
          <cell r="B2314">
            <v>5241</v>
          </cell>
          <cell r="C2314" t="str">
            <v>Barbertonite</v>
          </cell>
          <cell r="E2314" t="str">
            <v/>
          </cell>
        </row>
        <row r="2315">
          <cell r="A2315">
            <v>1545</v>
          </cell>
          <cell r="B2315">
            <v>5241</v>
          </cell>
          <cell r="C2315" t="str">
            <v>Barringtonite</v>
          </cell>
          <cell r="E2315" t="str">
            <v/>
          </cell>
        </row>
        <row r="2316">
          <cell r="A2316">
            <v>1552</v>
          </cell>
          <cell r="B2316">
            <v>5241</v>
          </cell>
          <cell r="C2316" t="str">
            <v>Barytocalcite</v>
          </cell>
          <cell r="E2316" t="str">
            <v>https://www.mindat.org/1:1:466:8</v>
          </cell>
        </row>
        <row r="2317">
          <cell r="A2317">
            <v>1557</v>
          </cell>
          <cell r="B2317">
            <v>5241</v>
          </cell>
          <cell r="C2317" t="str">
            <v>Bastnasite</v>
          </cell>
          <cell r="E2317" t="str">
            <v/>
          </cell>
        </row>
        <row r="2318">
          <cell r="A2318">
            <v>1558</v>
          </cell>
          <cell r="B2318">
            <v>5241</v>
          </cell>
          <cell r="C2318" t="str">
            <v>Bastnasite-(Ce)</v>
          </cell>
          <cell r="E2318" t="str">
            <v/>
          </cell>
        </row>
        <row r="2319">
          <cell r="A2319">
            <v>1559</v>
          </cell>
          <cell r="B2319">
            <v>5241</v>
          </cell>
          <cell r="C2319" t="str">
            <v>Bastnasite-(La)</v>
          </cell>
          <cell r="E2319" t="str">
            <v/>
          </cell>
        </row>
        <row r="2320">
          <cell r="A2320">
            <v>1560</v>
          </cell>
          <cell r="B2320">
            <v>5241</v>
          </cell>
          <cell r="C2320" t="str">
            <v>Bastnasite-(Y)</v>
          </cell>
          <cell r="E2320" t="str">
            <v/>
          </cell>
        </row>
        <row r="2321">
          <cell r="A2321">
            <v>1573</v>
          </cell>
          <cell r="B2321">
            <v>5241</v>
          </cell>
          <cell r="C2321" t="str">
            <v>Bayleyite</v>
          </cell>
          <cell r="E2321" t="str">
            <v>https://www.mindat.org/1:1:582:5</v>
          </cell>
        </row>
        <row r="2322">
          <cell r="A2322">
            <v>1641</v>
          </cell>
          <cell r="B2322">
            <v>5241</v>
          </cell>
          <cell r="C2322" t="str">
            <v>Dawsonite</v>
          </cell>
          <cell r="E2322" t="str">
            <v>https://www.mindat.org/1:1:1240:5</v>
          </cell>
        </row>
        <row r="2323">
          <cell r="A2323">
            <v>1645</v>
          </cell>
          <cell r="B2323">
            <v>5241</v>
          </cell>
          <cell r="C2323" t="str">
            <v>Decrespignyite-(Y)</v>
          </cell>
          <cell r="E2323" t="str">
            <v>https://www.mindat.org/1:1:9294:0</v>
          </cell>
        </row>
        <row r="2324">
          <cell r="A2324">
            <v>1647</v>
          </cell>
          <cell r="B2324">
            <v>5241</v>
          </cell>
          <cell r="C2324" t="str">
            <v>Defernite</v>
          </cell>
          <cell r="E2324" t="str">
            <v>https://www.mindat.org/1:1:1246:7</v>
          </cell>
        </row>
        <row r="2325">
          <cell r="A2325">
            <v>1690</v>
          </cell>
          <cell r="B2325">
            <v>5241</v>
          </cell>
          <cell r="C2325" t="str">
            <v>Otavite</v>
          </cell>
          <cell r="E2325" t="str">
            <v>https://www.mindat.org/1:1:3040:9</v>
          </cell>
        </row>
        <row r="2326">
          <cell r="A2326">
            <v>1694</v>
          </cell>
          <cell r="B2326">
            <v>5241</v>
          </cell>
          <cell r="C2326" t="str">
            <v>Otwayite</v>
          </cell>
          <cell r="E2326" t="str">
            <v>https://www.mindat.org/1:1:3044:7</v>
          </cell>
        </row>
        <row r="2327">
          <cell r="A2327">
            <v>1744</v>
          </cell>
          <cell r="B2327">
            <v>5241</v>
          </cell>
          <cell r="C2327" t="str">
            <v>Paralstonite</v>
          </cell>
          <cell r="E2327" t="str">
            <v>https://www.mindat.org/1:1:3097:3</v>
          </cell>
        </row>
        <row r="2328">
          <cell r="A2328">
            <v>1768</v>
          </cell>
          <cell r="B2328">
            <v>5241</v>
          </cell>
          <cell r="C2328" t="str">
            <v>Parisite</v>
          </cell>
          <cell r="E2328" t="str">
            <v>https://www.mindat.org/1:1:7403:8</v>
          </cell>
        </row>
        <row r="2329">
          <cell r="A2329">
            <v>1769</v>
          </cell>
          <cell r="B2329">
            <v>5241</v>
          </cell>
          <cell r="C2329" t="str">
            <v>Parisite-(Ce)</v>
          </cell>
          <cell r="E2329" t="str">
            <v>https://www.mindat.org/1:1:3120:8</v>
          </cell>
        </row>
        <row r="2330">
          <cell r="A2330">
            <v>1770</v>
          </cell>
          <cell r="B2330">
            <v>5241</v>
          </cell>
          <cell r="C2330" t="str">
            <v>Parisite-(Nd)</v>
          </cell>
          <cell r="E2330" t="str">
            <v/>
          </cell>
        </row>
        <row r="2331">
          <cell r="A2331">
            <v>1799</v>
          </cell>
          <cell r="B2331">
            <v>5241</v>
          </cell>
          <cell r="C2331" t="str">
            <v>Donnayite-(Y)</v>
          </cell>
          <cell r="E2331" t="str">
            <v>https://www.mindat.org/1:1:1309:9</v>
          </cell>
        </row>
        <row r="2332">
          <cell r="A2332">
            <v>1809</v>
          </cell>
          <cell r="B2332">
            <v>5241</v>
          </cell>
          <cell r="C2332" t="str">
            <v>Dresserite</v>
          </cell>
          <cell r="E2332" t="str">
            <v>https://www.mindat.org/1:1:1319:8</v>
          </cell>
        </row>
        <row r="2333">
          <cell r="A2333">
            <v>1821</v>
          </cell>
          <cell r="B2333">
            <v>5241</v>
          </cell>
          <cell r="C2333" t="str">
            <v>Dundasite</v>
          </cell>
          <cell r="E2333" t="str">
            <v>https://www.mindat.org/1:1:1330:3</v>
          </cell>
        </row>
        <row r="2334">
          <cell r="A2334">
            <v>1828</v>
          </cell>
          <cell r="B2334">
            <v>5241</v>
          </cell>
          <cell r="C2334" t="str">
            <v>Dypingite</v>
          </cell>
          <cell r="E2334" t="str">
            <v>https://www.mindat.org/1:1:1338:9</v>
          </cell>
        </row>
        <row r="2335">
          <cell r="A2335">
            <v>1852</v>
          </cell>
          <cell r="B2335">
            <v>5241</v>
          </cell>
          <cell r="C2335" t="str">
            <v>Eitelite</v>
          </cell>
          <cell r="E2335" t="str">
            <v>https://www.mindat.org/1:1:1360:0</v>
          </cell>
        </row>
        <row r="2336">
          <cell r="A2336">
            <v>1920</v>
          </cell>
          <cell r="B2336">
            <v>5241</v>
          </cell>
          <cell r="C2336" t="str">
            <v>Ewaldite</v>
          </cell>
          <cell r="E2336" t="str">
            <v>https://www.mindat.org/1:1:1429:4</v>
          </cell>
        </row>
        <row r="2337">
          <cell r="A2337">
            <v>1929</v>
          </cell>
          <cell r="B2337">
            <v>5241</v>
          </cell>
          <cell r="C2337" t="str">
            <v>Fairchildite</v>
          </cell>
          <cell r="E2337" t="str">
            <v>https://www.mindat.org/1:1:1442:3</v>
          </cell>
        </row>
        <row r="2338">
          <cell r="A2338">
            <v>2103</v>
          </cell>
          <cell r="B2338">
            <v>5241</v>
          </cell>
          <cell r="C2338" t="str">
            <v>Minrecordite</v>
          </cell>
          <cell r="E2338" t="str">
            <v>https://www.mindat.org/1:1:2723:2</v>
          </cell>
        </row>
        <row r="2339">
          <cell r="A2339">
            <v>2135</v>
          </cell>
          <cell r="B2339">
            <v>5241</v>
          </cell>
          <cell r="C2339" t="str">
            <v>Monohydrocalcite</v>
          </cell>
          <cell r="E2339" t="str">
            <v>https://www.mindat.org/1:1:2758:4</v>
          </cell>
        </row>
        <row r="2340">
          <cell r="A2340">
            <v>2148</v>
          </cell>
          <cell r="B2340">
            <v>5241</v>
          </cell>
          <cell r="C2340" t="str">
            <v>Montroyalite</v>
          </cell>
          <cell r="E2340" t="str">
            <v>https://www.mindat.org/1:1:2770:6</v>
          </cell>
        </row>
        <row r="2341">
          <cell r="A2341">
            <v>2212</v>
          </cell>
          <cell r="B2341">
            <v>5241</v>
          </cell>
          <cell r="C2341" t="str">
            <v>Nahcolite</v>
          </cell>
          <cell r="E2341" t="str">
            <v>https://www.mindat.org/1:1:2831:4</v>
          </cell>
        </row>
        <row r="2342">
          <cell r="A2342">
            <v>2242</v>
          </cell>
          <cell r="B2342">
            <v>5241</v>
          </cell>
          <cell r="C2342" t="str">
            <v>Natron</v>
          </cell>
          <cell r="E2342" t="str">
            <v>https://www.mindat.org/1:1:2858:1</v>
          </cell>
        </row>
        <row r="2343">
          <cell r="A2343">
            <v>2267</v>
          </cell>
          <cell r="B2343">
            <v>5241</v>
          </cell>
          <cell r="C2343" t="str">
            <v>Nesquehonite</v>
          </cell>
          <cell r="E2343" t="str">
            <v>https://www.mindat.org/1:1:2885:7</v>
          </cell>
        </row>
        <row r="2344">
          <cell r="A2344">
            <v>2308</v>
          </cell>
          <cell r="B2344">
            <v>5241</v>
          </cell>
          <cell r="C2344" t="str">
            <v>Niter</v>
          </cell>
          <cell r="E2344" t="str">
            <v>https://www.mindat.org/1:1:2917:5</v>
          </cell>
        </row>
        <row r="2345">
          <cell r="A2345">
            <v>2309</v>
          </cell>
          <cell r="B2345">
            <v>5241</v>
          </cell>
          <cell r="C2345" t="str">
            <v>Nitratine</v>
          </cell>
          <cell r="E2345" t="str">
            <v>https://www.mindat.org/1:1:2916:8</v>
          </cell>
        </row>
        <row r="2346">
          <cell r="A2346">
            <v>2310</v>
          </cell>
          <cell r="B2346">
            <v>5241</v>
          </cell>
          <cell r="C2346" t="str">
            <v>Nitrobarite</v>
          </cell>
          <cell r="E2346" t="str">
            <v>https://www.mindat.org/1:1:2918:2</v>
          </cell>
        </row>
        <row r="2347">
          <cell r="A2347">
            <v>2311</v>
          </cell>
          <cell r="B2347">
            <v>5241</v>
          </cell>
          <cell r="C2347" t="str">
            <v>Nitrocalcite</v>
          </cell>
          <cell r="E2347" t="str">
            <v>https://www.mindat.org/1:1:2919:9</v>
          </cell>
        </row>
        <row r="2348">
          <cell r="A2348">
            <v>2312</v>
          </cell>
          <cell r="B2348">
            <v>5241</v>
          </cell>
          <cell r="C2348" t="str">
            <v>Nitromagnesite</v>
          </cell>
          <cell r="E2348" t="str">
            <v>https://www.mindat.org/1:1:2920:5</v>
          </cell>
        </row>
        <row r="2349">
          <cell r="A2349">
            <v>2326</v>
          </cell>
          <cell r="B2349">
            <v>5241</v>
          </cell>
          <cell r="C2349" t="str">
            <v>Norsethite</v>
          </cell>
          <cell r="E2349" t="str">
            <v>https://www.mindat.org/1:1:2934:2</v>
          </cell>
        </row>
        <row r="2350">
          <cell r="A2350">
            <v>2327</v>
          </cell>
          <cell r="B2350">
            <v>5241</v>
          </cell>
          <cell r="C2350" t="str">
            <v>Northupite</v>
          </cell>
          <cell r="E2350" t="str">
            <v>https://www.mindat.org/1:1:2935:9</v>
          </cell>
        </row>
        <row r="2351">
          <cell r="A2351">
            <v>2337</v>
          </cell>
          <cell r="B2351">
            <v>5241</v>
          </cell>
          <cell r="C2351" t="str">
            <v>Nullaginite</v>
          </cell>
          <cell r="E2351" t="str">
            <v>https://www.mindat.org/1:1:2943:4</v>
          </cell>
        </row>
        <row r="2352">
          <cell r="A2352">
            <v>2339</v>
          </cell>
          <cell r="B2352">
            <v>5241</v>
          </cell>
          <cell r="C2352" t="str">
            <v>Nyerereite</v>
          </cell>
          <cell r="E2352" t="str">
            <v>https://www.mindat.org/1:1:2945:8</v>
          </cell>
        </row>
        <row r="2353">
          <cell r="A2353">
            <v>2357</v>
          </cell>
          <cell r="B2353">
            <v>5241</v>
          </cell>
          <cell r="C2353" t="str">
            <v>Olekminskite</v>
          </cell>
          <cell r="E2353" t="str">
            <v>https://www.mindat.org/1:1:2971:7</v>
          </cell>
        </row>
        <row r="2354">
          <cell r="A2354">
            <v>2380</v>
          </cell>
          <cell r="B2354">
            <v>5241</v>
          </cell>
          <cell r="C2354" t="str">
            <v>Lokkaite-(Y)</v>
          </cell>
          <cell r="E2354" t="str">
            <v>https://www.mindat.org/1:1:2427:9</v>
          </cell>
        </row>
        <row r="2355">
          <cell r="A2355">
            <v>2390</v>
          </cell>
          <cell r="B2355">
            <v>5241</v>
          </cell>
          <cell r="C2355" t="str">
            <v>Loseyite</v>
          </cell>
          <cell r="E2355" t="str">
            <v>https://www.mindat.org/1:1:2438:5</v>
          </cell>
        </row>
        <row r="2356">
          <cell r="A2356">
            <v>2426</v>
          </cell>
          <cell r="B2356">
            <v>5241</v>
          </cell>
          <cell r="C2356" t="str">
            <v>Macphersonite</v>
          </cell>
          <cell r="E2356" t="str">
            <v>https://www.mindat.org/1:1:2513:9</v>
          </cell>
        </row>
        <row r="2357">
          <cell r="A2357">
            <v>2455</v>
          </cell>
          <cell r="B2357">
            <v>5241</v>
          </cell>
          <cell r="C2357" t="str">
            <v>Magnesite</v>
          </cell>
          <cell r="E2357" t="str">
            <v>https://www.mindat.org/1:1:2482:8</v>
          </cell>
        </row>
        <row r="2358">
          <cell r="A2358">
            <v>2472</v>
          </cell>
          <cell r="B2358">
            <v>5241</v>
          </cell>
          <cell r="C2358" t="str">
            <v>Malachite</v>
          </cell>
          <cell r="E2358" t="str">
            <v>https://www.mindat.org/1:1:2550:4</v>
          </cell>
        </row>
        <row r="2359">
          <cell r="A2359">
            <v>2482</v>
          </cell>
          <cell r="B2359">
            <v>5241</v>
          </cell>
          <cell r="C2359" t="str">
            <v>Manasseite</v>
          </cell>
          <cell r="E2359" t="str">
            <v/>
          </cell>
        </row>
        <row r="2360">
          <cell r="A2360">
            <v>2561</v>
          </cell>
          <cell r="B2360">
            <v>5241</v>
          </cell>
          <cell r="C2360" t="str">
            <v>Mcguinnessite</v>
          </cell>
          <cell r="E2360" t="str">
            <v>https://www.mindat.org/1:1:2615:0</v>
          </cell>
        </row>
        <row r="2361">
          <cell r="A2361">
            <v>2562</v>
          </cell>
          <cell r="B2361">
            <v>5241</v>
          </cell>
          <cell r="C2361" t="str">
            <v>Mckelveyite-(Y)</v>
          </cell>
          <cell r="E2361" t="str">
            <v>https://www.mindat.org/1:1:2617:4</v>
          </cell>
        </row>
        <row r="2362">
          <cell r="A2362">
            <v>2638</v>
          </cell>
          <cell r="B2362">
            <v>5241</v>
          </cell>
          <cell r="C2362" t="str">
            <v>Metazellerite</v>
          </cell>
          <cell r="E2362" t="str">
            <v>https://www.mindat.org/1:1:2697:6</v>
          </cell>
        </row>
        <row r="2363">
          <cell r="A2363">
            <v>2721</v>
          </cell>
          <cell r="B2363">
            <v>5241</v>
          </cell>
          <cell r="C2363" t="str">
            <v>Gaspeite</v>
          </cell>
          <cell r="E2363" t="str">
            <v/>
          </cell>
        </row>
        <row r="2364">
          <cell r="A2364">
            <v>2726</v>
          </cell>
          <cell r="B2364">
            <v>5241</v>
          </cell>
          <cell r="C2364" t="str">
            <v>Gaylussite</v>
          </cell>
          <cell r="E2364" t="str">
            <v>https://www.mindat.org/1:1:1662:5</v>
          </cell>
        </row>
        <row r="2365">
          <cell r="A2365">
            <v>2742</v>
          </cell>
          <cell r="B2365">
            <v>5241</v>
          </cell>
          <cell r="C2365" t="str">
            <v>Georgeite</v>
          </cell>
          <cell r="E2365" t="str">
            <v>https://www.mindat.org/1:1:1676:2</v>
          </cell>
        </row>
        <row r="2366">
          <cell r="A2366">
            <v>2747</v>
          </cell>
          <cell r="B2366">
            <v>5241</v>
          </cell>
          <cell r="C2366" t="str">
            <v>Gerhardtite</v>
          </cell>
          <cell r="E2366" t="str">
            <v>https://www.mindat.org/1:1:1680:9</v>
          </cell>
        </row>
        <row r="2367">
          <cell r="A2367">
            <v>2764</v>
          </cell>
          <cell r="B2367">
            <v>5241</v>
          </cell>
          <cell r="C2367" t="str">
            <v>Giorgiosite</v>
          </cell>
          <cell r="E2367" t="str">
            <v>https://www.mindat.org/1:1:1697:7</v>
          </cell>
        </row>
        <row r="2368">
          <cell r="A2368">
            <v>2780</v>
          </cell>
          <cell r="B2368">
            <v>5241</v>
          </cell>
          <cell r="C2368" t="str">
            <v>Glaukosphaerite</v>
          </cell>
          <cell r="E2368" t="str">
            <v>https://www.mindat.org/1:1:1711:0</v>
          </cell>
        </row>
        <row r="2369">
          <cell r="A2369">
            <v>2827</v>
          </cell>
          <cell r="B2369">
            <v>5241</v>
          </cell>
          <cell r="C2369" t="str">
            <v>Gregoryite</v>
          </cell>
          <cell r="E2369" t="str">
            <v>https://www.mindat.org/1:1:6979:9</v>
          </cell>
        </row>
        <row r="2370">
          <cell r="A2370">
            <v>2832</v>
          </cell>
          <cell r="B2370">
            <v>5241</v>
          </cell>
          <cell r="C2370" t="str">
            <v>Grimselite</v>
          </cell>
          <cell r="E2370" t="str">
            <v>https://www.mindat.org/1:1:1751:6</v>
          </cell>
        </row>
        <row r="2371">
          <cell r="A2371">
            <v>2860</v>
          </cell>
          <cell r="B2371">
            <v>5241</v>
          </cell>
          <cell r="C2371" t="str">
            <v>Gysinite-(Nd)</v>
          </cell>
          <cell r="E2371" t="str">
            <v>https://www.mindat.org/1:1:1786:8</v>
          </cell>
        </row>
        <row r="2372">
          <cell r="A2372">
            <v>2918</v>
          </cell>
          <cell r="B2372">
            <v>5241</v>
          </cell>
          <cell r="C2372" t="str">
            <v>Hellyerite</v>
          </cell>
          <cell r="E2372" t="str">
            <v>https://www.mindat.org/1:1:1853:7</v>
          </cell>
        </row>
        <row r="2373">
          <cell r="A2373">
            <v>2984</v>
          </cell>
          <cell r="B2373">
            <v>5241</v>
          </cell>
          <cell r="C2373" t="str">
            <v>Holdawayite</v>
          </cell>
          <cell r="E2373" t="str">
            <v>https://www.mindat.org/1:1:1919:0</v>
          </cell>
        </row>
        <row r="2374">
          <cell r="A2374">
            <v>3004</v>
          </cell>
          <cell r="B2374">
            <v>5241</v>
          </cell>
          <cell r="C2374" t="str">
            <v>Huanghoite-(Ce)</v>
          </cell>
          <cell r="E2374" t="str">
            <v>https://www.mindat.org/1:1:1938:1</v>
          </cell>
        </row>
        <row r="2375">
          <cell r="A2375">
            <v>3015</v>
          </cell>
          <cell r="B2375">
            <v>5241</v>
          </cell>
          <cell r="C2375" t="str">
            <v>Huntite</v>
          </cell>
          <cell r="E2375" t="str">
            <v>https://www.mindat.org/1:1:1951:0</v>
          </cell>
        </row>
        <row r="2376">
          <cell r="A2376">
            <v>3027</v>
          </cell>
          <cell r="B2376">
            <v>5241</v>
          </cell>
          <cell r="C2376" t="str">
            <v>Hydrocerussite</v>
          </cell>
          <cell r="E2376" t="str">
            <v>https://www.mindat.org/1:1:1969:5</v>
          </cell>
        </row>
        <row r="2377">
          <cell r="A2377">
            <v>3036</v>
          </cell>
          <cell r="B2377">
            <v>5241</v>
          </cell>
          <cell r="C2377" t="str">
            <v>Hydromagnesite</v>
          </cell>
          <cell r="E2377" t="str">
            <v>https://www.mindat.org/1:1:1979:4</v>
          </cell>
        </row>
        <row r="2378">
          <cell r="A2378">
            <v>3044</v>
          </cell>
          <cell r="B2378">
            <v>5241</v>
          </cell>
          <cell r="C2378" t="str">
            <v>Hydrotalcite</v>
          </cell>
          <cell r="E2378" t="str">
            <v>https://www.mindat.org/1:1:1987:9</v>
          </cell>
        </row>
        <row r="2379">
          <cell r="A2379">
            <v>3058</v>
          </cell>
          <cell r="B2379">
            <v>5241</v>
          </cell>
          <cell r="C2379" t="str">
            <v>Hydrozincite</v>
          </cell>
          <cell r="E2379" t="str">
            <v>https://www.mindat.org/1:1:1993:0</v>
          </cell>
        </row>
        <row r="2380">
          <cell r="A2380">
            <v>3072</v>
          </cell>
          <cell r="B2380">
            <v>5241</v>
          </cell>
          <cell r="C2380" t="str">
            <v>Ikaite</v>
          </cell>
          <cell r="E2380" t="str">
            <v>https://www.mindat.org/1:1:2007:3</v>
          </cell>
        </row>
        <row r="2381">
          <cell r="A2381">
            <v>3094</v>
          </cell>
          <cell r="B2381">
            <v>5241</v>
          </cell>
          <cell r="C2381" t="str">
            <v>Indigirite</v>
          </cell>
          <cell r="E2381" t="str">
            <v>https://www.mindat.org/1:1:2028:8</v>
          </cell>
        </row>
        <row r="2382">
          <cell r="A2382">
            <v>3225</v>
          </cell>
          <cell r="B2382">
            <v>5241</v>
          </cell>
          <cell r="C2382" t="str">
            <v>Kambaldaite</v>
          </cell>
          <cell r="E2382" t="str">
            <v>https://www.mindat.org/1:1:2145:2</v>
          </cell>
        </row>
        <row r="2383">
          <cell r="A2383">
            <v>3229</v>
          </cell>
          <cell r="B2383">
            <v>5241</v>
          </cell>
          <cell r="C2383" t="str">
            <v>Kamotoite-(Y)</v>
          </cell>
          <cell r="E2383" t="str">
            <v>https://www.mindat.org/1:1:2150:6</v>
          </cell>
        </row>
        <row r="2384">
          <cell r="A2384">
            <v>3278</v>
          </cell>
          <cell r="B2384">
            <v>5241</v>
          </cell>
          <cell r="C2384" t="str">
            <v>Kettnerite</v>
          </cell>
          <cell r="E2384" t="str">
            <v>https://www.mindat.org/1:1:2190:2</v>
          </cell>
        </row>
        <row r="2385">
          <cell r="A2385">
            <v>3299</v>
          </cell>
          <cell r="B2385">
            <v>5241</v>
          </cell>
          <cell r="C2385" t="str">
            <v>Kimuraite-(Y)</v>
          </cell>
          <cell r="E2385" t="str">
            <v>https://www.mindat.org/1:1:2208:4</v>
          </cell>
        </row>
        <row r="2386">
          <cell r="A2386">
            <v>3335</v>
          </cell>
          <cell r="B2386">
            <v>5241</v>
          </cell>
          <cell r="C2386" t="str">
            <v>Kolwezite</v>
          </cell>
          <cell r="E2386" t="str">
            <v>https://www.mindat.org/1:1:2243:5</v>
          </cell>
        </row>
        <row r="2387">
          <cell r="A2387">
            <v>3394</v>
          </cell>
          <cell r="B2387">
            <v>5241</v>
          </cell>
          <cell r="C2387" t="str">
            <v>Kutnahorite</v>
          </cell>
          <cell r="E2387" t="str">
            <v/>
          </cell>
        </row>
        <row r="2388">
          <cell r="A2388">
            <v>3395</v>
          </cell>
          <cell r="B2388">
            <v>5241</v>
          </cell>
          <cell r="C2388" t="str">
            <v>Kutnohorite</v>
          </cell>
          <cell r="E2388" t="str">
            <v>https://www.mindat.org/1:1:2299:2</v>
          </cell>
        </row>
        <row r="2389">
          <cell r="A2389">
            <v>3421</v>
          </cell>
          <cell r="B2389">
            <v>5241</v>
          </cell>
          <cell r="C2389" t="str">
            <v>Lansfordite</v>
          </cell>
          <cell r="E2389" t="str">
            <v>https://www.mindat.org/1:1:2324:1</v>
          </cell>
        </row>
        <row r="2390">
          <cell r="A2390">
            <v>3422</v>
          </cell>
          <cell r="B2390">
            <v>5241</v>
          </cell>
          <cell r="C2390" t="str">
            <v>Lanthanite</v>
          </cell>
          <cell r="E2390" t="str">
            <v/>
          </cell>
        </row>
        <row r="2391">
          <cell r="A2391">
            <v>3423</v>
          </cell>
          <cell r="B2391">
            <v>5241</v>
          </cell>
          <cell r="C2391" t="str">
            <v>Lanthanite-(Ce)</v>
          </cell>
          <cell r="E2391" t="str">
            <v>https://www.mindat.org/1:1:2325:8</v>
          </cell>
        </row>
        <row r="2392">
          <cell r="A2392">
            <v>3424</v>
          </cell>
          <cell r="B2392">
            <v>5241</v>
          </cell>
          <cell r="C2392" t="str">
            <v>Lanthanite-(La)</v>
          </cell>
          <cell r="E2392" t="str">
            <v>https://www.mindat.org/1:1:2326:5</v>
          </cell>
        </row>
        <row r="2393">
          <cell r="A2393">
            <v>3425</v>
          </cell>
          <cell r="B2393">
            <v>5241</v>
          </cell>
          <cell r="C2393" t="str">
            <v>Lanthanite-(Nd)</v>
          </cell>
          <cell r="E2393" t="str">
            <v>https://www.mindat.org/1:1:2327:2</v>
          </cell>
        </row>
        <row r="2394">
          <cell r="A2394">
            <v>3456</v>
          </cell>
          <cell r="B2394">
            <v>5241</v>
          </cell>
          <cell r="C2394" t="str">
            <v>Leadhillite</v>
          </cell>
          <cell r="E2394" t="str">
            <v>https://www.mindat.org/1:1:2361:6</v>
          </cell>
        </row>
        <row r="2395">
          <cell r="A2395">
            <v>3499</v>
          </cell>
          <cell r="B2395">
            <v>5241</v>
          </cell>
          <cell r="C2395" t="str">
            <v>Liebigite</v>
          </cell>
          <cell r="E2395" t="str">
            <v>https://www.mindat.org/1:1:2398:2</v>
          </cell>
        </row>
        <row r="2396">
          <cell r="A2396">
            <v>3500</v>
          </cell>
          <cell r="B2396">
            <v>5241</v>
          </cell>
          <cell r="C2396" t="str">
            <v>Likasite</v>
          </cell>
          <cell r="E2396" t="str">
            <v>https://www.mindat.org/1:1:2399:9</v>
          </cell>
        </row>
        <row r="2397">
          <cell r="A2397">
            <v>3524</v>
          </cell>
          <cell r="B2397">
            <v>5241</v>
          </cell>
          <cell r="C2397" t="str">
            <v>Bismutite</v>
          </cell>
          <cell r="E2397" t="str">
            <v>https://www.mindat.org/1:1:687:9</v>
          </cell>
        </row>
        <row r="2398">
          <cell r="A2398">
            <v>3555</v>
          </cell>
          <cell r="B2398">
            <v>5241</v>
          </cell>
          <cell r="C2398" t="str">
            <v>Bonshtedtite</v>
          </cell>
          <cell r="E2398" t="str">
            <v>https://www.mindat.org/1:1:719:7</v>
          </cell>
        </row>
        <row r="2399">
          <cell r="A2399">
            <v>3581</v>
          </cell>
          <cell r="B2399">
            <v>5241</v>
          </cell>
          <cell r="C2399" t="str">
            <v>Bradleyite</v>
          </cell>
          <cell r="E2399" t="str">
            <v>https://www.mindat.org/1:1:750:4</v>
          </cell>
        </row>
        <row r="2400">
          <cell r="A2400">
            <v>3595</v>
          </cell>
          <cell r="B2400">
            <v>5241</v>
          </cell>
          <cell r="C2400" t="str">
            <v>Brenkite</v>
          </cell>
          <cell r="E2400" t="str">
            <v>https://www.mindat.org/1:1:764:7</v>
          </cell>
        </row>
        <row r="2401">
          <cell r="A2401">
            <v>3602</v>
          </cell>
          <cell r="B2401">
            <v>5241</v>
          </cell>
          <cell r="C2401" t="str">
            <v>Brianyoungite</v>
          </cell>
          <cell r="E2401" t="str">
            <v>https://www.mindat.org/1:1:772:6</v>
          </cell>
        </row>
        <row r="2402">
          <cell r="A2402">
            <v>3617</v>
          </cell>
          <cell r="B2402">
            <v>5241</v>
          </cell>
          <cell r="C2402" t="str">
            <v>Brugnatellite</v>
          </cell>
          <cell r="E2402" t="str">
            <v>https://www.mindat.org/1:1:791:1</v>
          </cell>
        </row>
        <row r="2403">
          <cell r="A2403">
            <v>3632</v>
          </cell>
          <cell r="B2403">
            <v>5241</v>
          </cell>
          <cell r="C2403" t="str">
            <v>Burbankite</v>
          </cell>
          <cell r="E2403" t="str">
            <v>https://www.mindat.org/1:1:803:5</v>
          </cell>
        </row>
        <row r="2404">
          <cell r="A2404">
            <v>3647</v>
          </cell>
          <cell r="B2404">
            <v>5241</v>
          </cell>
          <cell r="C2404" t="str">
            <v>Butschliite</v>
          </cell>
          <cell r="E2404" t="str">
            <v/>
          </cell>
        </row>
        <row r="2405">
          <cell r="A2405">
            <v>3659</v>
          </cell>
          <cell r="B2405">
            <v>5241</v>
          </cell>
          <cell r="C2405" t="str">
            <v>Calcio-ancylite</v>
          </cell>
          <cell r="E2405" t="str">
            <v/>
          </cell>
        </row>
        <row r="2406">
          <cell r="A2406">
            <v>3660</v>
          </cell>
          <cell r="B2406">
            <v>5241</v>
          </cell>
          <cell r="C2406" t="str">
            <v>Calcio-ancylite-(Ce)</v>
          </cell>
          <cell r="E2406" t="str">
            <v/>
          </cell>
        </row>
        <row r="2407">
          <cell r="A2407">
            <v>3661</v>
          </cell>
          <cell r="B2407">
            <v>5241</v>
          </cell>
          <cell r="C2407" t="str">
            <v>Calcio-ancylite-(Nd)</v>
          </cell>
          <cell r="E2407" t="str">
            <v/>
          </cell>
        </row>
        <row r="2408">
          <cell r="A2408">
            <v>3672</v>
          </cell>
          <cell r="B2408">
            <v>5241</v>
          </cell>
          <cell r="C2408" t="str">
            <v>Calcite</v>
          </cell>
          <cell r="E2408" t="str">
            <v>https://www.mindat.org/1:1:859:4</v>
          </cell>
        </row>
        <row r="2409">
          <cell r="A2409">
            <v>3679</v>
          </cell>
          <cell r="B2409">
            <v>5241</v>
          </cell>
          <cell r="C2409" t="str">
            <v>Calkinsite-(Ce)</v>
          </cell>
          <cell r="E2409" t="str">
            <v>https://www.mindat.org/1:1:867:3</v>
          </cell>
        </row>
        <row r="2410">
          <cell r="A2410">
            <v>3680</v>
          </cell>
          <cell r="B2410">
            <v>5241</v>
          </cell>
          <cell r="C2410" t="str">
            <v>Callaghanite</v>
          </cell>
          <cell r="E2410" t="str">
            <v>https://www.mindat.org/1:1:868:2</v>
          </cell>
        </row>
        <row r="2411">
          <cell r="A2411">
            <v>3704</v>
          </cell>
          <cell r="B2411">
            <v>5241</v>
          </cell>
          <cell r="C2411" t="str">
            <v>Carbocernaite</v>
          </cell>
          <cell r="E2411" t="str">
            <v>https://www.mindat.org/1:1:892:9</v>
          </cell>
        </row>
        <row r="2412">
          <cell r="A2412">
            <v>3741</v>
          </cell>
          <cell r="B2412">
            <v>5241</v>
          </cell>
          <cell r="C2412" t="str">
            <v>Cejkaite</v>
          </cell>
          <cell r="E2412" t="str">
            <v/>
          </cell>
        </row>
        <row r="2413">
          <cell r="A2413">
            <v>3751</v>
          </cell>
          <cell r="B2413">
            <v>5241</v>
          </cell>
          <cell r="C2413" t="str">
            <v>Cerussite</v>
          </cell>
          <cell r="E2413" t="str">
            <v>https://www.mindat.org/1:1:934:4</v>
          </cell>
        </row>
        <row r="2414">
          <cell r="A2414">
            <v>3775</v>
          </cell>
          <cell r="B2414">
            <v>5241</v>
          </cell>
          <cell r="C2414" t="str">
            <v>Chalconatronite</v>
          </cell>
          <cell r="E2414" t="str">
            <v>https://www.mindat.org/1:1:954:8</v>
          </cell>
        </row>
        <row r="2415">
          <cell r="A2415">
            <v>3862</v>
          </cell>
          <cell r="B2415">
            <v>5241</v>
          </cell>
          <cell r="C2415" t="str">
            <v>Claraite</v>
          </cell>
          <cell r="E2415" t="str">
            <v>https://www.mindat.org/1:1:1057:9</v>
          </cell>
        </row>
        <row r="2416">
          <cell r="A2416">
            <v>3899</v>
          </cell>
          <cell r="B2416">
            <v>5241</v>
          </cell>
          <cell r="C2416" t="str">
            <v>Coalingite</v>
          </cell>
          <cell r="E2416" t="str">
            <v>https://www.mindat.org/1:1:1095:1</v>
          </cell>
        </row>
        <row r="2417">
          <cell r="A2417">
            <v>3921</v>
          </cell>
          <cell r="B2417">
            <v>5241</v>
          </cell>
          <cell r="C2417" t="str">
            <v>Comblainite</v>
          </cell>
          <cell r="E2417" t="str">
            <v>https://www.mindat.org/1:1:1116:3</v>
          </cell>
        </row>
        <row r="2418">
          <cell r="A2418">
            <v>4006</v>
          </cell>
          <cell r="B2418">
            <v>5241</v>
          </cell>
          <cell r="C2418" t="str">
            <v>Alstonite</v>
          </cell>
          <cell r="E2418" t="str">
            <v>https://www.mindat.org/1:1:146:7</v>
          </cell>
        </row>
        <row r="2419">
          <cell r="A2419">
            <v>4019</v>
          </cell>
          <cell r="B2419">
            <v>5241</v>
          </cell>
          <cell r="C2419" t="str">
            <v>Alumohydrocalcite</v>
          </cell>
          <cell r="E2419" t="str">
            <v>https://www.mindat.org/1:1:157:3</v>
          </cell>
        </row>
        <row r="2420">
          <cell r="A2420">
            <v>4053</v>
          </cell>
          <cell r="B2420">
            <v>5241</v>
          </cell>
          <cell r="C2420" t="str">
            <v>Andersonite</v>
          </cell>
          <cell r="E2420" t="str">
            <v>https://www.mindat.org/1:1:219:2</v>
          </cell>
        </row>
        <row r="2421">
          <cell r="A2421">
            <v>4065</v>
          </cell>
          <cell r="B2421">
            <v>5241</v>
          </cell>
          <cell r="C2421" t="str">
            <v>Ankerite</v>
          </cell>
          <cell r="E2421" t="str">
            <v>https://www.mindat.org/1:1:239:6</v>
          </cell>
        </row>
        <row r="2422">
          <cell r="A2422">
            <v>4087</v>
          </cell>
          <cell r="B2422">
            <v>5241</v>
          </cell>
          <cell r="C2422" t="str">
            <v>Aragonite</v>
          </cell>
          <cell r="E2422" t="str">
            <v>https://www.mindat.org/1:1:307:6</v>
          </cell>
        </row>
        <row r="2423">
          <cell r="A2423">
            <v>4135</v>
          </cell>
          <cell r="B2423">
            <v>5241</v>
          </cell>
          <cell r="C2423" t="str">
            <v>Artinite</v>
          </cell>
          <cell r="E2423" t="str">
            <v>https://www.mindat.org/1:1:377:5</v>
          </cell>
        </row>
        <row r="2424">
          <cell r="A2424">
            <v>4150</v>
          </cell>
          <cell r="B2424">
            <v>5241</v>
          </cell>
          <cell r="C2424" t="str">
            <v>Astrocyanite-(Ce)</v>
          </cell>
          <cell r="E2424" t="str">
            <v>https://www.mindat.org/1:1:404:8</v>
          </cell>
        </row>
        <row r="2425">
          <cell r="A2425">
            <v>4163</v>
          </cell>
          <cell r="B2425">
            <v>5241</v>
          </cell>
          <cell r="C2425" t="str">
            <v>Aurichalcite</v>
          </cell>
          <cell r="E2425" t="str">
            <v>https://www.mindat.org/1:1:422:4</v>
          </cell>
        </row>
        <row r="2426">
          <cell r="A2426">
            <v>4174</v>
          </cell>
          <cell r="B2426">
            <v>5241</v>
          </cell>
          <cell r="C2426" t="str">
            <v>Azurite</v>
          </cell>
          <cell r="E2426" t="str">
            <v>https://www.mindat.org/1:1:447:3</v>
          </cell>
        </row>
        <row r="2427">
          <cell r="A2427">
            <v>4186</v>
          </cell>
          <cell r="B2427">
            <v>5241</v>
          </cell>
          <cell r="C2427" t="str">
            <v>Cordylite-(Ce)</v>
          </cell>
          <cell r="E2427" t="str">
            <v>https://www.mindat.org/1:1:1129:3</v>
          </cell>
        </row>
        <row r="2428">
          <cell r="A2428">
            <v>4231</v>
          </cell>
          <cell r="B2428">
            <v>5241</v>
          </cell>
          <cell r="C2428" t="str">
            <v>Desautelsite</v>
          </cell>
          <cell r="E2428" t="str">
            <v>https://www.mindat.org/1:1:1266:5</v>
          </cell>
        </row>
        <row r="2429">
          <cell r="A2429">
            <v>126</v>
          </cell>
          <cell r="B2429">
            <v>5242</v>
          </cell>
          <cell r="C2429" t="str">
            <v>Wardsmithite</v>
          </cell>
          <cell r="E2429" t="str">
            <v>https://www.mindat.org/1:1:4243:3</v>
          </cell>
        </row>
        <row r="2430">
          <cell r="A2430">
            <v>128</v>
          </cell>
          <cell r="B2430">
            <v>5242</v>
          </cell>
          <cell r="C2430" t="str">
            <v>Warwickite</v>
          </cell>
          <cell r="E2430" t="str">
            <v>https://www.mindat.org/1:1:4245:7</v>
          </cell>
        </row>
        <row r="2431">
          <cell r="A2431">
            <v>172</v>
          </cell>
          <cell r="B2431">
            <v>5242</v>
          </cell>
          <cell r="C2431" t="str">
            <v>Wightmanite</v>
          </cell>
          <cell r="E2431" t="str">
            <v>https://www.mindat.org/1:1:4287:7</v>
          </cell>
        </row>
        <row r="2432">
          <cell r="A2432">
            <v>184</v>
          </cell>
          <cell r="B2432">
            <v>5242</v>
          </cell>
          <cell r="C2432" t="str">
            <v>Wiserite</v>
          </cell>
          <cell r="E2432" t="str">
            <v>https://www.mindat.org/1:1:4298:3</v>
          </cell>
        </row>
        <row r="2433">
          <cell r="A2433">
            <v>277</v>
          </cell>
          <cell r="B2433">
            <v>5242</v>
          </cell>
          <cell r="C2433" t="str">
            <v>Tertschite</v>
          </cell>
          <cell r="E2433" t="str">
            <v>https://www.mindat.org/1:1:3916:7</v>
          </cell>
        </row>
        <row r="2434">
          <cell r="A2434">
            <v>278</v>
          </cell>
          <cell r="B2434">
            <v>5242</v>
          </cell>
          <cell r="C2434" t="str">
            <v>Teruggite</v>
          </cell>
          <cell r="E2434" t="str">
            <v>https://www.mindat.org/1:1:3917:4</v>
          </cell>
        </row>
        <row r="2435">
          <cell r="A2435">
            <v>326</v>
          </cell>
          <cell r="B2435">
            <v>5242</v>
          </cell>
          <cell r="C2435" t="str">
            <v>Sussexite</v>
          </cell>
          <cell r="E2435" t="str">
            <v>https://www.mindat.org/1:1:3834:4</v>
          </cell>
        </row>
        <row r="2436">
          <cell r="A2436">
            <v>353</v>
          </cell>
          <cell r="B2436">
            <v>5242</v>
          </cell>
          <cell r="C2436" t="str">
            <v>Szaibelyite</v>
          </cell>
          <cell r="E2436" t="str">
            <v/>
          </cell>
        </row>
        <row r="2437">
          <cell r="A2437">
            <v>371</v>
          </cell>
          <cell r="B2437">
            <v>5242</v>
          </cell>
          <cell r="C2437" t="str">
            <v>Takeuchiite</v>
          </cell>
          <cell r="E2437" t="str">
            <v/>
          </cell>
        </row>
        <row r="2438">
          <cell r="A2438">
            <v>400</v>
          </cell>
          <cell r="B2438">
            <v>5242</v>
          </cell>
          <cell r="C2438" t="str">
            <v>Teepleite</v>
          </cell>
          <cell r="E2438" t="str">
            <v>https://www.mindat.org/1:1:3901:3</v>
          </cell>
        </row>
        <row r="2439">
          <cell r="A2439">
            <v>473</v>
          </cell>
          <cell r="B2439">
            <v>5242</v>
          </cell>
          <cell r="C2439" t="str">
            <v>Strontioginorite</v>
          </cell>
          <cell r="E2439" t="str">
            <v>https://www.mindat.org/1:1:3741:5</v>
          </cell>
        </row>
        <row r="2440">
          <cell r="A2440">
            <v>489</v>
          </cell>
          <cell r="B2440">
            <v>5242</v>
          </cell>
          <cell r="C2440" t="str">
            <v>Suanite</v>
          </cell>
          <cell r="E2440" t="str">
            <v>https://www.mindat.org/1:1:3818:4</v>
          </cell>
        </row>
        <row r="2441">
          <cell r="A2441">
            <v>495</v>
          </cell>
          <cell r="B2441">
            <v>5242</v>
          </cell>
          <cell r="C2441" t="str">
            <v>Sulfoborite</v>
          </cell>
          <cell r="E2441" t="str">
            <v>https://www.mindat.org/1:1:3823:8</v>
          </cell>
        </row>
        <row r="2442">
          <cell r="A2442">
            <v>513</v>
          </cell>
          <cell r="B2442">
            <v>5242</v>
          </cell>
          <cell r="C2442" t="str">
            <v>Sinhalite</v>
          </cell>
          <cell r="E2442" t="str">
            <v>https://www.mindat.org/1:1:3672:2</v>
          </cell>
        </row>
        <row r="2443">
          <cell r="A2443">
            <v>613</v>
          </cell>
          <cell r="B2443">
            <v>5242</v>
          </cell>
          <cell r="C2443" t="str">
            <v>Seamanite</v>
          </cell>
          <cell r="E2443" t="str">
            <v>https://www.mindat.org/1:1:3599:2</v>
          </cell>
        </row>
        <row r="2444">
          <cell r="A2444">
            <v>644</v>
          </cell>
          <cell r="B2444">
            <v>5242</v>
          </cell>
          <cell r="C2444" t="str">
            <v>Shabynite</v>
          </cell>
          <cell r="E2444" t="str">
            <v>https://www.mindat.org/1:1:3627:2</v>
          </cell>
        </row>
        <row r="2445">
          <cell r="A2445">
            <v>710</v>
          </cell>
          <cell r="B2445">
            <v>5242</v>
          </cell>
          <cell r="C2445" t="str">
            <v>Volkovskite</v>
          </cell>
          <cell r="E2445" t="str">
            <v>https://www.mindat.org/1:1:4202:0</v>
          </cell>
        </row>
        <row r="2446">
          <cell r="A2446">
            <v>714</v>
          </cell>
          <cell r="B2446">
            <v>5242</v>
          </cell>
          <cell r="C2446" t="str">
            <v>Vonsenite</v>
          </cell>
          <cell r="E2446" t="str">
            <v>https://www.mindat.org/1:1:4207:5</v>
          </cell>
        </row>
        <row r="2447">
          <cell r="A2447">
            <v>740</v>
          </cell>
          <cell r="B2447">
            <v>5242</v>
          </cell>
          <cell r="C2447" t="str">
            <v>Sassolite</v>
          </cell>
          <cell r="E2447" t="str">
            <v>https://www.mindat.org/1:1:3540:4</v>
          </cell>
        </row>
        <row r="2448">
          <cell r="A2448">
            <v>748</v>
          </cell>
          <cell r="B2448">
            <v>5242</v>
          </cell>
          <cell r="C2448" t="str">
            <v>Sborgite</v>
          </cell>
          <cell r="E2448" t="str">
            <v>https://www.mindat.org/1:1:3548:0</v>
          </cell>
        </row>
        <row r="2449">
          <cell r="A2449">
            <v>763</v>
          </cell>
          <cell r="B2449">
            <v>5242</v>
          </cell>
          <cell r="C2449" t="str">
            <v>Schiavinatoite</v>
          </cell>
          <cell r="E2449" t="str">
            <v>https://www.mindat.org/1:1:7110:5</v>
          </cell>
        </row>
        <row r="2450">
          <cell r="A2450">
            <v>781</v>
          </cell>
          <cell r="B2450">
            <v>5242</v>
          </cell>
          <cell r="C2450" t="str">
            <v>Ulexite</v>
          </cell>
          <cell r="E2450" t="str">
            <v>https://www.mindat.org/1:1:4085:9</v>
          </cell>
        </row>
        <row r="2451">
          <cell r="A2451">
            <v>852</v>
          </cell>
          <cell r="B2451">
            <v>5242</v>
          </cell>
          <cell r="C2451" t="str">
            <v>Veatchite</v>
          </cell>
          <cell r="E2451" t="str">
            <v>https://www.mindat.org/1:1:4166:5</v>
          </cell>
        </row>
        <row r="2452">
          <cell r="A2452">
            <v>853</v>
          </cell>
          <cell r="B2452">
            <v>5242</v>
          </cell>
          <cell r="C2452" t="str">
            <v>Veatchite-A</v>
          </cell>
          <cell r="E2452" t="str">
            <v/>
          </cell>
        </row>
        <row r="2453">
          <cell r="A2453">
            <v>895</v>
          </cell>
          <cell r="B2453">
            <v>5242</v>
          </cell>
          <cell r="C2453" t="str">
            <v>Roweite</v>
          </cell>
          <cell r="E2453" t="str">
            <v>https://www.mindat.org/1:1:3466:7</v>
          </cell>
        </row>
        <row r="2454">
          <cell r="A2454">
            <v>930</v>
          </cell>
          <cell r="B2454">
            <v>5242</v>
          </cell>
          <cell r="C2454" t="str">
            <v>Sakhaite</v>
          </cell>
          <cell r="E2454" t="str">
            <v>https://www.mindat.org/1:1:3504:6</v>
          </cell>
        </row>
        <row r="2455">
          <cell r="A2455">
            <v>1017</v>
          </cell>
          <cell r="B2455">
            <v>5242</v>
          </cell>
          <cell r="C2455" t="str">
            <v>Rhodizite</v>
          </cell>
          <cell r="E2455" t="str">
            <v>https://www.mindat.org/1:1:3405:6</v>
          </cell>
        </row>
        <row r="2456">
          <cell r="A2456">
            <v>1038</v>
          </cell>
          <cell r="B2456">
            <v>5242</v>
          </cell>
          <cell r="C2456" t="str">
            <v>Rivadavite</v>
          </cell>
          <cell r="E2456" t="str">
            <v>https://www.mindat.org/1:1:3426:1</v>
          </cell>
        </row>
        <row r="2457">
          <cell r="A2457">
            <v>1055</v>
          </cell>
          <cell r="B2457">
            <v>5242</v>
          </cell>
          <cell r="C2457" t="str">
            <v>Preobrazhenskite</v>
          </cell>
          <cell r="E2457" t="str">
            <v>https://www.mindat.org/1:1:3280:9</v>
          </cell>
        </row>
        <row r="2458">
          <cell r="A2458">
            <v>1057</v>
          </cell>
          <cell r="B2458">
            <v>5242</v>
          </cell>
          <cell r="C2458" t="str">
            <v>Priceite</v>
          </cell>
          <cell r="E2458" t="str">
            <v>https://www.mindat.org/1:1:3281:6</v>
          </cell>
        </row>
        <row r="2459">
          <cell r="A2459">
            <v>1061</v>
          </cell>
          <cell r="B2459">
            <v>5242</v>
          </cell>
          <cell r="C2459" t="str">
            <v>Probertite</v>
          </cell>
          <cell r="E2459" t="str">
            <v>https://www.mindat.org/1:1:3285:4</v>
          </cell>
        </row>
        <row r="2460">
          <cell r="A2460">
            <v>1159</v>
          </cell>
          <cell r="B2460">
            <v>5242</v>
          </cell>
          <cell r="C2460" t="str">
            <v>Pinakiolite</v>
          </cell>
          <cell r="E2460" t="str">
            <v>https://www.mindat.org/1:1:3214:4</v>
          </cell>
        </row>
        <row r="2461">
          <cell r="A2461">
            <v>1163</v>
          </cell>
          <cell r="B2461">
            <v>5242</v>
          </cell>
          <cell r="C2461" t="str">
            <v>Pinnoite</v>
          </cell>
          <cell r="E2461" t="str">
            <v>https://www.mindat.org/1:1:3217:5</v>
          </cell>
        </row>
        <row r="2462">
          <cell r="A2462">
            <v>1226</v>
          </cell>
          <cell r="B2462">
            <v>5242</v>
          </cell>
          <cell r="C2462" t="str">
            <v>Tunellite</v>
          </cell>
          <cell r="E2462" t="str">
            <v>https://www.mindat.org/1:1:4050:7</v>
          </cell>
        </row>
        <row r="2463">
          <cell r="A2463">
            <v>1271</v>
          </cell>
          <cell r="B2463">
            <v>5242</v>
          </cell>
          <cell r="C2463" t="str">
            <v>Pentahydroborite</v>
          </cell>
          <cell r="E2463" t="str">
            <v>https://www.mindat.org/1:1:3154:3</v>
          </cell>
        </row>
        <row r="2464">
          <cell r="A2464">
            <v>1323</v>
          </cell>
          <cell r="B2464">
            <v>5242</v>
          </cell>
          <cell r="C2464" t="str">
            <v>Tincalconite</v>
          </cell>
          <cell r="E2464" t="str">
            <v>https://www.mindat.org/1:1:3967:9</v>
          </cell>
        </row>
        <row r="2465">
          <cell r="A2465">
            <v>1425</v>
          </cell>
          <cell r="B2465">
            <v>5242</v>
          </cell>
          <cell r="C2465" t="str">
            <v>Berborite</v>
          </cell>
          <cell r="E2465" t="str">
            <v>https://www.mindat.org/1:1:629:5</v>
          </cell>
        </row>
        <row r="2466">
          <cell r="A2466">
            <v>1426</v>
          </cell>
          <cell r="B2466">
            <v>5242</v>
          </cell>
          <cell r="C2466" t="str">
            <v>Berborite-1t</v>
          </cell>
          <cell r="E2466" t="str">
            <v/>
          </cell>
        </row>
        <row r="2467">
          <cell r="A2467">
            <v>1475</v>
          </cell>
          <cell r="B2467">
            <v>5242</v>
          </cell>
          <cell r="C2467" t="str">
            <v>Biringuccite</v>
          </cell>
          <cell r="E2467" t="str">
            <v>https://www.mindat.org/1:1:679:0</v>
          </cell>
        </row>
        <row r="2468">
          <cell r="A2468">
            <v>1524</v>
          </cell>
          <cell r="B2468">
            <v>5242</v>
          </cell>
          <cell r="C2468" t="str">
            <v>Bandylite</v>
          </cell>
          <cell r="E2468" t="str">
            <v>https://www.mindat.org/1:1:506:5</v>
          </cell>
        </row>
        <row r="2469">
          <cell r="A2469">
            <v>1584</v>
          </cell>
          <cell r="B2469">
            <v>5242</v>
          </cell>
          <cell r="C2469" t="str">
            <v>Behierite</v>
          </cell>
          <cell r="E2469" t="str">
            <v/>
          </cell>
        </row>
        <row r="2470">
          <cell r="A2470">
            <v>1654</v>
          </cell>
          <cell r="B2470">
            <v>5242</v>
          </cell>
          <cell r="C2470" t="str">
            <v>Olshanskyite</v>
          </cell>
          <cell r="E2470" t="str">
            <v>https://www.mindat.org/1:1:2988:5</v>
          </cell>
        </row>
        <row r="2471">
          <cell r="A2471">
            <v>1679</v>
          </cell>
          <cell r="B2471">
            <v>5242</v>
          </cell>
          <cell r="C2471" t="str">
            <v>Orthopinakiolite</v>
          </cell>
          <cell r="E2471" t="str">
            <v>https://www.mindat.org/1:1:3030:0</v>
          </cell>
        </row>
        <row r="2472">
          <cell r="A2472">
            <v>1703</v>
          </cell>
          <cell r="B2472">
            <v>5242</v>
          </cell>
          <cell r="C2472" t="str">
            <v>P-Veatchite</v>
          </cell>
          <cell r="E2472" t="str">
            <v/>
          </cell>
        </row>
        <row r="2473">
          <cell r="A2473">
            <v>1710</v>
          </cell>
          <cell r="B2473">
            <v>5242</v>
          </cell>
          <cell r="C2473" t="str">
            <v>Painite</v>
          </cell>
          <cell r="E2473" t="str">
            <v>https://www.mindat.org/1:1:3063:8</v>
          </cell>
        </row>
        <row r="2474">
          <cell r="A2474">
            <v>1854</v>
          </cell>
          <cell r="B2474">
            <v>5242</v>
          </cell>
          <cell r="C2474" t="str">
            <v>Ekaterinite</v>
          </cell>
          <cell r="E2474" t="str">
            <v>https://www.mindat.org/1:1:1362:4</v>
          </cell>
        </row>
        <row r="2475">
          <cell r="A2475">
            <v>1882</v>
          </cell>
          <cell r="B2475">
            <v>5242</v>
          </cell>
          <cell r="C2475" t="str">
            <v>Ericaite</v>
          </cell>
          <cell r="E2475" t="str">
            <v>https://www.mindat.org/1:1:1396:9</v>
          </cell>
        </row>
        <row r="2476">
          <cell r="A2476">
            <v>1922</v>
          </cell>
          <cell r="B2476">
            <v>5242</v>
          </cell>
          <cell r="C2476" t="str">
            <v>Ezcurrite</v>
          </cell>
          <cell r="E2476" t="str">
            <v>https://www.mindat.org/1:1:1431:7</v>
          </cell>
        </row>
        <row r="2477">
          <cell r="A2477">
            <v>1925</v>
          </cell>
          <cell r="B2477">
            <v>5242</v>
          </cell>
          <cell r="C2477" t="str">
            <v>Fabianite</v>
          </cell>
          <cell r="E2477" t="str">
            <v>https://www.mindat.org/1:1:1433:1</v>
          </cell>
        </row>
        <row r="2478">
          <cell r="A2478">
            <v>1943</v>
          </cell>
          <cell r="B2478">
            <v>5242</v>
          </cell>
          <cell r="C2478" t="str">
            <v>Fedorovskite</v>
          </cell>
          <cell r="E2478" t="str">
            <v>https://www.mindat.org/1:1:1468:3</v>
          </cell>
        </row>
        <row r="2479">
          <cell r="A2479">
            <v>2055</v>
          </cell>
          <cell r="B2479">
            <v>5242</v>
          </cell>
          <cell r="C2479" t="str">
            <v>Fluoborite</v>
          </cell>
          <cell r="E2479" t="str">
            <v>https://www.mindat.org/1:1:1566:6</v>
          </cell>
        </row>
        <row r="2480">
          <cell r="A2480">
            <v>2076</v>
          </cell>
          <cell r="B2480">
            <v>5242</v>
          </cell>
          <cell r="C2480" t="str">
            <v>Meyerhofferite</v>
          </cell>
          <cell r="E2480" t="str">
            <v>https://www.mindat.org/1:1:2699:0</v>
          </cell>
        </row>
        <row r="2481">
          <cell r="A2481">
            <v>2225</v>
          </cell>
          <cell r="B2481">
            <v>5242</v>
          </cell>
          <cell r="C2481" t="str">
            <v>Nasinite</v>
          </cell>
          <cell r="E2481" t="str">
            <v>https://www.mindat.org/1:1:2842:0</v>
          </cell>
        </row>
        <row r="2482">
          <cell r="A2482">
            <v>2292</v>
          </cell>
          <cell r="B2482">
            <v>5242</v>
          </cell>
          <cell r="C2482" t="str">
            <v>Nifontovite</v>
          </cell>
          <cell r="E2482" t="str">
            <v>https://www.mindat.org/1:1:2902:1</v>
          </cell>
        </row>
        <row r="2483">
          <cell r="A2483">
            <v>2313</v>
          </cell>
          <cell r="B2483">
            <v>5242</v>
          </cell>
          <cell r="C2483" t="str">
            <v>Nobleite</v>
          </cell>
          <cell r="E2483" t="str">
            <v>https://www.mindat.org/1:1:7197:6</v>
          </cell>
        </row>
        <row r="2484">
          <cell r="A2484">
            <v>2318</v>
          </cell>
          <cell r="B2484">
            <v>5242</v>
          </cell>
          <cell r="C2484" t="str">
            <v>Nordenskioldine</v>
          </cell>
          <cell r="E2484" t="str">
            <v/>
          </cell>
        </row>
        <row r="2485">
          <cell r="A2485">
            <v>2382</v>
          </cell>
          <cell r="B2485">
            <v>5242</v>
          </cell>
          <cell r="C2485" t="str">
            <v>Londonite</v>
          </cell>
          <cell r="E2485" t="str">
            <v>https://www.mindat.org/1:1:7082:5</v>
          </cell>
        </row>
        <row r="2486">
          <cell r="A2486">
            <v>2405</v>
          </cell>
          <cell r="B2486">
            <v>5242</v>
          </cell>
          <cell r="C2486" t="str">
            <v>Ludwigite</v>
          </cell>
          <cell r="E2486" t="str">
            <v>https://www.mindat.org/1:1:2454:5</v>
          </cell>
        </row>
        <row r="2487">
          <cell r="A2487">
            <v>2418</v>
          </cell>
          <cell r="B2487">
            <v>5242</v>
          </cell>
          <cell r="C2487" t="str">
            <v>Luneburgite</v>
          </cell>
          <cell r="E2487" t="str">
            <v/>
          </cell>
        </row>
        <row r="2488">
          <cell r="A2488">
            <v>2553</v>
          </cell>
          <cell r="B2488">
            <v>5242</v>
          </cell>
          <cell r="C2488" t="str">
            <v>Mcallisterite</v>
          </cell>
          <cell r="E2488" t="str">
            <v>https://www.mindat.org/1:1:2609:9</v>
          </cell>
        </row>
        <row r="2489">
          <cell r="A2489">
            <v>2668</v>
          </cell>
          <cell r="B2489">
            <v>5242</v>
          </cell>
          <cell r="C2489" t="str">
            <v>Fredrikssonite</v>
          </cell>
          <cell r="E2489" t="str">
            <v>https://www.mindat.org/1:1:1603:8</v>
          </cell>
        </row>
        <row r="2490">
          <cell r="A2490">
            <v>2724</v>
          </cell>
          <cell r="B2490">
            <v>5242</v>
          </cell>
          <cell r="C2490" t="str">
            <v>Gaudefroyite</v>
          </cell>
          <cell r="E2490" t="str">
            <v>https://www.mindat.org/1:1:1660:1</v>
          </cell>
        </row>
        <row r="2491">
          <cell r="A2491">
            <v>2763</v>
          </cell>
          <cell r="B2491">
            <v>5242</v>
          </cell>
          <cell r="C2491" t="str">
            <v>Ginorite</v>
          </cell>
          <cell r="E2491" t="str">
            <v>https://www.mindat.org/1:1:1696:0</v>
          </cell>
        </row>
        <row r="2492">
          <cell r="A2492">
            <v>2811</v>
          </cell>
          <cell r="B2492">
            <v>5242</v>
          </cell>
          <cell r="C2492" t="str">
            <v>Gowerite</v>
          </cell>
          <cell r="E2492" t="str">
            <v>https://www.mindat.org/1:1:1733:2</v>
          </cell>
        </row>
        <row r="2493">
          <cell r="A2493">
            <v>2877</v>
          </cell>
          <cell r="B2493">
            <v>5242</v>
          </cell>
          <cell r="C2493" t="str">
            <v>Hambergite</v>
          </cell>
          <cell r="E2493" t="str">
            <v>https://www.mindat.org/1:1:1811:7</v>
          </cell>
        </row>
        <row r="2494">
          <cell r="A2494">
            <v>2886</v>
          </cell>
          <cell r="B2494">
            <v>5242</v>
          </cell>
          <cell r="C2494" t="str">
            <v>Harkerite</v>
          </cell>
          <cell r="E2494" t="str">
            <v>https://www.mindat.org/1:1:1819:3</v>
          </cell>
        </row>
        <row r="2495">
          <cell r="A2495">
            <v>2913</v>
          </cell>
          <cell r="B2495">
            <v>5242</v>
          </cell>
          <cell r="C2495" t="str">
            <v>Heidornite</v>
          </cell>
          <cell r="E2495" t="str">
            <v>https://www.mindat.org/1:1:1846:9</v>
          </cell>
        </row>
        <row r="2496">
          <cell r="A2496">
            <v>2931</v>
          </cell>
          <cell r="B2496">
            <v>5242</v>
          </cell>
          <cell r="C2496" t="str">
            <v>Henmilite</v>
          </cell>
          <cell r="E2496" t="str">
            <v>https://www.mindat.org/1:1:1866:7</v>
          </cell>
        </row>
        <row r="2497">
          <cell r="A2497">
            <v>2964</v>
          </cell>
          <cell r="B2497">
            <v>5242</v>
          </cell>
          <cell r="C2497" t="str">
            <v>Hilgardite</v>
          </cell>
          <cell r="E2497" t="str">
            <v>https://www.mindat.org/1:1:1902:2</v>
          </cell>
        </row>
        <row r="2498">
          <cell r="A2498">
            <v>2965</v>
          </cell>
          <cell r="B2498">
            <v>5242</v>
          </cell>
          <cell r="C2498" t="str">
            <v>Hilgardite-1tc</v>
          </cell>
          <cell r="E2498" t="str">
            <v/>
          </cell>
        </row>
        <row r="2499">
          <cell r="A2499">
            <v>2966</v>
          </cell>
          <cell r="B2499">
            <v>5242</v>
          </cell>
          <cell r="C2499" t="str">
            <v>Hilgardite-3tc</v>
          </cell>
          <cell r="E2499" t="str">
            <v/>
          </cell>
        </row>
        <row r="2500">
          <cell r="A2500">
            <v>2967</v>
          </cell>
          <cell r="B2500">
            <v>5242</v>
          </cell>
          <cell r="C2500" t="str">
            <v>Hilgardite-4m</v>
          </cell>
          <cell r="E2500" t="str">
            <v/>
          </cell>
        </row>
        <row r="2501">
          <cell r="A2501">
            <v>3002</v>
          </cell>
          <cell r="B2501">
            <v>5242</v>
          </cell>
          <cell r="C2501" t="str">
            <v>Howlite</v>
          </cell>
          <cell r="E2501" t="str">
            <v>https://www.mindat.org/1:1:1936:7</v>
          </cell>
        </row>
        <row r="2502">
          <cell r="A2502">
            <v>3008</v>
          </cell>
          <cell r="B2502">
            <v>5242</v>
          </cell>
          <cell r="C2502" t="str">
            <v>Hulsite</v>
          </cell>
          <cell r="E2502" t="str">
            <v>https://www.mindat.org/1:1:1943:5</v>
          </cell>
        </row>
        <row r="2503">
          <cell r="A2503">
            <v>3014</v>
          </cell>
          <cell r="B2503">
            <v>5242</v>
          </cell>
          <cell r="C2503" t="str">
            <v>Hungchaoite</v>
          </cell>
          <cell r="E2503" t="str">
            <v>https://www.mindat.org/1:1:1950:3</v>
          </cell>
        </row>
        <row r="2504">
          <cell r="A2504">
            <v>3025</v>
          </cell>
          <cell r="B2504">
            <v>5242</v>
          </cell>
          <cell r="C2504" t="str">
            <v>Hydroboracite</v>
          </cell>
          <cell r="E2504" t="str">
            <v>https://www.mindat.org/1:1:1967:1</v>
          </cell>
        </row>
        <row r="2505">
          <cell r="A2505">
            <v>3028</v>
          </cell>
          <cell r="B2505">
            <v>5242</v>
          </cell>
          <cell r="C2505" t="str">
            <v>Hydrochlorborite</v>
          </cell>
          <cell r="E2505" t="str">
            <v>https://www.mindat.org/1:1:1970:1</v>
          </cell>
        </row>
        <row r="2506">
          <cell r="A2506">
            <v>3091</v>
          </cell>
          <cell r="B2506">
            <v>5242</v>
          </cell>
          <cell r="C2506" t="str">
            <v>Inderborite</v>
          </cell>
          <cell r="E2506" t="str">
            <v>https://www.mindat.org/1:1:2024:0</v>
          </cell>
        </row>
        <row r="2507">
          <cell r="A2507">
            <v>3092</v>
          </cell>
          <cell r="B2507">
            <v>5242</v>
          </cell>
          <cell r="C2507" t="str">
            <v>Inderite</v>
          </cell>
          <cell r="E2507" t="str">
            <v>https://www.mindat.org/1:1:2025:7</v>
          </cell>
        </row>
        <row r="2508">
          <cell r="A2508">
            <v>3103</v>
          </cell>
          <cell r="B2508">
            <v>5242</v>
          </cell>
          <cell r="C2508" t="str">
            <v>Inyoite</v>
          </cell>
          <cell r="E2508" t="str">
            <v>https://www.mindat.org/1:1:2036:3</v>
          </cell>
        </row>
        <row r="2509">
          <cell r="A2509">
            <v>3106</v>
          </cell>
          <cell r="B2509">
            <v>5242</v>
          </cell>
          <cell r="C2509" t="str">
            <v>Iquiqueite</v>
          </cell>
          <cell r="E2509" t="str">
            <v>https://www.mindat.org/1:1:2039:4</v>
          </cell>
        </row>
        <row r="2510">
          <cell r="A2510">
            <v>3159</v>
          </cell>
          <cell r="B2510">
            <v>5242</v>
          </cell>
          <cell r="C2510" t="str">
            <v>Jeremejevite</v>
          </cell>
          <cell r="E2510" t="str">
            <v>https://www.mindat.org/1:1:2090:5</v>
          </cell>
        </row>
        <row r="2511">
          <cell r="A2511">
            <v>3165</v>
          </cell>
          <cell r="B2511">
            <v>5242</v>
          </cell>
          <cell r="C2511" t="str">
            <v>Jimboite</v>
          </cell>
          <cell r="E2511" t="str">
            <v>https://www.mindat.org/1:1:2095:0</v>
          </cell>
        </row>
        <row r="2512">
          <cell r="A2512">
            <v>3171</v>
          </cell>
          <cell r="B2512">
            <v>5242</v>
          </cell>
          <cell r="C2512" t="str">
            <v>Johachidolite</v>
          </cell>
          <cell r="E2512" t="str">
            <v>https://www.mindat.org/1:1:2101:8</v>
          </cell>
        </row>
        <row r="2513">
          <cell r="A2513">
            <v>3213</v>
          </cell>
          <cell r="B2513">
            <v>5242</v>
          </cell>
          <cell r="C2513" t="str">
            <v>Kaliborite</v>
          </cell>
          <cell r="E2513" t="str">
            <v>https://www.mindat.org/1:1:2136:0</v>
          </cell>
        </row>
        <row r="2514">
          <cell r="A2514">
            <v>3241</v>
          </cell>
          <cell r="B2514">
            <v>5242</v>
          </cell>
          <cell r="C2514" t="str">
            <v>Karlite</v>
          </cell>
          <cell r="E2514" t="str">
            <v>https://www.mindat.org/1:1:2160:5</v>
          </cell>
        </row>
        <row r="2515">
          <cell r="A2515">
            <v>3275</v>
          </cell>
          <cell r="B2515">
            <v>5242</v>
          </cell>
          <cell r="C2515" t="str">
            <v>Kernite</v>
          </cell>
          <cell r="E2515" t="str">
            <v>https://www.mindat.org/1:1:2188:9</v>
          </cell>
        </row>
        <row r="2516">
          <cell r="A2516">
            <v>3355</v>
          </cell>
          <cell r="B2516">
            <v>5242</v>
          </cell>
          <cell r="C2516" t="str">
            <v>Kotoite</v>
          </cell>
          <cell r="E2516" t="str">
            <v>https://www.mindat.org/1:1:2262:6</v>
          </cell>
        </row>
        <row r="2517">
          <cell r="A2517">
            <v>3389</v>
          </cell>
          <cell r="B2517">
            <v>5242</v>
          </cell>
          <cell r="C2517" t="str">
            <v>Kurchatovite</v>
          </cell>
          <cell r="E2517" t="str">
            <v>https://www.mindat.org/1:1:2293:0</v>
          </cell>
        </row>
        <row r="2518">
          <cell r="A2518">
            <v>3390</v>
          </cell>
          <cell r="B2518">
            <v>5242</v>
          </cell>
          <cell r="C2518" t="str">
            <v>Kurnakovite</v>
          </cell>
          <cell r="E2518" t="str">
            <v>https://www.mindat.org/1:1:2295:4</v>
          </cell>
        </row>
        <row r="2519">
          <cell r="A2519">
            <v>3429</v>
          </cell>
          <cell r="B2519">
            <v>5242</v>
          </cell>
          <cell r="C2519" t="str">
            <v>Larderellite</v>
          </cell>
          <cell r="E2519" t="str">
            <v>https://www.mindat.org/1:1:2332:6</v>
          </cell>
        </row>
        <row r="2520">
          <cell r="A2520">
            <v>3537</v>
          </cell>
          <cell r="B2520">
            <v>5242</v>
          </cell>
          <cell r="C2520" t="str">
            <v>Blatterite</v>
          </cell>
          <cell r="E2520" t="str">
            <v>https://www.mindat.org/1:1:694:9</v>
          </cell>
        </row>
        <row r="2521">
          <cell r="A2521">
            <v>3553</v>
          </cell>
          <cell r="B2521">
            <v>5242</v>
          </cell>
          <cell r="C2521" t="str">
            <v>Bonaccordite</v>
          </cell>
          <cell r="E2521" t="str">
            <v>https://www.mindat.org/1:1:717:9</v>
          </cell>
        </row>
        <row r="2522">
          <cell r="A2522">
            <v>3557</v>
          </cell>
          <cell r="B2522">
            <v>5242</v>
          </cell>
          <cell r="C2522" t="str">
            <v>Boracite</v>
          </cell>
          <cell r="E2522" t="str">
            <v>https://www.mindat.org/1:1:721:2</v>
          </cell>
        </row>
        <row r="2523">
          <cell r="A2523">
            <v>3559</v>
          </cell>
          <cell r="B2523">
            <v>5242</v>
          </cell>
          <cell r="C2523" t="str">
            <v>Borax</v>
          </cell>
          <cell r="E2523" t="str">
            <v>https://www.mindat.org/1:1:722:1</v>
          </cell>
        </row>
        <row r="2524">
          <cell r="A2524">
            <v>3560</v>
          </cell>
          <cell r="B2524">
            <v>5242</v>
          </cell>
          <cell r="C2524" t="str">
            <v>Borcarite</v>
          </cell>
          <cell r="E2524" t="str">
            <v>https://www.mindat.org/1:1:723:0</v>
          </cell>
        </row>
        <row r="2525">
          <cell r="A2525">
            <v>3656</v>
          </cell>
          <cell r="B2525">
            <v>5242</v>
          </cell>
          <cell r="C2525" t="str">
            <v>Cahnite</v>
          </cell>
          <cell r="E2525" t="str">
            <v>https://www.mindat.org/1:1:851:2</v>
          </cell>
        </row>
        <row r="2526">
          <cell r="A2526">
            <v>3691</v>
          </cell>
          <cell r="B2526">
            <v>5242</v>
          </cell>
          <cell r="C2526" t="str">
            <v>Canavesite</v>
          </cell>
          <cell r="E2526" t="str">
            <v>https://www.mindat.org/1:1:879:8</v>
          </cell>
        </row>
        <row r="2527">
          <cell r="A2527">
            <v>3703</v>
          </cell>
          <cell r="B2527">
            <v>5242</v>
          </cell>
          <cell r="C2527" t="str">
            <v>Carboborite</v>
          </cell>
          <cell r="E2527" t="str">
            <v>https://www.mindat.org/1:1:891:0</v>
          </cell>
        </row>
        <row r="2528">
          <cell r="A2528">
            <v>3782</v>
          </cell>
          <cell r="B2528">
            <v>5242</v>
          </cell>
          <cell r="C2528" t="str">
            <v>Chambersite</v>
          </cell>
          <cell r="E2528" t="str">
            <v>https://www.mindat.org/1:1:966:3</v>
          </cell>
        </row>
        <row r="2529">
          <cell r="A2529">
            <v>3810</v>
          </cell>
          <cell r="B2529">
            <v>5242</v>
          </cell>
          <cell r="C2529" t="str">
            <v>Chestermanite</v>
          </cell>
          <cell r="E2529" t="str">
            <v>https://www.mindat.org/1:1:998:2</v>
          </cell>
        </row>
        <row r="2530">
          <cell r="A2530">
            <v>3913</v>
          </cell>
          <cell r="B2530">
            <v>5242</v>
          </cell>
          <cell r="C2530" t="str">
            <v>Colemanite</v>
          </cell>
          <cell r="E2530" t="str">
            <v>https://www.mindat.org/1:1:1108:8</v>
          </cell>
        </row>
        <row r="2531">
          <cell r="A2531">
            <v>3952</v>
          </cell>
          <cell r="B2531">
            <v>5242</v>
          </cell>
          <cell r="C2531" t="str">
            <v>Admontite</v>
          </cell>
          <cell r="E2531" t="str">
            <v>https://www.mindat.org/1:1:27:3</v>
          </cell>
        </row>
        <row r="2532">
          <cell r="A2532">
            <v>3980</v>
          </cell>
          <cell r="B2532">
            <v>5242</v>
          </cell>
          <cell r="C2532" t="str">
            <v>Aksaite</v>
          </cell>
          <cell r="E2532" t="str">
            <v>https://www.mindat.org/1:1:73:0</v>
          </cell>
        </row>
        <row r="2533">
          <cell r="A2533">
            <v>4033</v>
          </cell>
          <cell r="B2533">
            <v>5242</v>
          </cell>
          <cell r="C2533" t="str">
            <v>Ameghinite</v>
          </cell>
          <cell r="E2533" t="str">
            <v>https://www.mindat.org/1:1:195:3</v>
          </cell>
        </row>
        <row r="2534">
          <cell r="A2534">
            <v>4041</v>
          </cell>
          <cell r="B2534">
            <v>5242</v>
          </cell>
          <cell r="C2534" t="str">
            <v>Ammonioborite</v>
          </cell>
          <cell r="E2534" t="str">
            <v>https://www.mindat.org/1:1:204:0</v>
          </cell>
        </row>
        <row r="2535">
          <cell r="A2535">
            <v>4106</v>
          </cell>
          <cell r="B2535">
            <v>5242</v>
          </cell>
          <cell r="C2535" t="str">
            <v>Aristarainite</v>
          </cell>
          <cell r="E2535" t="str">
            <v>https://www.mindat.org/1:1:334:0</v>
          </cell>
        </row>
        <row r="2536">
          <cell r="A2536">
            <v>4173</v>
          </cell>
          <cell r="B2536">
            <v>5242</v>
          </cell>
          <cell r="C2536" t="str">
            <v>Azoproite</v>
          </cell>
          <cell r="E2536" t="str">
            <v>https://www.mindat.org/1:1:442:8</v>
          </cell>
        </row>
        <row r="2537">
          <cell r="A2537">
            <v>94</v>
          </cell>
          <cell r="B2537">
            <v>5243</v>
          </cell>
          <cell r="C2537" t="str">
            <v>Xocomecatlite</v>
          </cell>
          <cell r="E2537" t="str">
            <v>https://www.mindat.org/1:1:4342:3</v>
          </cell>
        </row>
        <row r="2538">
          <cell r="A2538">
            <v>102</v>
          </cell>
          <cell r="B2538">
            <v>5243</v>
          </cell>
          <cell r="C2538" t="str">
            <v>Yavapaiite</v>
          </cell>
          <cell r="E2538" t="str">
            <v>https://www.mindat.org/1:1:4355:3</v>
          </cell>
        </row>
        <row r="2539">
          <cell r="A2539">
            <v>105</v>
          </cell>
          <cell r="B2539">
            <v>5243</v>
          </cell>
          <cell r="C2539" t="str">
            <v>Yecoraite</v>
          </cell>
          <cell r="E2539" t="str">
            <v>https://www.mindat.org/1:1:4358:4</v>
          </cell>
        </row>
        <row r="2540">
          <cell r="A2540">
            <v>124</v>
          </cell>
          <cell r="B2540">
            <v>5243</v>
          </cell>
          <cell r="C2540" t="str">
            <v>Walthierite</v>
          </cell>
          <cell r="E2540" t="str">
            <v>https://www.mindat.org/1:1:4240:2</v>
          </cell>
        </row>
        <row r="2541">
          <cell r="A2541">
            <v>131</v>
          </cell>
          <cell r="B2541">
            <v>5243</v>
          </cell>
          <cell r="C2541" t="str">
            <v>Wattersite</v>
          </cell>
          <cell r="E2541" t="str">
            <v>https://www.mindat.org/1:1:4248:8</v>
          </cell>
        </row>
        <row r="2542">
          <cell r="A2542">
            <v>155</v>
          </cell>
          <cell r="B2542">
            <v>5243</v>
          </cell>
          <cell r="C2542" t="str">
            <v>Wermlandite</v>
          </cell>
          <cell r="E2542" t="str">
            <v>https://www.mindat.org/1:1:4271:6</v>
          </cell>
        </row>
        <row r="2543">
          <cell r="A2543">
            <v>159</v>
          </cell>
          <cell r="B2543">
            <v>5243</v>
          </cell>
          <cell r="C2543" t="str">
            <v>Wherryite</v>
          </cell>
          <cell r="E2543" t="str">
            <v>https://www.mindat.org/1:1:4275:4</v>
          </cell>
        </row>
        <row r="2544">
          <cell r="A2544">
            <v>173</v>
          </cell>
          <cell r="B2544">
            <v>5243</v>
          </cell>
          <cell r="C2544" t="str">
            <v>Wilcoxite</v>
          </cell>
          <cell r="E2544" t="str">
            <v>https://www.mindat.org/1:1:4288:4</v>
          </cell>
        </row>
        <row r="2545">
          <cell r="A2545">
            <v>202</v>
          </cell>
          <cell r="B2545">
            <v>5243</v>
          </cell>
          <cell r="C2545" t="str">
            <v>Woodwardite</v>
          </cell>
          <cell r="E2545" t="str">
            <v>https://www.mindat.org/1:1:4314:0</v>
          </cell>
        </row>
        <row r="2546">
          <cell r="A2546">
            <v>204</v>
          </cell>
          <cell r="B2546">
            <v>5243</v>
          </cell>
          <cell r="C2546" t="str">
            <v>Wroewolfeite</v>
          </cell>
          <cell r="E2546" t="str">
            <v>https://www.mindat.org/1:1:4315:7</v>
          </cell>
        </row>
        <row r="2547">
          <cell r="A2547">
            <v>205</v>
          </cell>
          <cell r="B2547">
            <v>5243</v>
          </cell>
          <cell r="C2547" t="str">
            <v>Wulfenite</v>
          </cell>
          <cell r="E2547" t="str">
            <v>https://www.mindat.org/1:1:4322:5</v>
          </cell>
        </row>
        <row r="2548">
          <cell r="A2548">
            <v>224</v>
          </cell>
          <cell r="B2548">
            <v>5243</v>
          </cell>
          <cell r="C2548" t="str">
            <v>Zincaluminite</v>
          </cell>
          <cell r="E2548" t="str">
            <v>https://www.mindat.org/1:1:4409:3</v>
          </cell>
        </row>
        <row r="2549">
          <cell r="A2549">
            <v>227</v>
          </cell>
          <cell r="B2549">
            <v>5243</v>
          </cell>
          <cell r="C2549" t="str">
            <v>Zincobotryogen</v>
          </cell>
          <cell r="E2549" t="str">
            <v/>
          </cell>
        </row>
        <row r="2550">
          <cell r="A2550">
            <v>229</v>
          </cell>
          <cell r="B2550">
            <v>5243</v>
          </cell>
          <cell r="C2550" t="str">
            <v>Zincocopiapite</v>
          </cell>
          <cell r="E2550" t="str">
            <v>https://www.mindat.org/1:1:4413:0</v>
          </cell>
        </row>
        <row r="2551">
          <cell r="A2551">
            <v>237</v>
          </cell>
          <cell r="B2551">
            <v>5243</v>
          </cell>
          <cell r="C2551" t="str">
            <v>Zippeite</v>
          </cell>
          <cell r="E2551" t="str">
            <v>https://www.mindat.org/1:1:4420:8</v>
          </cell>
        </row>
        <row r="2552">
          <cell r="A2552">
            <v>244</v>
          </cell>
          <cell r="B2552">
            <v>5243</v>
          </cell>
          <cell r="C2552" t="str">
            <v>Zircosulfate</v>
          </cell>
          <cell r="E2552" t="str">
            <v>https://www.mindat.org/1:1:4424:6</v>
          </cell>
        </row>
        <row r="2553">
          <cell r="A2553">
            <v>297</v>
          </cell>
          <cell r="B2553">
            <v>5243</v>
          </cell>
          <cell r="C2553" t="str">
            <v>Thaumasite</v>
          </cell>
          <cell r="E2553" t="str">
            <v>https://www.mindat.org/1:1:3933:4</v>
          </cell>
        </row>
        <row r="2554">
          <cell r="A2554">
            <v>299</v>
          </cell>
          <cell r="B2554">
            <v>5243</v>
          </cell>
          <cell r="C2554" t="str">
            <v>Thenardite</v>
          </cell>
          <cell r="E2554" t="str">
            <v/>
          </cell>
        </row>
        <row r="2555">
          <cell r="A2555">
            <v>308</v>
          </cell>
          <cell r="B2555">
            <v>5243</v>
          </cell>
          <cell r="C2555" t="str">
            <v>Zaherite</v>
          </cell>
          <cell r="E2555" t="str">
            <v>https://www.mindat.org/1:1:4381:2</v>
          </cell>
        </row>
        <row r="2556">
          <cell r="A2556">
            <v>319</v>
          </cell>
          <cell r="B2556">
            <v>5243</v>
          </cell>
          <cell r="C2556" t="str">
            <v>Sundiusite</v>
          </cell>
          <cell r="E2556" t="str">
            <v>https://www.mindat.org/1:1:3828:3</v>
          </cell>
        </row>
        <row r="2557">
          <cell r="A2557">
            <v>352</v>
          </cell>
          <cell r="B2557">
            <v>5243</v>
          </cell>
          <cell r="C2557" t="str">
            <v>Syngenite</v>
          </cell>
          <cell r="E2557" t="str">
            <v>https://www.mindat.org/1:1:3856:6</v>
          </cell>
        </row>
        <row r="2558">
          <cell r="A2558">
            <v>354</v>
          </cell>
          <cell r="B2558">
            <v>5243</v>
          </cell>
          <cell r="C2558" t="str">
            <v>Szenicsite</v>
          </cell>
          <cell r="E2558" t="str">
            <v>https://www.mindat.org/1:1:3862:7</v>
          </cell>
        </row>
        <row r="2559">
          <cell r="A2559">
            <v>355</v>
          </cell>
          <cell r="B2559">
            <v>5243</v>
          </cell>
          <cell r="C2559" t="str">
            <v>Szmikite</v>
          </cell>
          <cell r="E2559" t="str">
            <v>https://www.mindat.org/1:1:3858:0</v>
          </cell>
        </row>
        <row r="2560">
          <cell r="A2560">
            <v>356</v>
          </cell>
          <cell r="B2560">
            <v>5243</v>
          </cell>
          <cell r="C2560" t="str">
            <v>Szomolnokite</v>
          </cell>
          <cell r="E2560" t="str">
            <v>https://www.mindat.org/1:1:3859:7</v>
          </cell>
        </row>
        <row r="2561">
          <cell r="A2561">
            <v>377</v>
          </cell>
          <cell r="B2561">
            <v>5243</v>
          </cell>
          <cell r="C2561" t="str">
            <v>Tamarugite</v>
          </cell>
          <cell r="E2561" t="str">
            <v>https://www.mindat.org/1:1:3878:8</v>
          </cell>
        </row>
        <row r="2562">
          <cell r="A2562">
            <v>390</v>
          </cell>
          <cell r="B2562">
            <v>5243</v>
          </cell>
          <cell r="C2562" t="str">
            <v>Tarapacaite</v>
          </cell>
          <cell r="E2562" t="str">
            <v/>
          </cell>
        </row>
        <row r="2563">
          <cell r="A2563">
            <v>415</v>
          </cell>
          <cell r="B2563">
            <v>5243</v>
          </cell>
          <cell r="C2563" t="str">
            <v>Starkeyite</v>
          </cell>
          <cell r="E2563" t="str">
            <v>https://www.mindat.org/1:1:3752:1</v>
          </cell>
        </row>
        <row r="2564">
          <cell r="A2564">
            <v>456</v>
          </cell>
          <cell r="B2564">
            <v>5243</v>
          </cell>
          <cell r="C2564" t="str">
            <v>Stolzite</v>
          </cell>
          <cell r="E2564" t="str">
            <v>https://www.mindat.org/1:1:3794:1</v>
          </cell>
        </row>
        <row r="2565">
          <cell r="A2565">
            <v>487</v>
          </cell>
          <cell r="B2565">
            <v>5243</v>
          </cell>
          <cell r="C2565" t="str">
            <v>Sturmanite</v>
          </cell>
          <cell r="E2565" t="str">
            <v>https://www.mindat.org/1:1:3817:7</v>
          </cell>
        </row>
        <row r="2566">
          <cell r="A2566">
            <v>497</v>
          </cell>
          <cell r="B2566">
            <v>5243</v>
          </cell>
          <cell r="C2566" t="str">
            <v>Sulphohalite</v>
          </cell>
          <cell r="E2566" t="str">
            <v>https://www.mindat.org/1:1:3824:5</v>
          </cell>
        </row>
        <row r="2567">
          <cell r="A2567">
            <v>524</v>
          </cell>
          <cell r="B2567">
            <v>5243</v>
          </cell>
          <cell r="C2567" t="str">
            <v>Slavikite</v>
          </cell>
          <cell r="E2567" t="str">
            <v/>
          </cell>
        </row>
        <row r="2568">
          <cell r="A2568">
            <v>567</v>
          </cell>
          <cell r="B2568">
            <v>5243</v>
          </cell>
          <cell r="C2568" t="str">
            <v>Spangolite</v>
          </cell>
          <cell r="E2568" t="str">
            <v>https://www.mindat.org/1:1:3721:7</v>
          </cell>
        </row>
        <row r="2569">
          <cell r="A2569">
            <v>590</v>
          </cell>
          <cell r="B2569">
            <v>5243</v>
          </cell>
          <cell r="C2569" t="str">
            <v>Stanleyite</v>
          </cell>
          <cell r="E2569" t="str">
            <v>https://www.mindat.org/1:1:3746:0</v>
          </cell>
        </row>
        <row r="2570">
          <cell r="A2570">
            <v>599</v>
          </cell>
          <cell r="B2570">
            <v>5243</v>
          </cell>
          <cell r="C2570" t="str">
            <v>Schuetteite</v>
          </cell>
          <cell r="E2570" t="str">
            <v>https://www.mindat.org/1:1:3587:9</v>
          </cell>
        </row>
        <row r="2571">
          <cell r="A2571">
            <v>601</v>
          </cell>
          <cell r="B2571">
            <v>5243</v>
          </cell>
          <cell r="C2571" t="str">
            <v>Schulenbergite</v>
          </cell>
          <cell r="E2571" t="str">
            <v>https://www.mindat.org/1:1:3589:3</v>
          </cell>
        </row>
        <row r="2572">
          <cell r="A2572">
            <v>616</v>
          </cell>
          <cell r="B2572">
            <v>5243</v>
          </cell>
          <cell r="C2572" t="str">
            <v>Sedovite</v>
          </cell>
          <cell r="E2572" t="str">
            <v>https://www.mindat.org/1:1:3602:9</v>
          </cell>
        </row>
        <row r="2573">
          <cell r="A2573">
            <v>642</v>
          </cell>
          <cell r="B2573">
            <v>5243</v>
          </cell>
          <cell r="C2573" t="str">
            <v>Serpierite</v>
          </cell>
          <cell r="E2573" t="str">
            <v>https://www.mindat.org/1:1:3625:8</v>
          </cell>
        </row>
        <row r="2574">
          <cell r="A2574">
            <v>657</v>
          </cell>
          <cell r="B2574">
            <v>5243</v>
          </cell>
          <cell r="C2574" t="str">
            <v>Shigaite</v>
          </cell>
          <cell r="E2574" t="str">
            <v>https://www.mindat.org/1:1:3638:8</v>
          </cell>
        </row>
        <row r="2575">
          <cell r="A2575">
            <v>669</v>
          </cell>
          <cell r="B2575">
            <v>5243</v>
          </cell>
          <cell r="C2575" t="str">
            <v>Sideronatrite</v>
          </cell>
          <cell r="E2575" t="str">
            <v>https://www.mindat.org/1:1:3650:0</v>
          </cell>
        </row>
        <row r="2576">
          <cell r="A2576">
            <v>711</v>
          </cell>
          <cell r="B2576">
            <v>5243</v>
          </cell>
          <cell r="C2576" t="str">
            <v>Voltaite</v>
          </cell>
          <cell r="E2576" t="str">
            <v>https://www.mindat.org/1:1:4203:7</v>
          </cell>
        </row>
        <row r="2577">
          <cell r="A2577">
            <v>713</v>
          </cell>
          <cell r="B2577">
            <v>5243</v>
          </cell>
          <cell r="C2577" t="str">
            <v>Vonbezingite</v>
          </cell>
          <cell r="E2577" t="str">
            <v>https://www.mindat.org/1:1:4206:8</v>
          </cell>
        </row>
        <row r="2578">
          <cell r="A2578">
            <v>757</v>
          </cell>
          <cell r="B2578">
            <v>5243</v>
          </cell>
          <cell r="C2578" t="str">
            <v>Schairerite</v>
          </cell>
          <cell r="E2578" t="str">
            <v>https://www.mindat.org/1:1:3555:8</v>
          </cell>
        </row>
        <row r="2579">
          <cell r="A2579">
            <v>759</v>
          </cell>
          <cell r="B2579">
            <v>5243</v>
          </cell>
          <cell r="C2579" t="str">
            <v>Schaurteite</v>
          </cell>
          <cell r="E2579" t="str">
            <v>https://www.mindat.org/1:1:3559:6</v>
          </cell>
        </row>
        <row r="2580">
          <cell r="A2580">
            <v>760</v>
          </cell>
          <cell r="B2580">
            <v>5243</v>
          </cell>
          <cell r="C2580" t="str">
            <v>Scheelite</v>
          </cell>
          <cell r="E2580" t="str">
            <v>https://www.mindat.org/1:1:3560:2</v>
          </cell>
        </row>
        <row r="2581">
          <cell r="A2581">
            <v>764</v>
          </cell>
          <cell r="B2581">
            <v>5243</v>
          </cell>
          <cell r="C2581" t="str">
            <v>Schieffelinite</v>
          </cell>
          <cell r="E2581" t="str">
            <v>https://www.mindat.org/1:1:3566:4</v>
          </cell>
        </row>
        <row r="2582">
          <cell r="A2582">
            <v>766</v>
          </cell>
          <cell r="B2582">
            <v>5243</v>
          </cell>
          <cell r="C2582" t="str">
            <v>Schlossmacherite</v>
          </cell>
          <cell r="E2582" t="str">
            <v>https://www.mindat.org/1:1:3568:8</v>
          </cell>
        </row>
        <row r="2583">
          <cell r="A2583">
            <v>767</v>
          </cell>
          <cell r="B2583">
            <v>5243</v>
          </cell>
          <cell r="C2583" t="str">
            <v>Schmiederite</v>
          </cell>
          <cell r="E2583" t="str">
            <v>https://www.mindat.org/1:1:3569:5</v>
          </cell>
        </row>
        <row r="2584">
          <cell r="A2584">
            <v>780</v>
          </cell>
          <cell r="B2584">
            <v>5243</v>
          </cell>
          <cell r="C2584" t="str">
            <v>Uklonskovite</v>
          </cell>
          <cell r="E2584" t="str">
            <v>https://www.mindat.org/1:1:4084:2</v>
          </cell>
        </row>
        <row r="2585">
          <cell r="A2585">
            <v>790</v>
          </cell>
          <cell r="B2585">
            <v>5243</v>
          </cell>
          <cell r="C2585" t="str">
            <v>Ungemachite</v>
          </cell>
          <cell r="E2585" t="str">
            <v>https://www.mindat.org/1:1:4095:8</v>
          </cell>
        </row>
        <row r="2586">
          <cell r="A2586">
            <v>803</v>
          </cell>
          <cell r="B2586">
            <v>5243</v>
          </cell>
          <cell r="C2586" t="str">
            <v>Uranopilite</v>
          </cell>
          <cell r="E2586" t="str">
            <v>https://www.mindat.org/1:1:4108:5</v>
          </cell>
        </row>
        <row r="2587">
          <cell r="A2587">
            <v>809</v>
          </cell>
          <cell r="B2587">
            <v>5243</v>
          </cell>
          <cell r="C2587" t="str">
            <v>Uranotungstite</v>
          </cell>
          <cell r="E2587" t="str">
            <v>https://www.mindat.org/1:1:4115:3</v>
          </cell>
        </row>
        <row r="2588">
          <cell r="A2588">
            <v>820</v>
          </cell>
          <cell r="B2588">
            <v>5243</v>
          </cell>
          <cell r="C2588" t="str">
            <v>Utahite</v>
          </cell>
          <cell r="E2588" t="str">
            <v>https://www.mindat.org/1:1:7348:2</v>
          </cell>
        </row>
        <row r="2589">
          <cell r="A2589">
            <v>839</v>
          </cell>
          <cell r="B2589">
            <v>5243</v>
          </cell>
          <cell r="C2589" t="str">
            <v>Vanthoffite</v>
          </cell>
          <cell r="E2589" t="str">
            <v>https://www.mindat.org/1:1:4151:1</v>
          </cell>
        </row>
        <row r="2590">
          <cell r="A2590">
            <v>850</v>
          </cell>
          <cell r="B2590">
            <v>5243</v>
          </cell>
          <cell r="C2590" t="str">
            <v>Vauquelinite</v>
          </cell>
          <cell r="E2590" t="str">
            <v>https://www.mindat.org/1:1:4163:4</v>
          </cell>
        </row>
        <row r="2591">
          <cell r="A2591">
            <v>870</v>
          </cell>
          <cell r="B2591">
            <v>5243</v>
          </cell>
          <cell r="C2591" t="str">
            <v>Romerite</v>
          </cell>
          <cell r="E2591" t="str">
            <v/>
          </cell>
        </row>
        <row r="2592">
          <cell r="A2592">
            <v>890</v>
          </cell>
          <cell r="B2592">
            <v>5243</v>
          </cell>
          <cell r="C2592" t="str">
            <v>Rostite</v>
          </cell>
          <cell r="E2592" t="str">
            <v>https://www.mindat.org/1:1:3461:2</v>
          </cell>
        </row>
        <row r="2593">
          <cell r="A2593">
            <v>898</v>
          </cell>
          <cell r="B2593">
            <v>5243</v>
          </cell>
          <cell r="C2593" t="str">
            <v>Rozenite</v>
          </cell>
          <cell r="E2593" t="str">
            <v>https://www.mindat.org/1:1:3469:8</v>
          </cell>
        </row>
        <row r="2594">
          <cell r="A2594">
            <v>962</v>
          </cell>
          <cell r="B2594">
            <v>5243</v>
          </cell>
          <cell r="C2594" t="str">
            <v>Ramsbeckite</v>
          </cell>
          <cell r="E2594" t="str">
            <v>https://www.mindat.org/1:1:3358:5</v>
          </cell>
        </row>
        <row r="2595">
          <cell r="A2595">
            <v>965</v>
          </cell>
          <cell r="B2595">
            <v>5243</v>
          </cell>
          <cell r="C2595" t="str">
            <v>Rankachite</v>
          </cell>
          <cell r="E2595" t="str">
            <v>https://www.mindat.org/1:1:3361:5</v>
          </cell>
        </row>
        <row r="2596">
          <cell r="A2596">
            <v>968</v>
          </cell>
          <cell r="B2596">
            <v>5243</v>
          </cell>
          <cell r="C2596" t="str">
            <v>Ransomite</v>
          </cell>
          <cell r="E2596" t="str">
            <v>https://www.mindat.org/1:1:3364:6</v>
          </cell>
        </row>
        <row r="2597">
          <cell r="A2597">
            <v>970</v>
          </cell>
          <cell r="B2597">
            <v>5243</v>
          </cell>
          <cell r="C2597" t="str">
            <v>Rapidcreekite</v>
          </cell>
          <cell r="E2597" t="str">
            <v>https://www.mindat.org/1:1:3366:0</v>
          </cell>
        </row>
        <row r="2598">
          <cell r="A2598">
            <v>985</v>
          </cell>
          <cell r="B2598">
            <v>5243</v>
          </cell>
          <cell r="C2598" t="str">
            <v>Redingtonite</v>
          </cell>
          <cell r="E2598" t="str">
            <v>https://www.mindat.org/1:1:3379:0</v>
          </cell>
        </row>
        <row r="2599">
          <cell r="A2599">
            <v>1001</v>
          </cell>
          <cell r="B2599">
            <v>5243</v>
          </cell>
          <cell r="C2599" t="str">
            <v>Retgersite</v>
          </cell>
          <cell r="E2599" t="str">
            <v>https://www.mindat.org/1:1:3489:6</v>
          </cell>
        </row>
        <row r="2600">
          <cell r="A2600">
            <v>1022</v>
          </cell>
          <cell r="B2600">
            <v>5243</v>
          </cell>
          <cell r="C2600" t="str">
            <v>Rhomboclase</v>
          </cell>
          <cell r="E2600" t="str">
            <v>https://www.mindat.org/1:1:3410:0</v>
          </cell>
        </row>
        <row r="2601">
          <cell r="A2601">
            <v>1075</v>
          </cell>
          <cell r="B2601">
            <v>5243</v>
          </cell>
          <cell r="C2601" t="str">
            <v>Pseudograndreefite</v>
          </cell>
          <cell r="E2601" t="str">
            <v>https://www.mindat.org/1:1:3298:4</v>
          </cell>
        </row>
        <row r="2602">
          <cell r="A2602">
            <v>1121</v>
          </cell>
          <cell r="B2602">
            <v>5243</v>
          </cell>
          <cell r="C2602" t="str">
            <v>Quenstedtite</v>
          </cell>
          <cell r="E2602" t="str">
            <v>https://www.mindat.org/1:1:3341:7</v>
          </cell>
        </row>
        <row r="2603">
          <cell r="A2603">
            <v>1149</v>
          </cell>
          <cell r="B2603">
            <v>5243</v>
          </cell>
          <cell r="C2603" t="str">
            <v>Phyllotungstite</v>
          </cell>
          <cell r="E2603" t="str">
            <v>https://www.mindat.org/1:1:3203:8</v>
          </cell>
        </row>
        <row r="2604">
          <cell r="A2604">
            <v>1150</v>
          </cell>
          <cell r="B2604">
            <v>5243</v>
          </cell>
          <cell r="C2604" t="str">
            <v>Pickeringite</v>
          </cell>
          <cell r="E2604" t="str">
            <v>https://www.mindat.org/1:1:3204:5</v>
          </cell>
        </row>
        <row r="2605">
          <cell r="A2605">
            <v>1152</v>
          </cell>
          <cell r="B2605">
            <v>5243</v>
          </cell>
          <cell r="C2605" t="str">
            <v>Picromerite</v>
          </cell>
          <cell r="E2605" t="str">
            <v>https://www.mindat.org/1:1:3206:9</v>
          </cell>
        </row>
        <row r="2606">
          <cell r="A2606">
            <v>1170</v>
          </cell>
          <cell r="B2606">
            <v>5243</v>
          </cell>
          <cell r="C2606" t="str">
            <v>Piypite</v>
          </cell>
          <cell r="E2606" t="str">
            <v>https://www.mindat.org/1:1:3225:0</v>
          </cell>
        </row>
        <row r="2607">
          <cell r="A2607">
            <v>1186</v>
          </cell>
          <cell r="B2607">
            <v>5243</v>
          </cell>
          <cell r="C2607" t="str">
            <v>Plumbojarosite</v>
          </cell>
          <cell r="E2607" t="str">
            <v>https://www.mindat.org/1:1:3248:9</v>
          </cell>
        </row>
        <row r="2608">
          <cell r="A2608">
            <v>1194</v>
          </cell>
          <cell r="B2608">
            <v>5243</v>
          </cell>
          <cell r="C2608" t="str">
            <v>Poitevinite</v>
          </cell>
          <cell r="E2608" t="str">
            <v>https://www.mindat.org/1:1:3249:6</v>
          </cell>
        </row>
        <row r="2609">
          <cell r="A2609">
            <v>1205</v>
          </cell>
          <cell r="B2609">
            <v>5243</v>
          </cell>
          <cell r="C2609" t="str">
            <v>Polyhalite</v>
          </cell>
          <cell r="E2609" t="str">
            <v>https://www.mindat.org/1:1:3259:5</v>
          </cell>
        </row>
        <row r="2610">
          <cell r="A2610">
            <v>1211</v>
          </cell>
          <cell r="B2610">
            <v>5243</v>
          </cell>
          <cell r="C2610" t="str">
            <v>Posnjakite</v>
          </cell>
          <cell r="E2610" t="str">
            <v>https://www.mindat.org/1:1:3265:6</v>
          </cell>
        </row>
        <row r="2611">
          <cell r="A2611">
            <v>1217</v>
          </cell>
          <cell r="B2611">
            <v>5243</v>
          </cell>
          <cell r="C2611" t="str">
            <v>Potassiumalum</v>
          </cell>
          <cell r="E2611" t="str">
            <v/>
          </cell>
        </row>
        <row r="2612">
          <cell r="A2612">
            <v>1225</v>
          </cell>
          <cell r="B2612">
            <v>5243</v>
          </cell>
          <cell r="C2612" t="str">
            <v>Powellite</v>
          </cell>
          <cell r="E2612" t="str">
            <v>https://www.mindat.org/1:1:3275:5</v>
          </cell>
        </row>
        <row r="2613">
          <cell r="A2613">
            <v>1270</v>
          </cell>
          <cell r="B2613">
            <v>5243</v>
          </cell>
          <cell r="C2613" t="str">
            <v>Pentahydrite</v>
          </cell>
          <cell r="E2613" t="str">
            <v>https://www.mindat.org/1:1:3153:6</v>
          </cell>
        </row>
        <row r="2614">
          <cell r="A2614">
            <v>1275</v>
          </cell>
          <cell r="B2614">
            <v>5243</v>
          </cell>
          <cell r="C2614" t="str">
            <v>Peretaite</v>
          </cell>
          <cell r="E2614" t="str">
            <v>https://www.mindat.org/1:1:3159:8</v>
          </cell>
        </row>
        <row r="2615">
          <cell r="A2615">
            <v>1287</v>
          </cell>
          <cell r="B2615">
            <v>5243</v>
          </cell>
          <cell r="C2615" t="str">
            <v>Pertlikite</v>
          </cell>
          <cell r="E2615" t="str">
            <v>https://www.mindat.org/1:1:36064:3</v>
          </cell>
        </row>
        <row r="2616">
          <cell r="A2616">
            <v>1315</v>
          </cell>
          <cell r="B2616">
            <v>5243</v>
          </cell>
          <cell r="C2616" t="str">
            <v>Phoenicochroite</v>
          </cell>
          <cell r="E2616" t="str">
            <v>https://www.mindat.org/1:1:3194:9</v>
          </cell>
        </row>
        <row r="2617">
          <cell r="A2617">
            <v>1336</v>
          </cell>
          <cell r="B2617">
            <v>5243</v>
          </cell>
          <cell r="C2617" t="str">
            <v>Tlalocite</v>
          </cell>
          <cell r="E2617" t="str">
            <v>https://www.mindat.org/1:1:3982:2</v>
          </cell>
        </row>
        <row r="2618">
          <cell r="A2618">
            <v>1352</v>
          </cell>
          <cell r="B2618">
            <v>5243</v>
          </cell>
          <cell r="C2618" t="str">
            <v>Torreyite</v>
          </cell>
          <cell r="E2618" t="str">
            <v>https://www.mindat.org/1:1:4000:2</v>
          </cell>
        </row>
        <row r="2619">
          <cell r="A2619">
            <v>1391</v>
          </cell>
          <cell r="B2619">
            <v>5243</v>
          </cell>
          <cell r="C2619" t="str">
            <v>Tschermigite</v>
          </cell>
          <cell r="E2619" t="str">
            <v>https://www.mindat.org/1:1:4036:1</v>
          </cell>
        </row>
        <row r="2620">
          <cell r="A2620">
            <v>1422</v>
          </cell>
          <cell r="B2620">
            <v>5243</v>
          </cell>
          <cell r="C2620" t="str">
            <v>Bentorite</v>
          </cell>
          <cell r="E2620" t="str">
            <v>https://www.mindat.org/1:1:627:7</v>
          </cell>
        </row>
        <row r="2621">
          <cell r="A2621">
            <v>1460</v>
          </cell>
          <cell r="B2621">
            <v>5243</v>
          </cell>
          <cell r="C2621" t="str">
            <v>Bianchite</v>
          </cell>
          <cell r="E2621" t="str">
            <v>https://www.mindat.org/1:1:660:2</v>
          </cell>
        </row>
        <row r="2622">
          <cell r="A2622">
            <v>1463</v>
          </cell>
          <cell r="B2622">
            <v>5243</v>
          </cell>
          <cell r="C2622" t="str">
            <v>Bieberite</v>
          </cell>
          <cell r="E2622" t="str">
            <v>https://www.mindat.org/1:1:664:8</v>
          </cell>
        </row>
        <row r="2623">
          <cell r="A2623">
            <v>1469</v>
          </cell>
          <cell r="B2623">
            <v>5243</v>
          </cell>
          <cell r="C2623" t="str">
            <v>Bilinite</v>
          </cell>
          <cell r="E2623" t="str">
            <v/>
          </cell>
        </row>
        <row r="2624">
          <cell r="A2624">
            <v>1510</v>
          </cell>
          <cell r="B2624">
            <v>5243</v>
          </cell>
          <cell r="C2624" t="str">
            <v>Dolerophanite</v>
          </cell>
          <cell r="E2624" t="str">
            <v>https://www.mindat.org/1:1:1302:0</v>
          </cell>
        </row>
        <row r="2625">
          <cell r="A2625">
            <v>1540</v>
          </cell>
          <cell r="B2625">
            <v>5243</v>
          </cell>
          <cell r="C2625" t="str">
            <v>Barite</v>
          </cell>
          <cell r="E2625" t="str">
            <v/>
          </cell>
        </row>
        <row r="2626">
          <cell r="A2626">
            <v>1554</v>
          </cell>
          <cell r="B2626">
            <v>5243</v>
          </cell>
          <cell r="C2626" t="str">
            <v>Basaluminite</v>
          </cell>
          <cell r="E2626" t="str">
            <v/>
          </cell>
        </row>
        <row r="2627">
          <cell r="A2627">
            <v>1555</v>
          </cell>
          <cell r="B2627">
            <v>5243</v>
          </cell>
          <cell r="C2627" t="str">
            <v>Bassanite</v>
          </cell>
          <cell r="E2627" t="str">
            <v>https://www.mindat.org/1:1:557:9</v>
          </cell>
        </row>
        <row r="2628">
          <cell r="A2628">
            <v>1580</v>
          </cell>
          <cell r="B2628">
            <v>5243</v>
          </cell>
          <cell r="C2628" t="str">
            <v>Beaverite</v>
          </cell>
          <cell r="E2628" t="str">
            <v/>
          </cell>
        </row>
        <row r="2629">
          <cell r="A2629">
            <v>1593</v>
          </cell>
          <cell r="B2629">
            <v>5243</v>
          </cell>
          <cell r="C2629" t="str">
            <v>Cuprocopiapite</v>
          </cell>
          <cell r="E2629" t="str">
            <v>https://www.mindat.org/1:1:1181:1</v>
          </cell>
        </row>
        <row r="2630">
          <cell r="A2630">
            <v>1601</v>
          </cell>
          <cell r="B2630">
            <v>5243</v>
          </cell>
          <cell r="C2630" t="str">
            <v>Cuprotungstite</v>
          </cell>
          <cell r="E2630" t="str">
            <v>https://www.mindat.org/1:1:1194:1</v>
          </cell>
        </row>
        <row r="2631">
          <cell r="A2631">
            <v>1607</v>
          </cell>
          <cell r="B2631">
            <v>5243</v>
          </cell>
          <cell r="C2631" t="str">
            <v>Cyanochroite</v>
          </cell>
          <cell r="E2631" t="str">
            <v>https://www.mindat.org/1:1:1200:9</v>
          </cell>
        </row>
        <row r="2632">
          <cell r="A2632">
            <v>1610</v>
          </cell>
          <cell r="B2632">
            <v>5243</v>
          </cell>
          <cell r="C2632" t="str">
            <v>Cyanotrichite</v>
          </cell>
          <cell r="E2632" t="str">
            <v>https://www.mindat.org/1:1:1203:0</v>
          </cell>
        </row>
        <row r="2633">
          <cell r="A2633">
            <v>1630</v>
          </cell>
          <cell r="B2633">
            <v>5243</v>
          </cell>
          <cell r="C2633" t="str">
            <v>Darapskite</v>
          </cell>
          <cell r="E2633" t="str">
            <v>https://www.mindat.org/1:1:1226:9</v>
          </cell>
        </row>
        <row r="2634">
          <cell r="A2634">
            <v>1680</v>
          </cell>
          <cell r="B2634">
            <v>5243</v>
          </cell>
          <cell r="C2634" t="str">
            <v>Orthoserpierite</v>
          </cell>
          <cell r="E2634" t="str">
            <v>https://www.mindat.org/1:1:3031:7</v>
          </cell>
        </row>
        <row r="2635">
          <cell r="A2635">
            <v>1682</v>
          </cell>
          <cell r="B2635">
            <v>5243</v>
          </cell>
          <cell r="C2635" t="str">
            <v>Osarizawaite</v>
          </cell>
          <cell r="E2635" t="str">
            <v>https://www.mindat.org/1:1:3033:1</v>
          </cell>
        </row>
        <row r="2636">
          <cell r="A2636">
            <v>1719</v>
          </cell>
          <cell r="B2636">
            <v>5243</v>
          </cell>
          <cell r="C2636" t="str">
            <v>Palmierite</v>
          </cell>
          <cell r="E2636" t="str">
            <v>https://www.mindat.org/1:1:3071:3</v>
          </cell>
        </row>
        <row r="2637">
          <cell r="A2637">
            <v>1729</v>
          </cell>
          <cell r="B2637">
            <v>5243</v>
          </cell>
          <cell r="C2637" t="str">
            <v>Parabutlerite</v>
          </cell>
          <cell r="E2637" t="str">
            <v>https://www.mindat.org/1:1:3081:2</v>
          </cell>
        </row>
        <row r="2638">
          <cell r="A2638">
            <v>1732</v>
          </cell>
          <cell r="B2638">
            <v>5243</v>
          </cell>
          <cell r="C2638" t="str">
            <v>Paracoquimbite</v>
          </cell>
          <cell r="E2638" t="str">
            <v>https://www.mindat.org/1:1:3084:3</v>
          </cell>
        </row>
        <row r="2639">
          <cell r="A2639">
            <v>1746</v>
          </cell>
          <cell r="B2639">
            <v>5243</v>
          </cell>
          <cell r="C2639" t="str">
            <v>Paramendozavilite</v>
          </cell>
          <cell r="E2639" t="str">
            <v>https://www.mindat.org/1:1:3099:7</v>
          </cell>
        </row>
        <row r="2640">
          <cell r="A2640">
            <v>1751</v>
          </cell>
          <cell r="B2640">
            <v>5243</v>
          </cell>
          <cell r="C2640" t="str">
            <v>Paraotwayite</v>
          </cell>
          <cell r="E2640" t="str">
            <v>https://www.mindat.org/1:1:3104:8</v>
          </cell>
        </row>
        <row r="2641">
          <cell r="A2641">
            <v>1818</v>
          </cell>
          <cell r="B2641">
            <v>5243</v>
          </cell>
          <cell r="C2641" t="str">
            <v>Dukeite</v>
          </cell>
          <cell r="E2641" t="str">
            <v>https://www.mindat.org/1:1:7089:4</v>
          </cell>
        </row>
        <row r="2642">
          <cell r="A2642">
            <v>1845</v>
          </cell>
          <cell r="B2642">
            <v>5243</v>
          </cell>
          <cell r="C2642" t="str">
            <v>Edoylerite</v>
          </cell>
          <cell r="E2642" t="str">
            <v>https://www.mindat.org/1:1:1354:9</v>
          </cell>
        </row>
        <row r="2643">
          <cell r="A2643">
            <v>1863</v>
          </cell>
          <cell r="B2643">
            <v>5243</v>
          </cell>
          <cell r="C2643" t="str">
            <v>Elyite</v>
          </cell>
          <cell r="E2643" t="str">
            <v>https://www.mindat.org/1:1:1371:6</v>
          </cell>
        </row>
        <row r="2644">
          <cell r="A2644">
            <v>1864</v>
          </cell>
          <cell r="B2644">
            <v>5243</v>
          </cell>
          <cell r="C2644" t="str">
            <v>Embreyite</v>
          </cell>
          <cell r="E2644" t="str">
            <v>https://www.mindat.org/1:1:1373:0</v>
          </cell>
        </row>
        <row r="2645">
          <cell r="A2645">
            <v>1879</v>
          </cell>
          <cell r="B2645">
            <v>5243</v>
          </cell>
          <cell r="C2645" t="str">
            <v>Epsomite</v>
          </cell>
          <cell r="E2645" t="str">
            <v>https://www.mindat.org/1:1:1393:8</v>
          </cell>
        </row>
        <row r="2646">
          <cell r="A2646">
            <v>1905</v>
          </cell>
          <cell r="B2646">
            <v>5243</v>
          </cell>
          <cell r="C2646" t="str">
            <v>Ettringite</v>
          </cell>
          <cell r="E2646" t="str">
            <v>https://www.mindat.org/1:1:1414:0</v>
          </cell>
        </row>
        <row r="2647">
          <cell r="A2647">
            <v>1907</v>
          </cell>
          <cell r="B2647">
            <v>5243</v>
          </cell>
          <cell r="C2647" t="str">
            <v>Euchlorine</v>
          </cell>
          <cell r="E2647" t="str">
            <v>https://www.mindat.org/1:1:1416:4</v>
          </cell>
        </row>
        <row r="2648">
          <cell r="A2648">
            <v>1944</v>
          </cell>
          <cell r="B2648">
            <v>5243</v>
          </cell>
          <cell r="C2648" t="str">
            <v>Fedotovite</v>
          </cell>
          <cell r="E2648" t="str">
            <v>https://www.mindat.org/1:1:1469:0</v>
          </cell>
        </row>
        <row r="2649">
          <cell r="A2649">
            <v>1948</v>
          </cell>
          <cell r="B2649">
            <v>5243</v>
          </cell>
          <cell r="C2649" t="str">
            <v>Felsobanyaite</v>
          </cell>
          <cell r="E2649" t="str">
            <v/>
          </cell>
        </row>
        <row r="2650">
          <cell r="A2650">
            <v>1953</v>
          </cell>
          <cell r="B2650">
            <v>5243</v>
          </cell>
          <cell r="C2650" t="str">
            <v>Fergusonite</v>
          </cell>
          <cell r="E2650" t="str">
            <v/>
          </cell>
        </row>
        <row r="2651">
          <cell r="A2651">
            <v>1954</v>
          </cell>
          <cell r="B2651">
            <v>5243</v>
          </cell>
          <cell r="C2651" t="str">
            <v>Fergusonite-(Ce)</v>
          </cell>
          <cell r="E2651" t="str">
            <v>https://www.mindat.org/1:1:1478:2</v>
          </cell>
        </row>
        <row r="2652">
          <cell r="A2652">
            <v>1955</v>
          </cell>
          <cell r="B2652">
            <v>5243</v>
          </cell>
          <cell r="C2652" t="str">
            <v>Fergusonite-(Nd)</v>
          </cell>
          <cell r="E2652" t="str">
            <v/>
          </cell>
        </row>
        <row r="2653">
          <cell r="A2653">
            <v>1956</v>
          </cell>
          <cell r="B2653">
            <v>5243</v>
          </cell>
          <cell r="C2653" t="str">
            <v>Fergusonite-(Y)</v>
          </cell>
          <cell r="E2653" t="str">
            <v>https://www.mindat.org/1:1:1480:5</v>
          </cell>
        </row>
        <row r="2654">
          <cell r="A2654">
            <v>1957</v>
          </cell>
          <cell r="B2654">
            <v>5243</v>
          </cell>
          <cell r="C2654" t="str">
            <v>Fergusonite-beta</v>
          </cell>
          <cell r="E2654" t="str">
            <v/>
          </cell>
        </row>
        <row r="2655">
          <cell r="A2655">
            <v>1958</v>
          </cell>
          <cell r="B2655">
            <v>5243</v>
          </cell>
          <cell r="C2655" t="str">
            <v>Fergusonite-beta-(Ce)</v>
          </cell>
          <cell r="E2655" t="str">
            <v/>
          </cell>
        </row>
        <row r="2656">
          <cell r="A2656">
            <v>1959</v>
          </cell>
          <cell r="B2656">
            <v>5243</v>
          </cell>
          <cell r="C2656" t="str">
            <v>Fergusonite-beta-(Nd)</v>
          </cell>
          <cell r="E2656" t="str">
            <v/>
          </cell>
        </row>
        <row r="2657">
          <cell r="A2657">
            <v>1960</v>
          </cell>
          <cell r="B2657">
            <v>5243</v>
          </cell>
          <cell r="C2657" t="str">
            <v>Fergusonite-beta-(Y)</v>
          </cell>
          <cell r="E2657" t="str">
            <v/>
          </cell>
        </row>
        <row r="2658">
          <cell r="A2658">
            <v>1968</v>
          </cell>
          <cell r="B2658">
            <v>5243</v>
          </cell>
          <cell r="C2658" t="str">
            <v>Ferricopiapite</v>
          </cell>
          <cell r="E2658" t="str">
            <v>https://www.mindat.org/1:1:1490:4</v>
          </cell>
        </row>
        <row r="2659">
          <cell r="A2659">
            <v>1976</v>
          </cell>
          <cell r="B2659">
            <v>5243</v>
          </cell>
          <cell r="C2659" t="str">
            <v>Ferrimolybdite</v>
          </cell>
          <cell r="E2659" t="str">
            <v>https://www.mindat.org/1:1:1496:6</v>
          </cell>
        </row>
        <row r="2660">
          <cell r="A2660">
            <v>1977</v>
          </cell>
          <cell r="B2660">
            <v>5243</v>
          </cell>
          <cell r="C2660" t="str">
            <v>Ferrinatrite</v>
          </cell>
          <cell r="E2660" t="str">
            <v>https://www.mindat.org/1:1:1497:3</v>
          </cell>
        </row>
        <row r="2661">
          <cell r="A2661">
            <v>2033</v>
          </cell>
          <cell r="B2661">
            <v>5243</v>
          </cell>
          <cell r="C2661" t="str">
            <v>Fibroferrite</v>
          </cell>
          <cell r="E2661" t="str">
            <v>https://www.mindat.org/1:1:1544:4</v>
          </cell>
        </row>
        <row r="2662">
          <cell r="A2662">
            <v>2044</v>
          </cell>
          <cell r="B2662">
            <v>5243</v>
          </cell>
          <cell r="C2662" t="str">
            <v>Fleischerite</v>
          </cell>
          <cell r="E2662" t="str">
            <v>https://www.mindat.org/1:1:1556:7</v>
          </cell>
        </row>
        <row r="2663">
          <cell r="A2663">
            <v>2092</v>
          </cell>
          <cell r="B2663">
            <v>5243</v>
          </cell>
          <cell r="C2663" t="str">
            <v>Millosevichite</v>
          </cell>
          <cell r="E2663" t="str">
            <v>https://www.mindat.org/1:1:2713:3</v>
          </cell>
        </row>
        <row r="2664">
          <cell r="A2664">
            <v>2096</v>
          </cell>
          <cell r="B2664">
            <v>5243</v>
          </cell>
          <cell r="C2664" t="str">
            <v>Minasragrite</v>
          </cell>
          <cell r="E2664" t="str">
            <v>https://www.mindat.org/1:1:2717:1</v>
          </cell>
        </row>
        <row r="2665">
          <cell r="A2665">
            <v>2105</v>
          </cell>
          <cell r="B2665">
            <v>5243</v>
          </cell>
          <cell r="C2665" t="str">
            <v>Mirabilite</v>
          </cell>
          <cell r="E2665" t="str">
            <v>https://www.mindat.org/1:1:2725:6</v>
          </cell>
        </row>
        <row r="2666">
          <cell r="A2666">
            <v>2106</v>
          </cell>
          <cell r="B2666">
            <v>5243</v>
          </cell>
          <cell r="C2666" t="str">
            <v>Misenite</v>
          </cell>
          <cell r="E2666" t="str">
            <v>https://www.mindat.org/1:1:2726:3</v>
          </cell>
        </row>
        <row r="2667">
          <cell r="A2667">
            <v>2115</v>
          </cell>
          <cell r="B2667">
            <v>5243</v>
          </cell>
          <cell r="C2667" t="str">
            <v>Mohrite</v>
          </cell>
          <cell r="E2667" t="str">
            <v>https://www.mindat.org/1:1:2742:3</v>
          </cell>
        </row>
        <row r="2668">
          <cell r="A2668">
            <v>2119</v>
          </cell>
          <cell r="B2668">
            <v>5243</v>
          </cell>
          <cell r="C2668" t="str">
            <v>Moluranite</v>
          </cell>
          <cell r="E2668" t="str">
            <v>https://www.mindat.org/1:1:2744:7</v>
          </cell>
        </row>
        <row r="2669">
          <cell r="A2669">
            <v>2124</v>
          </cell>
          <cell r="B2669">
            <v>5243</v>
          </cell>
          <cell r="C2669" t="str">
            <v>Molybdofornacite</v>
          </cell>
          <cell r="E2669" t="str">
            <v>https://www.mindat.org/1:1:2734:8</v>
          </cell>
        </row>
        <row r="2670">
          <cell r="A2670">
            <v>2136</v>
          </cell>
          <cell r="B2670">
            <v>5243</v>
          </cell>
          <cell r="C2670" t="str">
            <v>Monsmedite</v>
          </cell>
          <cell r="E2670" t="str">
            <v/>
          </cell>
        </row>
        <row r="2671">
          <cell r="A2671">
            <v>2137</v>
          </cell>
          <cell r="B2671">
            <v>5243</v>
          </cell>
          <cell r="C2671" t="str">
            <v>Montanite</v>
          </cell>
          <cell r="E2671" t="str">
            <v>https://www.mindat.org/1:1:2760:7</v>
          </cell>
        </row>
        <row r="2672">
          <cell r="A2672">
            <v>2152</v>
          </cell>
          <cell r="B2672">
            <v>5243</v>
          </cell>
          <cell r="C2672" t="str">
            <v>Mooreite</v>
          </cell>
          <cell r="E2672" t="str">
            <v>https://www.mindat.org/1:1:2775:1</v>
          </cell>
        </row>
        <row r="2673">
          <cell r="A2673">
            <v>2153</v>
          </cell>
          <cell r="B2673">
            <v>5243</v>
          </cell>
          <cell r="C2673" t="str">
            <v>Moorhouseite</v>
          </cell>
          <cell r="E2673" t="str">
            <v>https://www.mindat.org/1:1:2776:8</v>
          </cell>
        </row>
        <row r="2674">
          <cell r="A2674">
            <v>2159</v>
          </cell>
          <cell r="B2674">
            <v>5243</v>
          </cell>
          <cell r="C2674" t="str">
            <v>Morenosite</v>
          </cell>
          <cell r="E2674" t="str">
            <v>https://www.mindat.org/1:1:2782:9</v>
          </cell>
        </row>
        <row r="2675">
          <cell r="A2675">
            <v>2168</v>
          </cell>
          <cell r="B2675">
            <v>5243</v>
          </cell>
          <cell r="C2675" t="str">
            <v>Motukoreaite</v>
          </cell>
          <cell r="E2675" t="str">
            <v>https://www.mindat.org/1:1:2793:5</v>
          </cell>
        </row>
        <row r="2676">
          <cell r="A2676">
            <v>2171</v>
          </cell>
          <cell r="B2676">
            <v>5243</v>
          </cell>
          <cell r="C2676" t="str">
            <v>Mountkeithite</v>
          </cell>
          <cell r="E2676" t="str">
            <v>https://www.mindat.org/1:1:2796:6</v>
          </cell>
        </row>
        <row r="2677">
          <cell r="A2677">
            <v>2176</v>
          </cell>
          <cell r="B2677">
            <v>5243</v>
          </cell>
          <cell r="C2677" t="str">
            <v>Mpororoite</v>
          </cell>
          <cell r="E2677" t="str">
            <v>https://www.mindat.org/1:1:2800:0</v>
          </cell>
        </row>
        <row r="2678">
          <cell r="A2678">
            <v>2214</v>
          </cell>
          <cell r="B2678">
            <v>5243</v>
          </cell>
          <cell r="C2678" t="str">
            <v>Nakauriite</v>
          </cell>
          <cell r="E2678" t="str">
            <v>https://www.mindat.org/1:1:2948:9</v>
          </cell>
        </row>
        <row r="2679">
          <cell r="A2679">
            <v>2219</v>
          </cell>
          <cell r="B2679">
            <v>5243</v>
          </cell>
          <cell r="C2679" t="str">
            <v>Namuwite</v>
          </cell>
          <cell r="E2679" t="str">
            <v>https://www.mindat.org/1:1:2837:6</v>
          </cell>
        </row>
        <row r="2680">
          <cell r="A2680">
            <v>2233</v>
          </cell>
          <cell r="B2680">
            <v>5243</v>
          </cell>
          <cell r="C2680" t="str">
            <v>Natroalunite</v>
          </cell>
          <cell r="E2680" t="str">
            <v>https://www.mindat.org/1:1:2850:5</v>
          </cell>
        </row>
        <row r="2681">
          <cell r="A2681">
            <v>2236</v>
          </cell>
          <cell r="B2681">
            <v>5243</v>
          </cell>
          <cell r="C2681" t="str">
            <v>Natrochalcite</v>
          </cell>
          <cell r="E2681" t="str">
            <v>https://www.mindat.org/1:1:2853:6</v>
          </cell>
        </row>
        <row r="2682">
          <cell r="A2682">
            <v>2239</v>
          </cell>
          <cell r="B2682">
            <v>5243</v>
          </cell>
          <cell r="C2682" t="str">
            <v>Natrojarosite</v>
          </cell>
          <cell r="E2682" t="str">
            <v>https://www.mindat.org/1:1:2856:7</v>
          </cell>
        </row>
        <row r="2683">
          <cell r="A2683">
            <v>2282</v>
          </cell>
          <cell r="B2683">
            <v>5243</v>
          </cell>
          <cell r="C2683" t="str">
            <v>Nickelalumite</v>
          </cell>
          <cell r="E2683" t="str">
            <v/>
          </cell>
        </row>
        <row r="2684">
          <cell r="A2684">
            <v>2285</v>
          </cell>
          <cell r="B2684">
            <v>5243</v>
          </cell>
          <cell r="C2684" t="str">
            <v>Nickelblodite</v>
          </cell>
          <cell r="E2684" t="str">
            <v/>
          </cell>
        </row>
        <row r="2685">
          <cell r="A2685">
            <v>2286</v>
          </cell>
          <cell r="B2685">
            <v>5243</v>
          </cell>
          <cell r="C2685" t="str">
            <v>Nickelhexahydrite</v>
          </cell>
          <cell r="E2685" t="str">
            <v>https://www.mindat.org/1:1:2889:5</v>
          </cell>
        </row>
        <row r="2686">
          <cell r="A2686">
            <v>2290</v>
          </cell>
          <cell r="B2686">
            <v>5243</v>
          </cell>
          <cell r="C2686" t="str">
            <v>Niedermayrite</v>
          </cell>
          <cell r="E2686" t="str">
            <v>https://www.mindat.org/1:1:7192:1</v>
          </cell>
        </row>
        <row r="2687">
          <cell r="A2687">
            <v>2295</v>
          </cell>
          <cell r="B2687">
            <v>5243</v>
          </cell>
          <cell r="C2687" t="str">
            <v>Nikischerite</v>
          </cell>
          <cell r="E2687" t="str">
            <v>https://www.mindat.org/1:1:10934:3</v>
          </cell>
        </row>
        <row r="2688">
          <cell r="A2688">
            <v>2343</v>
          </cell>
          <cell r="B2688">
            <v>5243</v>
          </cell>
          <cell r="C2688" t="str">
            <v>Obradovicite</v>
          </cell>
          <cell r="E2688" t="str">
            <v/>
          </cell>
        </row>
        <row r="2689">
          <cell r="A2689">
            <v>2365</v>
          </cell>
          <cell r="B2689">
            <v>5243</v>
          </cell>
          <cell r="C2689" t="str">
            <v>Olsacherite</v>
          </cell>
          <cell r="E2689" t="str">
            <v>https://www.mindat.org/1:1:2987:8</v>
          </cell>
        </row>
        <row r="2690">
          <cell r="A2690">
            <v>2386</v>
          </cell>
          <cell r="B2690">
            <v>5243</v>
          </cell>
          <cell r="C2690" t="str">
            <v>Lopezite</v>
          </cell>
          <cell r="E2690" t="str">
            <v/>
          </cell>
        </row>
        <row r="2691">
          <cell r="A2691">
            <v>2417</v>
          </cell>
          <cell r="B2691">
            <v>5243</v>
          </cell>
          <cell r="C2691" t="str">
            <v>Loweite</v>
          </cell>
          <cell r="E2691" t="str">
            <v/>
          </cell>
        </row>
        <row r="2692">
          <cell r="A2692">
            <v>2436</v>
          </cell>
          <cell r="B2692">
            <v>5243</v>
          </cell>
          <cell r="C2692" t="str">
            <v>Magnesioaubertite</v>
          </cell>
          <cell r="E2692" t="str">
            <v>https://www.mindat.org/1:1:2521:4</v>
          </cell>
        </row>
        <row r="2693">
          <cell r="A2693">
            <v>2441</v>
          </cell>
          <cell r="B2693">
            <v>5243</v>
          </cell>
          <cell r="C2693" t="str">
            <v>Magnesiocopiapite</v>
          </cell>
          <cell r="E2693" t="str">
            <v>https://www.mindat.org/1:1:2486:6</v>
          </cell>
        </row>
        <row r="2694">
          <cell r="A2694">
            <v>2478</v>
          </cell>
          <cell r="B2694">
            <v>5243</v>
          </cell>
          <cell r="C2694" t="str">
            <v>Mallardite</v>
          </cell>
          <cell r="E2694" t="str">
            <v>https://www.mindat.org/1:1:2555:9</v>
          </cell>
        </row>
        <row r="2695">
          <cell r="A2695">
            <v>2479</v>
          </cell>
          <cell r="B2695">
            <v>5243</v>
          </cell>
          <cell r="C2695" t="str">
            <v>Mammothite</v>
          </cell>
          <cell r="E2695" t="str">
            <v>https://www.mindat.org/1:1:2556:6</v>
          </cell>
        </row>
        <row r="2696">
          <cell r="A2696">
            <v>2530</v>
          </cell>
          <cell r="B2696">
            <v>5243</v>
          </cell>
          <cell r="C2696" t="str">
            <v>Mascagnite</v>
          </cell>
          <cell r="E2696" t="str">
            <v>https://www.mindat.org/1:1:2584:9</v>
          </cell>
        </row>
        <row r="2697">
          <cell r="A2697">
            <v>2554</v>
          </cell>
          <cell r="B2697">
            <v>5243</v>
          </cell>
          <cell r="C2697" t="str">
            <v>Mcalpineite</v>
          </cell>
          <cell r="E2697" t="str">
            <v>https://www.mindat.org/1:1:7173:0</v>
          </cell>
        </row>
        <row r="2698">
          <cell r="A2698">
            <v>2576</v>
          </cell>
          <cell r="B2698">
            <v>5243</v>
          </cell>
          <cell r="C2698" t="str">
            <v>Melanterite</v>
          </cell>
          <cell r="E2698" t="str">
            <v>https://www.mindat.org/1:1:2633:4</v>
          </cell>
        </row>
        <row r="2699">
          <cell r="A2699">
            <v>2584</v>
          </cell>
          <cell r="B2699">
            <v>5243</v>
          </cell>
          <cell r="C2699" t="str">
            <v>Mendozavilite</v>
          </cell>
          <cell r="E2699" t="str">
            <v/>
          </cell>
        </row>
        <row r="2700">
          <cell r="A2700">
            <v>2585</v>
          </cell>
          <cell r="B2700">
            <v>5243</v>
          </cell>
          <cell r="C2700" t="str">
            <v>Mendozite</v>
          </cell>
          <cell r="E2700" t="str">
            <v>https://www.mindat.org/1:1:2643:3</v>
          </cell>
        </row>
        <row r="2701">
          <cell r="A2701">
            <v>2588</v>
          </cell>
          <cell r="B2701">
            <v>5243</v>
          </cell>
          <cell r="C2701" t="str">
            <v>Mercallite</v>
          </cell>
          <cell r="E2701" t="str">
            <v>https://www.mindat.org/1:1:2646:4</v>
          </cell>
        </row>
        <row r="2702">
          <cell r="A2702">
            <v>2601</v>
          </cell>
          <cell r="B2702">
            <v>5243</v>
          </cell>
          <cell r="C2702" t="str">
            <v>Meta-aluminite</v>
          </cell>
          <cell r="E2702" t="str">
            <v>https://www.mindat.org/1:1:2659:4</v>
          </cell>
        </row>
        <row r="2703">
          <cell r="A2703">
            <v>2606</v>
          </cell>
          <cell r="B2703">
            <v>5243</v>
          </cell>
          <cell r="C2703" t="str">
            <v>Meta-uranopilite</v>
          </cell>
          <cell r="E2703" t="str">
            <v/>
          </cell>
        </row>
        <row r="2704">
          <cell r="A2704">
            <v>2615</v>
          </cell>
          <cell r="B2704">
            <v>5243</v>
          </cell>
          <cell r="C2704" t="str">
            <v>Metahohmannite</v>
          </cell>
          <cell r="E2704" t="str">
            <v>https://www.mindat.org/1:1:2675:4</v>
          </cell>
        </row>
        <row r="2705">
          <cell r="A2705">
            <v>2625</v>
          </cell>
          <cell r="B2705">
            <v>5243</v>
          </cell>
          <cell r="C2705" t="str">
            <v>Metasideronatrite</v>
          </cell>
          <cell r="E2705" t="str">
            <v>https://www.mindat.org/1:1:2685:3</v>
          </cell>
        </row>
        <row r="2706">
          <cell r="A2706">
            <v>2637</v>
          </cell>
          <cell r="B2706">
            <v>5243</v>
          </cell>
          <cell r="C2706" t="str">
            <v>Metavoltine</v>
          </cell>
          <cell r="E2706" t="str">
            <v>https://www.mindat.org/1:1:2696:9</v>
          </cell>
        </row>
        <row r="2707">
          <cell r="A2707">
            <v>2640</v>
          </cell>
          <cell r="B2707">
            <v>5243</v>
          </cell>
          <cell r="C2707" t="str">
            <v>Ammonioalunite</v>
          </cell>
          <cell r="E2707" t="str">
            <v>https://www.mindat.org/1:1:203:1</v>
          </cell>
        </row>
        <row r="2708">
          <cell r="A2708">
            <v>2644</v>
          </cell>
          <cell r="B2708">
            <v>5243</v>
          </cell>
          <cell r="C2708" t="str">
            <v>Formanite-(Y)</v>
          </cell>
          <cell r="E2708" t="str">
            <v>https://www.mindat.org/1:1:1582:6</v>
          </cell>
        </row>
        <row r="2709">
          <cell r="A2709">
            <v>2646</v>
          </cell>
          <cell r="B2709">
            <v>5243</v>
          </cell>
          <cell r="C2709" t="str">
            <v>Fornacite</v>
          </cell>
          <cell r="E2709" t="str">
            <v>https://www.mindat.org/1:1:1583:3</v>
          </cell>
        </row>
        <row r="2710">
          <cell r="A2710">
            <v>2682</v>
          </cell>
          <cell r="B2710">
            <v>5243</v>
          </cell>
          <cell r="C2710" t="str">
            <v>Fuenzalidaite</v>
          </cell>
          <cell r="E2710" t="str">
            <v>https://www.mindat.org/1:1:1618:2</v>
          </cell>
        </row>
        <row r="2711">
          <cell r="A2711">
            <v>2701</v>
          </cell>
          <cell r="B2711">
            <v>5243</v>
          </cell>
          <cell r="C2711" t="str">
            <v>Galeite</v>
          </cell>
          <cell r="E2711" t="str">
            <v>https://www.mindat.org/1:1:1640:3</v>
          </cell>
        </row>
        <row r="2712">
          <cell r="A2712">
            <v>2774</v>
          </cell>
          <cell r="B2712">
            <v>5243</v>
          </cell>
          <cell r="C2712" t="str">
            <v>Glauberite</v>
          </cell>
          <cell r="E2712" t="str">
            <v>https://www.mindat.org/1:1:1706:6</v>
          </cell>
        </row>
        <row r="2713">
          <cell r="A2713">
            <v>2775</v>
          </cell>
          <cell r="B2713">
            <v>5243</v>
          </cell>
          <cell r="C2713" t="str">
            <v>Glaucocerinite</v>
          </cell>
          <cell r="E2713" t="str">
            <v>https://www.mindat.org/1:1:1707:3</v>
          </cell>
        </row>
        <row r="2714">
          <cell r="A2714">
            <v>2797</v>
          </cell>
          <cell r="B2714">
            <v>5243</v>
          </cell>
          <cell r="C2714" t="str">
            <v>Goldichite</v>
          </cell>
          <cell r="E2714" t="str">
            <v>https://www.mindat.org/1:1:1722:6</v>
          </cell>
        </row>
        <row r="2715">
          <cell r="A2715">
            <v>2807</v>
          </cell>
          <cell r="B2715">
            <v>5243</v>
          </cell>
          <cell r="C2715" t="str">
            <v>Goslarite</v>
          </cell>
          <cell r="E2715" t="str">
            <v>https://www.mindat.org/1:1:1731:8</v>
          </cell>
        </row>
        <row r="2716">
          <cell r="A2716">
            <v>2817</v>
          </cell>
          <cell r="B2716">
            <v>5243</v>
          </cell>
          <cell r="C2716" t="str">
            <v>Grandreefite</v>
          </cell>
          <cell r="E2716" t="str">
            <v>https://www.mindat.org/1:1:1738:7</v>
          </cell>
        </row>
        <row r="2717">
          <cell r="A2717">
            <v>2849</v>
          </cell>
          <cell r="B2717">
            <v>5243</v>
          </cell>
          <cell r="C2717" t="str">
            <v>Guildite</v>
          </cell>
          <cell r="E2717" t="str">
            <v>https://www.mindat.org/1:1:1770:7</v>
          </cell>
        </row>
        <row r="2718">
          <cell r="A2718">
            <v>2852</v>
          </cell>
          <cell r="B2718">
            <v>5243</v>
          </cell>
          <cell r="C2718" t="str">
            <v>Gunningite</v>
          </cell>
          <cell r="E2718" t="str">
            <v>https://www.mindat.org/1:1:1778:3</v>
          </cell>
        </row>
        <row r="2719">
          <cell r="A2719">
            <v>2858</v>
          </cell>
          <cell r="B2719">
            <v>5243</v>
          </cell>
          <cell r="C2719" t="str">
            <v>Gypsum</v>
          </cell>
          <cell r="E2719" t="str">
            <v>https://www.mindat.org/1:1:1784:4</v>
          </cell>
        </row>
        <row r="2720">
          <cell r="A2720">
            <v>2861</v>
          </cell>
          <cell r="B2720">
            <v>5243</v>
          </cell>
          <cell r="C2720" t="str">
            <v>Gorgeyite</v>
          </cell>
          <cell r="E2720" t="str">
            <v/>
          </cell>
        </row>
        <row r="2721">
          <cell r="A2721">
            <v>2875</v>
          </cell>
          <cell r="B2721">
            <v>5243</v>
          </cell>
          <cell r="C2721" t="str">
            <v>Halotrichite</v>
          </cell>
          <cell r="E2721" t="str">
            <v>https://www.mindat.org/1:1:1809:4</v>
          </cell>
        </row>
        <row r="2722">
          <cell r="A2722">
            <v>2881</v>
          </cell>
          <cell r="B2722">
            <v>5243</v>
          </cell>
          <cell r="C2722" t="str">
            <v>Hanksite</v>
          </cell>
          <cell r="E2722" t="str">
            <v>https://www.mindat.org/1:1:1815:5</v>
          </cell>
        </row>
        <row r="2723">
          <cell r="A2723">
            <v>2890</v>
          </cell>
          <cell r="B2723">
            <v>5243</v>
          </cell>
          <cell r="C2723" t="str">
            <v>Hashemite</v>
          </cell>
          <cell r="E2723" t="str">
            <v>https://www.mindat.org/1:1:1823:0</v>
          </cell>
        </row>
        <row r="2724">
          <cell r="A2724">
            <v>2896</v>
          </cell>
          <cell r="B2724">
            <v>5243</v>
          </cell>
          <cell r="C2724" t="str">
            <v>Hauckite</v>
          </cell>
          <cell r="E2724" t="str">
            <v>https://www.mindat.org/1:1:1830:8</v>
          </cell>
        </row>
        <row r="2725">
          <cell r="A2725">
            <v>2907</v>
          </cell>
          <cell r="B2725">
            <v>5243</v>
          </cell>
          <cell r="C2725" t="str">
            <v>Hectorfloresite</v>
          </cell>
          <cell r="E2725" t="str">
            <v>https://www.mindat.org/1:1:1840:7</v>
          </cell>
        </row>
        <row r="2726">
          <cell r="A2726">
            <v>2924</v>
          </cell>
          <cell r="B2726">
            <v>5243</v>
          </cell>
          <cell r="C2726" t="str">
            <v>Hemihedrite</v>
          </cell>
          <cell r="E2726" t="str">
            <v>https://www.mindat.org/1:1:1859:9</v>
          </cell>
        </row>
        <row r="2727">
          <cell r="A2727">
            <v>2953</v>
          </cell>
          <cell r="B2727">
            <v>5243</v>
          </cell>
          <cell r="C2727" t="str">
            <v>Hexahydrite</v>
          </cell>
          <cell r="E2727" t="str">
            <v>https://www.mindat.org/1:1:1891:9</v>
          </cell>
        </row>
        <row r="2728">
          <cell r="A2728">
            <v>2983</v>
          </cell>
          <cell r="B2728">
            <v>5243</v>
          </cell>
          <cell r="C2728" t="str">
            <v>Hohmannite</v>
          </cell>
          <cell r="E2728" t="str">
            <v>https://www.mindat.org/1:1:1918:3</v>
          </cell>
        </row>
        <row r="2729">
          <cell r="A2729">
            <v>2992</v>
          </cell>
          <cell r="B2729">
            <v>5243</v>
          </cell>
          <cell r="C2729" t="str">
            <v>Honessite</v>
          </cell>
          <cell r="E2729" t="str">
            <v>https://www.mindat.org/1:1:1927:5</v>
          </cell>
        </row>
        <row r="2730">
          <cell r="A2730">
            <v>3005</v>
          </cell>
          <cell r="B2730">
            <v>5243</v>
          </cell>
          <cell r="C2730" t="str">
            <v>Huangite</v>
          </cell>
          <cell r="E2730" t="str">
            <v>https://www.mindat.org/1:1:1939:8</v>
          </cell>
        </row>
        <row r="2731">
          <cell r="A2731">
            <v>3009</v>
          </cell>
          <cell r="B2731">
            <v>5243</v>
          </cell>
          <cell r="C2731" t="str">
            <v>Humberstonite</v>
          </cell>
          <cell r="E2731" t="str">
            <v>https://www.mindat.org/1:1:1944:2</v>
          </cell>
        </row>
        <row r="2732">
          <cell r="A2732">
            <v>3031</v>
          </cell>
          <cell r="B2732">
            <v>5243</v>
          </cell>
          <cell r="C2732" t="str">
            <v>Hydroglauberite</v>
          </cell>
          <cell r="E2732" t="str">
            <v>https://www.mindat.org/1:1:1973:2</v>
          </cell>
        </row>
        <row r="2733">
          <cell r="A2733">
            <v>3035</v>
          </cell>
          <cell r="B2733">
            <v>5243</v>
          </cell>
          <cell r="C2733" t="str">
            <v>Hydrohonessite</v>
          </cell>
          <cell r="E2733" t="str">
            <v>https://www.mindat.org/1:1:1978:7</v>
          </cell>
        </row>
        <row r="2734">
          <cell r="A2734">
            <v>3039</v>
          </cell>
          <cell r="B2734">
            <v>5243</v>
          </cell>
          <cell r="C2734" t="str">
            <v>Hydroniumjarosite</v>
          </cell>
          <cell r="E2734" t="str">
            <v>https://www.mindat.org/1:1:1983:1</v>
          </cell>
        </row>
        <row r="2735">
          <cell r="A2735">
            <v>3074</v>
          </cell>
          <cell r="B2735">
            <v>5243</v>
          </cell>
          <cell r="C2735" t="str">
            <v>Ilesite</v>
          </cell>
          <cell r="E2735" t="str">
            <v>https://www.mindat.org/1:1:2009:7</v>
          </cell>
        </row>
        <row r="2736">
          <cell r="A2736">
            <v>3107</v>
          </cell>
          <cell r="B2736">
            <v>5243</v>
          </cell>
          <cell r="C2736" t="str">
            <v>Iranite</v>
          </cell>
          <cell r="E2736" t="str">
            <v>https://www.mindat.org/1:1:2040:0</v>
          </cell>
        </row>
        <row r="2737">
          <cell r="A2737">
            <v>3126</v>
          </cell>
          <cell r="B2737">
            <v>5243</v>
          </cell>
          <cell r="C2737" t="str">
            <v>Itoite</v>
          </cell>
          <cell r="E2737" t="str">
            <v>https://www.mindat.org/1:1:2056:1</v>
          </cell>
        </row>
        <row r="2738">
          <cell r="A2738">
            <v>3149</v>
          </cell>
          <cell r="B2738">
            <v>5243</v>
          </cell>
          <cell r="C2738" t="str">
            <v>Jarosite</v>
          </cell>
          <cell r="E2738" t="str">
            <v>https://www.mindat.org/1:1:2078:3</v>
          </cell>
        </row>
        <row r="2739">
          <cell r="A2739">
            <v>3172</v>
          </cell>
          <cell r="B2739">
            <v>5243</v>
          </cell>
          <cell r="C2739" t="str">
            <v>Johannite</v>
          </cell>
          <cell r="E2739" t="str">
            <v>https://www.mindat.org/1:1:2102:5</v>
          </cell>
        </row>
        <row r="2740">
          <cell r="A2740">
            <v>3180</v>
          </cell>
          <cell r="B2740">
            <v>5243</v>
          </cell>
          <cell r="C2740" t="str">
            <v>Jokokuite</v>
          </cell>
          <cell r="E2740" t="str">
            <v/>
          </cell>
        </row>
        <row r="2741">
          <cell r="A2741">
            <v>3192</v>
          </cell>
          <cell r="B2741">
            <v>5243</v>
          </cell>
          <cell r="C2741" t="str">
            <v>Jouravskite</v>
          </cell>
          <cell r="E2741" t="str">
            <v>https://www.mindat.org/1:1:2118:6</v>
          </cell>
        </row>
        <row r="2742">
          <cell r="A2742">
            <v>3202</v>
          </cell>
          <cell r="B2742">
            <v>5243</v>
          </cell>
          <cell r="C2742" t="str">
            <v>Jurbanite</v>
          </cell>
          <cell r="E2742" t="str">
            <v>https://www.mindat.org/1:1:2125:4</v>
          </cell>
        </row>
        <row r="2743">
          <cell r="A2743">
            <v>3210</v>
          </cell>
          <cell r="B2743">
            <v>5243</v>
          </cell>
          <cell r="C2743" t="str">
            <v>Kainite</v>
          </cell>
          <cell r="E2743" t="str">
            <v>https://www.mindat.org/1:1:2132:2</v>
          </cell>
        </row>
        <row r="2744">
          <cell r="A2744">
            <v>3217</v>
          </cell>
          <cell r="B2744">
            <v>5243</v>
          </cell>
          <cell r="C2744" t="str">
            <v>Kalinite</v>
          </cell>
          <cell r="E2744" t="str">
            <v>https://www.mindat.org/1:1:2137:7</v>
          </cell>
        </row>
        <row r="2745">
          <cell r="A2745">
            <v>3220</v>
          </cell>
          <cell r="B2745">
            <v>5243</v>
          </cell>
          <cell r="C2745" t="str">
            <v>Kalistrontite</v>
          </cell>
          <cell r="E2745" t="str">
            <v>https://www.mindat.org/1:1:2141:4</v>
          </cell>
        </row>
        <row r="2746">
          <cell r="A2746">
            <v>3281</v>
          </cell>
          <cell r="B2746">
            <v>5243</v>
          </cell>
          <cell r="C2746" t="str">
            <v>Khademite</v>
          </cell>
          <cell r="E2746" t="str">
            <v>https://www.mindat.org/1:1:2193:3</v>
          </cell>
        </row>
        <row r="2747">
          <cell r="A2747">
            <v>3295</v>
          </cell>
          <cell r="B2747">
            <v>5243</v>
          </cell>
          <cell r="C2747" t="str">
            <v>Kieserite</v>
          </cell>
          <cell r="E2747" t="str">
            <v>https://www.mindat.org/1:1:2204:6</v>
          </cell>
        </row>
        <row r="2748">
          <cell r="A2748">
            <v>3316</v>
          </cell>
          <cell r="B2748">
            <v>5243</v>
          </cell>
          <cell r="C2748" t="str">
            <v>Klebelsbergite</v>
          </cell>
          <cell r="E2748" t="str">
            <v>https://www.mindat.org/1:1:2223:7</v>
          </cell>
        </row>
        <row r="2749">
          <cell r="A2749">
            <v>3328</v>
          </cell>
          <cell r="B2749">
            <v>5243</v>
          </cell>
          <cell r="C2749" t="str">
            <v>Kogarkoite</v>
          </cell>
          <cell r="E2749" t="str">
            <v>https://www.mindat.org/1:1:2236:7</v>
          </cell>
        </row>
        <row r="2750">
          <cell r="A2750">
            <v>3329</v>
          </cell>
          <cell r="B2750">
            <v>5243</v>
          </cell>
          <cell r="C2750" t="str">
            <v>Koktaite</v>
          </cell>
          <cell r="E2750" t="str">
            <v>https://www.mindat.org/1:1:2237:4</v>
          </cell>
        </row>
        <row r="2751">
          <cell r="A2751">
            <v>3345</v>
          </cell>
          <cell r="B2751">
            <v>5243</v>
          </cell>
          <cell r="C2751" t="str">
            <v>Kornelite</v>
          </cell>
          <cell r="E2751" t="str">
            <v>https://www.mindat.org/1:1:2253:4</v>
          </cell>
        </row>
        <row r="2752">
          <cell r="A2752">
            <v>3364</v>
          </cell>
          <cell r="B2752">
            <v>5243</v>
          </cell>
          <cell r="C2752" t="str">
            <v>Krausite</v>
          </cell>
          <cell r="E2752" t="str">
            <v>https://www.mindat.org/1:1:2270:1</v>
          </cell>
        </row>
        <row r="2753">
          <cell r="A2753">
            <v>3377</v>
          </cell>
          <cell r="B2753">
            <v>5243</v>
          </cell>
          <cell r="C2753" t="str">
            <v>Krohnkite</v>
          </cell>
          <cell r="E2753" t="str">
            <v/>
          </cell>
        </row>
        <row r="2754">
          <cell r="A2754">
            <v>3378</v>
          </cell>
          <cell r="B2754">
            <v>5243</v>
          </cell>
          <cell r="C2754" t="str">
            <v>Ktenasite</v>
          </cell>
          <cell r="E2754" t="str">
            <v>https://www.mindat.org/1:1:2282:4</v>
          </cell>
        </row>
        <row r="2755">
          <cell r="A2755">
            <v>3413</v>
          </cell>
          <cell r="B2755">
            <v>5243</v>
          </cell>
          <cell r="C2755" t="str">
            <v>Lanarkite</v>
          </cell>
          <cell r="E2755" t="str">
            <v>https://www.mindat.org/1:1:2316:6</v>
          </cell>
        </row>
        <row r="2756">
          <cell r="A2756">
            <v>3417</v>
          </cell>
          <cell r="B2756">
            <v>5243</v>
          </cell>
          <cell r="C2756" t="str">
            <v>Langbeinite</v>
          </cell>
          <cell r="E2756" t="str">
            <v>https://www.mindat.org/1:1:2320:3</v>
          </cell>
        </row>
        <row r="2757">
          <cell r="A2757">
            <v>3419</v>
          </cell>
          <cell r="B2757">
            <v>5243</v>
          </cell>
          <cell r="C2757" t="str">
            <v>Langite</v>
          </cell>
          <cell r="E2757" t="str">
            <v>https://www.mindat.org/1:1:2322:7</v>
          </cell>
        </row>
        <row r="2758">
          <cell r="A2758">
            <v>3420</v>
          </cell>
          <cell r="B2758">
            <v>5243</v>
          </cell>
          <cell r="C2758" t="str">
            <v>Lannonite</v>
          </cell>
          <cell r="E2758" t="str">
            <v>https://www.mindat.org/1:1:2323:4</v>
          </cell>
        </row>
        <row r="2759">
          <cell r="A2759">
            <v>3441</v>
          </cell>
          <cell r="B2759">
            <v>5243</v>
          </cell>
          <cell r="C2759" t="str">
            <v>Lausenite</v>
          </cell>
          <cell r="E2759" t="str">
            <v>https://www.mindat.org/1:1:2345:6</v>
          </cell>
        </row>
        <row r="2760">
          <cell r="A2760">
            <v>3443</v>
          </cell>
          <cell r="B2760">
            <v>5243</v>
          </cell>
          <cell r="C2760" t="str">
            <v>Lautenthalite</v>
          </cell>
          <cell r="E2760" t="str">
            <v>https://www.mindat.org/1:1:2347:0</v>
          </cell>
        </row>
        <row r="2761">
          <cell r="A2761">
            <v>3449</v>
          </cell>
          <cell r="B2761">
            <v>5243</v>
          </cell>
          <cell r="C2761" t="str">
            <v>Lawsonbauerite</v>
          </cell>
          <cell r="E2761" t="str">
            <v>https://www.mindat.org/1:1:2352:4</v>
          </cell>
        </row>
        <row r="2762">
          <cell r="A2762">
            <v>3459</v>
          </cell>
          <cell r="B2762">
            <v>5243</v>
          </cell>
          <cell r="C2762" t="str">
            <v>Lecontite</v>
          </cell>
          <cell r="E2762" t="str">
            <v>https://www.mindat.org/1:1:2364:7</v>
          </cell>
        </row>
        <row r="2763">
          <cell r="A2763">
            <v>3463</v>
          </cell>
          <cell r="B2763">
            <v>5243</v>
          </cell>
          <cell r="C2763" t="str">
            <v>Leightonite</v>
          </cell>
          <cell r="E2763" t="str">
            <v>https://www.mindat.org/1:1:2369:2</v>
          </cell>
        </row>
        <row r="2764">
          <cell r="A2764">
            <v>3474</v>
          </cell>
          <cell r="B2764">
            <v>5243</v>
          </cell>
          <cell r="C2764" t="str">
            <v>Leonite</v>
          </cell>
          <cell r="E2764" t="str">
            <v>https://www.mindat.org/1:1:2377:7</v>
          </cell>
        </row>
        <row r="2765">
          <cell r="A2765">
            <v>3481</v>
          </cell>
          <cell r="B2765">
            <v>5243</v>
          </cell>
          <cell r="C2765" t="str">
            <v>Letovicite</v>
          </cell>
          <cell r="E2765" t="str">
            <v>https://www.mindat.org/1:1:2382:1</v>
          </cell>
        </row>
        <row r="2766">
          <cell r="A2766">
            <v>3505</v>
          </cell>
          <cell r="B2766">
            <v>5243</v>
          </cell>
          <cell r="C2766" t="str">
            <v>Linarite</v>
          </cell>
          <cell r="E2766" t="str">
            <v>https://www.mindat.org/1:1:2403:3</v>
          </cell>
        </row>
        <row r="2767">
          <cell r="A2767">
            <v>3507</v>
          </cell>
          <cell r="B2767">
            <v>5243</v>
          </cell>
          <cell r="C2767" t="str">
            <v>Lindgrenite</v>
          </cell>
          <cell r="E2767" t="str">
            <v>https://www.mindat.org/1:1:2405:7</v>
          </cell>
        </row>
        <row r="2768">
          <cell r="A2768">
            <v>3554</v>
          </cell>
          <cell r="B2768">
            <v>5243</v>
          </cell>
          <cell r="C2768" t="str">
            <v>Bonattite</v>
          </cell>
          <cell r="E2768" t="str">
            <v>https://www.mindat.org/1:1:718:8</v>
          </cell>
        </row>
        <row r="2769">
          <cell r="A2769">
            <v>3556</v>
          </cell>
          <cell r="B2769">
            <v>5243</v>
          </cell>
          <cell r="C2769" t="str">
            <v>Boothite</v>
          </cell>
          <cell r="E2769" t="str">
            <v>https://www.mindat.org/1:1:720:3</v>
          </cell>
        </row>
        <row r="2770">
          <cell r="A2770">
            <v>3570</v>
          </cell>
          <cell r="B2770">
            <v>5243</v>
          </cell>
          <cell r="C2770" t="str">
            <v>Botryogen</v>
          </cell>
          <cell r="E2770" t="str">
            <v>https://www.mindat.org/1:1:733:7</v>
          </cell>
        </row>
        <row r="2771">
          <cell r="A2771">
            <v>3574</v>
          </cell>
          <cell r="B2771">
            <v>5243</v>
          </cell>
          <cell r="C2771" t="str">
            <v>Boussingaultite</v>
          </cell>
          <cell r="E2771" t="str">
            <v>https://www.mindat.org/1:1:743:4</v>
          </cell>
        </row>
        <row r="2772">
          <cell r="A2772">
            <v>3577</v>
          </cell>
          <cell r="B2772">
            <v>5243</v>
          </cell>
          <cell r="C2772" t="str">
            <v>Boyleite</v>
          </cell>
          <cell r="E2772" t="str">
            <v>https://www.mindat.org/1:1:746:1</v>
          </cell>
        </row>
        <row r="2773">
          <cell r="A2773">
            <v>3609</v>
          </cell>
          <cell r="B2773">
            <v>5243</v>
          </cell>
          <cell r="C2773" t="str">
            <v>Brochantite</v>
          </cell>
          <cell r="E2773" t="str">
            <v>https://www.mindat.org/1:1:779:9</v>
          </cell>
        </row>
        <row r="2774">
          <cell r="A2774">
            <v>3634</v>
          </cell>
          <cell r="B2774">
            <v>5243</v>
          </cell>
          <cell r="C2774" t="str">
            <v>Burkeite</v>
          </cell>
          <cell r="E2774" t="str">
            <v>https://www.mindat.org/1:1:805:3</v>
          </cell>
        </row>
        <row r="2775">
          <cell r="A2775">
            <v>3639</v>
          </cell>
          <cell r="B2775">
            <v>5243</v>
          </cell>
          <cell r="C2775" t="str">
            <v>Butlerite</v>
          </cell>
          <cell r="E2775" t="str">
            <v>https://www.mindat.org/1:1:810:5</v>
          </cell>
        </row>
        <row r="2776">
          <cell r="A2776">
            <v>3676</v>
          </cell>
          <cell r="B2776">
            <v>5243</v>
          </cell>
          <cell r="C2776" t="str">
            <v>Calcurmolite</v>
          </cell>
          <cell r="E2776" t="str">
            <v>https://www.mindat.org/1:1:863:7</v>
          </cell>
        </row>
        <row r="2777">
          <cell r="A2777">
            <v>3678</v>
          </cell>
          <cell r="B2777">
            <v>5243</v>
          </cell>
          <cell r="C2777" t="str">
            <v>Caledonite</v>
          </cell>
          <cell r="E2777" t="str">
            <v>https://www.mindat.org/1:1:865:5</v>
          </cell>
        </row>
        <row r="2778">
          <cell r="A2778">
            <v>3688</v>
          </cell>
          <cell r="B2778">
            <v>5243</v>
          </cell>
          <cell r="C2778" t="str">
            <v>Campigliaite</v>
          </cell>
          <cell r="E2778" t="str">
            <v>https://www.mindat.org/1:1:876:1</v>
          </cell>
        </row>
        <row r="2779">
          <cell r="A2779">
            <v>3697</v>
          </cell>
          <cell r="B2779">
            <v>5243</v>
          </cell>
          <cell r="C2779" t="str">
            <v>Cannonite</v>
          </cell>
          <cell r="E2779" t="str">
            <v>https://www.mindat.org/1:1:884:0</v>
          </cell>
        </row>
        <row r="2780">
          <cell r="A2780">
            <v>3702</v>
          </cell>
          <cell r="B2780">
            <v>5243</v>
          </cell>
          <cell r="C2780" t="str">
            <v>Caracolite</v>
          </cell>
          <cell r="E2780" t="str">
            <v>https://www.mindat.org/1:1:890:1</v>
          </cell>
        </row>
        <row r="2781">
          <cell r="A2781">
            <v>3706</v>
          </cell>
          <cell r="B2781">
            <v>5243</v>
          </cell>
          <cell r="C2781" t="str">
            <v>Carbonate-cyanotrichite</v>
          </cell>
          <cell r="E2781" t="str">
            <v/>
          </cell>
        </row>
        <row r="2782">
          <cell r="A2782">
            <v>3714</v>
          </cell>
          <cell r="B2782">
            <v>5243</v>
          </cell>
          <cell r="C2782" t="str">
            <v>Carlosruizite</v>
          </cell>
          <cell r="E2782" t="str">
            <v>https://www.mindat.org/1:1:902:5</v>
          </cell>
        </row>
        <row r="2783">
          <cell r="A2783">
            <v>3724</v>
          </cell>
          <cell r="B2783">
            <v>5243</v>
          </cell>
          <cell r="C2783" t="str">
            <v>Carrboydite</v>
          </cell>
          <cell r="E2783" t="str">
            <v>https://www.mindat.org/1:1:910:4</v>
          </cell>
        </row>
        <row r="2784">
          <cell r="A2784">
            <v>3743</v>
          </cell>
          <cell r="B2784">
            <v>5243</v>
          </cell>
          <cell r="C2784" t="str">
            <v>Celestite</v>
          </cell>
          <cell r="E2784" t="str">
            <v/>
          </cell>
        </row>
        <row r="2785">
          <cell r="A2785">
            <v>3755</v>
          </cell>
          <cell r="B2785">
            <v>5243</v>
          </cell>
          <cell r="C2785" t="str">
            <v>Cesanite</v>
          </cell>
          <cell r="E2785" t="str">
            <v>https://www.mindat.org/1:1:938:0</v>
          </cell>
        </row>
        <row r="2786">
          <cell r="A2786">
            <v>3770</v>
          </cell>
          <cell r="B2786">
            <v>5243</v>
          </cell>
          <cell r="C2786" t="str">
            <v>Chalcanthite</v>
          </cell>
          <cell r="E2786" t="str">
            <v>https://www.mindat.org/1:1:959:3</v>
          </cell>
        </row>
        <row r="2787">
          <cell r="A2787">
            <v>3771</v>
          </cell>
          <cell r="B2787">
            <v>5243</v>
          </cell>
          <cell r="C2787" t="str">
            <v>Chalcoalumite</v>
          </cell>
          <cell r="E2787" t="str">
            <v>https://www.mindat.org/1:1:961:8</v>
          </cell>
        </row>
        <row r="2788">
          <cell r="A2788">
            <v>3773</v>
          </cell>
          <cell r="B2788">
            <v>5243</v>
          </cell>
          <cell r="C2788" t="str">
            <v>Chalcocyanite</v>
          </cell>
          <cell r="E2788" t="str">
            <v>https://www.mindat.org/1:1:963:6</v>
          </cell>
        </row>
        <row r="2789">
          <cell r="A2789">
            <v>3787</v>
          </cell>
          <cell r="B2789">
            <v>5243</v>
          </cell>
          <cell r="C2789" t="str">
            <v>Changoite</v>
          </cell>
          <cell r="E2789" t="str">
            <v>https://www.mindat.org/1:1:6861:7</v>
          </cell>
        </row>
        <row r="2790">
          <cell r="A2790">
            <v>3791</v>
          </cell>
          <cell r="B2790">
            <v>5243</v>
          </cell>
          <cell r="C2790" t="str">
            <v>Charlesite</v>
          </cell>
          <cell r="E2790" t="str">
            <v>https://www.mindat.org/1:1:971:5</v>
          </cell>
        </row>
        <row r="2791">
          <cell r="A2791">
            <v>3832</v>
          </cell>
          <cell r="B2791">
            <v>5243</v>
          </cell>
          <cell r="C2791" t="str">
            <v>Chlorothionite</v>
          </cell>
          <cell r="E2791" t="str">
            <v>https://www.mindat.org/1:1:982:1</v>
          </cell>
        </row>
        <row r="2792">
          <cell r="A2792">
            <v>3837</v>
          </cell>
          <cell r="B2792">
            <v>5243</v>
          </cell>
          <cell r="C2792" t="str">
            <v>Christelite</v>
          </cell>
          <cell r="E2792" t="str">
            <v>https://www.mindat.org/1:1:6870:9</v>
          </cell>
        </row>
        <row r="2793">
          <cell r="A2793">
            <v>3839</v>
          </cell>
          <cell r="B2793">
            <v>5243</v>
          </cell>
          <cell r="C2793" t="str">
            <v>Chromatite</v>
          </cell>
          <cell r="E2793" t="str">
            <v>https://www.mindat.org/1:1:1030:2</v>
          </cell>
        </row>
        <row r="2794">
          <cell r="A2794">
            <v>3931</v>
          </cell>
          <cell r="B2794">
            <v>5243</v>
          </cell>
          <cell r="C2794" t="str">
            <v>Copiapite</v>
          </cell>
          <cell r="E2794" t="str">
            <v>https://www.mindat.org/1:1:1124:8</v>
          </cell>
        </row>
        <row r="2795">
          <cell r="A2795">
            <v>3933</v>
          </cell>
          <cell r="B2795">
            <v>5243</v>
          </cell>
          <cell r="C2795" t="str">
            <v>Coquandite</v>
          </cell>
          <cell r="E2795" t="str">
            <v>https://www.mindat.org/1:1:1125:5</v>
          </cell>
        </row>
        <row r="2796">
          <cell r="A2796">
            <v>3934</v>
          </cell>
          <cell r="B2796">
            <v>5243</v>
          </cell>
          <cell r="C2796" t="str">
            <v>Chenite</v>
          </cell>
          <cell r="E2796" t="str">
            <v>https://www.mindat.org/1:1:987:6</v>
          </cell>
        </row>
        <row r="2797">
          <cell r="A2797">
            <v>3936</v>
          </cell>
          <cell r="B2797">
            <v>5243</v>
          </cell>
          <cell r="C2797" t="str">
            <v>Coquimbite</v>
          </cell>
          <cell r="E2797" t="str">
            <v>https://www.mindat.org/1:1:1126:2</v>
          </cell>
        </row>
        <row r="2798">
          <cell r="A2798">
            <v>4011</v>
          </cell>
          <cell r="B2798">
            <v>5243</v>
          </cell>
          <cell r="C2798" t="str">
            <v>Alum(generalterm)</v>
          </cell>
          <cell r="E2798" t="str">
            <v/>
          </cell>
        </row>
        <row r="2799">
          <cell r="A2799">
            <v>4012</v>
          </cell>
          <cell r="B2799">
            <v>5243</v>
          </cell>
          <cell r="C2799" t="str">
            <v>Aluminite</v>
          </cell>
          <cell r="E2799" t="str">
            <v>https://www.mindat.org/1:1:154:6</v>
          </cell>
        </row>
        <row r="2800">
          <cell r="A2800">
            <v>4015</v>
          </cell>
          <cell r="B2800">
            <v>5243</v>
          </cell>
          <cell r="C2800" t="str">
            <v>Aluminocopiapite</v>
          </cell>
          <cell r="E2800" t="str">
            <v>https://www.mindat.org/1:1:87:7</v>
          </cell>
        </row>
        <row r="2801">
          <cell r="A2801">
            <v>4024</v>
          </cell>
          <cell r="B2801">
            <v>5243</v>
          </cell>
          <cell r="C2801" t="str">
            <v>Alunite</v>
          </cell>
          <cell r="E2801" t="str">
            <v>https://www.mindat.org/1:1:161:6</v>
          </cell>
        </row>
        <row r="2802">
          <cell r="A2802">
            <v>4025</v>
          </cell>
          <cell r="B2802">
            <v>5243</v>
          </cell>
          <cell r="C2802" t="str">
            <v>Alunogen</v>
          </cell>
          <cell r="E2802" t="str">
            <v>https://www.mindat.org/1:1:162:5</v>
          </cell>
        </row>
        <row r="2803">
          <cell r="A2803">
            <v>4029</v>
          </cell>
          <cell r="B2803">
            <v>5243</v>
          </cell>
          <cell r="C2803" t="str">
            <v>Amarantite</v>
          </cell>
          <cell r="E2803" t="str">
            <v>https://www.mindat.org/1:1:182:9</v>
          </cell>
        </row>
        <row r="2804">
          <cell r="A2804">
            <v>4030</v>
          </cell>
          <cell r="B2804">
            <v>5243</v>
          </cell>
          <cell r="C2804" t="str">
            <v>Amarillite</v>
          </cell>
          <cell r="E2804" t="str">
            <v>https://www.mindat.org/1:1:183:8</v>
          </cell>
        </row>
        <row r="2805">
          <cell r="A2805">
            <v>4042</v>
          </cell>
          <cell r="B2805">
            <v>5243</v>
          </cell>
          <cell r="C2805" t="str">
            <v>Ammoniojarosite</v>
          </cell>
          <cell r="E2805" t="str">
            <v>https://www.mindat.org/1:1:205:9</v>
          </cell>
        </row>
        <row r="2806">
          <cell r="A2806">
            <v>4061</v>
          </cell>
          <cell r="B2806">
            <v>5243</v>
          </cell>
          <cell r="C2806" t="str">
            <v>Anglesite</v>
          </cell>
          <cell r="E2806" t="str">
            <v>https://www.mindat.org/1:1:233:2</v>
          </cell>
        </row>
        <row r="2807">
          <cell r="A2807">
            <v>4062</v>
          </cell>
          <cell r="B2807">
            <v>5243</v>
          </cell>
          <cell r="C2807" t="str">
            <v>Anhydrite</v>
          </cell>
          <cell r="E2807" t="str">
            <v>https://www.mindat.org/1:1:234:1</v>
          </cell>
        </row>
        <row r="2808">
          <cell r="A2808">
            <v>4071</v>
          </cell>
          <cell r="B2808">
            <v>5243</v>
          </cell>
          <cell r="C2808" t="str">
            <v>Anthoinite</v>
          </cell>
          <cell r="E2808" t="str">
            <v>https://www.mindat.org/1:1:252:7</v>
          </cell>
        </row>
        <row r="2809">
          <cell r="A2809">
            <v>4078</v>
          </cell>
          <cell r="B2809">
            <v>5243</v>
          </cell>
          <cell r="C2809" t="str">
            <v>Antlerite</v>
          </cell>
          <cell r="E2809" t="str">
            <v>https://www.mindat.org/1:1:268:8</v>
          </cell>
        </row>
        <row r="2810">
          <cell r="A2810">
            <v>4082</v>
          </cell>
          <cell r="B2810">
            <v>5243</v>
          </cell>
          <cell r="C2810" t="str">
            <v>Aphthitalite</v>
          </cell>
          <cell r="E2810" t="str">
            <v>https://www.mindat.org/1:1:280:0</v>
          </cell>
        </row>
        <row r="2811">
          <cell r="A2811">
            <v>4083</v>
          </cell>
          <cell r="B2811">
            <v>5243</v>
          </cell>
          <cell r="C2811" t="str">
            <v>Apjohnite</v>
          </cell>
          <cell r="E2811" t="str">
            <v>https://www.mindat.org/1:1:281:9</v>
          </cell>
        </row>
        <row r="2812">
          <cell r="A2812">
            <v>4091</v>
          </cell>
          <cell r="B2812">
            <v>5243</v>
          </cell>
          <cell r="C2812" t="str">
            <v>Arcanite</v>
          </cell>
          <cell r="E2812" t="str">
            <v>https://www.mindat.org/1:1:314:6</v>
          </cell>
        </row>
        <row r="2813">
          <cell r="A2813">
            <v>4099</v>
          </cell>
          <cell r="B2813">
            <v>5243</v>
          </cell>
          <cell r="C2813" t="str">
            <v>Argentojarosite</v>
          </cell>
          <cell r="E2813" t="str">
            <v>https://www.mindat.org/1:1:290:7</v>
          </cell>
        </row>
        <row r="2814">
          <cell r="A2814">
            <v>4159</v>
          </cell>
          <cell r="B2814">
            <v>5243</v>
          </cell>
          <cell r="C2814" t="str">
            <v>Aubertite</v>
          </cell>
          <cell r="E2814" t="str">
            <v>https://www.mindat.org/1:1:416:3</v>
          </cell>
        </row>
        <row r="2815">
          <cell r="A2815">
            <v>4199</v>
          </cell>
          <cell r="B2815">
            <v>5243</v>
          </cell>
          <cell r="C2815" t="str">
            <v>Cousinite</v>
          </cell>
          <cell r="E2815" t="str">
            <v>https://www.mindat.org/1:1:1143:9</v>
          </cell>
        </row>
        <row r="2816">
          <cell r="A2816">
            <v>4208</v>
          </cell>
          <cell r="B2816">
            <v>5243</v>
          </cell>
          <cell r="C2816" t="str">
            <v>Crocoite</v>
          </cell>
          <cell r="E2816" t="str">
            <v>https://www.mindat.org/1:1:1157:6</v>
          </cell>
        </row>
        <row r="2817">
          <cell r="A2817">
            <v>4235</v>
          </cell>
          <cell r="B2817">
            <v>5243</v>
          </cell>
          <cell r="C2817" t="str">
            <v>Devilline</v>
          </cell>
          <cell r="E2817" t="str">
            <v>https://www.mindat.org/1:1:1270:2</v>
          </cell>
        </row>
        <row r="2818">
          <cell r="A2818">
            <v>4247</v>
          </cell>
          <cell r="B2818">
            <v>5243</v>
          </cell>
          <cell r="C2818" t="str">
            <v>Dietrichite</v>
          </cell>
          <cell r="E2818" t="str">
            <v>https://www.mindat.org/1:1:1289:4</v>
          </cell>
        </row>
        <row r="2819">
          <cell r="A2819">
            <v>77</v>
          </cell>
          <cell r="B2819">
            <v>5244</v>
          </cell>
          <cell r="C2819" t="str">
            <v>Wyllieite</v>
          </cell>
          <cell r="E2819" t="str">
            <v>https://www.mindat.org/1:1:4321:8</v>
          </cell>
        </row>
        <row r="2820">
          <cell r="A2820">
            <v>82</v>
          </cell>
          <cell r="B2820">
            <v>5244</v>
          </cell>
          <cell r="C2820" t="str">
            <v>Xanthiosite</v>
          </cell>
          <cell r="E2820" t="str">
            <v>https://www.mindat.org/1:1:4327:0</v>
          </cell>
        </row>
        <row r="2821">
          <cell r="A2821">
            <v>84</v>
          </cell>
          <cell r="B2821">
            <v>5244</v>
          </cell>
          <cell r="C2821" t="str">
            <v>Xanthoxenite</v>
          </cell>
          <cell r="E2821" t="str">
            <v>https://www.mindat.org/1:1:4347:8</v>
          </cell>
        </row>
        <row r="2822">
          <cell r="A2822">
            <v>85</v>
          </cell>
          <cell r="B2822">
            <v>5244</v>
          </cell>
          <cell r="C2822" t="str">
            <v>Xenotime-(Y)</v>
          </cell>
          <cell r="E2822" t="str">
            <v>https://www.mindat.org/1:1:4333:1</v>
          </cell>
        </row>
        <row r="2823">
          <cell r="A2823">
            <v>86</v>
          </cell>
          <cell r="B2823">
            <v>5244</v>
          </cell>
          <cell r="C2823" t="str">
            <v>Xenotime-(Yb)</v>
          </cell>
          <cell r="E2823" t="str">
            <v>https://www.mindat.org/1:1:7374:1</v>
          </cell>
        </row>
        <row r="2824">
          <cell r="A2824">
            <v>99</v>
          </cell>
          <cell r="B2824">
            <v>5244</v>
          </cell>
          <cell r="C2824" t="str">
            <v>Yanomamite</v>
          </cell>
          <cell r="E2824" t="str">
            <v>https://www.mindat.org/1:1:4352:2</v>
          </cell>
        </row>
        <row r="2825">
          <cell r="A2825">
            <v>121</v>
          </cell>
          <cell r="B2825">
            <v>5244</v>
          </cell>
          <cell r="C2825" t="str">
            <v>Wallkilldellite</v>
          </cell>
          <cell r="E2825" t="str">
            <v>https://www.mindat.org/1:1:4237:2</v>
          </cell>
        </row>
        <row r="2826">
          <cell r="A2826">
            <v>122</v>
          </cell>
          <cell r="B2826">
            <v>5244</v>
          </cell>
          <cell r="C2826" t="str">
            <v>Walpurgite</v>
          </cell>
          <cell r="E2826" t="str">
            <v>https://www.mindat.org/1:1:4238:9</v>
          </cell>
        </row>
        <row r="2827">
          <cell r="A2827">
            <v>125</v>
          </cell>
          <cell r="B2827">
            <v>5244</v>
          </cell>
          <cell r="C2827" t="str">
            <v>Wardite</v>
          </cell>
          <cell r="E2827" t="str">
            <v>https://www.mindat.org/1:1:4242:6</v>
          </cell>
        </row>
        <row r="2828">
          <cell r="A2828">
            <v>127</v>
          </cell>
          <cell r="B2828">
            <v>5244</v>
          </cell>
          <cell r="C2828" t="str">
            <v>Warikahnite</v>
          </cell>
          <cell r="E2828" t="str">
            <v>https://www.mindat.org/1:1:4244:0</v>
          </cell>
        </row>
        <row r="2829">
          <cell r="A2829">
            <v>134</v>
          </cell>
          <cell r="B2829">
            <v>5244</v>
          </cell>
          <cell r="C2829" t="str">
            <v>Wavellite</v>
          </cell>
          <cell r="E2829" t="str">
            <v>https://www.mindat.org/1:1:4250:1</v>
          </cell>
        </row>
        <row r="2830">
          <cell r="A2830">
            <v>136</v>
          </cell>
          <cell r="B2830">
            <v>5244</v>
          </cell>
          <cell r="C2830" t="str">
            <v>Waylandite</v>
          </cell>
          <cell r="E2830" t="str">
            <v>https://www.mindat.org/1:1:4252:5</v>
          </cell>
        </row>
        <row r="2831">
          <cell r="A2831">
            <v>142</v>
          </cell>
          <cell r="B2831">
            <v>5244</v>
          </cell>
          <cell r="C2831" t="str">
            <v>Weilerite</v>
          </cell>
          <cell r="E2831" t="str">
            <v>https://www.mindat.org/1:1:4258:7</v>
          </cell>
        </row>
        <row r="2832">
          <cell r="A2832">
            <v>143</v>
          </cell>
          <cell r="B2832">
            <v>5244</v>
          </cell>
          <cell r="C2832" t="str">
            <v>Weilite</v>
          </cell>
          <cell r="E2832" t="str">
            <v>https://www.mindat.org/1:1:4259:4</v>
          </cell>
        </row>
        <row r="2833">
          <cell r="A2833">
            <v>152</v>
          </cell>
          <cell r="B2833">
            <v>5244</v>
          </cell>
          <cell r="C2833" t="str">
            <v>Wendwilsonite</v>
          </cell>
          <cell r="E2833" t="str">
            <v>https://www.mindat.org/1:1:4268:6</v>
          </cell>
        </row>
        <row r="2834">
          <cell r="A2834">
            <v>161</v>
          </cell>
          <cell r="B2834">
            <v>5244</v>
          </cell>
          <cell r="C2834" t="str">
            <v>Whiteite</v>
          </cell>
          <cell r="E2834" t="str">
            <v/>
          </cell>
        </row>
        <row r="2835">
          <cell r="A2835">
            <v>162</v>
          </cell>
          <cell r="B2835">
            <v>5244</v>
          </cell>
          <cell r="C2835" t="str">
            <v>Whiteite-(cafemg)</v>
          </cell>
          <cell r="E2835" t="str">
            <v>https://www.mindat.org/1:1:4277:8</v>
          </cell>
        </row>
        <row r="2836">
          <cell r="A2836">
            <v>163</v>
          </cell>
          <cell r="B2836">
            <v>5244</v>
          </cell>
          <cell r="C2836" t="str">
            <v>Whiteite-(camnmg)</v>
          </cell>
          <cell r="E2836" t="str">
            <v>https://www.mindat.org/1:1:4278:5</v>
          </cell>
        </row>
        <row r="2837">
          <cell r="A2837">
            <v>164</v>
          </cell>
          <cell r="B2837">
            <v>5244</v>
          </cell>
          <cell r="C2837" t="str">
            <v>Whiteite-(mnfemg)</v>
          </cell>
          <cell r="E2837" t="str">
            <v>https://www.mindat.org/1:1:4279:2</v>
          </cell>
        </row>
        <row r="2838">
          <cell r="A2838">
            <v>165</v>
          </cell>
          <cell r="B2838">
            <v>5244</v>
          </cell>
          <cell r="C2838" t="str">
            <v>Whitlockite</v>
          </cell>
          <cell r="E2838" t="str">
            <v>https://www.mindat.org/1:1:4280:8</v>
          </cell>
        </row>
        <row r="2839">
          <cell r="A2839">
            <v>166</v>
          </cell>
          <cell r="B2839">
            <v>5244</v>
          </cell>
          <cell r="C2839" t="str">
            <v>Whitmoreite</v>
          </cell>
          <cell r="E2839" t="str">
            <v>https://www.mindat.org/1:1:4281:5</v>
          </cell>
        </row>
        <row r="2840">
          <cell r="A2840">
            <v>169</v>
          </cell>
          <cell r="B2840">
            <v>5244</v>
          </cell>
          <cell r="C2840" t="str">
            <v>Wicksite</v>
          </cell>
          <cell r="E2840" t="str">
            <v>https://www.mindat.org/1:1:4284:6</v>
          </cell>
        </row>
        <row r="2841">
          <cell r="A2841">
            <v>174</v>
          </cell>
          <cell r="B2841">
            <v>5244</v>
          </cell>
          <cell r="C2841" t="str">
            <v>Wilhelmvierlingite</v>
          </cell>
          <cell r="E2841" t="str">
            <v>https://www.mindat.org/1:1:4289:1</v>
          </cell>
        </row>
        <row r="2842">
          <cell r="A2842">
            <v>190</v>
          </cell>
          <cell r="B2842">
            <v>5244</v>
          </cell>
          <cell r="C2842" t="str">
            <v>Wolfeite</v>
          </cell>
          <cell r="E2842" t="str">
            <v>https://www.mindat.org/1:1:4304:1</v>
          </cell>
        </row>
        <row r="2843">
          <cell r="A2843">
            <v>200</v>
          </cell>
          <cell r="B2843">
            <v>5244</v>
          </cell>
          <cell r="C2843" t="str">
            <v>Woodhouseite</v>
          </cell>
          <cell r="E2843" t="str">
            <v>https://www.mindat.org/1:1:4311:9</v>
          </cell>
        </row>
        <row r="2844">
          <cell r="A2844">
            <v>203</v>
          </cell>
          <cell r="B2844">
            <v>5244</v>
          </cell>
          <cell r="C2844" t="str">
            <v>Wooldridgeite</v>
          </cell>
          <cell r="E2844" t="str">
            <v>https://www.mindat.org/1:1:7371:0</v>
          </cell>
        </row>
        <row r="2845">
          <cell r="A2845">
            <v>213</v>
          </cell>
          <cell r="B2845">
            <v>5244</v>
          </cell>
          <cell r="C2845" t="str">
            <v>Zeunerite</v>
          </cell>
          <cell r="E2845" t="str">
            <v>https://www.mindat.org/1:1:4397:3</v>
          </cell>
        </row>
        <row r="2846">
          <cell r="A2846">
            <v>233</v>
          </cell>
          <cell r="B2846">
            <v>5244</v>
          </cell>
          <cell r="C2846" t="str">
            <v>Zincroselite</v>
          </cell>
          <cell r="E2846" t="str">
            <v>https://www.mindat.org/1:1:4415:4</v>
          </cell>
        </row>
        <row r="2847">
          <cell r="A2847">
            <v>250</v>
          </cell>
          <cell r="B2847">
            <v>5244</v>
          </cell>
          <cell r="C2847" t="str">
            <v>Zodacite</v>
          </cell>
          <cell r="E2847" t="str">
            <v>https://www.mindat.org/1:1:4429:1</v>
          </cell>
        </row>
        <row r="2848">
          <cell r="A2848">
            <v>258</v>
          </cell>
          <cell r="B2848">
            <v>5244</v>
          </cell>
          <cell r="C2848" t="str">
            <v>Zwieselite</v>
          </cell>
          <cell r="E2848" t="str">
            <v>https://www.mindat.org/1:1:4436:9</v>
          </cell>
        </row>
        <row r="2849">
          <cell r="A2849">
            <v>259</v>
          </cell>
          <cell r="B2849">
            <v>5244</v>
          </cell>
          <cell r="C2849" t="str">
            <v>Zykaite</v>
          </cell>
          <cell r="E2849" t="str">
            <v/>
          </cell>
        </row>
        <row r="2850">
          <cell r="A2850">
            <v>293</v>
          </cell>
          <cell r="B2850">
            <v>5244</v>
          </cell>
          <cell r="C2850" t="str">
            <v>Thadeuite</v>
          </cell>
          <cell r="E2850" t="str">
            <v>https://www.mindat.org/1:1:3929:7</v>
          </cell>
        </row>
        <row r="2851">
          <cell r="A2851">
            <v>298</v>
          </cell>
          <cell r="B2851">
            <v>5244</v>
          </cell>
          <cell r="C2851" t="str">
            <v>Theisite</v>
          </cell>
          <cell r="E2851" t="str">
            <v>https://www.mindat.org/1:1:3934:1</v>
          </cell>
        </row>
        <row r="2852">
          <cell r="A2852">
            <v>305</v>
          </cell>
          <cell r="B2852">
            <v>5244</v>
          </cell>
          <cell r="C2852" t="str">
            <v>Yukonite</v>
          </cell>
          <cell r="E2852" t="str">
            <v>https://www.mindat.org/1:1:4377:5</v>
          </cell>
        </row>
        <row r="2853">
          <cell r="A2853">
            <v>314</v>
          </cell>
          <cell r="B2853">
            <v>5244</v>
          </cell>
          <cell r="C2853" t="str">
            <v>Zanazziite</v>
          </cell>
          <cell r="E2853" t="str">
            <v>https://www.mindat.org/1:1:4385:0</v>
          </cell>
        </row>
        <row r="2854">
          <cell r="A2854">
            <v>315</v>
          </cell>
          <cell r="B2854">
            <v>5244</v>
          </cell>
          <cell r="C2854" t="str">
            <v>Zapatalite</v>
          </cell>
          <cell r="E2854" t="str">
            <v>https://www.mindat.org/1:1:4386:7</v>
          </cell>
        </row>
        <row r="2855">
          <cell r="A2855">
            <v>318</v>
          </cell>
          <cell r="B2855">
            <v>5244</v>
          </cell>
          <cell r="C2855" t="str">
            <v>Zdenekite</v>
          </cell>
          <cell r="E2855" t="str">
            <v/>
          </cell>
        </row>
        <row r="2856">
          <cell r="A2856">
            <v>328</v>
          </cell>
          <cell r="B2856">
            <v>5244</v>
          </cell>
          <cell r="C2856" t="str">
            <v>Svabite</v>
          </cell>
          <cell r="E2856" t="str">
            <v>https://www.mindat.org/1:1:3836:8</v>
          </cell>
        </row>
        <row r="2857">
          <cell r="A2857">
            <v>329</v>
          </cell>
          <cell r="B2857">
            <v>5244</v>
          </cell>
          <cell r="C2857" t="str">
            <v>Svanbergite</v>
          </cell>
          <cell r="E2857" t="str">
            <v>https://www.mindat.org/1:1:3837:5</v>
          </cell>
        </row>
        <row r="2858">
          <cell r="A2858">
            <v>331</v>
          </cell>
          <cell r="B2858">
            <v>5244</v>
          </cell>
          <cell r="C2858" t="str">
            <v>Svenekite</v>
          </cell>
          <cell r="E2858" t="str">
            <v/>
          </cell>
        </row>
        <row r="2859">
          <cell r="A2859">
            <v>342</v>
          </cell>
          <cell r="B2859">
            <v>5244</v>
          </cell>
          <cell r="C2859" t="str">
            <v>Switzerite</v>
          </cell>
          <cell r="E2859" t="str">
            <v>https://www.mindat.org/1:1:3848:1</v>
          </cell>
        </row>
        <row r="2860">
          <cell r="A2860">
            <v>346</v>
          </cell>
          <cell r="B2860">
            <v>5244</v>
          </cell>
          <cell r="C2860" t="str">
            <v>Symplesite</v>
          </cell>
          <cell r="E2860" t="str">
            <v>https://www.mindat.org/1:1:3851:1</v>
          </cell>
        </row>
        <row r="2861">
          <cell r="A2861">
            <v>347</v>
          </cell>
          <cell r="B2861">
            <v>5244</v>
          </cell>
          <cell r="C2861" t="str">
            <v>Synadelphite</v>
          </cell>
          <cell r="E2861" t="str">
            <v>https://www.mindat.org/1:1:3852:8</v>
          </cell>
        </row>
        <row r="2862">
          <cell r="A2862">
            <v>374</v>
          </cell>
          <cell r="B2862">
            <v>5244</v>
          </cell>
          <cell r="C2862" t="str">
            <v>Talmessite</v>
          </cell>
          <cell r="E2862" t="str">
            <v>https://www.mindat.org/1:1:3876:4</v>
          </cell>
        </row>
        <row r="2863">
          <cell r="A2863">
            <v>378</v>
          </cell>
          <cell r="B2863">
            <v>5244</v>
          </cell>
          <cell r="C2863" t="str">
            <v>Tancoite</v>
          </cell>
          <cell r="E2863" t="str">
            <v>https://www.mindat.org/1:1:3879:5</v>
          </cell>
        </row>
        <row r="2864">
          <cell r="A2864">
            <v>380</v>
          </cell>
          <cell r="B2864">
            <v>5244</v>
          </cell>
          <cell r="C2864" t="str">
            <v>Tangeite</v>
          </cell>
          <cell r="E2864" t="str">
            <v>https://www.mindat.org/1:1:4073:6</v>
          </cell>
        </row>
        <row r="2865">
          <cell r="A2865">
            <v>389</v>
          </cell>
          <cell r="B2865">
            <v>5244</v>
          </cell>
          <cell r="C2865" t="str">
            <v>Taranakite</v>
          </cell>
          <cell r="E2865" t="str">
            <v>https://www.mindat.org/1:1:3890:0</v>
          </cell>
        </row>
        <row r="2866">
          <cell r="A2866">
            <v>392</v>
          </cell>
          <cell r="B2866">
            <v>5244</v>
          </cell>
          <cell r="C2866" t="str">
            <v>Tarbuttite</v>
          </cell>
          <cell r="E2866" t="str">
            <v>https://www.mindat.org/1:1:3892:4</v>
          </cell>
        </row>
        <row r="2867">
          <cell r="A2867">
            <v>397</v>
          </cell>
          <cell r="B2867">
            <v>5244</v>
          </cell>
          <cell r="C2867" t="str">
            <v>Tavorite</v>
          </cell>
          <cell r="E2867" t="str">
            <v>https://www.mindat.org/1:1:3896:2</v>
          </cell>
        </row>
        <row r="2868">
          <cell r="A2868">
            <v>419</v>
          </cell>
          <cell r="B2868">
            <v>5244</v>
          </cell>
          <cell r="C2868" t="str">
            <v>Steigerite</v>
          </cell>
          <cell r="E2868" t="str">
            <v>https://www.mindat.org/1:1:3759:0</v>
          </cell>
        </row>
        <row r="2869">
          <cell r="A2869">
            <v>425</v>
          </cell>
          <cell r="B2869">
            <v>5244</v>
          </cell>
          <cell r="C2869" t="str">
            <v>Stercorite</v>
          </cell>
          <cell r="E2869" t="str">
            <v>https://www.mindat.org/1:1:3765:1</v>
          </cell>
        </row>
        <row r="2870">
          <cell r="A2870">
            <v>426</v>
          </cell>
          <cell r="B2870">
            <v>5244</v>
          </cell>
          <cell r="C2870" t="str">
            <v>Sterlinghillite</v>
          </cell>
          <cell r="E2870" t="str">
            <v>https://www.mindat.org/1:1:3766:8</v>
          </cell>
        </row>
        <row r="2871">
          <cell r="A2871">
            <v>431</v>
          </cell>
          <cell r="B2871">
            <v>5244</v>
          </cell>
          <cell r="C2871" t="str">
            <v>Stewartite</v>
          </cell>
          <cell r="E2871" t="str">
            <v>https://www.mindat.org/1:1:3772:9</v>
          </cell>
        </row>
        <row r="2872">
          <cell r="A2872">
            <v>453</v>
          </cell>
          <cell r="B2872">
            <v>5244</v>
          </cell>
          <cell r="C2872" t="str">
            <v>Stoiberite</v>
          </cell>
          <cell r="E2872" t="str">
            <v>https://www.mindat.org/1:1:3792:7</v>
          </cell>
        </row>
        <row r="2873">
          <cell r="A2873">
            <v>461</v>
          </cell>
          <cell r="B2873">
            <v>5244</v>
          </cell>
          <cell r="C2873" t="str">
            <v>Stranskiite</v>
          </cell>
          <cell r="E2873" t="str">
            <v>https://www.mindat.org/1:1:3798:9</v>
          </cell>
        </row>
        <row r="2874">
          <cell r="A2874">
            <v>462</v>
          </cell>
          <cell r="B2874">
            <v>5244</v>
          </cell>
          <cell r="C2874" t="str">
            <v>Strashimirite</v>
          </cell>
          <cell r="E2874" t="str">
            <v>https://www.mindat.org/1:1:3799:6</v>
          </cell>
        </row>
        <row r="2875">
          <cell r="A2875">
            <v>464</v>
          </cell>
          <cell r="B2875">
            <v>5244</v>
          </cell>
          <cell r="C2875" t="str">
            <v>Strengite</v>
          </cell>
          <cell r="E2875" t="str">
            <v>https://www.mindat.org/1:1:3801:6</v>
          </cell>
        </row>
        <row r="2876">
          <cell r="A2876">
            <v>480</v>
          </cell>
          <cell r="B2876">
            <v>5244</v>
          </cell>
          <cell r="C2876" t="str">
            <v>Strunzite</v>
          </cell>
          <cell r="E2876" t="str">
            <v>https://www.mindat.org/1:1:3810:8</v>
          </cell>
        </row>
        <row r="2877">
          <cell r="A2877">
            <v>482</v>
          </cell>
          <cell r="B2877">
            <v>5244</v>
          </cell>
          <cell r="C2877" t="str">
            <v>Struvite</v>
          </cell>
          <cell r="E2877" t="str">
            <v>https://www.mindat.org/1:1:3811:5</v>
          </cell>
        </row>
        <row r="2878">
          <cell r="A2878">
            <v>512</v>
          </cell>
          <cell r="B2878">
            <v>5244</v>
          </cell>
          <cell r="C2878" t="str">
            <v>Sincosite</v>
          </cell>
          <cell r="E2878" t="str">
            <v>https://www.mindat.org/1:1:3671:5</v>
          </cell>
        </row>
        <row r="2879">
          <cell r="A2879">
            <v>515</v>
          </cell>
          <cell r="B2879">
            <v>5244</v>
          </cell>
          <cell r="C2879" t="str">
            <v>Sinkankasite</v>
          </cell>
          <cell r="E2879" t="str">
            <v>https://www.mindat.org/1:1:3674:6</v>
          </cell>
        </row>
        <row r="2880">
          <cell r="A2880">
            <v>530</v>
          </cell>
          <cell r="B2880">
            <v>5244</v>
          </cell>
          <cell r="C2880" t="str">
            <v>Smolianinovite</v>
          </cell>
          <cell r="E2880" t="str">
            <v/>
          </cell>
        </row>
        <row r="2881">
          <cell r="A2881">
            <v>565</v>
          </cell>
          <cell r="B2881">
            <v>5244</v>
          </cell>
          <cell r="C2881" t="str">
            <v>Souzalite</v>
          </cell>
          <cell r="E2881" t="str">
            <v>https://www.mindat.org/1:1:3719:4</v>
          </cell>
        </row>
        <row r="2882">
          <cell r="A2882">
            <v>568</v>
          </cell>
          <cell r="B2882">
            <v>5244</v>
          </cell>
          <cell r="C2882" t="str">
            <v>Spencerite</v>
          </cell>
          <cell r="E2882" t="str">
            <v>https://www.mindat.org/1:1:3722:4</v>
          </cell>
        </row>
        <row r="2883">
          <cell r="A2883">
            <v>580</v>
          </cell>
          <cell r="B2883">
            <v>5244</v>
          </cell>
          <cell r="C2883" t="str">
            <v>Spodiosite</v>
          </cell>
          <cell r="E2883" t="str">
            <v/>
          </cell>
        </row>
        <row r="2884">
          <cell r="A2884">
            <v>591</v>
          </cell>
          <cell r="B2884">
            <v>5244</v>
          </cell>
          <cell r="C2884" t="str">
            <v>Scholzite</v>
          </cell>
          <cell r="E2884" t="str">
            <v>https://www.mindat.org/1:1:3576:3</v>
          </cell>
        </row>
        <row r="2885">
          <cell r="A2885">
            <v>592</v>
          </cell>
          <cell r="B2885">
            <v>5244</v>
          </cell>
          <cell r="C2885" t="str">
            <v>Schoonerite</v>
          </cell>
          <cell r="E2885" t="str">
            <v>https://www.mindat.org/1:1:3577:0</v>
          </cell>
        </row>
        <row r="2886">
          <cell r="A2886">
            <v>598</v>
          </cell>
          <cell r="B2886">
            <v>5244</v>
          </cell>
          <cell r="C2886" t="str">
            <v>Schubnelite</v>
          </cell>
          <cell r="E2886" t="str">
            <v>https://www.mindat.org/1:1:3586:2</v>
          </cell>
        </row>
        <row r="2887">
          <cell r="A2887">
            <v>602</v>
          </cell>
          <cell r="B2887">
            <v>5244</v>
          </cell>
          <cell r="C2887" t="str">
            <v>Schultenite</v>
          </cell>
          <cell r="E2887" t="str">
            <v>https://www.mindat.org/1:1:3590:9</v>
          </cell>
        </row>
        <row r="2888">
          <cell r="A2888">
            <v>603</v>
          </cell>
          <cell r="B2888">
            <v>5244</v>
          </cell>
          <cell r="C2888" t="str">
            <v>Schumacherite</v>
          </cell>
          <cell r="E2888" t="str">
            <v>https://www.mindat.org/1:1:3591:6</v>
          </cell>
        </row>
        <row r="2889">
          <cell r="A2889">
            <v>609</v>
          </cell>
          <cell r="B2889">
            <v>5244</v>
          </cell>
          <cell r="C2889" t="str">
            <v>Scorodite</v>
          </cell>
          <cell r="E2889" t="str">
            <v>https://www.mindat.org/1:1:3595:4</v>
          </cell>
        </row>
        <row r="2890">
          <cell r="A2890">
            <v>610</v>
          </cell>
          <cell r="B2890">
            <v>5244</v>
          </cell>
          <cell r="C2890" t="str">
            <v>Scorzalite</v>
          </cell>
          <cell r="E2890" t="str">
            <v>https://www.mindat.org/1:1:3596:1</v>
          </cell>
        </row>
        <row r="2891">
          <cell r="A2891">
            <v>619</v>
          </cell>
          <cell r="B2891">
            <v>5244</v>
          </cell>
          <cell r="C2891" t="str">
            <v>Segelerite</v>
          </cell>
          <cell r="E2891" t="str">
            <v>https://www.mindat.org/1:1:3605:0</v>
          </cell>
        </row>
        <row r="2892">
          <cell r="A2892">
            <v>620</v>
          </cell>
          <cell r="B2892">
            <v>5244</v>
          </cell>
          <cell r="C2892" t="str">
            <v>Segnitite</v>
          </cell>
          <cell r="E2892" t="str">
            <v>https://www.mindat.org/1:1:3606:7</v>
          </cell>
        </row>
        <row r="2893">
          <cell r="A2893">
            <v>635</v>
          </cell>
          <cell r="B2893">
            <v>5244</v>
          </cell>
          <cell r="C2893" t="str">
            <v>Senegalite</v>
          </cell>
          <cell r="E2893" t="str">
            <v>https://www.mindat.org/1:1:3619:7</v>
          </cell>
        </row>
        <row r="2894">
          <cell r="A2894">
            <v>666</v>
          </cell>
          <cell r="B2894">
            <v>5244</v>
          </cell>
          <cell r="C2894" t="str">
            <v>Sicklerite</v>
          </cell>
          <cell r="E2894" t="str">
            <v>https://www.mindat.org/1:1:3645:6</v>
          </cell>
        </row>
        <row r="2895">
          <cell r="A2895">
            <v>676</v>
          </cell>
          <cell r="B2895">
            <v>5244</v>
          </cell>
          <cell r="C2895" t="str">
            <v>Sieleckiite</v>
          </cell>
          <cell r="E2895" t="str">
            <v>https://www.mindat.org/1:1:3656:2</v>
          </cell>
        </row>
        <row r="2896">
          <cell r="A2896">
            <v>678</v>
          </cell>
          <cell r="B2896">
            <v>5244</v>
          </cell>
          <cell r="C2896" t="str">
            <v>Sigloite</v>
          </cell>
          <cell r="E2896" t="str">
            <v>https://www.mindat.org/1:1:3657:9</v>
          </cell>
        </row>
        <row r="2897">
          <cell r="A2897">
            <v>684</v>
          </cell>
          <cell r="B2897">
            <v>5244</v>
          </cell>
          <cell r="C2897" t="str">
            <v>Viitaniemiite</v>
          </cell>
          <cell r="E2897" t="str">
            <v>https://www.mindat.org/1:1:4178:8</v>
          </cell>
        </row>
        <row r="2898">
          <cell r="A2898">
            <v>688</v>
          </cell>
          <cell r="B2898">
            <v>5244</v>
          </cell>
          <cell r="C2898" t="str">
            <v>Villyaellenite</v>
          </cell>
          <cell r="E2898" t="str">
            <v>https://www.mindat.org/1:1:4182:5</v>
          </cell>
        </row>
        <row r="2899">
          <cell r="A2899">
            <v>695</v>
          </cell>
          <cell r="B2899">
            <v>5244</v>
          </cell>
          <cell r="C2899" t="str">
            <v>Viseite</v>
          </cell>
          <cell r="E2899" t="str">
            <v/>
          </cell>
        </row>
        <row r="2900">
          <cell r="A2900">
            <v>699</v>
          </cell>
          <cell r="B2900">
            <v>5244</v>
          </cell>
          <cell r="C2900" t="str">
            <v>Vitusite-(Ce)</v>
          </cell>
          <cell r="E2900" t="str">
            <v>https://www.mindat.org/1:1:4193:1</v>
          </cell>
        </row>
        <row r="2901">
          <cell r="A2901">
            <v>700</v>
          </cell>
          <cell r="B2901">
            <v>5244</v>
          </cell>
          <cell r="C2901" t="str">
            <v>Vivianite</v>
          </cell>
          <cell r="E2901" t="str">
            <v>https://www.mindat.org/1:1:4194:8</v>
          </cell>
        </row>
        <row r="2902">
          <cell r="A2902">
            <v>701</v>
          </cell>
          <cell r="B2902">
            <v>5244</v>
          </cell>
          <cell r="C2902" t="str">
            <v>Vladimirite</v>
          </cell>
          <cell r="E2902" t="str">
            <v>https://www.mindat.org/1:1:4195:5</v>
          </cell>
        </row>
        <row r="2903">
          <cell r="A2903">
            <v>704</v>
          </cell>
          <cell r="B2903">
            <v>5244</v>
          </cell>
          <cell r="C2903" t="str">
            <v>Vochtenite</v>
          </cell>
          <cell r="E2903" t="str">
            <v>https://www.mindat.org/1:1:4197:9</v>
          </cell>
        </row>
        <row r="2904">
          <cell r="A2904">
            <v>707</v>
          </cell>
          <cell r="B2904">
            <v>5244</v>
          </cell>
          <cell r="C2904" t="str">
            <v>Volborthite</v>
          </cell>
          <cell r="E2904" t="str">
            <v>https://www.mindat.org/1:1:4200:6</v>
          </cell>
        </row>
        <row r="2905">
          <cell r="A2905">
            <v>726</v>
          </cell>
          <cell r="B2905">
            <v>5244</v>
          </cell>
          <cell r="C2905" t="str">
            <v>Vayrynenite</v>
          </cell>
          <cell r="E2905" t="str">
            <v/>
          </cell>
        </row>
        <row r="2906">
          <cell r="A2906">
            <v>731</v>
          </cell>
          <cell r="B2906">
            <v>5244</v>
          </cell>
          <cell r="C2906" t="str">
            <v>Wagnerite</v>
          </cell>
          <cell r="E2906" t="str">
            <v>https://www.mindat.org/1:1:4229:7</v>
          </cell>
        </row>
        <row r="2907">
          <cell r="A2907">
            <v>735</v>
          </cell>
          <cell r="B2907">
            <v>5244</v>
          </cell>
          <cell r="C2907" t="str">
            <v>Wakefieldite</v>
          </cell>
          <cell r="E2907" t="str">
            <v/>
          </cell>
        </row>
        <row r="2908">
          <cell r="A2908">
            <v>736</v>
          </cell>
          <cell r="B2908">
            <v>5244</v>
          </cell>
          <cell r="C2908" t="str">
            <v>Wakefieldite-(Ce)</v>
          </cell>
          <cell r="E2908" t="str">
            <v>https://www.mindat.org/1:1:4233:4</v>
          </cell>
        </row>
        <row r="2909">
          <cell r="A2909">
            <v>737</v>
          </cell>
          <cell r="B2909">
            <v>5244</v>
          </cell>
          <cell r="C2909" t="str">
            <v>Wakefieldite-(Y)</v>
          </cell>
          <cell r="E2909" t="str">
            <v>https://www.mindat.org/1:1:4234:1</v>
          </cell>
        </row>
        <row r="2910">
          <cell r="A2910">
            <v>738</v>
          </cell>
          <cell r="B2910">
            <v>5244</v>
          </cell>
          <cell r="C2910" t="str">
            <v>Walentaite</v>
          </cell>
          <cell r="E2910" t="str">
            <v>https://www.mindat.org/1:1:4235:8</v>
          </cell>
        </row>
        <row r="2911">
          <cell r="A2911">
            <v>743</v>
          </cell>
          <cell r="B2911">
            <v>5244</v>
          </cell>
          <cell r="C2911" t="str">
            <v>Satterlyite</v>
          </cell>
          <cell r="E2911" t="str">
            <v>https://www.mindat.org/1:1:3543:5</v>
          </cell>
        </row>
        <row r="2912">
          <cell r="A2912">
            <v>761</v>
          </cell>
          <cell r="B2912">
            <v>5244</v>
          </cell>
          <cell r="C2912" t="str">
            <v>Schertelite</v>
          </cell>
          <cell r="E2912" t="str">
            <v>https://www.mindat.org/1:1:3564:0</v>
          </cell>
        </row>
        <row r="2913">
          <cell r="A2913">
            <v>770</v>
          </cell>
          <cell r="B2913">
            <v>5244</v>
          </cell>
          <cell r="C2913" t="str">
            <v>Schoderite</v>
          </cell>
          <cell r="E2913" t="str">
            <v>https://www.mindat.org/1:1:3572:5</v>
          </cell>
        </row>
        <row r="2914">
          <cell r="A2914">
            <v>773</v>
          </cell>
          <cell r="B2914">
            <v>5244</v>
          </cell>
          <cell r="C2914" t="str">
            <v>Sarmientite</v>
          </cell>
          <cell r="E2914" t="str">
            <v>https://www.mindat.org/1:1:3536:7</v>
          </cell>
        </row>
        <row r="2915">
          <cell r="A2915">
            <v>776</v>
          </cell>
          <cell r="B2915">
            <v>5244</v>
          </cell>
          <cell r="C2915" t="str">
            <v>Sasaite</v>
          </cell>
          <cell r="E2915" t="str">
            <v>https://www.mindat.org/1:1:3539:8</v>
          </cell>
        </row>
        <row r="2916">
          <cell r="A2916">
            <v>783</v>
          </cell>
          <cell r="B2916">
            <v>5244</v>
          </cell>
          <cell r="C2916" t="str">
            <v>Ulrichite</v>
          </cell>
          <cell r="E2916" t="str">
            <v>https://www.mindat.org/1:1:4088:0</v>
          </cell>
        </row>
        <row r="2917">
          <cell r="A2917">
            <v>793</v>
          </cell>
          <cell r="B2917">
            <v>5244</v>
          </cell>
          <cell r="C2917" t="str">
            <v>Upalite</v>
          </cell>
          <cell r="E2917" t="str">
            <v>https://www.mindat.org/1:1:4096:5</v>
          </cell>
        </row>
        <row r="2918">
          <cell r="A2918">
            <v>795</v>
          </cell>
          <cell r="B2918">
            <v>5244</v>
          </cell>
          <cell r="C2918" t="str">
            <v>Uralolite</v>
          </cell>
          <cell r="E2918" t="str">
            <v>https://www.mindat.org/1:1:4099:6</v>
          </cell>
        </row>
        <row r="2919">
          <cell r="A2919">
            <v>800</v>
          </cell>
          <cell r="B2919">
            <v>5244</v>
          </cell>
          <cell r="C2919" t="str">
            <v>Uranocircite</v>
          </cell>
          <cell r="E2919" t="str">
            <v/>
          </cell>
        </row>
        <row r="2920">
          <cell r="A2920">
            <v>801</v>
          </cell>
          <cell r="B2920">
            <v>5244</v>
          </cell>
          <cell r="C2920" t="str">
            <v>Uranophane</v>
          </cell>
          <cell r="E2920" t="str">
            <v/>
          </cell>
        </row>
        <row r="2921">
          <cell r="A2921">
            <v>802</v>
          </cell>
          <cell r="B2921">
            <v>5244</v>
          </cell>
          <cell r="C2921" t="str">
            <v>Uranophane-beta</v>
          </cell>
          <cell r="E2921" t="str">
            <v/>
          </cell>
        </row>
        <row r="2922">
          <cell r="A2922">
            <v>806</v>
          </cell>
          <cell r="B2922">
            <v>5244</v>
          </cell>
          <cell r="C2922" t="str">
            <v>Uranospathite</v>
          </cell>
          <cell r="E2922" t="str">
            <v>https://www.mindat.org/1:1:4111:5</v>
          </cell>
        </row>
        <row r="2923">
          <cell r="A2923">
            <v>808</v>
          </cell>
          <cell r="B2923">
            <v>5244</v>
          </cell>
          <cell r="C2923" t="str">
            <v>Uranospinite</v>
          </cell>
          <cell r="E2923" t="str">
            <v>https://www.mindat.org/1:1:4113:9</v>
          </cell>
        </row>
        <row r="2924">
          <cell r="A2924">
            <v>815</v>
          </cell>
          <cell r="B2924">
            <v>5244</v>
          </cell>
          <cell r="C2924" t="str">
            <v>Ushkovite</v>
          </cell>
          <cell r="E2924" t="str">
            <v>https://www.mindat.org/1:1:4129:0</v>
          </cell>
        </row>
        <row r="2925">
          <cell r="A2925">
            <v>830</v>
          </cell>
          <cell r="B2925">
            <v>5244</v>
          </cell>
          <cell r="C2925" t="str">
            <v>Vanadinite</v>
          </cell>
          <cell r="E2925" t="str">
            <v>https://www.mindat.org/1:1:4139:9</v>
          </cell>
        </row>
        <row r="2926">
          <cell r="A2926">
            <v>836</v>
          </cell>
          <cell r="B2926">
            <v>5244</v>
          </cell>
          <cell r="C2926" t="str">
            <v>Vanmeersscheite</v>
          </cell>
          <cell r="E2926" t="str">
            <v>https://www.mindat.org/1:1:4147:4</v>
          </cell>
        </row>
        <row r="2927">
          <cell r="A2927">
            <v>838</v>
          </cell>
          <cell r="B2927">
            <v>5244</v>
          </cell>
          <cell r="C2927" t="str">
            <v>Vantasselite</v>
          </cell>
          <cell r="E2927" t="str">
            <v>https://www.mindat.org/1:1:4150:4</v>
          </cell>
        </row>
        <row r="2928">
          <cell r="A2928">
            <v>843</v>
          </cell>
          <cell r="B2928">
            <v>5244</v>
          </cell>
          <cell r="C2928" t="str">
            <v>Variscite</v>
          </cell>
          <cell r="E2928" t="str">
            <v>https://www.mindat.org/1:1:4156:6</v>
          </cell>
        </row>
        <row r="2929">
          <cell r="A2929">
            <v>845</v>
          </cell>
          <cell r="B2929">
            <v>5244</v>
          </cell>
          <cell r="C2929" t="str">
            <v>Varulite</v>
          </cell>
          <cell r="E2929" t="str">
            <v>https://www.mindat.org/1:1:4158:0</v>
          </cell>
        </row>
        <row r="2930">
          <cell r="A2930">
            <v>846</v>
          </cell>
          <cell r="B2930">
            <v>5244</v>
          </cell>
          <cell r="C2930" t="str">
            <v>Vashegyite</v>
          </cell>
          <cell r="E2930" t="str">
            <v>https://www.mindat.org/1:1:4159:7</v>
          </cell>
        </row>
        <row r="2931">
          <cell r="A2931">
            <v>851</v>
          </cell>
          <cell r="B2931">
            <v>5244</v>
          </cell>
          <cell r="C2931" t="str">
            <v>Vauxite</v>
          </cell>
          <cell r="E2931" t="str">
            <v>https://www.mindat.org/1:1:4164:1</v>
          </cell>
        </row>
        <row r="2932">
          <cell r="A2932">
            <v>862</v>
          </cell>
          <cell r="B2932">
            <v>5244</v>
          </cell>
          <cell r="C2932" t="str">
            <v>Vesignieite</v>
          </cell>
          <cell r="E2932" t="str">
            <v/>
          </cell>
        </row>
        <row r="2933">
          <cell r="A2933">
            <v>864</v>
          </cell>
          <cell r="B2933">
            <v>5244</v>
          </cell>
          <cell r="C2933" t="str">
            <v>Veszelyite</v>
          </cell>
          <cell r="E2933" t="str">
            <v>https://www.mindat.org/1:1:4176:4</v>
          </cell>
        </row>
        <row r="2934">
          <cell r="A2934">
            <v>872</v>
          </cell>
          <cell r="B2934">
            <v>5244</v>
          </cell>
          <cell r="C2934" t="str">
            <v>Rooseveltite</v>
          </cell>
          <cell r="E2934" t="str">
            <v>https://www.mindat.org/1:1:3444:5</v>
          </cell>
        </row>
        <row r="2935">
          <cell r="A2935">
            <v>876</v>
          </cell>
          <cell r="B2935">
            <v>5244</v>
          </cell>
          <cell r="C2935" t="str">
            <v>Roscherite</v>
          </cell>
          <cell r="E2935" t="str">
            <v>https://www.mindat.org/1:1:3448:3</v>
          </cell>
        </row>
        <row r="2936">
          <cell r="A2936">
            <v>878</v>
          </cell>
          <cell r="B2936">
            <v>5244</v>
          </cell>
          <cell r="C2936" t="str">
            <v>Roselite</v>
          </cell>
          <cell r="E2936" t="str">
            <v>https://www.mindat.org/1:1:3450:6</v>
          </cell>
        </row>
        <row r="2937">
          <cell r="A2937">
            <v>879</v>
          </cell>
          <cell r="B2937">
            <v>5244</v>
          </cell>
          <cell r="C2937" t="str">
            <v>Roselite-beta</v>
          </cell>
          <cell r="E2937" t="str">
            <v/>
          </cell>
        </row>
        <row r="2938">
          <cell r="A2938">
            <v>880</v>
          </cell>
          <cell r="B2938">
            <v>5244</v>
          </cell>
          <cell r="C2938" t="str">
            <v>Rosemaryite</v>
          </cell>
          <cell r="E2938" t="str">
            <v>https://www.mindat.org/1:1:3452:0</v>
          </cell>
        </row>
        <row r="2939">
          <cell r="A2939">
            <v>887</v>
          </cell>
          <cell r="B2939">
            <v>5244</v>
          </cell>
          <cell r="C2939" t="str">
            <v>Rosieresite</v>
          </cell>
          <cell r="E2939" t="str">
            <v/>
          </cell>
        </row>
        <row r="2940">
          <cell r="A2940">
            <v>904</v>
          </cell>
          <cell r="B2940">
            <v>5244</v>
          </cell>
          <cell r="C2940" t="str">
            <v>Rusakovite</v>
          </cell>
          <cell r="E2940" t="str">
            <v>https://www.mindat.org/1:1:3477:3</v>
          </cell>
        </row>
        <row r="2941">
          <cell r="A2941">
            <v>917</v>
          </cell>
          <cell r="B2941">
            <v>5244</v>
          </cell>
          <cell r="C2941" t="str">
            <v>Rosslerite</v>
          </cell>
          <cell r="E2941" t="str">
            <v/>
          </cell>
        </row>
        <row r="2942">
          <cell r="A2942">
            <v>922</v>
          </cell>
          <cell r="B2942">
            <v>5244</v>
          </cell>
          <cell r="C2942" t="str">
            <v>Sabugalite</v>
          </cell>
          <cell r="E2942" t="str">
            <v>https://www.mindat.org/1:1:3496:4</v>
          </cell>
        </row>
        <row r="2943">
          <cell r="A2943">
            <v>928</v>
          </cell>
          <cell r="B2943">
            <v>5244</v>
          </cell>
          <cell r="C2943" t="str">
            <v>Sahlinite</v>
          </cell>
          <cell r="E2943" t="str">
            <v>https://www.mindat.org/1:1:3502:2</v>
          </cell>
        </row>
        <row r="2944">
          <cell r="A2944">
            <v>929</v>
          </cell>
          <cell r="B2944">
            <v>5244</v>
          </cell>
          <cell r="C2944" t="str">
            <v>Sainfeldite</v>
          </cell>
          <cell r="E2944" t="str">
            <v>https://www.mindat.org/1:1:3503:9</v>
          </cell>
        </row>
        <row r="2945">
          <cell r="A2945">
            <v>934</v>
          </cell>
          <cell r="B2945">
            <v>5244</v>
          </cell>
          <cell r="C2945" t="str">
            <v>Saleeite</v>
          </cell>
          <cell r="E2945" t="str">
            <v/>
          </cell>
        </row>
        <row r="2946">
          <cell r="A2946">
            <v>939</v>
          </cell>
          <cell r="B2946">
            <v>5244</v>
          </cell>
          <cell r="C2946" t="str">
            <v>Sampleite</v>
          </cell>
          <cell r="E2946" t="str">
            <v>https://www.mindat.org/1:1:3515:2</v>
          </cell>
        </row>
        <row r="2947">
          <cell r="A2947">
            <v>941</v>
          </cell>
          <cell r="B2947">
            <v>5244</v>
          </cell>
          <cell r="C2947" t="str">
            <v>Samuelsonite</v>
          </cell>
          <cell r="E2947" t="str">
            <v>https://www.mindat.org/1:1:3517:6</v>
          </cell>
        </row>
        <row r="2948">
          <cell r="A2948">
            <v>946</v>
          </cell>
          <cell r="B2948">
            <v>5244</v>
          </cell>
          <cell r="C2948" t="str">
            <v>Sanjuanite</v>
          </cell>
          <cell r="E2948" t="str">
            <v>https://www.mindat.org/1:1:3522:0</v>
          </cell>
        </row>
        <row r="2949">
          <cell r="A2949">
            <v>949</v>
          </cell>
          <cell r="B2949">
            <v>5244</v>
          </cell>
          <cell r="C2949" t="str">
            <v>Santafeite</v>
          </cell>
          <cell r="E2949" t="str">
            <v>https://www.mindat.org/1:1:3525:1</v>
          </cell>
        </row>
        <row r="2950">
          <cell r="A2950">
            <v>957</v>
          </cell>
          <cell r="B2950">
            <v>5244</v>
          </cell>
          <cell r="C2950" t="str">
            <v>Sarcopside</v>
          </cell>
          <cell r="E2950" t="str">
            <v>https://www.mindat.org/1:1:3534:3</v>
          </cell>
        </row>
        <row r="2951">
          <cell r="A2951">
            <v>958</v>
          </cell>
          <cell r="B2951">
            <v>5244</v>
          </cell>
          <cell r="C2951" t="str">
            <v>Sarkinite</v>
          </cell>
          <cell r="E2951" t="str">
            <v>https://www.mindat.org/1:1:3535:0</v>
          </cell>
        </row>
        <row r="2952">
          <cell r="A2952">
            <v>969</v>
          </cell>
          <cell r="B2952">
            <v>5244</v>
          </cell>
          <cell r="C2952" t="str">
            <v>Ranunculite</v>
          </cell>
          <cell r="E2952" t="str">
            <v>https://www.mindat.org/1:1:3365:3</v>
          </cell>
        </row>
        <row r="2953">
          <cell r="A2953">
            <v>972</v>
          </cell>
          <cell r="B2953">
            <v>5244</v>
          </cell>
          <cell r="C2953" t="str">
            <v>Rashleighite</v>
          </cell>
          <cell r="E2953" t="str">
            <v/>
          </cell>
        </row>
        <row r="2954">
          <cell r="A2954">
            <v>976</v>
          </cell>
          <cell r="B2954">
            <v>5244</v>
          </cell>
          <cell r="C2954" t="str">
            <v>Rauenthalite</v>
          </cell>
          <cell r="E2954" t="str">
            <v>https://www.mindat.org/1:1:3371:4</v>
          </cell>
        </row>
        <row r="2955">
          <cell r="A2955">
            <v>984</v>
          </cell>
          <cell r="B2955">
            <v>5244</v>
          </cell>
          <cell r="C2955" t="str">
            <v>Reddingite</v>
          </cell>
          <cell r="E2955" t="str">
            <v>https://www.mindat.org/1:1:3378:3</v>
          </cell>
        </row>
        <row r="2956">
          <cell r="A2956">
            <v>991</v>
          </cell>
          <cell r="B2956">
            <v>5244</v>
          </cell>
          <cell r="C2956" t="str">
            <v>Reichenbachite</v>
          </cell>
          <cell r="E2956" t="str">
            <v>https://www.mindat.org/1:1:3385:1</v>
          </cell>
        </row>
        <row r="2957">
          <cell r="A2957">
            <v>997</v>
          </cell>
          <cell r="B2957">
            <v>5244</v>
          </cell>
          <cell r="C2957" t="str">
            <v>Renardite</v>
          </cell>
          <cell r="E2957" t="str">
            <v>https://www.mindat.org/1:1:5219:7</v>
          </cell>
        </row>
        <row r="2958">
          <cell r="A2958">
            <v>1002</v>
          </cell>
          <cell r="B2958">
            <v>5244</v>
          </cell>
          <cell r="C2958" t="str">
            <v>Retzian</v>
          </cell>
          <cell r="E2958" t="str">
            <v/>
          </cell>
        </row>
        <row r="2959">
          <cell r="A2959">
            <v>1003</v>
          </cell>
          <cell r="B2959">
            <v>5244</v>
          </cell>
          <cell r="C2959" t="str">
            <v>Retzian-(Ce)</v>
          </cell>
          <cell r="E2959" t="str">
            <v>https://www.mindat.org/1:1:3392:9</v>
          </cell>
        </row>
        <row r="2960">
          <cell r="A2960">
            <v>1004</v>
          </cell>
          <cell r="B2960">
            <v>5244</v>
          </cell>
          <cell r="C2960" t="str">
            <v>Retzian-(La)</v>
          </cell>
          <cell r="E2960" t="str">
            <v>https://www.mindat.org/1:1:3393:6</v>
          </cell>
        </row>
        <row r="2961">
          <cell r="A2961">
            <v>1005</v>
          </cell>
          <cell r="B2961">
            <v>5244</v>
          </cell>
          <cell r="C2961" t="str">
            <v>Retzian-(Nd)</v>
          </cell>
          <cell r="E2961" t="str">
            <v>https://www.mindat.org/1:1:3394:3</v>
          </cell>
        </row>
        <row r="2962">
          <cell r="A2962">
            <v>1008</v>
          </cell>
          <cell r="B2962">
            <v>5244</v>
          </cell>
          <cell r="C2962" t="str">
            <v>Rhabdophane</v>
          </cell>
          <cell r="E2962" t="str">
            <v/>
          </cell>
        </row>
        <row r="2963">
          <cell r="A2963">
            <v>1009</v>
          </cell>
          <cell r="B2963">
            <v>5244</v>
          </cell>
          <cell r="C2963" t="str">
            <v>Rhabdophane-(Ce)</v>
          </cell>
          <cell r="E2963" t="str">
            <v>https://www.mindat.org/1:1:3397:4</v>
          </cell>
        </row>
        <row r="2964">
          <cell r="A2964">
            <v>1010</v>
          </cell>
          <cell r="B2964">
            <v>5244</v>
          </cell>
          <cell r="C2964" t="str">
            <v>Rhabdophane-(La)</v>
          </cell>
          <cell r="E2964" t="str">
            <v>https://www.mindat.org/1:1:3398:1</v>
          </cell>
        </row>
        <row r="2965">
          <cell r="A2965">
            <v>1011</v>
          </cell>
          <cell r="B2965">
            <v>5244</v>
          </cell>
          <cell r="C2965" t="str">
            <v>Rhabdophane-(Nd)</v>
          </cell>
          <cell r="E2965" t="str">
            <v>https://www.mindat.org/1:1:3399:8</v>
          </cell>
        </row>
        <row r="2966">
          <cell r="A2966">
            <v>1025</v>
          </cell>
          <cell r="B2966">
            <v>5244</v>
          </cell>
          <cell r="C2966" t="str">
            <v>Richellite</v>
          </cell>
          <cell r="E2966" t="str">
            <v>https://www.mindat.org/1:1:3413:1</v>
          </cell>
        </row>
        <row r="2967">
          <cell r="A2967">
            <v>1026</v>
          </cell>
          <cell r="B2967">
            <v>5244</v>
          </cell>
          <cell r="C2967" t="str">
            <v>Richelsdorfite</v>
          </cell>
          <cell r="E2967" t="str">
            <v>https://www.mindat.org/1:1:3414:8</v>
          </cell>
        </row>
        <row r="2968">
          <cell r="A2968">
            <v>1041</v>
          </cell>
          <cell r="B2968">
            <v>5244</v>
          </cell>
          <cell r="C2968" t="str">
            <v>Robertsite</v>
          </cell>
          <cell r="E2968" t="str">
            <v>https://www.mindat.org/1:1:3431:5</v>
          </cell>
        </row>
        <row r="2969">
          <cell r="A2969">
            <v>1043</v>
          </cell>
          <cell r="B2969">
            <v>5244</v>
          </cell>
          <cell r="C2969" t="str">
            <v>Rockbridgeite</v>
          </cell>
          <cell r="E2969" t="str">
            <v>https://www.mindat.org/1:1:3433:9</v>
          </cell>
        </row>
        <row r="2970">
          <cell r="A2970">
            <v>1053</v>
          </cell>
          <cell r="B2970">
            <v>5244</v>
          </cell>
          <cell r="C2970" t="str">
            <v>Preisingerite</v>
          </cell>
          <cell r="E2970" t="str">
            <v>https://www.mindat.org/1:1:3278:6</v>
          </cell>
        </row>
        <row r="2971">
          <cell r="A2971">
            <v>1063</v>
          </cell>
          <cell r="B2971">
            <v>5244</v>
          </cell>
          <cell r="C2971" t="str">
            <v>Prosperite</v>
          </cell>
          <cell r="E2971" t="str">
            <v>https://www.mindat.org/1:1:3288:5</v>
          </cell>
        </row>
        <row r="2972">
          <cell r="A2972">
            <v>1076</v>
          </cell>
          <cell r="B2972">
            <v>5244</v>
          </cell>
          <cell r="C2972" t="str">
            <v>Pseudolaueite</v>
          </cell>
          <cell r="E2972" t="str">
            <v>https://www.mindat.org/1:1:3297:7</v>
          </cell>
        </row>
        <row r="2973">
          <cell r="A2973">
            <v>1077</v>
          </cell>
          <cell r="B2973">
            <v>5244</v>
          </cell>
          <cell r="C2973" t="str">
            <v>Pseudomalachite</v>
          </cell>
          <cell r="E2973" t="str">
            <v>https://www.mindat.org/1:1:3299:1</v>
          </cell>
        </row>
        <row r="2974">
          <cell r="A2974">
            <v>1081</v>
          </cell>
          <cell r="B2974">
            <v>5244</v>
          </cell>
          <cell r="C2974" t="str">
            <v>Pucherite</v>
          </cell>
          <cell r="E2974" t="str">
            <v>https://www.mindat.org/1:1:3306:6</v>
          </cell>
        </row>
        <row r="2975">
          <cell r="A2975">
            <v>1087</v>
          </cell>
          <cell r="B2975">
            <v>5244</v>
          </cell>
          <cell r="C2975" t="str">
            <v>Purpurite</v>
          </cell>
          <cell r="E2975" t="str">
            <v>https://www.mindat.org/1:1:3311:0</v>
          </cell>
        </row>
        <row r="2976">
          <cell r="A2976">
            <v>1094</v>
          </cell>
          <cell r="B2976">
            <v>5244</v>
          </cell>
          <cell r="C2976" t="str">
            <v>Pyrobelonite</v>
          </cell>
          <cell r="E2976" t="str">
            <v>https://www.mindat.org/1:1:3315:8</v>
          </cell>
        </row>
        <row r="2977">
          <cell r="A2977">
            <v>1098</v>
          </cell>
          <cell r="B2977">
            <v>5244</v>
          </cell>
          <cell r="C2977" t="str">
            <v>Pyromorphite</v>
          </cell>
          <cell r="E2977" t="str">
            <v>https://www.mindat.org/1:1:3320:2</v>
          </cell>
        </row>
        <row r="2978">
          <cell r="A2978">
            <v>1138</v>
          </cell>
          <cell r="B2978">
            <v>5244</v>
          </cell>
          <cell r="C2978" t="str">
            <v>Phosphammite</v>
          </cell>
          <cell r="E2978" t="str">
            <v>https://www.mindat.org/1:1:3197:0</v>
          </cell>
        </row>
        <row r="2979">
          <cell r="A2979">
            <v>1139</v>
          </cell>
          <cell r="B2979">
            <v>5244</v>
          </cell>
          <cell r="C2979" t="str">
            <v>Phosphoferrite</v>
          </cell>
          <cell r="E2979" t="str">
            <v>https://www.mindat.org/1:1:3199:4</v>
          </cell>
        </row>
        <row r="2980">
          <cell r="A2980">
            <v>1140</v>
          </cell>
          <cell r="B2980">
            <v>5244</v>
          </cell>
          <cell r="C2980" t="str">
            <v>Phosphofibrite</v>
          </cell>
          <cell r="E2980" t="str">
            <v>https://www.mindat.org/1:1:3200:7</v>
          </cell>
        </row>
        <row r="2981">
          <cell r="A2981">
            <v>1142</v>
          </cell>
          <cell r="B2981">
            <v>5244</v>
          </cell>
          <cell r="C2981" t="str">
            <v>Phosphophyllite</v>
          </cell>
          <cell r="E2981" t="str">
            <v>https://www.mindat.org/1:1:3181:9</v>
          </cell>
        </row>
        <row r="2982">
          <cell r="A2982">
            <v>1143</v>
          </cell>
          <cell r="B2982">
            <v>5244</v>
          </cell>
          <cell r="C2982" t="str">
            <v>Phosphorrosslerite</v>
          </cell>
          <cell r="E2982" t="str">
            <v/>
          </cell>
        </row>
        <row r="2983">
          <cell r="A2983">
            <v>1144</v>
          </cell>
          <cell r="B2983">
            <v>5244</v>
          </cell>
          <cell r="C2983" t="str">
            <v>Phosphosiderite</v>
          </cell>
          <cell r="E2983" t="str">
            <v>https://www.mindat.org/1:1:3187:1</v>
          </cell>
        </row>
        <row r="2984">
          <cell r="A2984">
            <v>1145</v>
          </cell>
          <cell r="B2984">
            <v>5244</v>
          </cell>
          <cell r="C2984" t="str">
            <v>Phosphovanadylite</v>
          </cell>
          <cell r="E2984" t="str">
            <v/>
          </cell>
        </row>
        <row r="2985">
          <cell r="A2985">
            <v>1146</v>
          </cell>
          <cell r="B2985">
            <v>5244</v>
          </cell>
          <cell r="C2985" t="str">
            <v>Phosphuranylite</v>
          </cell>
          <cell r="E2985" t="str">
            <v>https://www.mindat.org/1:1:3182:6</v>
          </cell>
        </row>
        <row r="2986">
          <cell r="A2986">
            <v>1148</v>
          </cell>
          <cell r="B2986">
            <v>5244</v>
          </cell>
          <cell r="C2986" t="str">
            <v>Phurcalite</v>
          </cell>
          <cell r="E2986" t="str">
            <v>https://www.mindat.org/1:1:3202:1</v>
          </cell>
        </row>
        <row r="2987">
          <cell r="A2987">
            <v>1153</v>
          </cell>
          <cell r="B2987">
            <v>5244</v>
          </cell>
          <cell r="C2987" t="str">
            <v>Picropharmacolite</v>
          </cell>
          <cell r="E2987" t="str">
            <v>https://www.mindat.org/1:1:3207:6</v>
          </cell>
        </row>
        <row r="2988">
          <cell r="A2988">
            <v>1164</v>
          </cell>
          <cell r="B2988">
            <v>5244</v>
          </cell>
          <cell r="C2988" t="str">
            <v>Pintadoite</v>
          </cell>
          <cell r="E2988" t="str">
            <v>https://www.mindat.org/1:1:3218:2</v>
          </cell>
        </row>
        <row r="2989">
          <cell r="A2989">
            <v>1169</v>
          </cell>
          <cell r="B2989">
            <v>5244</v>
          </cell>
          <cell r="C2989" t="str">
            <v>Pitticite</v>
          </cell>
          <cell r="E2989" t="str">
            <v>https://www.mindat.org/1:1:3224:3</v>
          </cell>
        </row>
        <row r="2990">
          <cell r="A2990">
            <v>1174</v>
          </cell>
          <cell r="B2990">
            <v>5244</v>
          </cell>
          <cell r="C2990" t="str">
            <v>Planerite</v>
          </cell>
          <cell r="E2990" t="str">
            <v>https://www.mindat.org/1:1:3234:2</v>
          </cell>
        </row>
        <row r="2991">
          <cell r="A2991">
            <v>1185</v>
          </cell>
          <cell r="B2991">
            <v>5244</v>
          </cell>
          <cell r="C2991" t="str">
            <v>Plumbogummite</v>
          </cell>
          <cell r="E2991" t="str">
            <v>https://www.mindat.org/1:1:3247:2</v>
          </cell>
        </row>
        <row r="2992">
          <cell r="A2992">
            <v>1220</v>
          </cell>
          <cell r="B2992">
            <v>5244</v>
          </cell>
          <cell r="C2992" t="str">
            <v>Pottsite</v>
          </cell>
          <cell r="E2992" t="str">
            <v>https://www.mindat.org/1:1:3270:0</v>
          </cell>
        </row>
        <row r="2993">
          <cell r="A2993">
            <v>1234</v>
          </cell>
          <cell r="B2993">
            <v>5244</v>
          </cell>
          <cell r="C2993" t="str">
            <v>Turanite</v>
          </cell>
          <cell r="E2993" t="str">
            <v>https://www.mindat.org/1:1:4058:3</v>
          </cell>
        </row>
        <row r="2994">
          <cell r="A2994">
            <v>1236</v>
          </cell>
          <cell r="B2994">
            <v>5244</v>
          </cell>
          <cell r="C2994" t="str">
            <v>Turneaureite</v>
          </cell>
          <cell r="E2994" t="str">
            <v>https://www.mindat.org/1:1:4059:0</v>
          </cell>
        </row>
        <row r="2995">
          <cell r="A2995">
            <v>1237</v>
          </cell>
          <cell r="B2995">
            <v>5244</v>
          </cell>
          <cell r="C2995" t="str">
            <v>Turquoise</v>
          </cell>
          <cell r="E2995" t="str">
            <v>https://www.mindat.org/1:1:4060:6</v>
          </cell>
        </row>
        <row r="2996">
          <cell r="A2996">
            <v>1238</v>
          </cell>
          <cell r="B2996">
            <v>5244</v>
          </cell>
          <cell r="C2996" t="str">
            <v>Turtmannite</v>
          </cell>
          <cell r="E2996" t="str">
            <v>https://www.mindat.org/1:1:11090:5</v>
          </cell>
        </row>
        <row r="2997">
          <cell r="A2997">
            <v>1250</v>
          </cell>
          <cell r="B2997">
            <v>5244</v>
          </cell>
          <cell r="C2997" t="str">
            <v>Tyrolite</v>
          </cell>
          <cell r="E2997" t="str">
            <v>https://www.mindat.org/1:1:4070:5</v>
          </cell>
        </row>
        <row r="2998">
          <cell r="A2998">
            <v>1255</v>
          </cell>
          <cell r="B2998">
            <v>5244</v>
          </cell>
          <cell r="C2998" t="str">
            <v>Peisleyite</v>
          </cell>
          <cell r="E2998" t="str">
            <v>https://www.mindat.org/1:1:3143:7</v>
          </cell>
        </row>
        <row r="2999">
          <cell r="A2999">
            <v>1262</v>
          </cell>
          <cell r="B2999">
            <v>5244</v>
          </cell>
          <cell r="C2999" t="str">
            <v>Penikisite</v>
          </cell>
          <cell r="E2999" t="str">
            <v>https://www.mindat.org/1:1:3148:2</v>
          </cell>
        </row>
        <row r="3000">
          <cell r="A3000">
            <v>1276</v>
          </cell>
          <cell r="B3000">
            <v>5244</v>
          </cell>
          <cell r="C3000" t="str">
            <v>Perhamite</v>
          </cell>
          <cell r="E3000" t="str">
            <v>https://www.mindat.org/1:1:3160:4</v>
          </cell>
        </row>
        <row r="3001">
          <cell r="A3001">
            <v>1280</v>
          </cell>
          <cell r="B3001">
            <v>5244</v>
          </cell>
          <cell r="C3001" t="str">
            <v>Perloffite</v>
          </cell>
          <cell r="E3001" t="str">
            <v>https://www.mindat.org/1:1:3164:2</v>
          </cell>
        </row>
        <row r="3002">
          <cell r="A3002">
            <v>1293</v>
          </cell>
          <cell r="B3002">
            <v>5244</v>
          </cell>
          <cell r="C3002" t="str">
            <v>Petersite-(Y)</v>
          </cell>
          <cell r="E3002" t="str">
            <v>https://www.mindat.org/1:1:3175:8</v>
          </cell>
        </row>
        <row r="3003">
          <cell r="A3003">
            <v>1294</v>
          </cell>
          <cell r="B3003">
            <v>5244</v>
          </cell>
          <cell r="C3003" t="str">
            <v>Petewilliamsite</v>
          </cell>
          <cell r="E3003" t="str">
            <v>https://www.mindat.org/1:1:26522:3</v>
          </cell>
        </row>
        <row r="3004">
          <cell r="A3004">
            <v>1303</v>
          </cell>
          <cell r="B3004">
            <v>5244</v>
          </cell>
          <cell r="C3004" t="str">
            <v>Pharmacolite</v>
          </cell>
          <cell r="E3004" t="str">
            <v>https://www.mindat.org/1:1:3184:0</v>
          </cell>
        </row>
        <row r="3005">
          <cell r="A3005">
            <v>1304</v>
          </cell>
          <cell r="B3005">
            <v>5244</v>
          </cell>
          <cell r="C3005" t="str">
            <v>Pharmacosiderite</v>
          </cell>
          <cell r="E3005" t="str">
            <v>https://www.mindat.org/1:1:3185:7</v>
          </cell>
        </row>
        <row r="3006">
          <cell r="A3006">
            <v>1305</v>
          </cell>
          <cell r="B3006">
            <v>5244</v>
          </cell>
          <cell r="C3006" t="str">
            <v>Phaunouxite</v>
          </cell>
          <cell r="E3006" t="str">
            <v>https://www.mindat.org/1:1:3186:4</v>
          </cell>
        </row>
        <row r="3007">
          <cell r="A3007">
            <v>1307</v>
          </cell>
          <cell r="B3007">
            <v>5244</v>
          </cell>
          <cell r="C3007" t="str">
            <v>Philipsbornite</v>
          </cell>
          <cell r="E3007" t="str">
            <v>https://www.mindat.org/1:1:3190:1</v>
          </cell>
        </row>
        <row r="3008">
          <cell r="A3008">
            <v>1308</v>
          </cell>
          <cell r="B3008">
            <v>5244</v>
          </cell>
          <cell r="C3008" t="str">
            <v>Philipsburgite</v>
          </cell>
          <cell r="E3008" t="str">
            <v>https://www.mindat.org/1:1:3191:8</v>
          </cell>
        </row>
        <row r="3009">
          <cell r="A3009">
            <v>1319</v>
          </cell>
          <cell r="B3009">
            <v>5244</v>
          </cell>
          <cell r="C3009" t="str">
            <v>Tilasite</v>
          </cell>
          <cell r="E3009" t="str">
            <v>https://www.mindat.org/1:1:3962:4</v>
          </cell>
        </row>
        <row r="3010">
          <cell r="A3010">
            <v>1324</v>
          </cell>
          <cell r="B3010">
            <v>5244</v>
          </cell>
          <cell r="C3010" t="str">
            <v>Tinsleyite</v>
          </cell>
          <cell r="E3010" t="str">
            <v>https://www.mindat.org/1:1:3969:3</v>
          </cell>
        </row>
        <row r="3011">
          <cell r="A3011">
            <v>1325</v>
          </cell>
          <cell r="B3011">
            <v>5244</v>
          </cell>
          <cell r="C3011" t="str">
            <v>Tinticite</v>
          </cell>
          <cell r="E3011" t="str">
            <v>https://www.mindat.org/1:1:3970:9</v>
          </cell>
        </row>
        <row r="3012">
          <cell r="A3012">
            <v>1328</v>
          </cell>
          <cell r="B3012">
            <v>5244</v>
          </cell>
          <cell r="C3012" t="str">
            <v>Tiptopite</v>
          </cell>
          <cell r="E3012" t="str">
            <v>https://www.mindat.org/1:1:3973:0</v>
          </cell>
        </row>
        <row r="3013">
          <cell r="A3013">
            <v>1351</v>
          </cell>
          <cell r="B3013">
            <v>5244</v>
          </cell>
          <cell r="C3013" t="str">
            <v>Torbernite</v>
          </cell>
          <cell r="E3013" t="str">
            <v>https://www.mindat.org/1:1:3997:6</v>
          </cell>
        </row>
        <row r="3014">
          <cell r="A3014">
            <v>1373</v>
          </cell>
          <cell r="B3014">
            <v>5244</v>
          </cell>
          <cell r="C3014" t="str">
            <v>Triphylite</v>
          </cell>
          <cell r="E3014" t="str">
            <v>https://www.mindat.org/1:1:4020:0</v>
          </cell>
        </row>
        <row r="3015">
          <cell r="A3015">
            <v>1374</v>
          </cell>
          <cell r="B3015">
            <v>5244</v>
          </cell>
          <cell r="C3015" t="str">
            <v>Triplite</v>
          </cell>
          <cell r="E3015" t="str">
            <v>https://www.mindat.org/1:1:4021:7</v>
          </cell>
        </row>
        <row r="3016">
          <cell r="A3016">
            <v>1375</v>
          </cell>
          <cell r="B3016">
            <v>5244</v>
          </cell>
          <cell r="C3016" t="str">
            <v>Triploidite</v>
          </cell>
          <cell r="E3016" t="str">
            <v>https://www.mindat.org/1:1:4022:4</v>
          </cell>
        </row>
        <row r="3017">
          <cell r="A3017">
            <v>1384</v>
          </cell>
          <cell r="B3017">
            <v>5244</v>
          </cell>
          <cell r="C3017" t="str">
            <v>Trolleite</v>
          </cell>
          <cell r="E3017" t="str">
            <v>https://www.mindat.org/1:1:4030:9</v>
          </cell>
        </row>
        <row r="3018">
          <cell r="A3018">
            <v>1387</v>
          </cell>
          <cell r="B3018">
            <v>5244</v>
          </cell>
          <cell r="C3018" t="str">
            <v>Trogerite</v>
          </cell>
          <cell r="E3018" t="str">
            <v/>
          </cell>
        </row>
        <row r="3019">
          <cell r="A3019">
            <v>1396</v>
          </cell>
          <cell r="B3019">
            <v>5244</v>
          </cell>
          <cell r="C3019" t="str">
            <v>Tsumcorite</v>
          </cell>
          <cell r="E3019" t="str">
            <v>https://www.mindat.org/1:1:4039:2</v>
          </cell>
        </row>
        <row r="3020">
          <cell r="A3020">
            <v>1397</v>
          </cell>
          <cell r="B3020">
            <v>5244</v>
          </cell>
          <cell r="C3020" t="str">
            <v>Tsumebite</v>
          </cell>
          <cell r="E3020" t="str">
            <v>https://www.mindat.org/1:1:4040:8</v>
          </cell>
        </row>
        <row r="3021">
          <cell r="A3021">
            <v>1424</v>
          </cell>
          <cell r="B3021">
            <v>5244</v>
          </cell>
          <cell r="C3021" t="str">
            <v>Beraunite</v>
          </cell>
          <cell r="E3021" t="str">
            <v>https://www.mindat.org/1:1:628:6</v>
          </cell>
        </row>
        <row r="3022">
          <cell r="A3022">
            <v>1429</v>
          </cell>
          <cell r="B3022">
            <v>5244</v>
          </cell>
          <cell r="C3022" t="str">
            <v>Bergenite</v>
          </cell>
          <cell r="E3022" t="str">
            <v>https://www.mindat.org/1:1:631:0</v>
          </cell>
        </row>
        <row r="3023">
          <cell r="A3023">
            <v>1430</v>
          </cell>
          <cell r="B3023">
            <v>5244</v>
          </cell>
          <cell r="C3023" t="str">
            <v>Bergslagite</v>
          </cell>
          <cell r="E3023" t="str">
            <v>https://www.mindat.org/1:1:632:9</v>
          </cell>
        </row>
        <row r="3024">
          <cell r="A3024">
            <v>1431</v>
          </cell>
          <cell r="B3024">
            <v>5244</v>
          </cell>
          <cell r="C3024" t="str">
            <v>Berlinite</v>
          </cell>
          <cell r="E3024" t="str">
            <v>https://www.mindat.org/1:1:633:8</v>
          </cell>
        </row>
        <row r="3025">
          <cell r="A3025">
            <v>1432</v>
          </cell>
          <cell r="B3025">
            <v>5244</v>
          </cell>
          <cell r="C3025" t="str">
            <v>Bermanite</v>
          </cell>
          <cell r="E3025" t="str">
            <v>https://www.mindat.org/1:1:634:7</v>
          </cell>
        </row>
        <row r="3026">
          <cell r="A3026">
            <v>1441</v>
          </cell>
          <cell r="B3026">
            <v>5244</v>
          </cell>
          <cell r="C3026" t="str">
            <v>Bertossaite</v>
          </cell>
          <cell r="E3026" t="str">
            <v>https://www.mindat.org/1:1:641:7</v>
          </cell>
        </row>
        <row r="3027">
          <cell r="A3027">
            <v>1445</v>
          </cell>
          <cell r="B3027">
            <v>5244</v>
          </cell>
          <cell r="C3027" t="str">
            <v>Beryllonite</v>
          </cell>
          <cell r="E3027" t="str">
            <v>https://www.mindat.org/1:1:644:4</v>
          </cell>
        </row>
        <row r="3028">
          <cell r="A3028">
            <v>1447</v>
          </cell>
          <cell r="B3028">
            <v>5244</v>
          </cell>
          <cell r="C3028" t="str">
            <v>Berzeliite</v>
          </cell>
          <cell r="E3028" t="str">
            <v>https://www.mindat.org/1:1:646:2</v>
          </cell>
        </row>
        <row r="3029">
          <cell r="A3029">
            <v>1455</v>
          </cell>
          <cell r="B3029">
            <v>5244</v>
          </cell>
          <cell r="C3029" t="str">
            <v>Betpakdalite</v>
          </cell>
          <cell r="E3029" t="str">
            <v/>
          </cell>
        </row>
        <row r="3030">
          <cell r="A3030">
            <v>1456</v>
          </cell>
          <cell r="B3030">
            <v>5244</v>
          </cell>
          <cell r="C3030" t="str">
            <v>Beudantite</v>
          </cell>
          <cell r="E3030" t="str">
            <v>https://www.mindat.org/1:1:652:3</v>
          </cell>
        </row>
        <row r="3031">
          <cell r="A3031">
            <v>1457</v>
          </cell>
          <cell r="B3031">
            <v>5244</v>
          </cell>
          <cell r="C3031" t="str">
            <v>Beusite</v>
          </cell>
          <cell r="E3031" t="str">
            <v>https://www.mindat.org/1:1:653:2</v>
          </cell>
        </row>
        <row r="3032">
          <cell r="A3032">
            <v>1474</v>
          </cell>
          <cell r="B3032">
            <v>5244</v>
          </cell>
          <cell r="C3032" t="str">
            <v>Biphosphammite</v>
          </cell>
          <cell r="E3032" t="str">
            <v>https://www.mindat.org/1:1:678:1</v>
          </cell>
        </row>
        <row r="3033">
          <cell r="A3033">
            <v>1484</v>
          </cell>
          <cell r="B3033">
            <v>5244</v>
          </cell>
          <cell r="C3033" t="str">
            <v>Thometzekite</v>
          </cell>
          <cell r="E3033" t="str">
            <v>https://www.mindat.org/1:1:3939:6</v>
          </cell>
        </row>
        <row r="3034">
          <cell r="A3034">
            <v>1497</v>
          </cell>
          <cell r="B3034">
            <v>5244</v>
          </cell>
          <cell r="C3034" t="str">
            <v>Threadgoldite</v>
          </cell>
          <cell r="E3034" t="str">
            <v>https://www.mindat.org/1:1:3952:5</v>
          </cell>
        </row>
        <row r="3035">
          <cell r="A3035">
            <v>1505</v>
          </cell>
          <cell r="B3035">
            <v>5244</v>
          </cell>
          <cell r="C3035" t="str">
            <v>Dittmarite</v>
          </cell>
          <cell r="E3035" t="str">
            <v>https://www.mindat.org/1:1:1297:9</v>
          </cell>
        </row>
        <row r="3036">
          <cell r="A3036">
            <v>1506</v>
          </cell>
          <cell r="B3036">
            <v>5244</v>
          </cell>
          <cell r="C3036" t="str">
            <v>Dixenite</v>
          </cell>
          <cell r="E3036" t="str">
            <v>https://www.mindat.org/1:1:1298:6</v>
          </cell>
        </row>
        <row r="3037">
          <cell r="A3037">
            <v>1532</v>
          </cell>
          <cell r="B3037">
            <v>5244</v>
          </cell>
          <cell r="C3037" t="str">
            <v>Barbosalite</v>
          </cell>
          <cell r="E3037" t="str">
            <v>https://www.mindat.org/1:1:516:2</v>
          </cell>
        </row>
        <row r="3038">
          <cell r="A3038">
            <v>1535</v>
          </cell>
          <cell r="B3038">
            <v>5244</v>
          </cell>
          <cell r="C3038" t="str">
            <v>Baricite</v>
          </cell>
          <cell r="E3038" t="str">
            <v>https://www.mindat.org/1:1:524:1</v>
          </cell>
        </row>
        <row r="3039">
          <cell r="A3039">
            <v>1541</v>
          </cell>
          <cell r="B3039">
            <v>5244</v>
          </cell>
          <cell r="C3039" t="str">
            <v>Barium-pharmacosiderite</v>
          </cell>
          <cell r="E3039" t="str">
            <v/>
          </cell>
        </row>
        <row r="3040">
          <cell r="A3040">
            <v>1556</v>
          </cell>
          <cell r="B3040">
            <v>5244</v>
          </cell>
          <cell r="C3040" t="str">
            <v>Bassetite</v>
          </cell>
          <cell r="E3040" t="str">
            <v>https://www.mindat.org/1:1:558:8</v>
          </cell>
        </row>
        <row r="3041">
          <cell r="A3041">
            <v>1572</v>
          </cell>
          <cell r="B3041">
            <v>5244</v>
          </cell>
          <cell r="C3041" t="str">
            <v>Bayldonite</v>
          </cell>
          <cell r="E3041" t="str">
            <v>https://www.mindat.org/1:1:581:6</v>
          </cell>
        </row>
        <row r="3042">
          <cell r="A3042">
            <v>1602</v>
          </cell>
          <cell r="B3042">
            <v>5244</v>
          </cell>
          <cell r="C3042" t="str">
            <v>Curetonite</v>
          </cell>
          <cell r="E3042" t="str">
            <v>https://www.mindat.org/1:1:1195:8</v>
          </cell>
        </row>
        <row r="3043">
          <cell r="A3043">
            <v>1613</v>
          </cell>
          <cell r="B3043">
            <v>5244</v>
          </cell>
          <cell r="C3043" t="str">
            <v>Cyrilovite</v>
          </cell>
          <cell r="E3043" t="str">
            <v>https://www.mindat.org/1:1:1206:1</v>
          </cell>
        </row>
        <row r="3044">
          <cell r="A3044">
            <v>1669</v>
          </cell>
          <cell r="B3044">
            <v>5244</v>
          </cell>
          <cell r="C3044" t="str">
            <v>Orpheite</v>
          </cell>
          <cell r="E3044" t="str">
            <v/>
          </cell>
        </row>
        <row r="3045">
          <cell r="A3045">
            <v>1698</v>
          </cell>
          <cell r="B3045">
            <v>5244</v>
          </cell>
          <cell r="C3045" t="str">
            <v>Overite</v>
          </cell>
          <cell r="E3045" t="str">
            <v>https://www.mindat.org/1:1:3048:5</v>
          </cell>
        </row>
        <row r="3046">
          <cell r="A3046">
            <v>1709</v>
          </cell>
          <cell r="B3046">
            <v>5244</v>
          </cell>
          <cell r="C3046" t="str">
            <v>Pahasapaite</v>
          </cell>
          <cell r="E3046" t="str">
            <v>https://www.mindat.org/1:1:3062:1</v>
          </cell>
        </row>
        <row r="3047">
          <cell r="A3047">
            <v>1712</v>
          </cell>
          <cell r="B3047">
            <v>5244</v>
          </cell>
          <cell r="C3047" t="str">
            <v>Palenzonaite</v>
          </cell>
          <cell r="E3047" t="str">
            <v>https://www.mindat.org/1:1:3065:2</v>
          </cell>
        </row>
        <row r="3048">
          <cell r="A3048">
            <v>1713</v>
          </cell>
          <cell r="B3048">
            <v>5244</v>
          </cell>
          <cell r="C3048" t="str">
            <v>Palermoite</v>
          </cell>
          <cell r="E3048" t="str">
            <v>https://www.mindat.org/1:1:3066:9</v>
          </cell>
        </row>
        <row r="3049">
          <cell r="A3049">
            <v>1721</v>
          </cell>
          <cell r="B3049">
            <v>5244</v>
          </cell>
          <cell r="C3049" t="str">
            <v>Panasqueiraite</v>
          </cell>
          <cell r="E3049" t="str">
            <v>https://www.mindat.org/1:1:3073:7</v>
          </cell>
        </row>
        <row r="3050">
          <cell r="A3050">
            <v>1728</v>
          </cell>
          <cell r="B3050">
            <v>5244</v>
          </cell>
          <cell r="C3050" t="str">
            <v>Parabrandtite</v>
          </cell>
          <cell r="E3050" t="str">
            <v>https://www.mindat.org/1:1:3080:5</v>
          </cell>
        </row>
        <row r="3051">
          <cell r="A3051">
            <v>1734</v>
          </cell>
          <cell r="B3051">
            <v>5244</v>
          </cell>
          <cell r="C3051" t="str">
            <v>Paradamite</v>
          </cell>
          <cell r="E3051" t="str">
            <v>https://www.mindat.org/1:1:3086:7</v>
          </cell>
        </row>
        <row r="3052">
          <cell r="A3052">
            <v>1736</v>
          </cell>
          <cell r="B3052">
            <v>5244</v>
          </cell>
          <cell r="C3052" t="str">
            <v>Parafransoletite</v>
          </cell>
          <cell r="E3052" t="str">
            <v>https://www.mindat.org/1:1:3089:8</v>
          </cell>
        </row>
        <row r="3053">
          <cell r="A3053">
            <v>1739</v>
          </cell>
          <cell r="B3053">
            <v>5244</v>
          </cell>
          <cell r="C3053" t="str">
            <v>Parahopeite</v>
          </cell>
          <cell r="E3053" t="str">
            <v>https://www.mindat.org/1:1:3092:8</v>
          </cell>
        </row>
        <row r="3054">
          <cell r="A3054">
            <v>1755</v>
          </cell>
          <cell r="B3054">
            <v>5244</v>
          </cell>
          <cell r="C3054" t="str">
            <v>Pararobertsite</v>
          </cell>
          <cell r="E3054" t="str">
            <v>https://www.mindat.org/1:1:3108:6</v>
          </cell>
        </row>
        <row r="3055">
          <cell r="A3055">
            <v>1758</v>
          </cell>
          <cell r="B3055">
            <v>5244</v>
          </cell>
          <cell r="C3055" t="str">
            <v>Parascholzite</v>
          </cell>
          <cell r="E3055" t="str">
            <v>https://www.mindat.org/1:1:3111:6</v>
          </cell>
        </row>
        <row r="3056">
          <cell r="A3056">
            <v>1762</v>
          </cell>
          <cell r="B3056">
            <v>5244</v>
          </cell>
          <cell r="C3056" t="str">
            <v>Parasymplesite</v>
          </cell>
          <cell r="E3056" t="str">
            <v>https://www.mindat.org/1:1:3114:7</v>
          </cell>
        </row>
        <row r="3057">
          <cell r="A3057">
            <v>1766</v>
          </cell>
          <cell r="B3057">
            <v>5244</v>
          </cell>
          <cell r="C3057" t="str">
            <v>Paravauxite</v>
          </cell>
          <cell r="E3057" t="str">
            <v>https://www.mindat.org/1:1:3118:5</v>
          </cell>
        </row>
        <row r="3058">
          <cell r="A3058">
            <v>1773</v>
          </cell>
          <cell r="B3058">
            <v>5244</v>
          </cell>
          <cell r="C3058" t="str">
            <v>Parnauite</v>
          </cell>
          <cell r="E3058" t="str">
            <v>https://www.mindat.org/1:1:3124:6</v>
          </cell>
        </row>
        <row r="3059">
          <cell r="A3059">
            <v>1775</v>
          </cell>
          <cell r="B3059">
            <v>5244</v>
          </cell>
          <cell r="C3059" t="str">
            <v>Parsonsite</v>
          </cell>
          <cell r="E3059" t="str">
            <v>https://www.mindat.org/1:1:3126:0</v>
          </cell>
        </row>
        <row r="3060">
          <cell r="A3060">
            <v>1779</v>
          </cell>
          <cell r="B3060">
            <v>5244</v>
          </cell>
          <cell r="C3060" t="str">
            <v>Parwelite</v>
          </cell>
          <cell r="E3060" t="str">
            <v>https://www.mindat.org/1:1:3129:1</v>
          </cell>
        </row>
        <row r="3061">
          <cell r="A3061">
            <v>1785</v>
          </cell>
          <cell r="B3061">
            <v>5244</v>
          </cell>
          <cell r="C3061" t="str">
            <v>Paulkellerite</v>
          </cell>
          <cell r="E3061" t="str">
            <v>https://www.mindat.org/1:1:3133:8</v>
          </cell>
        </row>
        <row r="3062">
          <cell r="A3062">
            <v>1786</v>
          </cell>
          <cell r="B3062">
            <v>5244</v>
          </cell>
          <cell r="C3062" t="str">
            <v>Paulkerrite</v>
          </cell>
          <cell r="E3062" t="str">
            <v>https://www.mindat.org/1:1:3134:5</v>
          </cell>
        </row>
        <row r="3063">
          <cell r="A3063">
            <v>1802</v>
          </cell>
          <cell r="B3063">
            <v>5244</v>
          </cell>
          <cell r="C3063" t="str">
            <v>Dorfmanite</v>
          </cell>
          <cell r="E3063" t="str">
            <v>https://www.mindat.org/1:1:1312:9</v>
          </cell>
        </row>
        <row r="3064">
          <cell r="A3064">
            <v>1810</v>
          </cell>
          <cell r="B3064">
            <v>5244</v>
          </cell>
          <cell r="C3064" t="str">
            <v>Dreyerite</v>
          </cell>
          <cell r="E3064" t="str">
            <v>https://www.mindat.org/1:1:1320:4</v>
          </cell>
        </row>
        <row r="3065">
          <cell r="A3065">
            <v>1811</v>
          </cell>
          <cell r="B3065">
            <v>5244</v>
          </cell>
          <cell r="C3065" t="str">
            <v>Drugmanite</v>
          </cell>
          <cell r="E3065" t="str">
            <v>https://www.mindat.org/1:1:1321:1</v>
          </cell>
        </row>
        <row r="3066">
          <cell r="A3066">
            <v>1813</v>
          </cell>
          <cell r="B3066">
            <v>5244</v>
          </cell>
          <cell r="C3066" t="str">
            <v>Dufrenite</v>
          </cell>
          <cell r="E3066" t="str">
            <v/>
          </cell>
        </row>
        <row r="3067">
          <cell r="A3067">
            <v>1815</v>
          </cell>
          <cell r="B3067">
            <v>5244</v>
          </cell>
          <cell r="C3067" t="str">
            <v>Duftite</v>
          </cell>
          <cell r="E3067" t="str">
            <v>https://www.mindat.org/1:1:1325:9</v>
          </cell>
        </row>
        <row r="3068">
          <cell r="A3068">
            <v>1816</v>
          </cell>
          <cell r="B3068">
            <v>5244</v>
          </cell>
          <cell r="C3068" t="str">
            <v>Dugganite</v>
          </cell>
          <cell r="E3068" t="str">
            <v>https://www.mindat.org/1:1:1326:6</v>
          </cell>
        </row>
        <row r="3069">
          <cell r="A3069">
            <v>1817</v>
          </cell>
          <cell r="B3069">
            <v>5244</v>
          </cell>
          <cell r="C3069" t="str">
            <v>Duhamelite</v>
          </cell>
          <cell r="E3069" t="str">
            <v/>
          </cell>
        </row>
        <row r="3070">
          <cell r="A3070">
            <v>1819</v>
          </cell>
          <cell r="B3070">
            <v>5244</v>
          </cell>
          <cell r="C3070" t="str">
            <v>Dumontite</v>
          </cell>
          <cell r="E3070" t="str">
            <v>https://www.mindat.org/1:1:1328:0</v>
          </cell>
        </row>
        <row r="3071">
          <cell r="A3071">
            <v>1822</v>
          </cell>
          <cell r="B3071">
            <v>5244</v>
          </cell>
          <cell r="C3071" t="str">
            <v>Durangite</v>
          </cell>
          <cell r="E3071" t="str">
            <v>https://www.mindat.org/1:1:1332:7</v>
          </cell>
        </row>
        <row r="3072">
          <cell r="A3072">
            <v>1825</v>
          </cell>
          <cell r="B3072">
            <v>5244</v>
          </cell>
          <cell r="C3072" t="str">
            <v>Dussertite</v>
          </cell>
          <cell r="E3072" t="str">
            <v>https://www.mindat.org/1:1:1334:1</v>
          </cell>
        </row>
        <row r="3073">
          <cell r="A3073">
            <v>1834</v>
          </cell>
          <cell r="B3073">
            <v>5244</v>
          </cell>
          <cell r="C3073" t="str">
            <v>Earlshannonite</v>
          </cell>
          <cell r="E3073" t="str">
            <v>https://www.mindat.org/1:1:1345:7</v>
          </cell>
        </row>
        <row r="3074">
          <cell r="A3074">
            <v>1850</v>
          </cell>
          <cell r="B3074">
            <v>5244</v>
          </cell>
          <cell r="C3074" t="str">
            <v>Ehrleite</v>
          </cell>
          <cell r="E3074" t="str">
            <v>https://www.mindat.org/1:1:1358:7</v>
          </cell>
        </row>
        <row r="3075">
          <cell r="A3075">
            <v>1859</v>
          </cell>
          <cell r="B3075">
            <v>5244</v>
          </cell>
          <cell r="C3075" t="str">
            <v>Ellestaditeseries</v>
          </cell>
          <cell r="E3075" t="str">
            <v/>
          </cell>
        </row>
        <row r="3076">
          <cell r="A3076">
            <v>1871</v>
          </cell>
          <cell r="B3076">
            <v>5244</v>
          </cell>
          <cell r="C3076" t="str">
            <v>Englishite</v>
          </cell>
          <cell r="E3076" t="str">
            <v>https://www.mindat.org/1:1:1383:9</v>
          </cell>
        </row>
        <row r="3077">
          <cell r="A3077">
            <v>1873</v>
          </cell>
          <cell r="B3077">
            <v>5244</v>
          </cell>
          <cell r="C3077" t="str">
            <v>Eosphorite</v>
          </cell>
          <cell r="E3077" t="str">
            <v>https://www.mindat.org/1:1:1386:0</v>
          </cell>
        </row>
        <row r="3078">
          <cell r="A3078">
            <v>1894</v>
          </cell>
          <cell r="B3078">
            <v>5244</v>
          </cell>
          <cell r="C3078" t="str">
            <v>Ernstite</v>
          </cell>
          <cell r="E3078" t="str">
            <v>https://www.mindat.org/1:1:1404:1</v>
          </cell>
        </row>
        <row r="3079">
          <cell r="A3079">
            <v>1897</v>
          </cell>
          <cell r="B3079">
            <v>5244</v>
          </cell>
          <cell r="C3079" t="str">
            <v>Erythrite</v>
          </cell>
          <cell r="E3079" t="str">
            <v>https://www.mindat.org/1:1:1407:2</v>
          </cell>
        </row>
        <row r="3080">
          <cell r="A3080">
            <v>1902</v>
          </cell>
          <cell r="B3080">
            <v>5244</v>
          </cell>
          <cell r="C3080" t="str">
            <v>Esperanzaite</v>
          </cell>
          <cell r="E3080" t="str">
            <v>https://www.mindat.org/1:1:6919:5</v>
          </cell>
        </row>
        <row r="3081">
          <cell r="A3081">
            <v>1908</v>
          </cell>
          <cell r="B3081">
            <v>5244</v>
          </cell>
          <cell r="C3081" t="str">
            <v>Euchroite</v>
          </cell>
          <cell r="E3081" t="str">
            <v>https://www.mindat.org/1:1:1417:1</v>
          </cell>
        </row>
        <row r="3082">
          <cell r="A3082">
            <v>1917</v>
          </cell>
          <cell r="B3082">
            <v>5244</v>
          </cell>
          <cell r="C3082" t="str">
            <v>Evansite</v>
          </cell>
          <cell r="E3082" t="str">
            <v>https://www.mindat.org/1:1:1426:3</v>
          </cell>
        </row>
        <row r="3083">
          <cell r="A3083">
            <v>1918</v>
          </cell>
          <cell r="B3083">
            <v>5244</v>
          </cell>
          <cell r="C3083" t="str">
            <v>Eveite</v>
          </cell>
          <cell r="E3083" t="str">
            <v>https://www.mindat.org/1:1:1427:0</v>
          </cell>
        </row>
        <row r="3084">
          <cell r="A3084">
            <v>1921</v>
          </cell>
          <cell r="B3084">
            <v>5244</v>
          </cell>
          <cell r="C3084" t="str">
            <v>Eylettersite</v>
          </cell>
          <cell r="E3084" t="str">
            <v>https://www.mindat.org/1:1:1430:0</v>
          </cell>
        </row>
        <row r="3085">
          <cell r="A3085">
            <v>1926</v>
          </cell>
          <cell r="B3085">
            <v>5244</v>
          </cell>
          <cell r="C3085" t="str">
            <v>Faheyite</v>
          </cell>
          <cell r="E3085" t="str">
            <v>https://www.mindat.org/1:1:1435:5</v>
          </cell>
        </row>
        <row r="3086">
          <cell r="A3086">
            <v>1930</v>
          </cell>
          <cell r="B3086">
            <v>5244</v>
          </cell>
          <cell r="C3086" t="str">
            <v>Fairfieldite</v>
          </cell>
          <cell r="E3086" t="str">
            <v>https://www.mindat.org/1:1:1443:0</v>
          </cell>
        </row>
        <row r="3087">
          <cell r="A3087">
            <v>1940</v>
          </cell>
          <cell r="B3087">
            <v>5244</v>
          </cell>
          <cell r="C3087" t="str">
            <v>Faustite</v>
          </cell>
          <cell r="E3087" t="str">
            <v>https://www.mindat.org/1:1:1623:6</v>
          </cell>
        </row>
        <row r="3088">
          <cell r="A3088">
            <v>1945</v>
          </cell>
          <cell r="B3088">
            <v>5244</v>
          </cell>
          <cell r="C3088" t="str">
            <v>Feinglosite</v>
          </cell>
          <cell r="E3088" t="str">
            <v>https://www.mindat.org/1:1:6923:2</v>
          </cell>
        </row>
        <row r="3089">
          <cell r="A3089">
            <v>1961</v>
          </cell>
          <cell r="B3089">
            <v>5244</v>
          </cell>
          <cell r="C3089" t="str">
            <v>Fermorite</v>
          </cell>
          <cell r="E3089" t="str">
            <v/>
          </cell>
        </row>
        <row r="3090">
          <cell r="A3090">
            <v>1964</v>
          </cell>
          <cell r="B3090">
            <v>5244</v>
          </cell>
          <cell r="C3090" t="str">
            <v>Ferrarisite</v>
          </cell>
          <cell r="E3090" t="str">
            <v>https://www.mindat.org/1:1:1485:0</v>
          </cell>
        </row>
        <row r="3091">
          <cell r="A3091">
            <v>1975</v>
          </cell>
          <cell r="B3091">
            <v>5244</v>
          </cell>
          <cell r="C3091" t="str">
            <v>Ferrilotharmeyerite</v>
          </cell>
          <cell r="E3091" t="str">
            <v>https://www.mindat.org/1:1:1495:9</v>
          </cell>
        </row>
        <row r="3092">
          <cell r="A3092">
            <v>1980</v>
          </cell>
          <cell r="B3092">
            <v>5244</v>
          </cell>
          <cell r="C3092" t="str">
            <v>Ferrisicklerite</v>
          </cell>
          <cell r="E3092" t="str">
            <v>https://www.mindat.org/1:1:1499:7</v>
          </cell>
        </row>
        <row r="3093">
          <cell r="A3093">
            <v>1981</v>
          </cell>
          <cell r="B3093">
            <v>5244</v>
          </cell>
          <cell r="C3093" t="str">
            <v>Ferristrunzite</v>
          </cell>
          <cell r="E3093" t="str">
            <v>https://www.mindat.org/1:1:1500:0</v>
          </cell>
        </row>
        <row r="3094">
          <cell r="A3094">
            <v>1983</v>
          </cell>
          <cell r="B3094">
            <v>5244</v>
          </cell>
          <cell r="C3094" t="str">
            <v>Ferrisymplesite</v>
          </cell>
          <cell r="E3094" t="str">
            <v>https://www.mindat.org/1:1:1502:4</v>
          </cell>
        </row>
        <row r="3095">
          <cell r="A3095">
            <v>1986</v>
          </cell>
          <cell r="B3095">
            <v>5244</v>
          </cell>
          <cell r="C3095" t="str">
            <v>Ferro-alluaudite</v>
          </cell>
          <cell r="E3095" t="str">
            <v/>
          </cell>
        </row>
        <row r="3096">
          <cell r="A3096">
            <v>2015</v>
          </cell>
          <cell r="B3096">
            <v>5244</v>
          </cell>
          <cell r="C3096" t="str">
            <v>Ferrostrunzite</v>
          </cell>
          <cell r="E3096" t="str">
            <v>https://www.mindat.org/1:1:1529:1</v>
          </cell>
        </row>
        <row r="3097">
          <cell r="A3097">
            <v>2023</v>
          </cell>
          <cell r="B3097">
            <v>5244</v>
          </cell>
          <cell r="C3097" t="str">
            <v>Ferrowyllieite</v>
          </cell>
          <cell r="E3097" t="str">
            <v>https://www.mindat.org/1:1:1536:9</v>
          </cell>
        </row>
        <row r="3098">
          <cell r="A3098">
            <v>2038</v>
          </cell>
          <cell r="B3098">
            <v>5244</v>
          </cell>
          <cell r="C3098" t="str">
            <v>Fillowite</v>
          </cell>
          <cell r="E3098" t="str">
            <v>https://www.mindat.org/1:1:1549:9</v>
          </cell>
        </row>
        <row r="3099">
          <cell r="A3099">
            <v>2039</v>
          </cell>
          <cell r="B3099">
            <v>5244</v>
          </cell>
          <cell r="C3099" t="str">
            <v>Fingerite</v>
          </cell>
          <cell r="E3099" t="str">
            <v>https://www.mindat.org/1:1:1550:5</v>
          </cell>
        </row>
        <row r="3100">
          <cell r="A3100">
            <v>2046</v>
          </cell>
          <cell r="B3100">
            <v>5244</v>
          </cell>
          <cell r="C3100" t="str">
            <v>Flinkite</v>
          </cell>
          <cell r="E3100" t="str">
            <v>https://www.mindat.org/1:1:1558:1</v>
          </cell>
        </row>
        <row r="3101">
          <cell r="A3101">
            <v>2047</v>
          </cell>
          <cell r="B3101">
            <v>5244</v>
          </cell>
          <cell r="C3101" t="str">
            <v>Florencite</v>
          </cell>
          <cell r="E3101" t="str">
            <v/>
          </cell>
        </row>
        <row r="3102">
          <cell r="A3102">
            <v>2048</v>
          </cell>
          <cell r="B3102">
            <v>5244</v>
          </cell>
          <cell r="C3102" t="str">
            <v>Florencite-(Ce)</v>
          </cell>
          <cell r="E3102" t="str">
            <v>https://www.mindat.org/1:1:1560:4</v>
          </cell>
        </row>
        <row r="3103">
          <cell r="A3103">
            <v>2049</v>
          </cell>
          <cell r="B3103">
            <v>5244</v>
          </cell>
          <cell r="C3103" t="str">
            <v>Florencite-(La)</v>
          </cell>
          <cell r="E3103" t="str">
            <v>https://www.mindat.org/1:1:1561:1</v>
          </cell>
        </row>
        <row r="3104">
          <cell r="A3104">
            <v>2050</v>
          </cell>
          <cell r="B3104">
            <v>5244</v>
          </cell>
          <cell r="C3104" t="str">
            <v>Florencite-(Nd)</v>
          </cell>
          <cell r="E3104" t="str">
            <v>https://www.mindat.org/1:1:1562:8</v>
          </cell>
        </row>
        <row r="3105">
          <cell r="A3105">
            <v>2053</v>
          </cell>
          <cell r="B3105">
            <v>5244</v>
          </cell>
          <cell r="C3105" t="str">
            <v>Fluckite</v>
          </cell>
          <cell r="E3105" t="str">
            <v>https://www.mindat.org/1:1:1564:2</v>
          </cell>
        </row>
        <row r="3106">
          <cell r="A3106">
            <v>2054</v>
          </cell>
          <cell r="B3106">
            <v>5244</v>
          </cell>
          <cell r="C3106" t="str">
            <v>Fluellite</v>
          </cell>
          <cell r="E3106" t="str">
            <v>https://www.mindat.org/1:1:1565:9</v>
          </cell>
        </row>
        <row r="3107">
          <cell r="A3107">
            <v>2062</v>
          </cell>
          <cell r="B3107">
            <v>5244</v>
          </cell>
          <cell r="C3107" t="str">
            <v>Fluorapatite</v>
          </cell>
          <cell r="E3107" t="str">
            <v>https://www.mindat.org/1:1:1572:7</v>
          </cell>
        </row>
        <row r="3108">
          <cell r="A3108">
            <v>2075</v>
          </cell>
          <cell r="B3108">
            <v>5244</v>
          </cell>
          <cell r="C3108" t="str">
            <v>Foggite</v>
          </cell>
          <cell r="E3108" t="str">
            <v>https://www.mindat.org/1:1:1578:9</v>
          </cell>
        </row>
        <row r="3109">
          <cell r="A3109">
            <v>2091</v>
          </cell>
          <cell r="B3109">
            <v>5244</v>
          </cell>
          <cell r="C3109" t="str">
            <v>Millisite</v>
          </cell>
          <cell r="E3109" t="str">
            <v>https://www.mindat.org/1:1:2712:6</v>
          </cell>
        </row>
        <row r="3110">
          <cell r="A3110">
            <v>2093</v>
          </cell>
          <cell r="B3110">
            <v>5244</v>
          </cell>
          <cell r="C3110" t="str">
            <v>Mimetite</v>
          </cell>
          <cell r="E3110" t="str">
            <v>https://www.mindat.org/1:1:2714:0</v>
          </cell>
        </row>
        <row r="3111">
          <cell r="A3111">
            <v>2104</v>
          </cell>
          <cell r="B3111">
            <v>5244</v>
          </cell>
          <cell r="C3111" t="str">
            <v>Minyulite</v>
          </cell>
          <cell r="E3111" t="str">
            <v>https://www.mindat.org/1:1:2724:9</v>
          </cell>
        </row>
        <row r="3112">
          <cell r="A3112">
            <v>2108</v>
          </cell>
          <cell r="B3112">
            <v>5244</v>
          </cell>
          <cell r="C3112" t="str">
            <v>Mitridatite</v>
          </cell>
          <cell r="E3112" t="str">
            <v>https://www.mindat.org/1:1:2728:7</v>
          </cell>
        </row>
        <row r="3113">
          <cell r="A3113">
            <v>2111</v>
          </cell>
          <cell r="B3113">
            <v>5244</v>
          </cell>
          <cell r="C3113" t="str">
            <v>Mixite</v>
          </cell>
          <cell r="E3113" t="str">
            <v>https://www.mindat.org/1:1:2730:0</v>
          </cell>
        </row>
        <row r="3114">
          <cell r="A3114">
            <v>2128</v>
          </cell>
          <cell r="B3114">
            <v>5244</v>
          </cell>
          <cell r="C3114" t="str">
            <v>Monazite-(Ce)</v>
          </cell>
          <cell r="E3114" t="str">
            <v>https://www.mindat.org/1:1:2751:5</v>
          </cell>
        </row>
        <row r="3115">
          <cell r="A3115">
            <v>2129</v>
          </cell>
          <cell r="B3115">
            <v>5244</v>
          </cell>
          <cell r="C3115" t="str">
            <v>Monazite-(La)</v>
          </cell>
          <cell r="E3115" t="str">
            <v>https://www.mindat.org/1:1:2752:2</v>
          </cell>
        </row>
        <row r="3116">
          <cell r="A3116">
            <v>2130</v>
          </cell>
          <cell r="B3116">
            <v>5244</v>
          </cell>
          <cell r="C3116" t="str">
            <v>Monazite-(Nd)</v>
          </cell>
          <cell r="E3116" t="str">
            <v>https://www.mindat.org/1:1:2753:9</v>
          </cell>
        </row>
        <row r="3117">
          <cell r="A3117">
            <v>2132</v>
          </cell>
          <cell r="B3117">
            <v>5244</v>
          </cell>
          <cell r="C3117" t="str">
            <v>Monetite</v>
          </cell>
          <cell r="E3117" t="str">
            <v>https://www.mindat.org/1:1:2755:3</v>
          </cell>
        </row>
        <row r="3118">
          <cell r="A3118">
            <v>2140</v>
          </cell>
          <cell r="B3118">
            <v>5244</v>
          </cell>
          <cell r="C3118" t="str">
            <v>Montebrasite</v>
          </cell>
          <cell r="E3118" t="str">
            <v>https://www.mindat.org/1:1:2763:8</v>
          </cell>
        </row>
        <row r="3119">
          <cell r="A3119">
            <v>2144</v>
          </cell>
          <cell r="B3119">
            <v>5244</v>
          </cell>
          <cell r="C3119" t="str">
            <v>Montgomeryite</v>
          </cell>
          <cell r="E3119" t="str">
            <v>https://www.mindat.org/1:1:2767:6</v>
          </cell>
        </row>
        <row r="3120">
          <cell r="A3120">
            <v>2155</v>
          </cell>
          <cell r="B3120">
            <v>5244</v>
          </cell>
          <cell r="C3120" t="str">
            <v>Moraesite</v>
          </cell>
          <cell r="E3120" t="str">
            <v>https://www.mindat.org/1:1:2778:2</v>
          </cell>
        </row>
        <row r="3121">
          <cell r="A3121">
            <v>2158</v>
          </cell>
          <cell r="B3121">
            <v>5244</v>
          </cell>
          <cell r="C3121" t="str">
            <v>Morelandite</v>
          </cell>
          <cell r="E3121" t="str">
            <v>https://www.mindat.org/1:1:2781:2</v>
          </cell>
        </row>
        <row r="3122">
          <cell r="A3122">
            <v>2161</v>
          </cell>
          <cell r="B3122">
            <v>5244</v>
          </cell>
          <cell r="C3122" t="str">
            <v>Morinite</v>
          </cell>
          <cell r="E3122" t="str">
            <v>https://www.mindat.org/1:1:2785:0</v>
          </cell>
        </row>
        <row r="3123">
          <cell r="A3123">
            <v>2167</v>
          </cell>
          <cell r="B3123">
            <v>5244</v>
          </cell>
          <cell r="C3123" t="str">
            <v>Mottramite</v>
          </cell>
          <cell r="E3123" t="str">
            <v>https://www.mindat.org/1:1:2792:8</v>
          </cell>
        </row>
        <row r="3124">
          <cell r="A3124">
            <v>2169</v>
          </cell>
          <cell r="B3124">
            <v>5244</v>
          </cell>
          <cell r="C3124" t="str">
            <v>Mounanaite</v>
          </cell>
          <cell r="E3124" t="str">
            <v>https://www.mindat.org/1:1:2794:2</v>
          </cell>
        </row>
        <row r="3125">
          <cell r="A3125">
            <v>2184</v>
          </cell>
          <cell r="B3125">
            <v>5244</v>
          </cell>
          <cell r="C3125" t="str">
            <v>Mundite</v>
          </cell>
          <cell r="E3125" t="str">
            <v>https://www.mindat.org/1:1:2808:6</v>
          </cell>
        </row>
        <row r="3126">
          <cell r="A3126">
            <v>2200</v>
          </cell>
          <cell r="B3126">
            <v>5244</v>
          </cell>
          <cell r="C3126" t="str">
            <v>Nabaphite</v>
          </cell>
          <cell r="E3126" t="str">
            <v>https://www.mindat.org/1:1:2822:2</v>
          </cell>
        </row>
        <row r="3127">
          <cell r="A3127">
            <v>2204</v>
          </cell>
          <cell r="B3127">
            <v>5244</v>
          </cell>
          <cell r="C3127" t="str">
            <v>Nacaphite</v>
          </cell>
          <cell r="E3127" t="str">
            <v>https://www.mindat.org/1:1:2824:6</v>
          </cell>
        </row>
        <row r="3128">
          <cell r="A3128">
            <v>2213</v>
          </cell>
          <cell r="B3128">
            <v>5244</v>
          </cell>
          <cell r="C3128" t="str">
            <v>Nahpoite</v>
          </cell>
          <cell r="E3128" t="str">
            <v>https://www.mindat.org/1:1:2832:1</v>
          </cell>
        </row>
        <row r="3129">
          <cell r="A3129">
            <v>2218</v>
          </cell>
          <cell r="B3129">
            <v>5244</v>
          </cell>
          <cell r="C3129" t="str">
            <v>Namibite</v>
          </cell>
          <cell r="E3129" t="str">
            <v>https://www.mindat.org/1:1:2836:9</v>
          </cell>
        </row>
        <row r="3130">
          <cell r="A3130">
            <v>2221</v>
          </cell>
          <cell r="B3130">
            <v>5244</v>
          </cell>
          <cell r="C3130" t="str">
            <v>Meurigite</v>
          </cell>
          <cell r="E3130" t="str">
            <v/>
          </cell>
        </row>
        <row r="3131">
          <cell r="A3131">
            <v>2237</v>
          </cell>
          <cell r="B3131">
            <v>5244</v>
          </cell>
          <cell r="C3131" t="str">
            <v>Natrodufrenite</v>
          </cell>
          <cell r="E3131" t="str">
            <v/>
          </cell>
        </row>
        <row r="3132">
          <cell r="A3132">
            <v>2241</v>
          </cell>
          <cell r="B3132">
            <v>5244</v>
          </cell>
          <cell r="C3132" t="str">
            <v>Natromontebrasite</v>
          </cell>
          <cell r="E3132" t="str">
            <v/>
          </cell>
        </row>
        <row r="3133">
          <cell r="A3133">
            <v>2245</v>
          </cell>
          <cell r="B3133">
            <v>5244</v>
          </cell>
          <cell r="C3133" t="str">
            <v>Natrophilite</v>
          </cell>
          <cell r="E3133" t="str">
            <v>https://www.mindat.org/1:1:2861:1</v>
          </cell>
        </row>
        <row r="3134">
          <cell r="A3134">
            <v>2246</v>
          </cell>
          <cell r="B3134">
            <v>5244</v>
          </cell>
          <cell r="C3134" t="str">
            <v>Natrophosphate</v>
          </cell>
          <cell r="E3134" t="str">
            <v>https://www.mindat.org/1:1:2862:8</v>
          </cell>
        </row>
        <row r="3135">
          <cell r="A3135">
            <v>2268</v>
          </cell>
          <cell r="B3135">
            <v>5244</v>
          </cell>
          <cell r="C3135" t="str">
            <v>Nevadaite</v>
          </cell>
          <cell r="E3135" t="str">
            <v>https://www.mindat.org/1:1:25696:0</v>
          </cell>
        </row>
        <row r="3136">
          <cell r="A3136">
            <v>2270</v>
          </cell>
          <cell r="B3136">
            <v>5244</v>
          </cell>
          <cell r="C3136" t="str">
            <v>Newberyite</v>
          </cell>
          <cell r="E3136" t="str">
            <v>https://www.mindat.org/1:1:2887:1</v>
          </cell>
        </row>
        <row r="3137">
          <cell r="A3137">
            <v>2273</v>
          </cell>
          <cell r="B3137">
            <v>5244</v>
          </cell>
          <cell r="C3137" t="str">
            <v>Niahite</v>
          </cell>
          <cell r="E3137" t="str">
            <v>https://www.mindat.org/1:1:2893:2</v>
          </cell>
        </row>
        <row r="3138">
          <cell r="A3138">
            <v>2283</v>
          </cell>
          <cell r="B3138">
            <v>5244</v>
          </cell>
          <cell r="C3138" t="str">
            <v>Nickelaustinite</v>
          </cell>
          <cell r="E3138" t="str">
            <v>https://www.mindat.org/1:1:2891:8</v>
          </cell>
        </row>
        <row r="3139">
          <cell r="A3139">
            <v>2297</v>
          </cell>
          <cell r="B3139">
            <v>5244</v>
          </cell>
          <cell r="C3139" t="str">
            <v>Ningyoite</v>
          </cell>
          <cell r="E3139" t="str">
            <v>https://www.mindat.org/1:1:2906:9</v>
          </cell>
        </row>
        <row r="3140">
          <cell r="A3140">
            <v>2307</v>
          </cell>
          <cell r="B3140">
            <v>5244</v>
          </cell>
          <cell r="C3140" t="str">
            <v>Nissonite</v>
          </cell>
          <cell r="E3140" t="str">
            <v>https://www.mindat.org/1:1:2915:1</v>
          </cell>
        </row>
        <row r="3141">
          <cell r="A3141">
            <v>2329</v>
          </cell>
          <cell r="B3141">
            <v>5244</v>
          </cell>
          <cell r="C3141" t="str">
            <v>Novacekite</v>
          </cell>
          <cell r="E3141" t="str">
            <v/>
          </cell>
        </row>
        <row r="3142">
          <cell r="A3142">
            <v>2340</v>
          </cell>
          <cell r="B3142">
            <v>5244</v>
          </cell>
          <cell r="C3142" t="str">
            <v>O'danielite</v>
          </cell>
          <cell r="E3142" t="str">
            <v>https://www.mindat.org/1:1:2949:6</v>
          </cell>
        </row>
        <row r="3143">
          <cell r="A3143">
            <v>2349</v>
          </cell>
          <cell r="B3143">
            <v>5244</v>
          </cell>
          <cell r="C3143" t="str">
            <v>Ogdensburgite</v>
          </cell>
          <cell r="E3143" t="str">
            <v>https://www.mindat.org/1:1:2962:5</v>
          </cell>
        </row>
        <row r="3144">
          <cell r="A3144">
            <v>2351</v>
          </cell>
          <cell r="B3144">
            <v>5244</v>
          </cell>
          <cell r="C3144" t="str">
            <v>Ojuelaite</v>
          </cell>
          <cell r="E3144" t="str">
            <v>https://www.mindat.org/1:1:2965:6</v>
          </cell>
        </row>
        <row r="3145">
          <cell r="A3145">
            <v>2359</v>
          </cell>
          <cell r="B3145">
            <v>5244</v>
          </cell>
          <cell r="C3145" t="str">
            <v>Olgite</v>
          </cell>
          <cell r="E3145" t="str">
            <v>https://www.mindat.org/1:1:2973:1</v>
          </cell>
        </row>
        <row r="3146">
          <cell r="A3146">
            <v>2361</v>
          </cell>
          <cell r="B3146">
            <v>5244</v>
          </cell>
          <cell r="C3146" t="str">
            <v>Olivenite</v>
          </cell>
          <cell r="E3146" t="str">
            <v>https://www.mindat.org/1:1:2981:6</v>
          </cell>
        </row>
        <row r="3147">
          <cell r="A3147">
            <v>2364</v>
          </cell>
          <cell r="B3147">
            <v>5244</v>
          </cell>
          <cell r="C3147" t="str">
            <v>Olmsteadite</v>
          </cell>
          <cell r="E3147" t="str">
            <v>https://www.mindat.org/1:1:2986:1</v>
          </cell>
        </row>
        <row r="3148">
          <cell r="A3148">
            <v>2368</v>
          </cell>
          <cell r="B3148">
            <v>5244</v>
          </cell>
          <cell r="C3148" t="str">
            <v>Lithiophilite</v>
          </cell>
          <cell r="E3148" t="str">
            <v>https://www.mindat.org/1:1:2418:7</v>
          </cell>
        </row>
        <row r="3149">
          <cell r="A3149">
            <v>2370</v>
          </cell>
          <cell r="B3149">
            <v>5244</v>
          </cell>
          <cell r="C3149" t="str">
            <v>Lithiophosphate</v>
          </cell>
          <cell r="E3149" t="str">
            <v>https://www.mindat.org/1:1:2420:0</v>
          </cell>
        </row>
        <row r="3150">
          <cell r="A3150">
            <v>2391</v>
          </cell>
          <cell r="B3150">
            <v>5244</v>
          </cell>
          <cell r="C3150" t="str">
            <v>Lotharmeyerite</v>
          </cell>
          <cell r="E3150" t="str">
            <v>https://www.mindat.org/1:1:2439:2</v>
          </cell>
        </row>
        <row r="3151">
          <cell r="A3151">
            <v>2402</v>
          </cell>
          <cell r="B3151">
            <v>5244</v>
          </cell>
          <cell r="C3151" t="str">
            <v>Ludjibaite</v>
          </cell>
          <cell r="E3151" t="str">
            <v>https://www.mindat.org/1:1:2451:4</v>
          </cell>
        </row>
        <row r="3152">
          <cell r="A3152">
            <v>2403</v>
          </cell>
          <cell r="B3152">
            <v>5244</v>
          </cell>
          <cell r="C3152" t="str">
            <v>Ludlamite</v>
          </cell>
          <cell r="E3152" t="str">
            <v>https://www.mindat.org/1:1:2452:1</v>
          </cell>
        </row>
        <row r="3153">
          <cell r="A3153">
            <v>2407</v>
          </cell>
          <cell r="B3153">
            <v>5244</v>
          </cell>
          <cell r="C3153" t="str">
            <v>Luetheite</v>
          </cell>
          <cell r="E3153" t="str">
            <v>https://www.mindat.org/1:1:2456:9</v>
          </cell>
        </row>
        <row r="3154">
          <cell r="A3154">
            <v>2409</v>
          </cell>
          <cell r="B3154">
            <v>5244</v>
          </cell>
          <cell r="C3154" t="str">
            <v>Lulzacite</v>
          </cell>
          <cell r="E3154" t="str">
            <v>https://www.mindat.org/1:1:7058:0</v>
          </cell>
        </row>
        <row r="3155">
          <cell r="A3155">
            <v>2414</v>
          </cell>
          <cell r="B3155">
            <v>5244</v>
          </cell>
          <cell r="C3155" t="str">
            <v>Lyonsite</v>
          </cell>
          <cell r="E3155" t="str">
            <v>https://www.mindat.org/1:1:2464:4</v>
          </cell>
        </row>
        <row r="3156">
          <cell r="A3156">
            <v>2423</v>
          </cell>
          <cell r="B3156">
            <v>5244</v>
          </cell>
          <cell r="C3156" t="str">
            <v>Machatschkiite</v>
          </cell>
          <cell r="E3156" t="str">
            <v>https://www.mindat.org/1:1:2510:8</v>
          </cell>
        </row>
        <row r="3157">
          <cell r="A3157">
            <v>2457</v>
          </cell>
          <cell r="B3157">
            <v>5244</v>
          </cell>
          <cell r="C3157" t="str">
            <v>Magnesium-chlorophoenicite</v>
          </cell>
          <cell r="E3157" t="str">
            <v/>
          </cell>
        </row>
        <row r="3158">
          <cell r="A3158">
            <v>2489</v>
          </cell>
          <cell r="B3158">
            <v>5244</v>
          </cell>
          <cell r="C3158" t="str">
            <v>Manganberzeliite</v>
          </cell>
          <cell r="E3158" t="str">
            <v>https://www.mindat.org/1:1:2480:4</v>
          </cell>
        </row>
        <row r="3159">
          <cell r="A3159">
            <v>2491</v>
          </cell>
          <cell r="B3159">
            <v>5244</v>
          </cell>
          <cell r="C3159" t="str">
            <v>Manganese-hornesite</v>
          </cell>
          <cell r="E3159" t="str">
            <v/>
          </cell>
        </row>
        <row r="3160">
          <cell r="A3160">
            <v>2493</v>
          </cell>
          <cell r="B3160">
            <v>5244</v>
          </cell>
          <cell r="C3160" t="str">
            <v>Mangangordonite</v>
          </cell>
          <cell r="E3160" t="str">
            <v>https://www.mindat.org/1:1:2469:9</v>
          </cell>
        </row>
        <row r="3161">
          <cell r="A3161">
            <v>2515</v>
          </cell>
          <cell r="B3161">
            <v>5244</v>
          </cell>
          <cell r="C3161" t="str">
            <v>Mansfieldite</v>
          </cell>
          <cell r="E3161" t="str">
            <v>https://www.mindat.org/1:1:2568:9</v>
          </cell>
        </row>
        <row r="3162">
          <cell r="A3162">
            <v>2516</v>
          </cell>
          <cell r="B3162">
            <v>5244</v>
          </cell>
          <cell r="C3162" t="str">
            <v>Mantienneite</v>
          </cell>
          <cell r="E3162" t="str">
            <v>https://www.mindat.org/1:1:2569:6</v>
          </cell>
        </row>
        <row r="3163">
          <cell r="A3163">
            <v>2517</v>
          </cell>
          <cell r="B3163">
            <v>5244</v>
          </cell>
          <cell r="C3163" t="str">
            <v>Mapimite</v>
          </cell>
          <cell r="E3163" t="str">
            <v>https://www.mindat.org/1:1:2570:2</v>
          </cell>
        </row>
        <row r="3164">
          <cell r="A3164">
            <v>2523</v>
          </cell>
          <cell r="B3164">
            <v>5244</v>
          </cell>
          <cell r="C3164" t="str">
            <v>Maricite</v>
          </cell>
          <cell r="E3164" t="str">
            <v/>
          </cell>
        </row>
        <row r="3165">
          <cell r="A3165">
            <v>2543</v>
          </cell>
          <cell r="B3165">
            <v>5244</v>
          </cell>
          <cell r="C3165" t="str">
            <v>Matulaite</v>
          </cell>
          <cell r="E3165" t="str">
            <v>https://www.mindat.org/1:1:2598:6</v>
          </cell>
        </row>
        <row r="3166">
          <cell r="A3166">
            <v>2546</v>
          </cell>
          <cell r="B3166">
            <v>5244</v>
          </cell>
          <cell r="C3166" t="str">
            <v>Mawbyite</v>
          </cell>
          <cell r="E3166" t="str">
            <v>https://www.mindat.org/1:1:2603:7</v>
          </cell>
        </row>
        <row r="3167">
          <cell r="A3167">
            <v>2548</v>
          </cell>
          <cell r="B3167">
            <v>5244</v>
          </cell>
          <cell r="C3167" t="str">
            <v>Maxwellite</v>
          </cell>
          <cell r="E3167" t="str">
            <v>https://www.mindat.org/1:1:2605:1</v>
          </cell>
        </row>
        <row r="3168">
          <cell r="A3168">
            <v>2555</v>
          </cell>
          <cell r="B3168">
            <v>5244</v>
          </cell>
          <cell r="C3168" t="str">
            <v>Mcauslanite</v>
          </cell>
          <cell r="E3168" t="str">
            <v>https://www.mindat.org/1:1:2610:5</v>
          </cell>
        </row>
        <row r="3169">
          <cell r="A3169">
            <v>2556</v>
          </cell>
          <cell r="B3169">
            <v>5244</v>
          </cell>
          <cell r="C3169" t="str">
            <v>Mcbirneyite</v>
          </cell>
          <cell r="E3169" t="str">
            <v>https://www.mindat.org/1:1:2611:2</v>
          </cell>
        </row>
        <row r="3170">
          <cell r="A3170">
            <v>2558</v>
          </cell>
          <cell r="B3170">
            <v>5244</v>
          </cell>
          <cell r="C3170" t="str">
            <v>Mccrillisite</v>
          </cell>
          <cell r="E3170" t="str">
            <v>https://www.mindat.org/1:1:7174:7</v>
          </cell>
        </row>
        <row r="3171">
          <cell r="A3171">
            <v>2560</v>
          </cell>
          <cell r="B3171">
            <v>5244</v>
          </cell>
          <cell r="C3171" t="str">
            <v>Mcgovernite</v>
          </cell>
          <cell r="E3171" t="str">
            <v>https://www.mindat.org/1:1:2614:3</v>
          </cell>
        </row>
        <row r="3172">
          <cell r="A3172">
            <v>2564</v>
          </cell>
          <cell r="B3172">
            <v>5244</v>
          </cell>
          <cell r="C3172" t="str">
            <v>Mcnearite</v>
          </cell>
          <cell r="E3172" t="str">
            <v>https://www.mindat.org/1:1:2620:4</v>
          </cell>
        </row>
        <row r="3173">
          <cell r="A3173">
            <v>2579</v>
          </cell>
          <cell r="B3173">
            <v>5244</v>
          </cell>
          <cell r="C3173" t="str">
            <v>Melkovite</v>
          </cell>
          <cell r="E3173" t="str">
            <v>https://www.mindat.org/1:1:2637:2</v>
          </cell>
        </row>
        <row r="3174">
          <cell r="A3174">
            <v>2582</v>
          </cell>
          <cell r="B3174">
            <v>5244</v>
          </cell>
          <cell r="C3174" t="str">
            <v>Melonjosephite</v>
          </cell>
          <cell r="E3174" t="str">
            <v/>
          </cell>
        </row>
        <row r="3175">
          <cell r="A3175">
            <v>2600</v>
          </cell>
          <cell r="B3175">
            <v>5244</v>
          </cell>
          <cell r="C3175" t="str">
            <v>Messelite</v>
          </cell>
          <cell r="E3175" t="str">
            <v>https://www.mindat.org/1:1:2658:7</v>
          </cell>
        </row>
        <row r="3176">
          <cell r="A3176">
            <v>2604</v>
          </cell>
          <cell r="B3176">
            <v>5244</v>
          </cell>
          <cell r="C3176" t="str">
            <v>Meta-autunite</v>
          </cell>
          <cell r="E3176" t="str">
            <v>https://www.mindat.org/1:1:2662:4</v>
          </cell>
        </row>
        <row r="3177">
          <cell r="A3177">
            <v>2605</v>
          </cell>
          <cell r="B3177">
            <v>5244</v>
          </cell>
          <cell r="C3177" t="str">
            <v>Meta-uranocircite</v>
          </cell>
          <cell r="E3177" t="str">
            <v/>
          </cell>
        </row>
        <row r="3178">
          <cell r="A3178">
            <v>2607</v>
          </cell>
          <cell r="B3178">
            <v>5244</v>
          </cell>
          <cell r="C3178" t="str">
            <v>Meta-uranospinite</v>
          </cell>
          <cell r="E3178" t="str">
            <v/>
          </cell>
        </row>
        <row r="3179">
          <cell r="A3179">
            <v>2613</v>
          </cell>
          <cell r="B3179">
            <v>5244</v>
          </cell>
          <cell r="C3179" t="str">
            <v>Metaheinrichite</v>
          </cell>
          <cell r="E3179" t="str">
            <v>https://www.mindat.org/1:1:2673:0</v>
          </cell>
        </row>
        <row r="3180">
          <cell r="A3180">
            <v>2616</v>
          </cell>
          <cell r="B3180">
            <v>5244</v>
          </cell>
          <cell r="C3180" t="str">
            <v>Metakahlerite</v>
          </cell>
          <cell r="E3180" t="str">
            <v>https://www.mindat.org/1:1:2676:1</v>
          </cell>
        </row>
        <row r="3181">
          <cell r="A3181">
            <v>2617</v>
          </cell>
          <cell r="B3181">
            <v>5244</v>
          </cell>
          <cell r="C3181" t="str">
            <v>Metakirchheimerite</v>
          </cell>
          <cell r="E3181" t="str">
            <v>https://www.mindat.org/1:1:2677:8</v>
          </cell>
        </row>
        <row r="3182">
          <cell r="A3182">
            <v>2618</v>
          </cell>
          <cell r="B3182">
            <v>5244</v>
          </cell>
          <cell r="C3182" t="str">
            <v>Metakottigite</v>
          </cell>
          <cell r="E3182" t="str">
            <v/>
          </cell>
        </row>
        <row r="3183">
          <cell r="A3183">
            <v>2619</v>
          </cell>
          <cell r="B3183">
            <v>5244</v>
          </cell>
          <cell r="C3183" t="str">
            <v>Metalodevite</v>
          </cell>
          <cell r="E3183" t="str">
            <v/>
          </cell>
        </row>
        <row r="3184">
          <cell r="A3184">
            <v>2621</v>
          </cell>
          <cell r="B3184">
            <v>5244</v>
          </cell>
          <cell r="C3184" t="str">
            <v>Metanovacekite</v>
          </cell>
          <cell r="E3184" t="str">
            <v/>
          </cell>
        </row>
        <row r="3185">
          <cell r="A3185">
            <v>2623</v>
          </cell>
          <cell r="B3185">
            <v>5244</v>
          </cell>
          <cell r="C3185" t="str">
            <v>Metaschoderite</v>
          </cell>
          <cell r="E3185" t="str">
            <v>https://www.mindat.org/1:1:2683:9</v>
          </cell>
        </row>
        <row r="3186">
          <cell r="A3186">
            <v>2628</v>
          </cell>
          <cell r="B3186">
            <v>5244</v>
          </cell>
          <cell r="C3186" t="str">
            <v>Metaswitzerite</v>
          </cell>
          <cell r="E3186" t="str">
            <v>https://www.mindat.org/1:1:2688:4</v>
          </cell>
        </row>
        <row r="3187">
          <cell r="A3187">
            <v>2629</v>
          </cell>
          <cell r="B3187">
            <v>5244</v>
          </cell>
          <cell r="C3187" t="str">
            <v>Metatorbernite</v>
          </cell>
          <cell r="E3187" t="str">
            <v>https://www.mindat.org/1:1:2689:1</v>
          </cell>
        </row>
        <row r="3188">
          <cell r="A3188">
            <v>2634</v>
          </cell>
          <cell r="B3188">
            <v>5244</v>
          </cell>
          <cell r="C3188" t="str">
            <v>Metavariscite</v>
          </cell>
          <cell r="E3188" t="str">
            <v>https://www.mindat.org/1:1:2694:5</v>
          </cell>
        </row>
        <row r="3189">
          <cell r="A3189">
            <v>2635</v>
          </cell>
          <cell r="B3189">
            <v>5244</v>
          </cell>
          <cell r="C3189" t="str">
            <v>Metavauxite</v>
          </cell>
          <cell r="E3189" t="str">
            <v>https://www.mindat.org/1:1:2621:1</v>
          </cell>
        </row>
        <row r="3190">
          <cell r="A3190">
            <v>2636</v>
          </cell>
          <cell r="B3190">
            <v>5244</v>
          </cell>
          <cell r="C3190" t="str">
            <v>Metavivianite</v>
          </cell>
          <cell r="E3190" t="str">
            <v>https://www.mindat.org/1:1:2695:2</v>
          </cell>
        </row>
        <row r="3191">
          <cell r="A3191">
            <v>2639</v>
          </cell>
          <cell r="B3191">
            <v>5244</v>
          </cell>
          <cell r="C3191" t="str">
            <v>Metazeunerite</v>
          </cell>
          <cell r="E3191" t="str">
            <v>https://www.mindat.org/1:1:2698:3</v>
          </cell>
        </row>
        <row r="3192">
          <cell r="A3192">
            <v>2657</v>
          </cell>
          <cell r="B3192">
            <v>5244</v>
          </cell>
          <cell r="C3192" t="str">
            <v>Francoisite-(Nd)</v>
          </cell>
          <cell r="E3192" t="str">
            <v/>
          </cell>
        </row>
        <row r="3193">
          <cell r="A3193">
            <v>2665</v>
          </cell>
          <cell r="B3193">
            <v>5244</v>
          </cell>
          <cell r="C3193" t="str">
            <v>Fransoletite</v>
          </cell>
          <cell r="E3193" t="str">
            <v>https://www.mindat.org/1:1:1600:7</v>
          </cell>
        </row>
        <row r="3194">
          <cell r="A3194">
            <v>2680</v>
          </cell>
          <cell r="B3194">
            <v>5244</v>
          </cell>
          <cell r="C3194" t="str">
            <v>Frondelite</v>
          </cell>
          <cell r="E3194" t="str">
            <v>https://www.mindat.org/1:1:1614:4</v>
          </cell>
        </row>
        <row r="3195">
          <cell r="A3195">
            <v>2685</v>
          </cell>
          <cell r="B3195">
            <v>5244</v>
          </cell>
          <cell r="C3195" t="str">
            <v>Furongite</v>
          </cell>
          <cell r="E3195" t="str">
            <v>https://www.mindat.org/1:1:1621:2</v>
          </cell>
        </row>
        <row r="3196">
          <cell r="A3196">
            <v>2688</v>
          </cell>
          <cell r="B3196">
            <v>5244</v>
          </cell>
          <cell r="C3196" t="str">
            <v>Gabrielsonite</v>
          </cell>
          <cell r="E3196" t="str">
            <v>https://www.mindat.org/1:1:1626:7</v>
          </cell>
        </row>
        <row r="3197">
          <cell r="A3197">
            <v>2698</v>
          </cell>
          <cell r="B3197">
            <v>5244</v>
          </cell>
          <cell r="C3197" t="str">
            <v>Gainesite</v>
          </cell>
          <cell r="E3197" t="str">
            <v>https://www.mindat.org/1:1:1635:9</v>
          </cell>
        </row>
        <row r="3198">
          <cell r="A3198">
            <v>2699</v>
          </cell>
          <cell r="B3198">
            <v>5244</v>
          </cell>
          <cell r="C3198" t="str">
            <v>Gaitite</v>
          </cell>
          <cell r="E3198" t="str">
            <v>https://www.mindat.org/1:1:1636:6</v>
          </cell>
        </row>
        <row r="3199">
          <cell r="A3199">
            <v>2707</v>
          </cell>
          <cell r="B3199">
            <v>5244</v>
          </cell>
          <cell r="C3199" t="str">
            <v>Gallobeudantite</v>
          </cell>
          <cell r="E3199" t="str">
            <v>https://www.mindat.org/1:1:6962:1</v>
          </cell>
        </row>
        <row r="3200">
          <cell r="A3200">
            <v>2708</v>
          </cell>
          <cell r="B3200">
            <v>5244</v>
          </cell>
          <cell r="C3200" t="str">
            <v>Gamagarite</v>
          </cell>
          <cell r="E3200" t="str">
            <v>https://www.mindat.org/1:1:1645:8</v>
          </cell>
        </row>
        <row r="3201">
          <cell r="A3201">
            <v>2718</v>
          </cell>
          <cell r="B3201">
            <v>5244</v>
          </cell>
          <cell r="C3201" t="str">
            <v>Gartrellite</v>
          </cell>
          <cell r="E3201" t="str">
            <v>https://www.mindat.org/1:1:1654:0</v>
          </cell>
        </row>
        <row r="3202">
          <cell r="A3202">
            <v>2720</v>
          </cell>
          <cell r="B3202">
            <v>5244</v>
          </cell>
          <cell r="C3202" t="str">
            <v>Gasparite-(Ce)</v>
          </cell>
          <cell r="E3202" t="str">
            <v>https://www.mindat.org/1:1:1656:4</v>
          </cell>
        </row>
        <row r="3203">
          <cell r="A3203">
            <v>2723</v>
          </cell>
          <cell r="B3203">
            <v>5244</v>
          </cell>
          <cell r="C3203" t="str">
            <v>Gatumbaite</v>
          </cell>
          <cell r="E3203" t="str">
            <v>https://www.mindat.org/1:1:1659:5</v>
          </cell>
        </row>
        <row r="3204">
          <cell r="A3204">
            <v>2735</v>
          </cell>
          <cell r="B3204">
            <v>5244</v>
          </cell>
          <cell r="C3204" t="str">
            <v>Geminite</v>
          </cell>
          <cell r="E3204" t="str">
            <v>https://www.mindat.org/1:1:1671:7</v>
          </cell>
        </row>
        <row r="3205">
          <cell r="A3205">
            <v>2745</v>
          </cell>
          <cell r="B3205">
            <v>5244</v>
          </cell>
          <cell r="C3205" t="str">
            <v>Gerdtremmelite</v>
          </cell>
          <cell r="E3205" t="str">
            <v>https://www.mindat.org/1:1:1679:3</v>
          </cell>
        </row>
        <row r="3206">
          <cell r="A3206">
            <v>2761</v>
          </cell>
          <cell r="B3206">
            <v>5244</v>
          </cell>
          <cell r="C3206" t="str">
            <v>Gilmarite</v>
          </cell>
          <cell r="E3206" t="str">
            <v>https://www.mindat.org/1:1:6970:6</v>
          </cell>
        </row>
        <row r="3207">
          <cell r="A3207">
            <v>2762</v>
          </cell>
          <cell r="B3207">
            <v>5244</v>
          </cell>
          <cell r="C3207" t="str">
            <v>Giniite</v>
          </cell>
          <cell r="E3207" t="str">
            <v>https://www.mindat.org/1:1:1695:3</v>
          </cell>
        </row>
        <row r="3208">
          <cell r="A3208">
            <v>2781</v>
          </cell>
          <cell r="B3208">
            <v>5244</v>
          </cell>
          <cell r="C3208" t="str">
            <v>Glucine</v>
          </cell>
          <cell r="E3208" t="str">
            <v>https://www.mindat.org/1:1:1712:7</v>
          </cell>
        </row>
        <row r="3209">
          <cell r="A3209">
            <v>2790</v>
          </cell>
          <cell r="B3209">
            <v>5244</v>
          </cell>
          <cell r="C3209" t="str">
            <v>Goedkenite</v>
          </cell>
          <cell r="E3209" t="str">
            <v>https://www.mindat.org/1:1:1718:9</v>
          </cell>
        </row>
        <row r="3210">
          <cell r="A3210">
            <v>2802</v>
          </cell>
          <cell r="B3210">
            <v>5244</v>
          </cell>
          <cell r="C3210" t="str">
            <v>Gorceixite</v>
          </cell>
          <cell r="E3210" t="str">
            <v>https://www.mindat.org/1:1:1727:1</v>
          </cell>
        </row>
        <row r="3211">
          <cell r="A3211">
            <v>2804</v>
          </cell>
          <cell r="B3211">
            <v>5244</v>
          </cell>
          <cell r="C3211" t="str">
            <v>Gordonite</v>
          </cell>
          <cell r="E3211" t="str">
            <v>https://www.mindat.org/1:1:1728:8</v>
          </cell>
        </row>
        <row r="3212">
          <cell r="A3212">
            <v>2805</v>
          </cell>
          <cell r="B3212">
            <v>5244</v>
          </cell>
          <cell r="C3212" t="str">
            <v>Gormanite</v>
          </cell>
          <cell r="E3212" t="str">
            <v>https://www.mindat.org/1:1:1729:5</v>
          </cell>
        </row>
        <row r="3213">
          <cell r="A3213">
            <v>2810</v>
          </cell>
          <cell r="B3213">
            <v>5244</v>
          </cell>
          <cell r="C3213" t="str">
            <v>Goudeyite</v>
          </cell>
          <cell r="E3213" t="str">
            <v>https://www.mindat.org/1:1:1732:5</v>
          </cell>
        </row>
        <row r="3214">
          <cell r="A3214">
            <v>2812</v>
          </cell>
          <cell r="B3214">
            <v>5244</v>
          </cell>
          <cell r="C3214" t="str">
            <v>Goyazite</v>
          </cell>
          <cell r="E3214" t="str">
            <v>https://www.mindat.org/1:1:1787:5</v>
          </cell>
        </row>
        <row r="3215">
          <cell r="A3215">
            <v>2815</v>
          </cell>
          <cell r="B3215">
            <v>5244</v>
          </cell>
          <cell r="C3215" t="str">
            <v>Graftonite</v>
          </cell>
          <cell r="E3215" t="str">
            <v>https://www.mindat.org/1:1:1735:6</v>
          </cell>
        </row>
        <row r="3216">
          <cell r="A3216">
            <v>2823</v>
          </cell>
          <cell r="B3216">
            <v>5244</v>
          </cell>
          <cell r="C3216" t="str">
            <v>Grayite</v>
          </cell>
          <cell r="E3216" t="str">
            <v>https://www.mindat.org/1:1:1743:1</v>
          </cell>
        </row>
        <row r="3217">
          <cell r="A3217">
            <v>2828</v>
          </cell>
          <cell r="B3217">
            <v>5244</v>
          </cell>
          <cell r="C3217" t="str">
            <v>Greifensteinite</v>
          </cell>
          <cell r="E3217" t="str">
            <v>https://www.mindat.org/1:1:11356:8</v>
          </cell>
        </row>
        <row r="3218">
          <cell r="A3218">
            <v>2833</v>
          </cell>
          <cell r="B3218">
            <v>5244</v>
          </cell>
          <cell r="C3218" t="str">
            <v>Griphite</v>
          </cell>
          <cell r="E3218" t="str">
            <v>https://www.mindat.org/1:1:1752:3</v>
          </cell>
        </row>
        <row r="3219">
          <cell r="A3219">
            <v>2834</v>
          </cell>
          <cell r="B3219">
            <v>5244</v>
          </cell>
          <cell r="C3219" t="str">
            <v>Grischunite</v>
          </cell>
          <cell r="E3219" t="str">
            <v>https://www.mindat.org/1:1:1753:0</v>
          </cell>
        </row>
        <row r="3220">
          <cell r="A3220">
            <v>2846</v>
          </cell>
          <cell r="B3220">
            <v>5244</v>
          </cell>
          <cell r="C3220" t="str">
            <v>Guerinite</v>
          </cell>
          <cell r="E3220" t="str">
            <v/>
          </cell>
        </row>
        <row r="3221">
          <cell r="A3221">
            <v>2855</v>
          </cell>
          <cell r="B3221">
            <v>5244</v>
          </cell>
          <cell r="C3221" t="str">
            <v>Gutsevichite</v>
          </cell>
          <cell r="E3221" t="str">
            <v/>
          </cell>
        </row>
        <row r="3222">
          <cell r="A3222">
            <v>2865</v>
          </cell>
          <cell r="B3222">
            <v>5244</v>
          </cell>
          <cell r="C3222" t="str">
            <v>Hagendorfite</v>
          </cell>
          <cell r="E3222" t="str">
            <v>https://www.mindat.org/1:1:1795:0</v>
          </cell>
        </row>
        <row r="3223">
          <cell r="A3223">
            <v>2867</v>
          </cell>
          <cell r="B3223">
            <v>5244</v>
          </cell>
          <cell r="C3223" t="str">
            <v>Haidingerite</v>
          </cell>
          <cell r="E3223" t="str">
            <v>https://www.mindat.org/1:1:1797:4</v>
          </cell>
        </row>
        <row r="3224">
          <cell r="A3224">
            <v>2873</v>
          </cell>
          <cell r="B3224">
            <v>5244</v>
          </cell>
          <cell r="C3224" t="str">
            <v>Hallimondite</v>
          </cell>
          <cell r="E3224" t="str">
            <v>https://www.mindat.org/1:1:1807:0</v>
          </cell>
        </row>
        <row r="3225">
          <cell r="A3225">
            <v>2882</v>
          </cell>
          <cell r="B3225">
            <v>5244</v>
          </cell>
          <cell r="C3225" t="str">
            <v>Hannayite</v>
          </cell>
          <cell r="E3225" t="str">
            <v>https://www.mindat.org/1:1:1816:2</v>
          </cell>
        </row>
        <row r="3226">
          <cell r="A3226">
            <v>2888</v>
          </cell>
          <cell r="B3226">
            <v>5244</v>
          </cell>
          <cell r="C3226" t="str">
            <v>Harrisonite</v>
          </cell>
          <cell r="E3226" t="str">
            <v>https://www.mindat.org/1:1:1821:6</v>
          </cell>
        </row>
        <row r="3227">
          <cell r="A3227">
            <v>2911</v>
          </cell>
          <cell r="B3227">
            <v>5244</v>
          </cell>
          <cell r="C3227" t="str">
            <v>Hedyphane</v>
          </cell>
          <cell r="E3227" t="str">
            <v>https://www.mindat.org/1:1:1844:5</v>
          </cell>
        </row>
        <row r="3228">
          <cell r="A3228">
            <v>2914</v>
          </cell>
          <cell r="B3228">
            <v>5244</v>
          </cell>
          <cell r="C3228" t="str">
            <v>Heinrichite</v>
          </cell>
          <cell r="E3228" t="str">
            <v>https://www.mindat.org/1:1:1848:3</v>
          </cell>
        </row>
        <row r="3229">
          <cell r="A3229">
            <v>2919</v>
          </cell>
          <cell r="B3229">
            <v>5244</v>
          </cell>
          <cell r="C3229" t="str">
            <v>Helmutwinklerite</v>
          </cell>
          <cell r="E3229" t="str">
            <v>https://www.mindat.org/1:1:1854:4</v>
          </cell>
        </row>
        <row r="3230">
          <cell r="A3230">
            <v>2922</v>
          </cell>
          <cell r="B3230">
            <v>5244</v>
          </cell>
          <cell r="C3230" t="str">
            <v>Hematolite</v>
          </cell>
          <cell r="E3230" t="str">
            <v>https://www.mindat.org/1:1:1857:5</v>
          </cell>
        </row>
        <row r="3231">
          <cell r="A3231">
            <v>2930</v>
          </cell>
          <cell r="B3231">
            <v>5244</v>
          </cell>
          <cell r="C3231" t="str">
            <v>Heneuite</v>
          </cell>
          <cell r="E3231" t="str">
            <v>https://www.mindat.org/1:1:1865:0</v>
          </cell>
        </row>
        <row r="3232">
          <cell r="A3232">
            <v>2935</v>
          </cell>
          <cell r="B3232">
            <v>5244</v>
          </cell>
          <cell r="C3232" t="str">
            <v>Hentschelite</v>
          </cell>
          <cell r="E3232" t="str">
            <v>https://www.mindat.org/1:1:1869:8</v>
          </cell>
        </row>
        <row r="3233">
          <cell r="A3233">
            <v>2937</v>
          </cell>
          <cell r="B3233">
            <v>5244</v>
          </cell>
          <cell r="C3233" t="str">
            <v>Herderite</v>
          </cell>
          <cell r="E3233" t="str">
            <v>https://www.mindat.org/1:1:1876:6</v>
          </cell>
        </row>
        <row r="3234">
          <cell r="A3234">
            <v>2945</v>
          </cell>
          <cell r="B3234">
            <v>5244</v>
          </cell>
          <cell r="C3234" t="str">
            <v>Heterosite</v>
          </cell>
          <cell r="E3234" t="str">
            <v>https://www.mindat.org/1:1:1887:2</v>
          </cell>
        </row>
        <row r="3235">
          <cell r="A3235">
            <v>2956</v>
          </cell>
          <cell r="B3235">
            <v>5244</v>
          </cell>
          <cell r="C3235" t="str">
            <v>Heyite</v>
          </cell>
          <cell r="E3235" t="str">
            <v>https://www.mindat.org/1:1:1894:0</v>
          </cell>
        </row>
        <row r="3236">
          <cell r="A3236">
            <v>2961</v>
          </cell>
          <cell r="B3236">
            <v>5244</v>
          </cell>
          <cell r="C3236" t="str">
            <v>Hidalgoite</v>
          </cell>
          <cell r="E3236" t="str">
            <v>https://www.mindat.org/1:1:1899:5</v>
          </cell>
        </row>
        <row r="3237">
          <cell r="A3237">
            <v>2973</v>
          </cell>
          <cell r="B3237">
            <v>5244</v>
          </cell>
          <cell r="C3237" t="str">
            <v>Hinsdalite</v>
          </cell>
          <cell r="E3237" t="str">
            <v>https://www.mindat.org/1:1:1908:4</v>
          </cell>
        </row>
        <row r="3238">
          <cell r="A3238">
            <v>2985</v>
          </cell>
          <cell r="B3238">
            <v>5244</v>
          </cell>
          <cell r="C3238" t="str">
            <v>Holdenite</v>
          </cell>
          <cell r="E3238" t="str">
            <v>https://www.mindat.org/1:1:1920:6</v>
          </cell>
        </row>
        <row r="3239">
          <cell r="A3239">
            <v>2989</v>
          </cell>
          <cell r="B3239">
            <v>5244</v>
          </cell>
          <cell r="C3239" t="str">
            <v>Holtedahlite</v>
          </cell>
          <cell r="E3239" t="str">
            <v>https://www.mindat.org/1:1:1924:4</v>
          </cell>
        </row>
        <row r="3240">
          <cell r="A3240">
            <v>2995</v>
          </cell>
          <cell r="B3240">
            <v>5244</v>
          </cell>
          <cell r="C3240" t="str">
            <v>Hopeite</v>
          </cell>
          <cell r="E3240" t="str">
            <v>https://www.mindat.org/1:1:1999:2</v>
          </cell>
        </row>
        <row r="3241">
          <cell r="A3241">
            <v>2999</v>
          </cell>
          <cell r="B3241">
            <v>5244</v>
          </cell>
          <cell r="C3241" t="str">
            <v>Hotsonite</v>
          </cell>
          <cell r="E3241" t="str">
            <v>https://www.mindat.org/1:1:1933:6</v>
          </cell>
        </row>
        <row r="3242">
          <cell r="A3242">
            <v>3000</v>
          </cell>
          <cell r="B3242">
            <v>5244</v>
          </cell>
          <cell r="C3242" t="str">
            <v>Howardevansite</v>
          </cell>
          <cell r="E3242" t="str">
            <v>https://www.mindat.org/1:1:1934:3</v>
          </cell>
        </row>
        <row r="3243">
          <cell r="A3243">
            <v>3016</v>
          </cell>
          <cell r="B3243">
            <v>5244</v>
          </cell>
          <cell r="C3243" t="str">
            <v>Hureaulite</v>
          </cell>
          <cell r="E3243" t="str">
            <v>https://www.mindat.org/1:1:1952:7</v>
          </cell>
        </row>
        <row r="3244">
          <cell r="A3244">
            <v>3017</v>
          </cell>
          <cell r="B3244">
            <v>5244</v>
          </cell>
          <cell r="C3244" t="str">
            <v>Hurlbutite</v>
          </cell>
          <cell r="E3244" t="str">
            <v>https://www.mindat.org/1:1:1953:4</v>
          </cell>
        </row>
        <row r="3245">
          <cell r="A3245">
            <v>3050</v>
          </cell>
          <cell r="B3245">
            <v>5244</v>
          </cell>
          <cell r="C3245" t="str">
            <v>Hydroxylapatite</v>
          </cell>
          <cell r="E3245" t="str">
            <v>https://www.mindat.org/1:1:1992:3</v>
          </cell>
        </row>
        <row r="3246">
          <cell r="A3246">
            <v>3057</v>
          </cell>
          <cell r="B3246">
            <v>5244</v>
          </cell>
          <cell r="C3246" t="str">
            <v>Hydroxylherderite</v>
          </cell>
          <cell r="E3246" t="str">
            <v>https://www.mindat.org/1:1:1962:6</v>
          </cell>
        </row>
        <row r="3247">
          <cell r="A3247">
            <v>3064</v>
          </cell>
          <cell r="B3247">
            <v>5244</v>
          </cell>
          <cell r="C3247" t="str">
            <v>Hornesite</v>
          </cell>
          <cell r="E3247" t="str">
            <v/>
          </cell>
        </row>
        <row r="3248">
          <cell r="A3248">
            <v>3066</v>
          </cell>
          <cell r="B3248">
            <v>5244</v>
          </cell>
          <cell r="C3248" t="str">
            <v>Hugelite</v>
          </cell>
          <cell r="E3248" t="str">
            <v/>
          </cell>
        </row>
        <row r="3249">
          <cell r="A3249">
            <v>3110</v>
          </cell>
          <cell r="B3249">
            <v>5244</v>
          </cell>
          <cell r="C3249" t="str">
            <v>Irhtemite</v>
          </cell>
          <cell r="E3249" t="str">
            <v>https://www.mindat.org/1:1:2043:1</v>
          </cell>
        </row>
        <row r="3250">
          <cell r="A3250">
            <v>3121</v>
          </cell>
          <cell r="B3250">
            <v>5244</v>
          </cell>
          <cell r="C3250" t="str">
            <v>Isokite</v>
          </cell>
          <cell r="E3250" t="str">
            <v>https://www.mindat.org/1:1:2054:7</v>
          </cell>
        </row>
        <row r="3251">
          <cell r="A3251">
            <v>3135</v>
          </cell>
          <cell r="B3251">
            <v>5244</v>
          </cell>
          <cell r="C3251" t="str">
            <v>Jagowerite</v>
          </cell>
          <cell r="E3251" t="str">
            <v>https://www.mindat.org/1:1:2065:3</v>
          </cell>
        </row>
        <row r="3252">
          <cell r="A3252">
            <v>3136</v>
          </cell>
          <cell r="B3252">
            <v>5244</v>
          </cell>
          <cell r="C3252" t="str">
            <v>Jahnsite</v>
          </cell>
          <cell r="E3252" t="str">
            <v/>
          </cell>
        </row>
        <row r="3253">
          <cell r="A3253">
            <v>3137</v>
          </cell>
          <cell r="B3253">
            <v>5244</v>
          </cell>
          <cell r="C3253" t="str">
            <v>Jahnsite-(camnfe)</v>
          </cell>
          <cell r="E3253" t="str">
            <v>https://www.mindat.org/1:1:2066:0</v>
          </cell>
        </row>
        <row r="3254">
          <cell r="A3254">
            <v>3138</v>
          </cell>
          <cell r="B3254">
            <v>5244</v>
          </cell>
          <cell r="C3254" t="str">
            <v>Jahnsite-(camnmg)</v>
          </cell>
          <cell r="E3254" t="str">
            <v>https://www.mindat.org/1:1:2067:7</v>
          </cell>
        </row>
        <row r="3255">
          <cell r="A3255">
            <v>3139</v>
          </cell>
          <cell r="B3255">
            <v>5244</v>
          </cell>
          <cell r="C3255" t="str">
            <v>Jahnsite-(camnmn)</v>
          </cell>
          <cell r="E3255" t="str">
            <v>https://www.mindat.org/1:1:2068:4</v>
          </cell>
        </row>
        <row r="3256">
          <cell r="A3256">
            <v>3142</v>
          </cell>
          <cell r="B3256">
            <v>5244</v>
          </cell>
          <cell r="C3256" t="str">
            <v>Jamesite</v>
          </cell>
          <cell r="E3256" t="str">
            <v>https://www.mindat.org/1:1:2071:4</v>
          </cell>
        </row>
        <row r="3257">
          <cell r="A3257">
            <v>3148</v>
          </cell>
          <cell r="B3257">
            <v>5244</v>
          </cell>
          <cell r="C3257" t="str">
            <v>Jarosewichite</v>
          </cell>
          <cell r="E3257" t="str">
            <v>https://www.mindat.org/1:1:2077:6</v>
          </cell>
        </row>
        <row r="3258">
          <cell r="A3258">
            <v>3174</v>
          </cell>
          <cell r="B3258">
            <v>5244</v>
          </cell>
          <cell r="C3258" t="str">
            <v>Johillerite</v>
          </cell>
          <cell r="E3258" t="str">
            <v>https://www.mindat.org/1:1:2104:9</v>
          </cell>
        </row>
        <row r="3259">
          <cell r="A3259">
            <v>3175</v>
          </cell>
          <cell r="B3259">
            <v>5244</v>
          </cell>
          <cell r="C3259" t="str">
            <v>Johnbaumite</v>
          </cell>
          <cell r="E3259" t="str">
            <v>https://www.mindat.org/1:1:2105:6</v>
          </cell>
        </row>
        <row r="3260">
          <cell r="A3260">
            <v>3177</v>
          </cell>
          <cell r="B3260">
            <v>5244</v>
          </cell>
          <cell r="C3260" t="str">
            <v>Johnsomervilleite</v>
          </cell>
          <cell r="E3260" t="str">
            <v>https://www.mindat.org/1:1:2107:0</v>
          </cell>
        </row>
        <row r="3261">
          <cell r="A3261">
            <v>3179</v>
          </cell>
          <cell r="B3261">
            <v>5244</v>
          </cell>
          <cell r="C3261" t="str">
            <v>Johnwalkite</v>
          </cell>
          <cell r="E3261" t="str">
            <v>https://www.mindat.org/1:1:2108:7</v>
          </cell>
        </row>
        <row r="3262">
          <cell r="A3262">
            <v>3198</v>
          </cell>
          <cell r="B3262">
            <v>5244</v>
          </cell>
          <cell r="C3262" t="str">
            <v>Jungite</v>
          </cell>
          <cell r="E3262" t="str">
            <v>https://www.mindat.org/1:1:2122:3</v>
          </cell>
        </row>
        <row r="3263">
          <cell r="A3263">
            <v>3205</v>
          </cell>
          <cell r="B3263">
            <v>5244</v>
          </cell>
          <cell r="C3263" t="str">
            <v>Kaatialaite</v>
          </cell>
          <cell r="E3263" t="str">
            <v>https://www.mindat.org/1:1:2126:1</v>
          </cell>
        </row>
        <row r="3264">
          <cell r="A3264">
            <v>3209</v>
          </cell>
          <cell r="B3264">
            <v>5244</v>
          </cell>
          <cell r="C3264" t="str">
            <v>Kahlerite</v>
          </cell>
          <cell r="E3264" t="str">
            <v>https://www.mindat.org/1:1:2131:5</v>
          </cell>
        </row>
        <row r="3265">
          <cell r="A3265">
            <v>3232</v>
          </cell>
          <cell r="B3265">
            <v>5244</v>
          </cell>
          <cell r="C3265" t="str">
            <v>Kankite</v>
          </cell>
          <cell r="E3265" t="str">
            <v>https://www.mindat.org/1:1:2153:7</v>
          </cell>
        </row>
        <row r="3266">
          <cell r="A3266">
            <v>3255</v>
          </cell>
          <cell r="B3266">
            <v>5244</v>
          </cell>
          <cell r="C3266" t="str">
            <v>Kazakhstanite</v>
          </cell>
          <cell r="E3266" t="str">
            <v>https://www.mindat.org/1:1:2171:1</v>
          </cell>
        </row>
        <row r="3267">
          <cell r="A3267">
            <v>3257</v>
          </cell>
          <cell r="B3267">
            <v>5244</v>
          </cell>
          <cell r="C3267" t="str">
            <v>Keckite</v>
          </cell>
          <cell r="E3267" t="str">
            <v>https://www.mindat.org/1:1:2174:2</v>
          </cell>
        </row>
        <row r="3268">
          <cell r="A3268">
            <v>3259</v>
          </cell>
          <cell r="B3268">
            <v>5244</v>
          </cell>
          <cell r="C3268" t="str">
            <v>Kehoeite</v>
          </cell>
          <cell r="E3268" t="str">
            <v/>
          </cell>
        </row>
        <row r="3269">
          <cell r="A3269">
            <v>3267</v>
          </cell>
          <cell r="B3269">
            <v>5244</v>
          </cell>
          <cell r="C3269" t="str">
            <v>Kemmlitzite</v>
          </cell>
          <cell r="E3269" t="str">
            <v>https://www.mindat.org/1:1:2182:7</v>
          </cell>
        </row>
        <row r="3270">
          <cell r="A3270">
            <v>3279</v>
          </cell>
          <cell r="B3270">
            <v>5244</v>
          </cell>
          <cell r="C3270" t="str">
            <v>Keyite</v>
          </cell>
          <cell r="E3270" t="str">
            <v>https://www.mindat.org/1:1:2191:9</v>
          </cell>
        </row>
        <row r="3271">
          <cell r="A3271">
            <v>3293</v>
          </cell>
          <cell r="B3271">
            <v>5244</v>
          </cell>
          <cell r="C3271" t="str">
            <v>Kidwellite</v>
          </cell>
          <cell r="E3271" t="str">
            <v>https://www.mindat.org/1:1:2202:2</v>
          </cell>
        </row>
        <row r="3272">
          <cell r="A3272">
            <v>3301</v>
          </cell>
          <cell r="B3272">
            <v>5244</v>
          </cell>
          <cell r="C3272" t="str">
            <v>Kingite</v>
          </cell>
          <cell r="E3272" t="str">
            <v>https://www.mindat.org/1:1:2210:7</v>
          </cell>
        </row>
        <row r="3273">
          <cell r="A3273">
            <v>3302</v>
          </cell>
          <cell r="B3273">
            <v>5244</v>
          </cell>
          <cell r="C3273" t="str">
            <v>Kingsmountite</v>
          </cell>
          <cell r="E3273" t="str">
            <v>https://www.mindat.org/1:1:2211:4</v>
          </cell>
        </row>
        <row r="3274">
          <cell r="A3274">
            <v>3307</v>
          </cell>
          <cell r="B3274">
            <v>5244</v>
          </cell>
          <cell r="C3274" t="str">
            <v>Kipushite</v>
          </cell>
          <cell r="E3274" t="str">
            <v>https://www.mindat.org/1:1:2215:2</v>
          </cell>
        </row>
        <row r="3275">
          <cell r="A3275">
            <v>3317</v>
          </cell>
          <cell r="B3275">
            <v>5244</v>
          </cell>
          <cell r="C3275" t="str">
            <v>Kleemanite</v>
          </cell>
          <cell r="E3275" t="str">
            <v>https://www.mindat.org/1:1:2224:4</v>
          </cell>
        </row>
        <row r="3276">
          <cell r="A3276">
            <v>3331</v>
          </cell>
          <cell r="B3276">
            <v>5244</v>
          </cell>
          <cell r="C3276" t="str">
            <v>Kolbeckite</v>
          </cell>
          <cell r="E3276" t="str">
            <v>https://www.mindat.org/1:1:2239:8</v>
          </cell>
        </row>
        <row r="3277">
          <cell r="A3277">
            <v>3333</v>
          </cell>
          <cell r="B3277">
            <v>5244</v>
          </cell>
          <cell r="C3277" t="str">
            <v>Kolicite</v>
          </cell>
          <cell r="E3277" t="str">
            <v>https://www.mindat.org/1:1:2241:1</v>
          </cell>
        </row>
        <row r="3278">
          <cell r="A3278">
            <v>3334</v>
          </cell>
          <cell r="B3278">
            <v>5244</v>
          </cell>
          <cell r="C3278" t="str">
            <v>Kolovratite</v>
          </cell>
          <cell r="E3278" t="str">
            <v>https://www.mindat.org/1:1:2242:8</v>
          </cell>
        </row>
        <row r="3279">
          <cell r="A3279">
            <v>3338</v>
          </cell>
          <cell r="B3279">
            <v>5244</v>
          </cell>
          <cell r="C3279" t="str">
            <v>Kombatite</v>
          </cell>
          <cell r="E3279" t="str">
            <v>https://www.mindat.org/1:1:2246:6</v>
          </cell>
        </row>
        <row r="3280">
          <cell r="A3280">
            <v>3341</v>
          </cell>
          <cell r="B3280">
            <v>5244</v>
          </cell>
          <cell r="C3280" t="str">
            <v>Koninckite</v>
          </cell>
          <cell r="E3280" t="str">
            <v>https://www.mindat.org/1:1:2249:7</v>
          </cell>
        </row>
        <row r="3281">
          <cell r="A3281">
            <v>3344</v>
          </cell>
          <cell r="B3281">
            <v>5244</v>
          </cell>
          <cell r="C3281" t="str">
            <v>Koritnigite</v>
          </cell>
          <cell r="E3281" t="str">
            <v>https://www.mindat.org/1:1:2252:7</v>
          </cell>
        </row>
        <row r="3282">
          <cell r="A3282">
            <v>3352</v>
          </cell>
          <cell r="B3282">
            <v>5244</v>
          </cell>
          <cell r="C3282" t="str">
            <v>Kosnarite</v>
          </cell>
          <cell r="E3282" t="str">
            <v>https://www.mindat.org/1:1:2259:6</v>
          </cell>
        </row>
        <row r="3283">
          <cell r="A3283">
            <v>3358</v>
          </cell>
          <cell r="B3283">
            <v>5244</v>
          </cell>
          <cell r="C3283" t="str">
            <v>Kovdorskite</v>
          </cell>
          <cell r="E3283" t="str">
            <v>https://www.mindat.org/1:1:2266:4</v>
          </cell>
        </row>
        <row r="3284">
          <cell r="A3284">
            <v>3361</v>
          </cell>
          <cell r="B3284">
            <v>5244</v>
          </cell>
          <cell r="C3284" t="str">
            <v>Kraisslite</v>
          </cell>
          <cell r="E3284" t="str">
            <v>https://www.mindat.org/1:1:2268:8</v>
          </cell>
        </row>
        <row r="3285">
          <cell r="A3285">
            <v>3362</v>
          </cell>
          <cell r="B3285">
            <v>5244</v>
          </cell>
          <cell r="C3285" t="str">
            <v>Krasnovite</v>
          </cell>
          <cell r="E3285" t="str">
            <v>https://www.mindat.org/1:1:7145:7</v>
          </cell>
        </row>
        <row r="3286">
          <cell r="A3286">
            <v>3366</v>
          </cell>
          <cell r="B3286">
            <v>5244</v>
          </cell>
          <cell r="C3286" t="str">
            <v>Krautite</v>
          </cell>
          <cell r="E3286" t="str">
            <v>https://www.mindat.org/1:1:2272:5</v>
          </cell>
        </row>
        <row r="3287">
          <cell r="A3287">
            <v>3370</v>
          </cell>
          <cell r="B3287">
            <v>5244</v>
          </cell>
          <cell r="C3287" t="str">
            <v>Kribergite</v>
          </cell>
          <cell r="E3287" t="str">
            <v>https://www.mindat.org/1:1:2275:6</v>
          </cell>
        </row>
        <row r="3288">
          <cell r="A3288">
            <v>3376</v>
          </cell>
          <cell r="B3288">
            <v>5244</v>
          </cell>
          <cell r="C3288" t="str">
            <v>Kryzhanovskite</v>
          </cell>
          <cell r="E3288" t="str">
            <v>https://www.mindat.org/1:1:2281:7</v>
          </cell>
        </row>
        <row r="3289">
          <cell r="A3289">
            <v>3382</v>
          </cell>
          <cell r="B3289">
            <v>5244</v>
          </cell>
          <cell r="C3289" t="str">
            <v>Kulanite</v>
          </cell>
          <cell r="E3289" t="str">
            <v>https://www.mindat.org/1:1:2285:5</v>
          </cell>
        </row>
        <row r="3290">
          <cell r="A3290">
            <v>3403</v>
          </cell>
          <cell r="B3290">
            <v>5244</v>
          </cell>
          <cell r="C3290" t="str">
            <v>Kottigite</v>
          </cell>
          <cell r="E3290" t="str">
            <v/>
          </cell>
        </row>
        <row r="3291">
          <cell r="A3291">
            <v>3406</v>
          </cell>
          <cell r="B3291">
            <v>5244</v>
          </cell>
          <cell r="C3291" t="str">
            <v>Lacroixite</v>
          </cell>
          <cell r="E3291" t="str">
            <v>https://www.mindat.org/1:1:2310:4</v>
          </cell>
        </row>
        <row r="3292">
          <cell r="A3292">
            <v>3411</v>
          </cell>
          <cell r="B3292">
            <v>5244</v>
          </cell>
          <cell r="C3292" t="str">
            <v>Lammerite</v>
          </cell>
          <cell r="E3292" t="str">
            <v>https://www.mindat.org/1:1:2314:2</v>
          </cell>
        </row>
        <row r="3293">
          <cell r="A3293">
            <v>3415</v>
          </cell>
          <cell r="B3293">
            <v>5244</v>
          </cell>
          <cell r="C3293" t="str">
            <v>Landesite</v>
          </cell>
          <cell r="E3293" t="str">
            <v>https://www.mindat.org/1:1:2318:0</v>
          </cell>
        </row>
        <row r="3294">
          <cell r="A3294">
            <v>3435</v>
          </cell>
          <cell r="B3294">
            <v>5244</v>
          </cell>
          <cell r="C3294" t="str">
            <v>Laueite</v>
          </cell>
          <cell r="E3294" t="str">
            <v>https://www.mindat.org/1:1:2339:5</v>
          </cell>
        </row>
        <row r="3295">
          <cell r="A3295">
            <v>3445</v>
          </cell>
          <cell r="B3295">
            <v>5244</v>
          </cell>
          <cell r="C3295" t="str">
            <v>Lavendulan</v>
          </cell>
          <cell r="E3295" t="str">
            <v>https://www.mindat.org/1:1:2349:4</v>
          </cell>
        </row>
        <row r="3296">
          <cell r="A3296">
            <v>3452</v>
          </cell>
          <cell r="B3296">
            <v>5244</v>
          </cell>
          <cell r="C3296" t="str">
            <v>Lazulite</v>
          </cell>
          <cell r="E3296" t="str">
            <v>https://www.mindat.org/1:1:2356:2</v>
          </cell>
        </row>
        <row r="3297">
          <cell r="A3297">
            <v>3460</v>
          </cell>
          <cell r="B3297">
            <v>5244</v>
          </cell>
          <cell r="C3297" t="str">
            <v>Legrandite</v>
          </cell>
          <cell r="E3297" t="str">
            <v>https://www.mindat.org/1:1:2365:4</v>
          </cell>
        </row>
        <row r="3298">
          <cell r="A3298">
            <v>3461</v>
          </cell>
          <cell r="B3298">
            <v>5244</v>
          </cell>
          <cell r="C3298" t="str">
            <v>Lehnerite</v>
          </cell>
          <cell r="E3298" t="str">
            <v>https://www.mindat.org/1:1:2367:8</v>
          </cell>
        </row>
        <row r="3299">
          <cell r="A3299">
            <v>3466</v>
          </cell>
          <cell r="B3299">
            <v>5244</v>
          </cell>
          <cell r="C3299" t="str">
            <v>Lemanskiite</v>
          </cell>
          <cell r="E3299" t="str">
            <v>https://www.mindat.org/1:1:9658:0</v>
          </cell>
        </row>
        <row r="3300">
          <cell r="A3300">
            <v>3485</v>
          </cell>
          <cell r="B3300">
            <v>5244</v>
          </cell>
          <cell r="C3300" t="str">
            <v>Leucophosphite</v>
          </cell>
          <cell r="E3300" t="str">
            <v>https://www.mindat.org/1:1:2385:2</v>
          </cell>
        </row>
        <row r="3301">
          <cell r="A3301">
            <v>3495</v>
          </cell>
          <cell r="B3301">
            <v>5244</v>
          </cell>
          <cell r="C3301" t="str">
            <v>Libethenite</v>
          </cell>
          <cell r="E3301" t="str">
            <v>https://www.mindat.org/1:1:2394:4</v>
          </cell>
        </row>
        <row r="3302">
          <cell r="A3302">
            <v>3506</v>
          </cell>
          <cell r="B3302">
            <v>5244</v>
          </cell>
          <cell r="C3302" t="str">
            <v>Lindackerite</v>
          </cell>
          <cell r="E3302" t="str">
            <v>https://www.mindat.org/1:1:2404:0</v>
          </cell>
        </row>
        <row r="3303">
          <cell r="A3303">
            <v>3514</v>
          </cell>
          <cell r="B3303">
            <v>5244</v>
          </cell>
          <cell r="C3303" t="str">
            <v>Lipscombite</v>
          </cell>
          <cell r="E3303" t="str">
            <v>https://www.mindat.org/1:1:2412:5</v>
          </cell>
        </row>
        <row r="3304">
          <cell r="A3304">
            <v>3515</v>
          </cell>
          <cell r="B3304">
            <v>5244</v>
          </cell>
          <cell r="C3304" t="str">
            <v>Liroconite</v>
          </cell>
          <cell r="E3304" t="str">
            <v>https://www.mindat.org/1:1:2413:2</v>
          </cell>
        </row>
        <row r="3305">
          <cell r="A3305">
            <v>3519</v>
          </cell>
          <cell r="B3305">
            <v>5244</v>
          </cell>
          <cell r="C3305" t="str">
            <v>Liskeardite</v>
          </cell>
          <cell r="E3305" t="str">
            <v>https://www.mindat.org/1:1:2416:3</v>
          </cell>
        </row>
        <row r="3306">
          <cell r="A3306">
            <v>3534</v>
          </cell>
          <cell r="B3306">
            <v>5244</v>
          </cell>
          <cell r="C3306" t="str">
            <v>Bjarebyite</v>
          </cell>
          <cell r="E3306" t="str">
            <v>https://www.mindat.org/1:1:692:1</v>
          </cell>
        </row>
        <row r="3307">
          <cell r="A3307">
            <v>3540</v>
          </cell>
          <cell r="B3307">
            <v>5244</v>
          </cell>
          <cell r="C3307" t="str">
            <v>Blossite</v>
          </cell>
          <cell r="E3307" t="str">
            <v>https://www.mindat.org/1:1:697:6</v>
          </cell>
        </row>
        <row r="3308">
          <cell r="A3308">
            <v>3543</v>
          </cell>
          <cell r="B3308">
            <v>5244</v>
          </cell>
          <cell r="C3308" t="str">
            <v>Bobierrite</v>
          </cell>
          <cell r="E3308" t="str">
            <v>https://www.mindat.org/1:1:701:8</v>
          </cell>
        </row>
        <row r="3309">
          <cell r="A3309">
            <v>3551</v>
          </cell>
          <cell r="B3309">
            <v>5244</v>
          </cell>
          <cell r="C3309" t="str">
            <v>Bolivarite</v>
          </cell>
          <cell r="E3309" t="str">
            <v>https://www.mindat.org/1:1:713:3</v>
          </cell>
        </row>
        <row r="3310">
          <cell r="A3310">
            <v>3578</v>
          </cell>
          <cell r="B3310">
            <v>5244</v>
          </cell>
          <cell r="C3310" t="str">
            <v>Brabantite</v>
          </cell>
          <cell r="E3310" t="str">
            <v/>
          </cell>
        </row>
        <row r="3311">
          <cell r="A3311">
            <v>3580</v>
          </cell>
          <cell r="B3311">
            <v>5244</v>
          </cell>
          <cell r="C3311" t="str">
            <v>Brackebuschite</v>
          </cell>
          <cell r="E3311" t="str">
            <v>https://www.mindat.org/1:1:749:8</v>
          </cell>
        </row>
        <row r="3312">
          <cell r="A3312">
            <v>3586</v>
          </cell>
          <cell r="B3312">
            <v>5244</v>
          </cell>
          <cell r="C3312" t="str">
            <v>Brandtite</v>
          </cell>
          <cell r="E3312" t="str">
            <v>https://www.mindat.org/1:1:753:1</v>
          </cell>
        </row>
        <row r="3313">
          <cell r="A3313">
            <v>3589</v>
          </cell>
          <cell r="B3313">
            <v>5244</v>
          </cell>
          <cell r="C3313" t="str">
            <v>Brassite</v>
          </cell>
          <cell r="E3313" t="str">
            <v>https://www.mindat.org/1:1:756:8</v>
          </cell>
        </row>
        <row r="3314">
          <cell r="A3314">
            <v>3592</v>
          </cell>
          <cell r="B3314">
            <v>5244</v>
          </cell>
          <cell r="C3314" t="str">
            <v>Brazilianite</v>
          </cell>
          <cell r="E3314" t="str">
            <v>https://www.mindat.org/1:1:760:1</v>
          </cell>
        </row>
        <row r="3315">
          <cell r="A3315">
            <v>3610</v>
          </cell>
          <cell r="B3315">
            <v>5244</v>
          </cell>
          <cell r="C3315" t="str">
            <v>Brockite</v>
          </cell>
          <cell r="E3315" t="str">
            <v>https://www.mindat.org/1:1:780:5</v>
          </cell>
        </row>
        <row r="3316">
          <cell r="A3316">
            <v>3619</v>
          </cell>
          <cell r="B3316">
            <v>5244</v>
          </cell>
          <cell r="C3316" t="str">
            <v>Brushite</v>
          </cell>
          <cell r="E3316" t="str">
            <v>https://www.mindat.org/1:1:793:9</v>
          </cell>
        </row>
        <row r="3317">
          <cell r="A3317">
            <v>3627</v>
          </cell>
          <cell r="B3317">
            <v>5244</v>
          </cell>
          <cell r="C3317" t="str">
            <v>Bukovskyite</v>
          </cell>
          <cell r="E3317" t="str">
            <v/>
          </cell>
        </row>
        <row r="3318">
          <cell r="A3318">
            <v>3631</v>
          </cell>
          <cell r="B3318">
            <v>5244</v>
          </cell>
          <cell r="C3318" t="str">
            <v>Burangaite</v>
          </cell>
          <cell r="E3318" t="str">
            <v>https://www.mindat.org/1:1:802:6</v>
          </cell>
        </row>
        <row r="3319">
          <cell r="A3319">
            <v>3650</v>
          </cell>
          <cell r="B3319">
            <v>5244</v>
          </cell>
          <cell r="C3319" t="str">
            <v>Cacoxenite</v>
          </cell>
          <cell r="E3319" t="str">
            <v>https://www.mindat.org/1:1:840:6</v>
          </cell>
        </row>
        <row r="3320">
          <cell r="A3320">
            <v>3666</v>
          </cell>
          <cell r="B3320">
            <v>5244</v>
          </cell>
          <cell r="C3320" t="str">
            <v>Calcioferrite</v>
          </cell>
          <cell r="E3320" t="str">
            <v>https://www.mindat.org/1:1:832:7</v>
          </cell>
        </row>
        <row r="3321">
          <cell r="A3321">
            <v>3671</v>
          </cell>
          <cell r="B3321">
            <v>5244</v>
          </cell>
          <cell r="C3321" t="str">
            <v>Calciovolborthite</v>
          </cell>
          <cell r="E3321" t="str">
            <v/>
          </cell>
        </row>
        <row r="3322">
          <cell r="A3322">
            <v>3686</v>
          </cell>
          <cell r="B3322">
            <v>5244</v>
          </cell>
          <cell r="C3322" t="str">
            <v>Camgasite</v>
          </cell>
          <cell r="E3322" t="str">
            <v>https://www.mindat.org/1:1:874:3</v>
          </cell>
        </row>
        <row r="3323">
          <cell r="A3323">
            <v>3689</v>
          </cell>
          <cell r="B3323">
            <v>5244</v>
          </cell>
          <cell r="C3323" t="str">
            <v>Canaphite</v>
          </cell>
          <cell r="E3323" t="str">
            <v>https://www.mindat.org/1:1:877:0</v>
          </cell>
        </row>
        <row r="3324">
          <cell r="A3324">
            <v>3707</v>
          </cell>
          <cell r="B3324">
            <v>5244</v>
          </cell>
          <cell r="C3324" t="str">
            <v>Carbonate-fluorapatite</v>
          </cell>
          <cell r="E3324" t="str">
            <v/>
          </cell>
        </row>
        <row r="3325">
          <cell r="A3325">
            <v>3708</v>
          </cell>
          <cell r="B3325">
            <v>5244</v>
          </cell>
          <cell r="C3325" t="str">
            <v>Carbonate-hydroxylapatite</v>
          </cell>
          <cell r="E3325" t="str">
            <v/>
          </cell>
        </row>
        <row r="3326">
          <cell r="A3326">
            <v>3718</v>
          </cell>
          <cell r="B3326">
            <v>5244</v>
          </cell>
          <cell r="C3326" t="str">
            <v>Carminite</v>
          </cell>
          <cell r="E3326" t="str">
            <v>https://www.mindat.org/1:1:905:2</v>
          </cell>
        </row>
        <row r="3327">
          <cell r="A3327">
            <v>3726</v>
          </cell>
          <cell r="B3327">
            <v>5244</v>
          </cell>
          <cell r="C3327" t="str">
            <v>Caryinite</v>
          </cell>
          <cell r="E3327" t="str">
            <v>https://www.mindat.org/1:1:912:2</v>
          </cell>
        </row>
        <row r="3328">
          <cell r="A3328">
            <v>3730</v>
          </cell>
          <cell r="B3328">
            <v>5244</v>
          </cell>
          <cell r="C3328" t="str">
            <v>Cassidyite</v>
          </cell>
          <cell r="E3328" t="str">
            <v/>
          </cell>
        </row>
        <row r="3329">
          <cell r="A3329">
            <v>3740</v>
          </cell>
          <cell r="B3329">
            <v>5244</v>
          </cell>
          <cell r="C3329" t="str">
            <v>Cechite</v>
          </cell>
          <cell r="E3329" t="str">
            <v/>
          </cell>
        </row>
        <row r="3330">
          <cell r="A3330">
            <v>3750</v>
          </cell>
          <cell r="B3330">
            <v>5244</v>
          </cell>
          <cell r="C3330" t="str">
            <v>Ceruleite</v>
          </cell>
          <cell r="E3330" t="str">
            <v>https://www.mindat.org/1:1:933:5</v>
          </cell>
        </row>
        <row r="3331">
          <cell r="A3331">
            <v>3777</v>
          </cell>
          <cell r="B3331">
            <v>5244</v>
          </cell>
          <cell r="C3331" t="str">
            <v>Chalcophyllite</v>
          </cell>
          <cell r="E3331" t="str">
            <v>https://www.mindat.org/1:1:979:7</v>
          </cell>
        </row>
        <row r="3332">
          <cell r="A3332">
            <v>3779</v>
          </cell>
          <cell r="B3332">
            <v>5244</v>
          </cell>
          <cell r="C3332" t="str">
            <v>Chalcosiderite</v>
          </cell>
          <cell r="E3332" t="str">
            <v>https://www.mindat.org/1:1:945:0</v>
          </cell>
        </row>
        <row r="3333">
          <cell r="A3333">
            <v>3799</v>
          </cell>
          <cell r="B3333">
            <v>5244</v>
          </cell>
          <cell r="C3333" t="str">
            <v>Chenevixite</v>
          </cell>
          <cell r="E3333" t="str">
            <v>https://www.mindat.org/1:1:986:7</v>
          </cell>
        </row>
        <row r="3334">
          <cell r="A3334">
            <v>3801</v>
          </cell>
          <cell r="B3334">
            <v>5244</v>
          </cell>
          <cell r="C3334" t="str">
            <v>Cheralite-(Ce)</v>
          </cell>
          <cell r="E3334" t="str">
            <v/>
          </cell>
        </row>
        <row r="3335">
          <cell r="A3335">
            <v>3805</v>
          </cell>
          <cell r="B3335">
            <v>5244</v>
          </cell>
          <cell r="C3335" t="str">
            <v>Chernovite-(Y)</v>
          </cell>
          <cell r="E3335" t="str">
            <v>https://www.mindat.org/1:1:992:8</v>
          </cell>
        </row>
        <row r="3336">
          <cell r="A3336">
            <v>3807</v>
          </cell>
          <cell r="B3336">
            <v>5244</v>
          </cell>
          <cell r="C3336" t="str">
            <v>Chervetite</v>
          </cell>
          <cell r="E3336" t="str">
            <v>https://www.mindat.org/1:1:995:5</v>
          </cell>
        </row>
        <row r="3337">
          <cell r="A3337">
            <v>3814</v>
          </cell>
          <cell r="B3337">
            <v>5244</v>
          </cell>
          <cell r="C3337" t="str">
            <v>Childrenite</v>
          </cell>
          <cell r="E3337" t="str">
            <v>https://www.mindat.org/1:1:1003:6</v>
          </cell>
        </row>
        <row r="3338">
          <cell r="A3338">
            <v>3821</v>
          </cell>
          <cell r="B3338">
            <v>5244</v>
          </cell>
          <cell r="C3338" t="str">
            <v>Chlorapatite</v>
          </cell>
          <cell r="E3338" t="str">
            <v>https://www.mindat.org/1:1:1013:5</v>
          </cell>
        </row>
        <row r="3339">
          <cell r="A3339">
            <v>3831</v>
          </cell>
          <cell r="B3339">
            <v>5244</v>
          </cell>
          <cell r="C3339" t="str">
            <v>Chlorophoenicite</v>
          </cell>
          <cell r="E3339" t="str">
            <v>https://www.mindat.org/1:1:946:9</v>
          </cell>
        </row>
        <row r="3340">
          <cell r="A3340">
            <v>3850</v>
          </cell>
          <cell r="B3340">
            <v>5244</v>
          </cell>
          <cell r="C3340" t="str">
            <v>Chudobaite</v>
          </cell>
          <cell r="E3340" t="str">
            <v>https://www.mindat.org/1:1:1043:2</v>
          </cell>
        </row>
        <row r="3341">
          <cell r="A3341">
            <v>3854</v>
          </cell>
          <cell r="B3341">
            <v>5244</v>
          </cell>
          <cell r="C3341" t="str">
            <v>Churchite-(Y)</v>
          </cell>
          <cell r="E3341" t="str">
            <v>https://www.mindat.org/1:1:1047:0</v>
          </cell>
        </row>
        <row r="3342">
          <cell r="A3342">
            <v>3873</v>
          </cell>
          <cell r="B3342">
            <v>5244</v>
          </cell>
          <cell r="C3342" t="str">
            <v>Clinobisvanite</v>
          </cell>
          <cell r="E3342" t="str">
            <v>https://www.mindat.org/1:1:1067:8</v>
          </cell>
        </row>
        <row r="3343">
          <cell r="A3343">
            <v>3878</v>
          </cell>
          <cell r="B3343">
            <v>5244</v>
          </cell>
          <cell r="C3343" t="str">
            <v>Clinoclase</v>
          </cell>
          <cell r="E3343" t="str">
            <v>https://www.mindat.org/1:1:1055:5</v>
          </cell>
        </row>
        <row r="3344">
          <cell r="A3344">
            <v>3887</v>
          </cell>
          <cell r="B3344">
            <v>5244</v>
          </cell>
          <cell r="C3344" t="str">
            <v>Clinomimetite</v>
          </cell>
          <cell r="E3344" t="str">
            <v/>
          </cell>
        </row>
        <row r="3345">
          <cell r="A3345">
            <v>3895</v>
          </cell>
          <cell r="B3345">
            <v>5244</v>
          </cell>
          <cell r="C3345" t="str">
            <v>Clinotyrolite</v>
          </cell>
          <cell r="E3345" t="str">
            <v/>
          </cell>
        </row>
        <row r="3346">
          <cell r="A3346">
            <v>3902</v>
          </cell>
          <cell r="B3346">
            <v>5244</v>
          </cell>
          <cell r="C3346" t="str">
            <v>Cobaltaustinite</v>
          </cell>
          <cell r="E3346" t="str">
            <v>https://www.mindat.org/1:1:1099:9</v>
          </cell>
        </row>
        <row r="3347">
          <cell r="A3347">
            <v>3904</v>
          </cell>
          <cell r="B3347">
            <v>5244</v>
          </cell>
          <cell r="C3347" t="str">
            <v>Cobaltkoritnigite</v>
          </cell>
          <cell r="E3347" t="str">
            <v>https://www.mindat.org/1:1:1091:3</v>
          </cell>
        </row>
        <row r="3348">
          <cell r="A3348">
            <v>3908</v>
          </cell>
          <cell r="B3348">
            <v>5244</v>
          </cell>
          <cell r="C3348" t="str">
            <v>Coconinoite</v>
          </cell>
          <cell r="E3348" t="str">
            <v>https://www.mindat.org/1:1:1102:6</v>
          </cell>
        </row>
        <row r="3349">
          <cell r="A3349">
            <v>3909</v>
          </cell>
          <cell r="B3349">
            <v>5244</v>
          </cell>
          <cell r="C3349" t="str">
            <v>Coeruleolactite</v>
          </cell>
          <cell r="E3349" t="str">
            <v/>
          </cell>
        </row>
        <row r="3350">
          <cell r="A3350">
            <v>3914</v>
          </cell>
          <cell r="B3350">
            <v>5244</v>
          </cell>
          <cell r="C3350" t="str">
            <v>Collinsite</v>
          </cell>
          <cell r="E3350" t="str">
            <v>https://www.mindat.org/1:1:1109:5</v>
          </cell>
        </row>
        <row r="3351">
          <cell r="A3351">
            <v>3924</v>
          </cell>
          <cell r="B3351">
            <v>5244</v>
          </cell>
          <cell r="C3351" t="str">
            <v>Conichalcite</v>
          </cell>
          <cell r="E3351" t="str">
            <v>https://www.mindat.org/1:1:1119:4</v>
          </cell>
        </row>
        <row r="3352">
          <cell r="A3352">
            <v>3935</v>
          </cell>
          <cell r="B3352">
            <v>5244</v>
          </cell>
          <cell r="C3352" t="str">
            <v>Cheralite</v>
          </cell>
          <cell r="E3352" t="str">
            <v>https://www.mindat.org/1:1:6865:5</v>
          </cell>
        </row>
        <row r="3353">
          <cell r="A3353">
            <v>3942</v>
          </cell>
          <cell r="B3353">
            <v>5244</v>
          </cell>
          <cell r="C3353" t="str">
            <v>Abernathyite</v>
          </cell>
          <cell r="E3353" t="str">
            <v>https://www.mindat.org/1:1:3:3</v>
          </cell>
        </row>
        <row r="3354">
          <cell r="A3354">
            <v>3949</v>
          </cell>
          <cell r="B3354">
            <v>5244</v>
          </cell>
          <cell r="C3354" t="str">
            <v>Adamite</v>
          </cell>
          <cell r="E3354" t="str">
            <v>https://www.mindat.org/1:1:21:1</v>
          </cell>
        </row>
        <row r="3355">
          <cell r="A3355">
            <v>3951</v>
          </cell>
          <cell r="B3355">
            <v>5244</v>
          </cell>
          <cell r="C3355" t="str">
            <v>Adelite</v>
          </cell>
          <cell r="E3355" t="str">
            <v>https://www.mindat.org/1:1:23:5</v>
          </cell>
        </row>
        <row r="3356">
          <cell r="A3356">
            <v>3956</v>
          </cell>
          <cell r="B3356">
            <v>5244</v>
          </cell>
          <cell r="C3356" t="str">
            <v>Aerugite</v>
          </cell>
          <cell r="E3356" t="str">
            <v>https://www.mindat.org/1:1:36:5</v>
          </cell>
        </row>
        <row r="3357">
          <cell r="A3357">
            <v>3963</v>
          </cell>
          <cell r="B3357">
            <v>5244</v>
          </cell>
          <cell r="C3357" t="str">
            <v>Agardite</v>
          </cell>
          <cell r="E3357" t="str">
            <v/>
          </cell>
        </row>
        <row r="3358">
          <cell r="A3358">
            <v>3964</v>
          </cell>
          <cell r="B3358">
            <v>5244</v>
          </cell>
          <cell r="C3358" t="str">
            <v>Agardite-(La)</v>
          </cell>
          <cell r="E3358" t="str">
            <v>https://www.mindat.org/1:1:50:1</v>
          </cell>
        </row>
        <row r="3359">
          <cell r="A3359">
            <v>3965</v>
          </cell>
          <cell r="B3359">
            <v>5244</v>
          </cell>
          <cell r="C3359" t="str">
            <v>Agardite-(Y)</v>
          </cell>
          <cell r="E3359" t="str">
            <v>https://www.mindat.org/1:1:44:0</v>
          </cell>
        </row>
        <row r="3360">
          <cell r="A3360">
            <v>3969</v>
          </cell>
          <cell r="B3360">
            <v>5244</v>
          </cell>
          <cell r="C3360" t="str">
            <v>Aheylite</v>
          </cell>
          <cell r="E3360" t="str">
            <v>https://www.mindat.org/1:1:60:0</v>
          </cell>
        </row>
        <row r="3361">
          <cell r="A3361">
            <v>3979</v>
          </cell>
          <cell r="B3361">
            <v>5244</v>
          </cell>
          <cell r="C3361" t="str">
            <v>Akrochordite</v>
          </cell>
          <cell r="E3361" t="str">
            <v>https://www.mindat.org/1:1:72:3</v>
          </cell>
        </row>
        <row r="3362">
          <cell r="A3362">
            <v>3988</v>
          </cell>
          <cell r="B3362">
            <v>5244</v>
          </cell>
          <cell r="C3362" t="str">
            <v>Aldermanite</v>
          </cell>
          <cell r="E3362" t="str">
            <v>https://www.mindat.org/1:1:104:1</v>
          </cell>
        </row>
        <row r="3363">
          <cell r="A3363">
            <v>3991</v>
          </cell>
          <cell r="B3363">
            <v>5244</v>
          </cell>
          <cell r="C3363" t="str">
            <v>Alforsite</v>
          </cell>
          <cell r="E3363" t="str">
            <v>https://www.mindat.org/1:1:112:0</v>
          </cell>
        </row>
        <row r="3364">
          <cell r="A3364">
            <v>3994</v>
          </cell>
          <cell r="B3364">
            <v>5244</v>
          </cell>
          <cell r="C3364" t="str">
            <v>Allactite</v>
          </cell>
          <cell r="E3364" t="str">
            <v>https://www.mindat.org/1:1:122:7</v>
          </cell>
        </row>
        <row r="3365">
          <cell r="A3365">
            <v>4004</v>
          </cell>
          <cell r="B3365">
            <v>5244</v>
          </cell>
          <cell r="C3365" t="str">
            <v>Alluaudite</v>
          </cell>
          <cell r="E3365" t="str">
            <v>https://www.mindat.org/1:1:142:1</v>
          </cell>
        </row>
        <row r="3366">
          <cell r="A3366">
            <v>4008</v>
          </cell>
          <cell r="B3366">
            <v>5244</v>
          </cell>
          <cell r="C3366" t="str">
            <v>Althausite</v>
          </cell>
          <cell r="E3366" t="str">
            <v>https://www.mindat.org/1:1:148:5</v>
          </cell>
        </row>
        <row r="3367">
          <cell r="A3367">
            <v>4021</v>
          </cell>
          <cell r="B3367">
            <v>5244</v>
          </cell>
          <cell r="C3367" t="str">
            <v>Alumopharmacosiderite</v>
          </cell>
          <cell r="E3367" t="str">
            <v/>
          </cell>
        </row>
        <row r="3368">
          <cell r="A3368">
            <v>4026</v>
          </cell>
          <cell r="B3368">
            <v>5244</v>
          </cell>
          <cell r="C3368" t="str">
            <v>Alvanite</v>
          </cell>
          <cell r="E3368" t="str">
            <v>https://www.mindat.org/1:1:165:2</v>
          </cell>
        </row>
        <row r="3369">
          <cell r="A3369">
            <v>4032</v>
          </cell>
          <cell r="B3369">
            <v>5244</v>
          </cell>
          <cell r="C3369" t="str">
            <v>Amblygonite</v>
          </cell>
          <cell r="E3369" t="str">
            <v>https://www.mindat.org/1:1:189:2</v>
          </cell>
        </row>
        <row r="3370">
          <cell r="A3370">
            <v>4048</v>
          </cell>
          <cell r="B3370">
            <v>5244</v>
          </cell>
          <cell r="C3370" t="str">
            <v>Anapaite</v>
          </cell>
          <cell r="E3370" t="str">
            <v>https://www.mindat.org/1:1:211:0</v>
          </cell>
        </row>
        <row r="3371">
          <cell r="A3371">
            <v>4060</v>
          </cell>
          <cell r="B3371">
            <v>5244</v>
          </cell>
          <cell r="C3371" t="str">
            <v>Angelellite</v>
          </cell>
          <cell r="E3371" t="str">
            <v>https://www.mindat.org/1:1:231:4</v>
          </cell>
        </row>
        <row r="3372">
          <cell r="A3372">
            <v>4066</v>
          </cell>
          <cell r="B3372">
            <v>5244</v>
          </cell>
          <cell r="C3372" t="str">
            <v>Annabergite</v>
          </cell>
          <cell r="E3372" t="str">
            <v>https://www.mindat.org/1:1:240:2</v>
          </cell>
        </row>
        <row r="3373">
          <cell r="A3373">
            <v>4081</v>
          </cell>
          <cell r="B3373">
            <v>5244</v>
          </cell>
          <cell r="C3373" t="str">
            <v>Apatitegroup</v>
          </cell>
          <cell r="E3373" t="str">
            <v/>
          </cell>
        </row>
        <row r="3374">
          <cell r="A3374">
            <v>4088</v>
          </cell>
          <cell r="B3374">
            <v>5244</v>
          </cell>
          <cell r="C3374" t="str">
            <v>Arakiite</v>
          </cell>
          <cell r="E3374" t="str">
            <v>https://www.mindat.org/1:1:6805:1</v>
          </cell>
        </row>
        <row r="3375">
          <cell r="A3375">
            <v>4092</v>
          </cell>
          <cell r="B3375">
            <v>5244</v>
          </cell>
          <cell r="C3375" t="str">
            <v>Archerite</v>
          </cell>
          <cell r="E3375" t="str">
            <v>https://www.mindat.org/1:1:315:5</v>
          </cell>
        </row>
        <row r="3376">
          <cell r="A3376">
            <v>4096</v>
          </cell>
          <cell r="B3376">
            <v>5244</v>
          </cell>
          <cell r="C3376" t="str">
            <v>Ardealite</v>
          </cell>
          <cell r="E3376" t="str">
            <v>https://www.mindat.org/1:1:321:6</v>
          </cell>
        </row>
        <row r="3377">
          <cell r="A3377">
            <v>4105</v>
          </cell>
          <cell r="B3377">
            <v>5244</v>
          </cell>
          <cell r="C3377" t="str">
            <v>Arhbarite</v>
          </cell>
          <cell r="E3377" t="str">
            <v>https://www.mindat.org/1:1:333:1</v>
          </cell>
        </row>
        <row r="3378">
          <cell r="A3378">
            <v>4112</v>
          </cell>
          <cell r="B3378">
            <v>5244</v>
          </cell>
          <cell r="C3378" t="str">
            <v>Arrojadite</v>
          </cell>
          <cell r="E3378" t="str">
            <v/>
          </cell>
        </row>
        <row r="3379">
          <cell r="A3379">
            <v>4113</v>
          </cell>
          <cell r="B3379">
            <v>5244</v>
          </cell>
          <cell r="C3379" t="str">
            <v>Arsenbrackebuschite</v>
          </cell>
          <cell r="E3379" t="str">
            <v>https://www.mindat.org/1:1:6807:5</v>
          </cell>
        </row>
        <row r="3380">
          <cell r="A3380">
            <v>4114</v>
          </cell>
          <cell r="B3380">
            <v>5244</v>
          </cell>
          <cell r="C3380" t="str">
            <v>Arsendescloizite</v>
          </cell>
          <cell r="E3380" t="str">
            <v>https://www.mindat.org/1:1:356:2</v>
          </cell>
        </row>
        <row r="3381">
          <cell r="A3381">
            <v>4116</v>
          </cell>
          <cell r="B3381">
            <v>5244</v>
          </cell>
          <cell r="C3381" t="str">
            <v>Arseniopleite</v>
          </cell>
          <cell r="E3381" t="str">
            <v>https://www.mindat.org/1:1:359:9</v>
          </cell>
        </row>
        <row r="3382">
          <cell r="A3382">
            <v>4117</v>
          </cell>
          <cell r="B3382">
            <v>5244</v>
          </cell>
          <cell r="C3382" t="str">
            <v>Arseniosiderite</v>
          </cell>
          <cell r="E3382" t="str">
            <v>https://www.mindat.org/1:1:360:5</v>
          </cell>
        </row>
        <row r="3383">
          <cell r="A3383">
            <v>4118</v>
          </cell>
          <cell r="B3383">
            <v>5244</v>
          </cell>
          <cell r="C3383" t="str">
            <v>Arsenobismite</v>
          </cell>
          <cell r="E3383" t="str">
            <v/>
          </cell>
        </row>
        <row r="3384">
          <cell r="A3384">
            <v>4119</v>
          </cell>
          <cell r="B3384">
            <v>5244</v>
          </cell>
          <cell r="C3384" t="str">
            <v>Arsenoclasite</v>
          </cell>
          <cell r="E3384" t="str">
            <v>https://www.mindat.org/1:1:364:1</v>
          </cell>
        </row>
        <row r="3385">
          <cell r="A3385">
            <v>4120</v>
          </cell>
          <cell r="B3385">
            <v>5244</v>
          </cell>
          <cell r="C3385" t="str">
            <v>Arsenocrandallite</v>
          </cell>
          <cell r="E3385" t="str">
            <v>https://www.mindat.org/1:1:365:0</v>
          </cell>
        </row>
        <row r="3386">
          <cell r="A3386">
            <v>4121</v>
          </cell>
          <cell r="B3386">
            <v>5244</v>
          </cell>
          <cell r="C3386" t="str">
            <v>Arsenoflorencite-(Ce)</v>
          </cell>
          <cell r="E3386" t="str">
            <v>https://www.mindat.org/1:1:366:9</v>
          </cell>
        </row>
        <row r="3387">
          <cell r="A3387">
            <v>4122</v>
          </cell>
          <cell r="B3387">
            <v>5244</v>
          </cell>
          <cell r="C3387" t="str">
            <v>Arsenogorceixite</v>
          </cell>
          <cell r="E3387" t="str">
            <v>https://www.mindat.org/1:1:304:9</v>
          </cell>
        </row>
        <row r="3388">
          <cell r="A3388">
            <v>4123</v>
          </cell>
          <cell r="B3388">
            <v>5244</v>
          </cell>
          <cell r="C3388" t="str">
            <v>Arsenogoyazite</v>
          </cell>
          <cell r="E3388" t="str">
            <v>https://www.mindat.org/1:1:292:5</v>
          </cell>
        </row>
        <row r="3389">
          <cell r="A3389">
            <v>4131</v>
          </cell>
          <cell r="B3389">
            <v>5244</v>
          </cell>
          <cell r="C3389" t="str">
            <v>Arsentsumebite</v>
          </cell>
          <cell r="E3389" t="str">
            <v>https://www.mindat.org/1:1:372:0</v>
          </cell>
        </row>
        <row r="3390">
          <cell r="A3390">
            <v>4134</v>
          </cell>
          <cell r="B3390">
            <v>5244</v>
          </cell>
          <cell r="C3390" t="str">
            <v>Arthurite</v>
          </cell>
          <cell r="E3390" t="str">
            <v>https://www.mindat.org/1:1:376:6</v>
          </cell>
        </row>
        <row r="3391">
          <cell r="A3391">
            <v>4137</v>
          </cell>
          <cell r="B3391">
            <v>5244</v>
          </cell>
          <cell r="C3391" t="str">
            <v>Arupite</v>
          </cell>
          <cell r="E3391" t="str">
            <v>https://www.mindat.org/1:1:379:3</v>
          </cell>
        </row>
        <row r="3392">
          <cell r="A3392">
            <v>4149</v>
          </cell>
          <cell r="B3392">
            <v>5244</v>
          </cell>
          <cell r="C3392" t="str">
            <v>Asselbornite</v>
          </cell>
          <cell r="E3392" t="str">
            <v>https://www.mindat.org/1:1:397:9</v>
          </cell>
        </row>
        <row r="3393">
          <cell r="A3393">
            <v>4153</v>
          </cell>
          <cell r="B3393">
            <v>5244</v>
          </cell>
          <cell r="C3393" t="str">
            <v>Atelestite</v>
          </cell>
          <cell r="E3393" t="str">
            <v>https://www.mindat.org/1:1:407:5</v>
          </cell>
        </row>
        <row r="3394">
          <cell r="A3394">
            <v>4158</v>
          </cell>
          <cell r="B3394">
            <v>5244</v>
          </cell>
          <cell r="C3394" t="str">
            <v>Attakolite</v>
          </cell>
          <cell r="E3394" t="str">
            <v>https://www.mindat.org/1:1:415:4</v>
          </cell>
        </row>
        <row r="3395">
          <cell r="A3395">
            <v>4160</v>
          </cell>
          <cell r="B3395">
            <v>5244</v>
          </cell>
          <cell r="C3395" t="str">
            <v>Augelite</v>
          </cell>
          <cell r="E3395" t="str">
            <v>https://www.mindat.org/1:1:451:6</v>
          </cell>
        </row>
        <row r="3396">
          <cell r="A3396">
            <v>4167</v>
          </cell>
          <cell r="B3396">
            <v>5244</v>
          </cell>
          <cell r="C3396" t="str">
            <v>Austinite</v>
          </cell>
          <cell r="E3396" t="str">
            <v>https://www.mindat.org/1:1:432:1</v>
          </cell>
        </row>
        <row r="3397">
          <cell r="A3397">
            <v>4168</v>
          </cell>
          <cell r="B3397">
            <v>5244</v>
          </cell>
          <cell r="C3397" t="str">
            <v>Autunite</v>
          </cell>
          <cell r="E3397" t="str">
            <v>https://www.mindat.org/1:1:433:0</v>
          </cell>
        </row>
        <row r="3398">
          <cell r="A3398">
            <v>4184</v>
          </cell>
          <cell r="B3398">
            <v>5244</v>
          </cell>
          <cell r="C3398" t="str">
            <v>Corkite</v>
          </cell>
          <cell r="E3398" t="str">
            <v>https://www.mindat.org/1:1:1130:9</v>
          </cell>
        </row>
        <row r="3399">
          <cell r="A3399">
            <v>4187</v>
          </cell>
          <cell r="B3399">
            <v>5244</v>
          </cell>
          <cell r="C3399" t="str">
            <v>Cornetite</v>
          </cell>
          <cell r="E3399" t="str">
            <v>https://www.mindat.org/1:1:1131:6</v>
          </cell>
        </row>
        <row r="3400">
          <cell r="A3400">
            <v>4188</v>
          </cell>
          <cell r="B3400">
            <v>5244</v>
          </cell>
          <cell r="C3400" t="str">
            <v>Cornubite</v>
          </cell>
          <cell r="E3400" t="str">
            <v>https://www.mindat.org/1:1:1132:3</v>
          </cell>
        </row>
        <row r="3401">
          <cell r="A3401">
            <v>4189</v>
          </cell>
          <cell r="B3401">
            <v>5244</v>
          </cell>
          <cell r="C3401" t="str">
            <v>Cornwallite</v>
          </cell>
          <cell r="E3401" t="str">
            <v>https://www.mindat.org/1:1:1133:0</v>
          </cell>
        </row>
        <row r="3402">
          <cell r="A3402">
            <v>4203</v>
          </cell>
          <cell r="B3402">
            <v>5244</v>
          </cell>
          <cell r="C3402" t="str">
            <v>Crandallite</v>
          </cell>
          <cell r="E3402" t="str">
            <v>https://www.mindat.org/1:1:1147:7</v>
          </cell>
        </row>
        <row r="3403">
          <cell r="A3403">
            <v>4224</v>
          </cell>
          <cell r="B3403">
            <v>5244</v>
          </cell>
          <cell r="C3403" t="str">
            <v>Delvauxite</v>
          </cell>
          <cell r="E3403" t="str">
            <v>https://www.mindat.org/1:1:1257:3</v>
          </cell>
        </row>
        <row r="3404">
          <cell r="A3404">
            <v>4232</v>
          </cell>
          <cell r="B3404">
            <v>5244</v>
          </cell>
          <cell r="C3404" t="str">
            <v>Descloizite</v>
          </cell>
          <cell r="E3404" t="str">
            <v>https://www.mindat.org/1:1:1267:2</v>
          </cell>
        </row>
        <row r="3405">
          <cell r="A3405">
            <v>4236</v>
          </cell>
          <cell r="B3405">
            <v>5244</v>
          </cell>
          <cell r="C3405" t="str">
            <v>Dewindtite</v>
          </cell>
          <cell r="E3405" t="str">
            <v>https://www.mindat.org/1:1:1273:3</v>
          </cell>
        </row>
        <row r="3406">
          <cell r="A3406">
            <v>4238</v>
          </cell>
          <cell r="B3406">
            <v>5244</v>
          </cell>
          <cell r="C3406" t="str">
            <v>Diadochite</v>
          </cell>
          <cell r="E3406" t="str">
            <v>https://www.mindat.org/1:1:1279:5</v>
          </cell>
        </row>
        <row r="3407">
          <cell r="A3407">
            <v>4243</v>
          </cell>
          <cell r="B3407">
            <v>5244</v>
          </cell>
          <cell r="C3407" t="str">
            <v>Dickinsonite</v>
          </cell>
          <cell r="E3407" t="str">
            <v/>
          </cell>
        </row>
        <row r="3408">
          <cell r="A3408">
            <v>78</v>
          </cell>
          <cell r="B3408">
            <v>5245</v>
          </cell>
          <cell r="C3408" t="str">
            <v>Wohlerite</v>
          </cell>
          <cell r="E3408" t="str">
            <v/>
          </cell>
        </row>
        <row r="3409">
          <cell r="A3409">
            <v>95</v>
          </cell>
          <cell r="B3409">
            <v>5245</v>
          </cell>
          <cell r="C3409" t="str">
            <v>Xonotlite</v>
          </cell>
          <cell r="E3409" t="str">
            <v>https://www.mindat.org/1:1:4343:0</v>
          </cell>
        </row>
        <row r="3410">
          <cell r="A3410">
            <v>104</v>
          </cell>
          <cell r="B3410">
            <v>5245</v>
          </cell>
          <cell r="C3410" t="str">
            <v>Yeatmanite</v>
          </cell>
          <cell r="E3410" t="str">
            <v>https://www.mindat.org/1:1:4357:7</v>
          </cell>
        </row>
        <row r="3411">
          <cell r="A3411">
            <v>111</v>
          </cell>
          <cell r="B3411">
            <v>5245</v>
          </cell>
          <cell r="C3411" t="str">
            <v>Yoderite</v>
          </cell>
          <cell r="E3411" t="str">
            <v>https://www.mindat.org/1:1:4363:8</v>
          </cell>
        </row>
        <row r="3412">
          <cell r="A3412">
            <v>112</v>
          </cell>
          <cell r="B3412">
            <v>5245</v>
          </cell>
          <cell r="C3412" t="str">
            <v>Yofortierite</v>
          </cell>
          <cell r="E3412" t="str">
            <v>https://www.mindat.org/1:1:4364:5</v>
          </cell>
        </row>
        <row r="3413">
          <cell r="A3413">
            <v>113</v>
          </cell>
          <cell r="B3413">
            <v>5245</v>
          </cell>
          <cell r="C3413" t="str">
            <v>Yoshimuraite</v>
          </cell>
          <cell r="E3413" t="str">
            <v>https://www.mindat.org/1:1:4365:2</v>
          </cell>
        </row>
        <row r="3414">
          <cell r="A3414">
            <v>115</v>
          </cell>
          <cell r="B3414">
            <v>5245</v>
          </cell>
          <cell r="C3414" t="str">
            <v>Yttrialite-(Y)</v>
          </cell>
          <cell r="E3414" t="str">
            <v>https://www.mindat.org/1:1:4367:6</v>
          </cell>
        </row>
        <row r="3415">
          <cell r="A3415">
            <v>123</v>
          </cell>
          <cell r="B3415">
            <v>5245</v>
          </cell>
          <cell r="C3415" t="str">
            <v>Walstromite</v>
          </cell>
          <cell r="E3415" t="str">
            <v>https://www.mindat.org/1:1:4239:6</v>
          </cell>
        </row>
        <row r="3416">
          <cell r="A3416">
            <v>135</v>
          </cell>
          <cell r="B3416">
            <v>5245</v>
          </cell>
          <cell r="C3416" t="str">
            <v>Wawayandaite</v>
          </cell>
          <cell r="E3416" t="str">
            <v>https://www.mindat.org/1:1:4251:8</v>
          </cell>
        </row>
        <row r="3417">
          <cell r="A3417">
            <v>139</v>
          </cell>
          <cell r="B3417">
            <v>5245</v>
          </cell>
          <cell r="C3417" t="str">
            <v>Weeksite</v>
          </cell>
          <cell r="E3417" t="str">
            <v>https://www.mindat.org/1:1:4255:6</v>
          </cell>
        </row>
        <row r="3418">
          <cell r="A3418">
            <v>148</v>
          </cell>
          <cell r="B3418">
            <v>5245</v>
          </cell>
          <cell r="C3418" t="str">
            <v>Welinite</v>
          </cell>
          <cell r="E3418" t="str">
            <v>https://www.mindat.org/1:1:4264:8</v>
          </cell>
        </row>
        <row r="3419">
          <cell r="A3419">
            <v>149</v>
          </cell>
          <cell r="B3419">
            <v>5245</v>
          </cell>
          <cell r="C3419" t="str">
            <v>Wellsite</v>
          </cell>
          <cell r="E3419" t="str">
            <v/>
          </cell>
        </row>
        <row r="3420">
          <cell r="A3420">
            <v>151</v>
          </cell>
          <cell r="B3420">
            <v>5245</v>
          </cell>
          <cell r="C3420" t="str">
            <v>Welshite</v>
          </cell>
          <cell r="E3420" t="str">
            <v>https://www.mindat.org/1:1:4267:9</v>
          </cell>
        </row>
        <row r="3421">
          <cell r="A3421">
            <v>153</v>
          </cell>
          <cell r="B3421">
            <v>5245</v>
          </cell>
          <cell r="C3421" t="str">
            <v>Wenkite</v>
          </cell>
          <cell r="E3421" t="str">
            <v>https://www.mindat.org/1:1:4269:3</v>
          </cell>
        </row>
        <row r="3422">
          <cell r="A3422">
            <v>156</v>
          </cell>
          <cell r="B3422">
            <v>5245</v>
          </cell>
          <cell r="C3422" t="str">
            <v>Wesselsite</v>
          </cell>
          <cell r="E3422" t="str">
            <v>https://www.mindat.org/1:1:7364:2</v>
          </cell>
        </row>
        <row r="3423">
          <cell r="A3423">
            <v>167</v>
          </cell>
          <cell r="B3423">
            <v>5245</v>
          </cell>
          <cell r="C3423" t="str">
            <v>Wickenburgite</v>
          </cell>
          <cell r="E3423" t="str">
            <v>https://www.mindat.org/1:1:4282:2</v>
          </cell>
        </row>
        <row r="3424">
          <cell r="A3424">
            <v>175</v>
          </cell>
          <cell r="B3424">
            <v>5245</v>
          </cell>
          <cell r="C3424" t="str">
            <v>Wilkinsonite</v>
          </cell>
          <cell r="E3424" t="str">
            <v>https://www.mindat.org/1:1:4290:7</v>
          </cell>
        </row>
        <row r="3425">
          <cell r="A3425">
            <v>177</v>
          </cell>
          <cell r="B3425">
            <v>5245</v>
          </cell>
          <cell r="C3425" t="str">
            <v>Willemite</v>
          </cell>
          <cell r="E3425" t="str">
            <v>https://www.mindat.org/1:1:4292:1</v>
          </cell>
        </row>
        <row r="3426">
          <cell r="A3426">
            <v>178</v>
          </cell>
          <cell r="B3426">
            <v>5245</v>
          </cell>
          <cell r="C3426" t="str">
            <v>Willemseite</v>
          </cell>
          <cell r="E3426" t="str">
            <v>https://www.mindat.org/1:1:4293:8</v>
          </cell>
        </row>
        <row r="3427">
          <cell r="A3427">
            <v>179</v>
          </cell>
          <cell r="B3427">
            <v>5245</v>
          </cell>
          <cell r="C3427" t="str">
            <v>Willhendersonite</v>
          </cell>
          <cell r="E3427" t="str">
            <v>https://www.mindat.org/1:1:4294:5</v>
          </cell>
        </row>
        <row r="3428">
          <cell r="A3428">
            <v>181</v>
          </cell>
          <cell r="B3428">
            <v>5245</v>
          </cell>
          <cell r="C3428" t="str">
            <v>Wiluite</v>
          </cell>
          <cell r="E3428" t="str">
            <v>https://www.mindat.org/1:1:7367:3</v>
          </cell>
        </row>
        <row r="3429">
          <cell r="A3429">
            <v>182</v>
          </cell>
          <cell r="B3429">
            <v>5245</v>
          </cell>
          <cell r="C3429" t="str">
            <v>Winchite</v>
          </cell>
          <cell r="E3429" t="str">
            <v>https://www.mindat.org/1:1:4296:9</v>
          </cell>
        </row>
        <row r="3430">
          <cell r="A3430">
            <v>194</v>
          </cell>
          <cell r="B3430">
            <v>5245</v>
          </cell>
          <cell r="C3430" t="str">
            <v>Wollastonite</v>
          </cell>
          <cell r="E3430" t="str">
            <v>https://www.mindat.org/1:1:4323:2</v>
          </cell>
        </row>
        <row r="3431">
          <cell r="A3431">
            <v>195</v>
          </cell>
          <cell r="B3431">
            <v>5245</v>
          </cell>
          <cell r="C3431" t="str">
            <v>Wollastonite-1t</v>
          </cell>
          <cell r="E3431" t="str">
            <v/>
          </cell>
        </row>
        <row r="3432">
          <cell r="A3432">
            <v>196</v>
          </cell>
          <cell r="B3432">
            <v>5245</v>
          </cell>
          <cell r="C3432" t="str">
            <v>Wollastonite-2m</v>
          </cell>
          <cell r="E3432" t="str">
            <v/>
          </cell>
        </row>
        <row r="3433">
          <cell r="A3433">
            <v>197</v>
          </cell>
          <cell r="B3433">
            <v>5245</v>
          </cell>
          <cell r="C3433" t="str">
            <v>Wollastonite-7t</v>
          </cell>
          <cell r="E3433" t="str">
            <v/>
          </cell>
        </row>
        <row r="3434">
          <cell r="A3434">
            <v>198</v>
          </cell>
          <cell r="B3434">
            <v>5245</v>
          </cell>
          <cell r="C3434" t="str">
            <v>Wonesite</v>
          </cell>
          <cell r="E3434" t="str">
            <v>https://www.mindat.org/1:1:4309:6</v>
          </cell>
        </row>
        <row r="3435">
          <cell r="A3435">
            <v>206</v>
          </cell>
          <cell r="B3435">
            <v>5245</v>
          </cell>
          <cell r="C3435" t="str">
            <v>Zektzerite</v>
          </cell>
          <cell r="E3435" t="str">
            <v>https://www.mindat.org/1:1:4390:4</v>
          </cell>
        </row>
        <row r="3436">
          <cell r="A3436">
            <v>212</v>
          </cell>
          <cell r="B3436">
            <v>5245</v>
          </cell>
          <cell r="C3436" t="str">
            <v>Zeophyllite</v>
          </cell>
          <cell r="E3436" t="str">
            <v>https://www.mindat.org/1:1:4396:6</v>
          </cell>
        </row>
        <row r="3437">
          <cell r="A3437">
            <v>220</v>
          </cell>
          <cell r="B3437">
            <v>5245</v>
          </cell>
          <cell r="C3437" t="str">
            <v>Zinalsite</v>
          </cell>
          <cell r="E3437" t="str">
            <v/>
          </cell>
        </row>
        <row r="3438">
          <cell r="A3438">
            <v>234</v>
          </cell>
          <cell r="B3438">
            <v>5245</v>
          </cell>
          <cell r="C3438" t="str">
            <v>Zincsilite</v>
          </cell>
          <cell r="E3438" t="str">
            <v>https://www.mindat.org/1:1:4416:1</v>
          </cell>
        </row>
        <row r="3439">
          <cell r="A3439">
            <v>236</v>
          </cell>
          <cell r="B3439">
            <v>5245</v>
          </cell>
          <cell r="C3439" t="str">
            <v>Zinnwaldite</v>
          </cell>
          <cell r="E3439" t="str">
            <v>https://www.mindat.org/1:1:4419:2</v>
          </cell>
        </row>
        <row r="3440">
          <cell r="A3440">
            <v>238</v>
          </cell>
          <cell r="B3440">
            <v>5245</v>
          </cell>
          <cell r="C3440" t="str">
            <v>Zircon</v>
          </cell>
          <cell r="E3440" t="str">
            <v>https://www.mindat.org/1:1:4421:5</v>
          </cell>
        </row>
        <row r="3441">
          <cell r="A3441">
            <v>247</v>
          </cell>
          <cell r="B3441">
            <v>5245</v>
          </cell>
          <cell r="C3441" t="str">
            <v>Zirsinalite</v>
          </cell>
          <cell r="E3441" t="str">
            <v>https://www.mindat.org/1:1:4427:7</v>
          </cell>
        </row>
        <row r="3442">
          <cell r="A3442">
            <v>251</v>
          </cell>
          <cell r="B3442">
            <v>5245</v>
          </cell>
          <cell r="C3442" t="str">
            <v>Zoisite</v>
          </cell>
          <cell r="E3442" t="str">
            <v>https://www.mindat.org/1:1:4430:7</v>
          </cell>
        </row>
        <row r="3443">
          <cell r="A3443">
            <v>252</v>
          </cell>
          <cell r="B3443">
            <v>5245</v>
          </cell>
          <cell r="C3443" t="str">
            <v>Zorite</v>
          </cell>
          <cell r="E3443" t="str">
            <v>https://www.mindat.org/1:1:4431:4</v>
          </cell>
        </row>
        <row r="3444">
          <cell r="A3444">
            <v>255</v>
          </cell>
          <cell r="B3444">
            <v>5245</v>
          </cell>
          <cell r="C3444" t="str">
            <v>Zunyite</v>
          </cell>
          <cell r="E3444" t="str">
            <v>https://www.mindat.org/1:1:4433:8</v>
          </cell>
        </row>
        <row r="3445">
          <cell r="A3445">
            <v>256</v>
          </cell>
          <cell r="B3445">
            <v>5245</v>
          </cell>
          <cell r="C3445" t="str">
            <v>Zussmanite</v>
          </cell>
          <cell r="E3445" t="str">
            <v>https://www.mindat.org/1:1:4434:5</v>
          </cell>
        </row>
        <row r="3446">
          <cell r="A3446">
            <v>264</v>
          </cell>
          <cell r="B3446">
            <v>5245</v>
          </cell>
          <cell r="C3446" t="str">
            <v>Orebroite</v>
          </cell>
          <cell r="E3446" t="str">
            <v/>
          </cell>
        </row>
        <row r="3447">
          <cell r="A3447">
            <v>271</v>
          </cell>
          <cell r="B3447">
            <v>5245</v>
          </cell>
          <cell r="C3447" t="str">
            <v>Tephroite</v>
          </cell>
          <cell r="E3447" t="str">
            <v>https://www.mindat.org/1:1:3913:6</v>
          </cell>
        </row>
        <row r="3448">
          <cell r="A3448">
            <v>276</v>
          </cell>
          <cell r="B3448">
            <v>5245</v>
          </cell>
          <cell r="C3448" t="str">
            <v>Terskite</v>
          </cell>
          <cell r="E3448" t="str">
            <v>https://www.mindat.org/1:1:3915:0</v>
          </cell>
        </row>
        <row r="3449">
          <cell r="A3449">
            <v>282</v>
          </cell>
          <cell r="B3449">
            <v>5245</v>
          </cell>
          <cell r="C3449" t="str">
            <v>Tetra-ferri-annite</v>
          </cell>
          <cell r="E3449" t="str">
            <v/>
          </cell>
        </row>
        <row r="3450">
          <cell r="A3450">
            <v>288</v>
          </cell>
          <cell r="B3450">
            <v>5245</v>
          </cell>
          <cell r="C3450" t="str">
            <v>Tetranatrolite</v>
          </cell>
          <cell r="E3450" t="str">
            <v/>
          </cell>
        </row>
        <row r="3451">
          <cell r="A3451">
            <v>295</v>
          </cell>
          <cell r="B3451">
            <v>5245</v>
          </cell>
          <cell r="C3451" t="str">
            <v>Thalenite-(Y)</v>
          </cell>
          <cell r="E3451" t="str">
            <v/>
          </cell>
        </row>
        <row r="3452">
          <cell r="A3452">
            <v>304</v>
          </cell>
          <cell r="B3452">
            <v>5245</v>
          </cell>
          <cell r="C3452" t="str">
            <v>Yugawaralite</v>
          </cell>
          <cell r="E3452" t="str">
            <v>https://www.mindat.org/1:1:4376:8</v>
          </cell>
        </row>
        <row r="3453">
          <cell r="A3453">
            <v>306</v>
          </cell>
          <cell r="B3453">
            <v>5245</v>
          </cell>
          <cell r="C3453" t="str">
            <v>Yuksporite</v>
          </cell>
          <cell r="E3453" t="str">
            <v>https://www.mindat.org/1:1:4378:2</v>
          </cell>
        </row>
        <row r="3454">
          <cell r="A3454">
            <v>312</v>
          </cell>
          <cell r="B3454">
            <v>5245</v>
          </cell>
          <cell r="C3454" t="str">
            <v>Zakharovite</v>
          </cell>
          <cell r="E3454" t="str">
            <v>https://www.mindat.org/1:1:4383:6</v>
          </cell>
        </row>
        <row r="3455">
          <cell r="A3455">
            <v>320</v>
          </cell>
          <cell r="B3455">
            <v>5245</v>
          </cell>
          <cell r="C3455" t="str">
            <v>Suolunite</v>
          </cell>
          <cell r="E3455" t="str">
            <v>https://www.mindat.org/1:1:3829:0</v>
          </cell>
        </row>
        <row r="3456">
          <cell r="A3456">
            <v>322</v>
          </cell>
          <cell r="B3456">
            <v>5245</v>
          </cell>
          <cell r="C3456" t="str">
            <v>Surinamite</v>
          </cell>
          <cell r="E3456" t="str">
            <v>https://www.mindat.org/1:1:3830:6</v>
          </cell>
        </row>
        <row r="3457">
          <cell r="A3457">
            <v>323</v>
          </cell>
          <cell r="B3457">
            <v>5245</v>
          </cell>
          <cell r="C3457" t="str">
            <v>Surite</v>
          </cell>
          <cell r="E3457" t="str">
            <v>https://www.mindat.org/1:1:3831:3</v>
          </cell>
        </row>
        <row r="3458">
          <cell r="A3458">
            <v>324</v>
          </cell>
          <cell r="B3458">
            <v>5245</v>
          </cell>
          <cell r="C3458" t="str">
            <v>Sursassite</v>
          </cell>
          <cell r="E3458" t="str">
            <v>https://www.mindat.org/1:1:3832:0</v>
          </cell>
        </row>
        <row r="3459">
          <cell r="A3459">
            <v>327</v>
          </cell>
          <cell r="B3459">
            <v>5245</v>
          </cell>
          <cell r="C3459" t="str">
            <v>Suzukiite</v>
          </cell>
          <cell r="E3459" t="str">
            <v>https://www.mindat.org/1:1:3835:1</v>
          </cell>
        </row>
        <row r="3460">
          <cell r="A3460">
            <v>332</v>
          </cell>
          <cell r="B3460">
            <v>5245</v>
          </cell>
          <cell r="C3460" t="str">
            <v>Sverigeite</v>
          </cell>
          <cell r="E3460" t="str">
            <v>https://www.mindat.org/1:1:3839:9</v>
          </cell>
        </row>
        <row r="3461">
          <cell r="A3461">
            <v>337</v>
          </cell>
          <cell r="B3461">
            <v>5245</v>
          </cell>
          <cell r="C3461" t="str">
            <v>Swamboite</v>
          </cell>
          <cell r="E3461" t="str">
            <v/>
          </cell>
        </row>
        <row r="3462">
          <cell r="A3462">
            <v>341</v>
          </cell>
          <cell r="B3462">
            <v>5245</v>
          </cell>
          <cell r="C3462" t="str">
            <v>Swinefordite</v>
          </cell>
          <cell r="E3462" t="str">
            <v>https://www.mindat.org/1:1:3847:4</v>
          </cell>
        </row>
        <row r="3463">
          <cell r="A3463">
            <v>360</v>
          </cell>
          <cell r="B3463">
            <v>5245</v>
          </cell>
          <cell r="C3463" t="str">
            <v>Tacharanite</v>
          </cell>
          <cell r="E3463" t="str">
            <v>https://www.mindat.org/1:1:3864:1</v>
          </cell>
        </row>
        <row r="3464">
          <cell r="A3464">
            <v>362</v>
          </cell>
          <cell r="B3464">
            <v>5245</v>
          </cell>
          <cell r="C3464" t="str">
            <v>Tadzhikite-(Ce)</v>
          </cell>
          <cell r="E3464" t="str">
            <v>https://www.mindat.org/1:1:3866:5</v>
          </cell>
        </row>
        <row r="3465">
          <cell r="A3465">
            <v>363</v>
          </cell>
          <cell r="B3465">
            <v>5245</v>
          </cell>
          <cell r="C3465" t="str">
            <v>Tadzhikite-(Y)</v>
          </cell>
          <cell r="E3465" t="str">
            <v/>
          </cell>
        </row>
        <row r="3466">
          <cell r="A3466">
            <v>364</v>
          </cell>
          <cell r="B3466">
            <v>5245</v>
          </cell>
          <cell r="C3466" t="str">
            <v>Taeniolite</v>
          </cell>
          <cell r="E3466" t="str">
            <v/>
          </cell>
        </row>
        <row r="3467">
          <cell r="A3467">
            <v>366</v>
          </cell>
          <cell r="B3467">
            <v>5245</v>
          </cell>
          <cell r="C3467" t="str">
            <v>Taikanite</v>
          </cell>
          <cell r="E3467" t="str">
            <v>https://www.mindat.org/1:1:3869:6</v>
          </cell>
        </row>
        <row r="3468">
          <cell r="A3468">
            <v>368</v>
          </cell>
          <cell r="B3468">
            <v>5245</v>
          </cell>
          <cell r="C3468" t="str">
            <v>Tainiolite</v>
          </cell>
          <cell r="E3468" t="str">
            <v>https://www.mindat.org/1:1:7325:3</v>
          </cell>
        </row>
        <row r="3469">
          <cell r="A3469">
            <v>373</v>
          </cell>
          <cell r="B3469">
            <v>5245</v>
          </cell>
          <cell r="C3469" t="str">
            <v>Talc</v>
          </cell>
          <cell r="E3469" t="str">
            <v>https://www.mindat.org/1:1:3875:7</v>
          </cell>
        </row>
        <row r="3470">
          <cell r="A3470">
            <v>379</v>
          </cell>
          <cell r="B3470">
            <v>5245</v>
          </cell>
          <cell r="C3470" t="str">
            <v>Taneyamalite</v>
          </cell>
          <cell r="E3470" t="str">
            <v>https://www.mindat.org/1:1:3880:1</v>
          </cell>
        </row>
        <row r="3471">
          <cell r="A3471">
            <v>387</v>
          </cell>
          <cell r="B3471">
            <v>5245</v>
          </cell>
          <cell r="C3471" t="str">
            <v>Taramellite</v>
          </cell>
          <cell r="E3471" t="str">
            <v>https://www.mindat.org/1:1:3888:7</v>
          </cell>
        </row>
        <row r="3472">
          <cell r="A3472">
            <v>388</v>
          </cell>
          <cell r="B3472">
            <v>5245</v>
          </cell>
          <cell r="C3472" t="str">
            <v>Taramite</v>
          </cell>
          <cell r="E3472" t="str">
            <v>https://www.mindat.org/1:1:6798:6</v>
          </cell>
        </row>
        <row r="3473">
          <cell r="A3473">
            <v>416</v>
          </cell>
          <cell r="B3473">
            <v>5245</v>
          </cell>
          <cell r="C3473" t="str">
            <v>Staurolite</v>
          </cell>
          <cell r="E3473" t="str">
            <v>https://www.mindat.org/1:1:3753:8</v>
          </cell>
        </row>
        <row r="3474">
          <cell r="A3474">
            <v>417</v>
          </cell>
          <cell r="B3474">
            <v>5245</v>
          </cell>
          <cell r="C3474" t="str">
            <v>Steacyite</v>
          </cell>
          <cell r="E3474" t="str">
            <v>https://www.mindat.org/1:1:3754:5</v>
          </cell>
        </row>
        <row r="3475">
          <cell r="A3475">
            <v>418</v>
          </cell>
          <cell r="B3475">
            <v>5245</v>
          </cell>
          <cell r="C3475" t="str">
            <v>Steenstrupine-(Ce)</v>
          </cell>
          <cell r="E3475" t="str">
            <v>https://www.mindat.org/1:1:3756:9</v>
          </cell>
        </row>
        <row r="3476">
          <cell r="A3476">
            <v>420</v>
          </cell>
          <cell r="B3476">
            <v>5245</v>
          </cell>
          <cell r="C3476" t="str">
            <v>Stellerite</v>
          </cell>
          <cell r="E3476" t="str">
            <v>https://www.mindat.org/1:1:3760:6</v>
          </cell>
        </row>
        <row r="3477">
          <cell r="A3477">
            <v>430</v>
          </cell>
          <cell r="B3477">
            <v>5245</v>
          </cell>
          <cell r="C3477" t="str">
            <v>Stevensite</v>
          </cell>
          <cell r="E3477" t="str">
            <v>https://www.mindat.org/1:1:3770:5</v>
          </cell>
        </row>
        <row r="3478">
          <cell r="A3478">
            <v>444</v>
          </cell>
          <cell r="B3478">
            <v>5245</v>
          </cell>
          <cell r="C3478" t="str">
            <v>Stilbite</v>
          </cell>
          <cell r="E3478" t="str">
            <v/>
          </cell>
        </row>
        <row r="3479">
          <cell r="A3479">
            <v>445</v>
          </cell>
          <cell r="B3479">
            <v>5245</v>
          </cell>
          <cell r="C3479" t="str">
            <v>Stilbite-Ca</v>
          </cell>
          <cell r="E3479" t="str">
            <v>https://www.mindat.org/1:1:7313:0</v>
          </cell>
        </row>
        <row r="3480">
          <cell r="A3480">
            <v>446</v>
          </cell>
          <cell r="B3480">
            <v>5245</v>
          </cell>
          <cell r="C3480" t="str">
            <v>Stilbite-Na</v>
          </cell>
          <cell r="E3480" t="str">
            <v>https://www.mindat.org/1:1:7314:7</v>
          </cell>
        </row>
        <row r="3481">
          <cell r="A3481">
            <v>449</v>
          </cell>
          <cell r="B3481">
            <v>5245</v>
          </cell>
          <cell r="C3481" t="str">
            <v>Stillwellite-(Ce)</v>
          </cell>
          <cell r="E3481" t="str">
            <v>https://www.mindat.org/1:1:3788:0</v>
          </cell>
        </row>
        <row r="3482">
          <cell r="A3482">
            <v>450</v>
          </cell>
          <cell r="B3482">
            <v>5245</v>
          </cell>
          <cell r="C3482" t="str">
            <v>Stilpnomelane</v>
          </cell>
          <cell r="E3482" t="str">
            <v>https://www.mindat.org/1:1:3789:7</v>
          </cell>
        </row>
        <row r="3483">
          <cell r="A3483">
            <v>454</v>
          </cell>
          <cell r="B3483">
            <v>5245</v>
          </cell>
          <cell r="C3483" t="str">
            <v>Stokesite</v>
          </cell>
          <cell r="E3483" t="str">
            <v>https://www.mindat.org/1:1:3793:4</v>
          </cell>
        </row>
        <row r="3484">
          <cell r="A3484">
            <v>460</v>
          </cell>
          <cell r="B3484">
            <v>5245</v>
          </cell>
          <cell r="C3484" t="str">
            <v>Strakhovite</v>
          </cell>
          <cell r="E3484" t="str">
            <v>https://www.mindat.org/1:1:3797:2</v>
          </cell>
        </row>
        <row r="3485">
          <cell r="A3485">
            <v>465</v>
          </cell>
          <cell r="B3485">
            <v>5245</v>
          </cell>
          <cell r="C3485" t="str">
            <v>Stringhamite</v>
          </cell>
          <cell r="E3485" t="str">
            <v>https://www.mindat.org/1:1:3802:3</v>
          </cell>
        </row>
        <row r="3486">
          <cell r="A3486">
            <v>467</v>
          </cell>
          <cell r="B3486">
            <v>5245</v>
          </cell>
          <cell r="C3486" t="str">
            <v>Stronalsite</v>
          </cell>
          <cell r="E3486" t="str">
            <v>https://www.mindat.org/1:1:3804:7</v>
          </cell>
        </row>
        <row r="3487">
          <cell r="A3487">
            <v>469</v>
          </cell>
          <cell r="B3487">
            <v>5245</v>
          </cell>
          <cell r="C3487" t="str">
            <v>Strontio-orthojoaquinite</v>
          </cell>
          <cell r="E3487" t="str">
            <v>https://www.mindat.org/1:1:3806:1</v>
          </cell>
        </row>
        <row r="3488">
          <cell r="A3488">
            <v>471</v>
          </cell>
          <cell r="B3488">
            <v>5245</v>
          </cell>
          <cell r="C3488" t="str">
            <v>Strontiochevkinite</v>
          </cell>
          <cell r="E3488" t="str">
            <v>https://www.mindat.org/1:1:3808:5</v>
          </cell>
        </row>
        <row r="3489">
          <cell r="A3489">
            <v>474</v>
          </cell>
          <cell r="B3489">
            <v>5245</v>
          </cell>
          <cell r="C3489" t="str">
            <v>Strontiojoaquinite</v>
          </cell>
          <cell r="E3489" t="str">
            <v>https://www.mindat.org/1:1:3740:8</v>
          </cell>
        </row>
        <row r="3490">
          <cell r="A3490">
            <v>483</v>
          </cell>
          <cell r="B3490">
            <v>5245</v>
          </cell>
          <cell r="C3490" t="str">
            <v>Stratlingite</v>
          </cell>
          <cell r="E3490" t="str">
            <v/>
          </cell>
        </row>
        <row r="3491">
          <cell r="A3491">
            <v>491</v>
          </cell>
          <cell r="B3491">
            <v>5245</v>
          </cell>
          <cell r="C3491" t="str">
            <v>Sudoite</v>
          </cell>
          <cell r="E3491" t="str">
            <v>https://www.mindat.org/1:1:3820:7</v>
          </cell>
        </row>
        <row r="3492">
          <cell r="A3492">
            <v>494</v>
          </cell>
          <cell r="B3492">
            <v>5245</v>
          </cell>
          <cell r="C3492" t="str">
            <v>Sugilite</v>
          </cell>
          <cell r="E3492" t="str">
            <v>https://www.mindat.org/1:1:3822:1</v>
          </cell>
        </row>
        <row r="3493">
          <cell r="A3493">
            <v>501</v>
          </cell>
          <cell r="B3493">
            <v>5245</v>
          </cell>
          <cell r="C3493" t="str">
            <v>Sillimanite</v>
          </cell>
          <cell r="E3493" t="str">
            <v>https://www.mindat.org/1:1:3662:3</v>
          </cell>
        </row>
        <row r="3494">
          <cell r="A3494">
            <v>518</v>
          </cell>
          <cell r="B3494">
            <v>5245</v>
          </cell>
          <cell r="C3494" t="str">
            <v>Sitinakite</v>
          </cell>
          <cell r="E3494" t="str">
            <v>https://www.mindat.org/1:1:3677:7</v>
          </cell>
        </row>
        <row r="3495">
          <cell r="A3495">
            <v>522</v>
          </cell>
          <cell r="B3495">
            <v>5245</v>
          </cell>
          <cell r="C3495" t="str">
            <v>Sklodowskite</v>
          </cell>
          <cell r="E3495" t="str">
            <v>https://www.mindat.org/1:1:3681:4</v>
          </cell>
        </row>
        <row r="3496">
          <cell r="A3496">
            <v>525</v>
          </cell>
          <cell r="B3496">
            <v>5245</v>
          </cell>
          <cell r="C3496" t="str">
            <v>Slawsonite</v>
          </cell>
          <cell r="E3496" t="str">
            <v>https://www.mindat.org/1:1:3684:5</v>
          </cell>
        </row>
        <row r="3497">
          <cell r="A3497">
            <v>526</v>
          </cell>
          <cell r="B3497">
            <v>5245</v>
          </cell>
          <cell r="C3497" t="str">
            <v>Smectitegroup</v>
          </cell>
          <cell r="E3497" t="str">
            <v/>
          </cell>
        </row>
        <row r="3498">
          <cell r="A3498">
            <v>535</v>
          </cell>
          <cell r="B3498">
            <v>5245</v>
          </cell>
          <cell r="C3498" t="str">
            <v>Sobotkite</v>
          </cell>
          <cell r="E3498" t="str">
            <v/>
          </cell>
        </row>
        <row r="3499">
          <cell r="A3499">
            <v>536</v>
          </cell>
          <cell r="B3499">
            <v>5245</v>
          </cell>
          <cell r="C3499" t="str">
            <v>Sodalite</v>
          </cell>
          <cell r="E3499" t="str">
            <v>https://www.mindat.org/1:1:3701:9</v>
          </cell>
        </row>
        <row r="3500">
          <cell r="A3500">
            <v>537</v>
          </cell>
          <cell r="B3500">
            <v>5245</v>
          </cell>
          <cell r="C3500" t="str">
            <v>Soddyite</v>
          </cell>
          <cell r="E3500" t="str">
            <v>https://www.mindat.org/1:1:3702:6</v>
          </cell>
        </row>
        <row r="3501">
          <cell r="A3501">
            <v>546</v>
          </cell>
          <cell r="B3501">
            <v>5245</v>
          </cell>
          <cell r="C3501" t="str">
            <v>Sodiumdachiardite</v>
          </cell>
          <cell r="E3501" t="str">
            <v/>
          </cell>
        </row>
        <row r="3502">
          <cell r="A3502">
            <v>554</v>
          </cell>
          <cell r="B3502">
            <v>5245</v>
          </cell>
          <cell r="C3502" t="str">
            <v>Sogdianite</v>
          </cell>
          <cell r="E3502" t="str">
            <v>https://www.mindat.org/1:1:3708:8</v>
          </cell>
        </row>
        <row r="3503">
          <cell r="A3503">
            <v>556</v>
          </cell>
          <cell r="B3503">
            <v>5245</v>
          </cell>
          <cell r="C3503" t="str">
            <v>Sonolite</v>
          </cell>
          <cell r="E3503" t="str">
            <v>https://www.mindat.org/1:1:3711:8</v>
          </cell>
        </row>
        <row r="3504">
          <cell r="A3504">
            <v>561</v>
          </cell>
          <cell r="B3504">
            <v>5245</v>
          </cell>
          <cell r="C3504" t="str">
            <v>Sorensenite</v>
          </cell>
          <cell r="E3504" t="str">
            <v/>
          </cell>
        </row>
        <row r="3505">
          <cell r="A3505">
            <v>566</v>
          </cell>
          <cell r="B3505">
            <v>5245</v>
          </cell>
          <cell r="C3505" t="str">
            <v>Spadaite</v>
          </cell>
          <cell r="E3505" t="str">
            <v>https://www.mindat.org/1:1:3720:0</v>
          </cell>
        </row>
        <row r="3506">
          <cell r="A3506">
            <v>571</v>
          </cell>
          <cell r="B3506">
            <v>5245</v>
          </cell>
          <cell r="C3506" t="str">
            <v>Spessartine</v>
          </cell>
          <cell r="E3506" t="str">
            <v>https://www.mindat.org/1:1:3725:5</v>
          </cell>
        </row>
        <row r="3507">
          <cell r="A3507">
            <v>581</v>
          </cell>
          <cell r="B3507">
            <v>5245</v>
          </cell>
          <cell r="C3507" t="str">
            <v>Spodumene</v>
          </cell>
          <cell r="E3507" t="str">
            <v>https://www.mindat.org/1:1:3733:0</v>
          </cell>
        </row>
        <row r="3508">
          <cell r="A3508">
            <v>583</v>
          </cell>
          <cell r="B3508">
            <v>5245</v>
          </cell>
          <cell r="C3508" t="str">
            <v>Spurrite</v>
          </cell>
          <cell r="E3508" t="str">
            <v>https://www.mindat.org/1:1:3734:7</v>
          </cell>
        </row>
        <row r="3509">
          <cell r="A3509">
            <v>593</v>
          </cell>
          <cell r="B3509">
            <v>5245</v>
          </cell>
          <cell r="C3509" t="str">
            <v>Schorl</v>
          </cell>
          <cell r="E3509" t="str">
            <v>https://www.mindat.org/1:1:3578:7</v>
          </cell>
        </row>
        <row r="3510">
          <cell r="A3510">
            <v>594</v>
          </cell>
          <cell r="B3510">
            <v>5245</v>
          </cell>
          <cell r="C3510" t="str">
            <v>Schorlomite</v>
          </cell>
          <cell r="E3510" t="str">
            <v>https://www.mindat.org/1:1:3579:4</v>
          </cell>
        </row>
        <row r="3511">
          <cell r="A3511">
            <v>608</v>
          </cell>
          <cell r="B3511">
            <v>5245</v>
          </cell>
          <cell r="C3511" t="str">
            <v>Scolecite</v>
          </cell>
          <cell r="E3511" t="str">
            <v>https://www.mindat.org/1:1:3594:7</v>
          </cell>
        </row>
        <row r="3512">
          <cell r="A3512">
            <v>614</v>
          </cell>
          <cell r="B3512">
            <v>5245</v>
          </cell>
          <cell r="C3512" t="str">
            <v>Searlesite</v>
          </cell>
          <cell r="E3512" t="str">
            <v>https://www.mindat.org/1:1:3600:5</v>
          </cell>
        </row>
        <row r="3513">
          <cell r="A3513">
            <v>622</v>
          </cell>
          <cell r="B3513">
            <v>5245</v>
          </cell>
          <cell r="C3513" t="str">
            <v>Seidozerite</v>
          </cell>
          <cell r="E3513" t="str">
            <v>https://www.mindat.org/1:1:3607:4</v>
          </cell>
        </row>
        <row r="3514">
          <cell r="A3514">
            <v>624</v>
          </cell>
          <cell r="B3514">
            <v>5245</v>
          </cell>
          <cell r="C3514" t="str">
            <v>Sekaninaite</v>
          </cell>
          <cell r="E3514" t="str">
            <v>https://www.mindat.org/1:1:3609:8</v>
          </cell>
        </row>
        <row r="3515">
          <cell r="A3515">
            <v>631</v>
          </cell>
          <cell r="B3515">
            <v>5245</v>
          </cell>
          <cell r="C3515" t="str">
            <v>Semenovite</v>
          </cell>
          <cell r="E3515" t="str">
            <v/>
          </cell>
        </row>
        <row r="3516">
          <cell r="A3516">
            <v>637</v>
          </cell>
          <cell r="B3516">
            <v>5245</v>
          </cell>
          <cell r="C3516" t="str">
            <v>Sepiolite</v>
          </cell>
          <cell r="E3516" t="str">
            <v>https://www.mindat.org/1:1:3621:0</v>
          </cell>
        </row>
        <row r="3517">
          <cell r="A3517">
            <v>638</v>
          </cell>
          <cell r="B3517">
            <v>5245</v>
          </cell>
          <cell r="C3517" t="str">
            <v>Serandite</v>
          </cell>
          <cell r="E3517" t="str">
            <v>https://www.mindat.org/1:1:3622:7</v>
          </cell>
        </row>
        <row r="3518">
          <cell r="A3518">
            <v>639</v>
          </cell>
          <cell r="B3518">
            <v>5245</v>
          </cell>
          <cell r="C3518" t="str">
            <v>Serendibite</v>
          </cell>
          <cell r="E3518" t="str">
            <v>https://www.mindat.org/1:1:3623:4</v>
          </cell>
        </row>
        <row r="3519">
          <cell r="A3519">
            <v>641</v>
          </cell>
          <cell r="B3519">
            <v>5245</v>
          </cell>
          <cell r="C3519" t="str">
            <v>Serpentine</v>
          </cell>
          <cell r="E3519" t="str">
            <v/>
          </cell>
        </row>
        <row r="3520">
          <cell r="A3520">
            <v>646</v>
          </cell>
          <cell r="B3520">
            <v>5245</v>
          </cell>
          <cell r="C3520" t="str">
            <v>Shafranovskite</v>
          </cell>
          <cell r="E3520" t="str">
            <v>https://www.mindat.org/1:1:3629:6</v>
          </cell>
        </row>
        <row r="3521">
          <cell r="A3521">
            <v>651</v>
          </cell>
          <cell r="B3521">
            <v>5245</v>
          </cell>
          <cell r="C3521" t="str">
            <v>Shattuckite</v>
          </cell>
          <cell r="E3521" t="str">
            <v>https://www.mindat.org/1:1:3634:0</v>
          </cell>
        </row>
        <row r="3522">
          <cell r="A3522">
            <v>652</v>
          </cell>
          <cell r="B3522">
            <v>5245</v>
          </cell>
          <cell r="C3522" t="str">
            <v>Shcherbakovite</v>
          </cell>
          <cell r="E3522" t="str">
            <v>https://www.mindat.org/1:1:3635:7</v>
          </cell>
        </row>
        <row r="3523">
          <cell r="A3523">
            <v>658</v>
          </cell>
          <cell r="B3523">
            <v>5245</v>
          </cell>
          <cell r="C3523" t="str">
            <v>Shkatulkalite</v>
          </cell>
          <cell r="E3523" t="str">
            <v>https://www.mindat.org/1:1:7291:1</v>
          </cell>
        </row>
        <row r="3524">
          <cell r="A3524">
            <v>663</v>
          </cell>
          <cell r="B3524">
            <v>5245</v>
          </cell>
          <cell r="C3524" t="str">
            <v>Shuiskite</v>
          </cell>
          <cell r="E3524" t="str">
            <v>https://www.mindat.org/1:1:3642:5</v>
          </cell>
        </row>
        <row r="3525">
          <cell r="A3525">
            <v>670</v>
          </cell>
          <cell r="B3525">
            <v>5245</v>
          </cell>
          <cell r="C3525" t="str">
            <v>Siderophyllite</v>
          </cell>
          <cell r="E3525" t="str">
            <v>https://www.mindat.org/1:1:3651:7</v>
          </cell>
        </row>
        <row r="3526">
          <cell r="A3526">
            <v>671</v>
          </cell>
          <cell r="B3526">
            <v>5245</v>
          </cell>
          <cell r="C3526" t="str">
            <v>Siderotil</v>
          </cell>
          <cell r="E3526" t="str">
            <v>https://www.mindat.org/1:1:3643:2</v>
          </cell>
        </row>
        <row r="3527">
          <cell r="A3527">
            <v>692</v>
          </cell>
          <cell r="B3527">
            <v>5245</v>
          </cell>
          <cell r="C3527" t="str">
            <v>Vinogradovite</v>
          </cell>
          <cell r="E3527" t="str">
            <v>https://www.mindat.org/1:1:4186:3</v>
          </cell>
        </row>
        <row r="3528">
          <cell r="A3528">
            <v>696</v>
          </cell>
          <cell r="B3528">
            <v>5245</v>
          </cell>
          <cell r="C3528" t="str">
            <v>Vishnevite</v>
          </cell>
          <cell r="E3528" t="str">
            <v>https://www.mindat.org/1:1:4190:0</v>
          </cell>
        </row>
        <row r="3529">
          <cell r="A3529">
            <v>702</v>
          </cell>
          <cell r="B3529">
            <v>5245</v>
          </cell>
          <cell r="C3529" t="str">
            <v>Vlasovite</v>
          </cell>
          <cell r="E3529" t="str">
            <v>https://www.mindat.org/1:1:4196:2</v>
          </cell>
        </row>
        <row r="3530">
          <cell r="A3530">
            <v>709</v>
          </cell>
          <cell r="B3530">
            <v>5245</v>
          </cell>
          <cell r="C3530" t="str">
            <v>Volkonskoite</v>
          </cell>
          <cell r="E3530" t="str">
            <v>https://www.mindat.org/1:1:4201:3</v>
          </cell>
        </row>
        <row r="3531">
          <cell r="A3531">
            <v>717</v>
          </cell>
          <cell r="B3531">
            <v>5245</v>
          </cell>
          <cell r="C3531" t="str">
            <v>Vuagnatite</v>
          </cell>
          <cell r="E3531" t="str">
            <v>https://www.mindat.org/1:1:4212:9</v>
          </cell>
        </row>
        <row r="3532">
          <cell r="A3532">
            <v>719</v>
          </cell>
          <cell r="B3532">
            <v>5245</v>
          </cell>
          <cell r="C3532" t="str">
            <v>Vuonnemite</v>
          </cell>
          <cell r="E3532" t="str">
            <v>https://www.mindat.org/1:1:4216:7</v>
          </cell>
        </row>
        <row r="3533">
          <cell r="A3533">
            <v>729</v>
          </cell>
          <cell r="B3533">
            <v>5245</v>
          </cell>
          <cell r="C3533" t="str">
            <v>Wadeite</v>
          </cell>
          <cell r="E3533" t="str">
            <v>https://www.mindat.org/1:1:4227:3</v>
          </cell>
        </row>
        <row r="3534">
          <cell r="A3534">
            <v>732</v>
          </cell>
          <cell r="B3534">
            <v>5245</v>
          </cell>
          <cell r="C3534" t="str">
            <v>Wairakite</v>
          </cell>
          <cell r="E3534" t="str">
            <v>https://www.mindat.org/1:1:4230:3</v>
          </cell>
        </row>
        <row r="3535">
          <cell r="A3535">
            <v>744</v>
          </cell>
          <cell r="B3535">
            <v>5245</v>
          </cell>
          <cell r="C3535" t="str">
            <v>Sauconite</v>
          </cell>
          <cell r="E3535" t="str">
            <v>https://www.mindat.org/1:1:3544:2</v>
          </cell>
        </row>
        <row r="3536">
          <cell r="A3536">
            <v>747</v>
          </cell>
          <cell r="B3536">
            <v>5245</v>
          </cell>
          <cell r="C3536" t="str">
            <v>Sazykinaite-(Y)</v>
          </cell>
          <cell r="E3536" t="str">
            <v>https://www.mindat.org/1:1:3547:3</v>
          </cell>
        </row>
        <row r="3537">
          <cell r="A3537">
            <v>752</v>
          </cell>
          <cell r="B3537">
            <v>5245</v>
          </cell>
          <cell r="C3537" t="str">
            <v>Scapoliteseries</v>
          </cell>
          <cell r="E3537" t="str">
            <v/>
          </cell>
        </row>
        <row r="3538">
          <cell r="A3538">
            <v>754</v>
          </cell>
          <cell r="B3538">
            <v>5245</v>
          </cell>
          <cell r="C3538" t="str">
            <v>Scawtite</v>
          </cell>
          <cell r="E3538" t="str">
            <v>https://www.mindat.org/1:1:3552:7</v>
          </cell>
        </row>
        <row r="3539">
          <cell r="A3539">
            <v>758</v>
          </cell>
          <cell r="B3539">
            <v>5245</v>
          </cell>
          <cell r="C3539" t="str">
            <v>Schallerite</v>
          </cell>
          <cell r="E3539" t="str">
            <v>https://www.mindat.org/1:1:3557:2</v>
          </cell>
        </row>
        <row r="3540">
          <cell r="A3540">
            <v>786</v>
          </cell>
          <cell r="B3540">
            <v>5245</v>
          </cell>
          <cell r="C3540" t="str">
            <v>Umbite</v>
          </cell>
          <cell r="E3540" t="str">
            <v>https://www.mindat.org/1:1:4091:0</v>
          </cell>
        </row>
        <row r="3541">
          <cell r="A3541">
            <v>787</v>
          </cell>
          <cell r="B3541">
            <v>5245</v>
          </cell>
          <cell r="C3541" t="str">
            <v>Umbozerite</v>
          </cell>
          <cell r="E3541" t="str">
            <v>https://www.mindat.org/1:1:4092:7</v>
          </cell>
        </row>
        <row r="3542">
          <cell r="A3542">
            <v>789</v>
          </cell>
          <cell r="B3542">
            <v>5245</v>
          </cell>
          <cell r="C3542" t="str">
            <v>Ungarettiite</v>
          </cell>
          <cell r="E3542" t="str">
            <v/>
          </cell>
        </row>
        <row r="3543">
          <cell r="A3543">
            <v>822</v>
          </cell>
          <cell r="B3543">
            <v>5245</v>
          </cell>
          <cell r="C3543" t="str">
            <v>Uvarovite</v>
          </cell>
          <cell r="E3543" t="str">
            <v>https://www.mindat.org/1:1:4125:2</v>
          </cell>
        </row>
        <row r="3544">
          <cell r="A3544">
            <v>823</v>
          </cell>
          <cell r="B3544">
            <v>5245</v>
          </cell>
          <cell r="C3544" t="str">
            <v>Uvite</v>
          </cell>
          <cell r="E3544" t="str">
            <v>https://www.mindat.org/1:1:54355:6</v>
          </cell>
        </row>
        <row r="3545">
          <cell r="A3545">
            <v>842</v>
          </cell>
          <cell r="B3545">
            <v>5245</v>
          </cell>
          <cell r="C3545" t="str">
            <v>Varennesite</v>
          </cell>
          <cell r="E3545" t="str">
            <v>https://www.mindat.org/1:1:4155:9</v>
          </cell>
        </row>
        <row r="3546">
          <cell r="A3546">
            <v>857</v>
          </cell>
          <cell r="B3546">
            <v>5245</v>
          </cell>
          <cell r="C3546" t="str">
            <v>Vermiculite</v>
          </cell>
          <cell r="E3546" t="str">
            <v>https://www.mindat.org/1:1:4170:2</v>
          </cell>
        </row>
        <row r="3547">
          <cell r="A3547">
            <v>859</v>
          </cell>
          <cell r="B3547">
            <v>5245</v>
          </cell>
          <cell r="C3547" t="str">
            <v>Verplanckite</v>
          </cell>
          <cell r="E3547" t="str">
            <v>https://www.mindat.org/1:1:4172:6</v>
          </cell>
        </row>
        <row r="3548">
          <cell r="A3548">
            <v>861</v>
          </cell>
          <cell r="B3548">
            <v>5245</v>
          </cell>
          <cell r="C3548" t="str">
            <v>Vertumnite</v>
          </cell>
          <cell r="E3548" t="str">
            <v>https://www.mindat.org/1:1:4174:0</v>
          </cell>
        </row>
        <row r="3549">
          <cell r="A3549">
            <v>863</v>
          </cell>
          <cell r="B3549">
            <v>5245</v>
          </cell>
          <cell r="C3549" t="str">
            <v>Vesuvianite</v>
          </cell>
          <cell r="E3549" t="str">
            <v>https://www.mindat.org/1:1:4223:5</v>
          </cell>
        </row>
        <row r="3550">
          <cell r="A3550">
            <v>877</v>
          </cell>
          <cell r="B3550">
            <v>5245</v>
          </cell>
          <cell r="C3550" t="str">
            <v>Roscoelite</v>
          </cell>
          <cell r="E3550" t="str">
            <v>https://www.mindat.org/1:1:3449:0</v>
          </cell>
        </row>
        <row r="3551">
          <cell r="A3551">
            <v>882</v>
          </cell>
          <cell r="B3551">
            <v>5245</v>
          </cell>
          <cell r="C3551" t="str">
            <v>Rosenbuschite</v>
          </cell>
          <cell r="E3551" t="str">
            <v>https://www.mindat.org/1:1:3454:4</v>
          </cell>
        </row>
        <row r="3552">
          <cell r="A3552">
            <v>883</v>
          </cell>
          <cell r="B3552">
            <v>5245</v>
          </cell>
          <cell r="C3552" t="str">
            <v>Rosenhahnite</v>
          </cell>
          <cell r="E3552" t="str">
            <v>https://www.mindat.org/1:1:3455:1</v>
          </cell>
        </row>
        <row r="3553">
          <cell r="A3553">
            <v>896</v>
          </cell>
          <cell r="B3553">
            <v>5245</v>
          </cell>
          <cell r="C3553" t="str">
            <v>Rowlandite-(Y)</v>
          </cell>
          <cell r="E3553" t="str">
            <v>https://www.mindat.org/1:1:3467:4</v>
          </cell>
        </row>
        <row r="3554">
          <cell r="A3554">
            <v>903</v>
          </cell>
          <cell r="B3554">
            <v>5245</v>
          </cell>
          <cell r="C3554" t="str">
            <v>Ruizite</v>
          </cell>
          <cell r="E3554" t="str">
            <v>https://www.mindat.org/1:1:3476:6</v>
          </cell>
        </row>
        <row r="3555">
          <cell r="A3555">
            <v>907</v>
          </cell>
          <cell r="B3555">
            <v>5245</v>
          </cell>
          <cell r="C3555" t="str">
            <v>Rustumite</v>
          </cell>
          <cell r="E3555" t="str">
            <v>https://www.mindat.org/1:1:3480:3</v>
          </cell>
        </row>
        <row r="3556">
          <cell r="A3556">
            <v>923</v>
          </cell>
          <cell r="B3556">
            <v>5245</v>
          </cell>
          <cell r="C3556" t="str">
            <v>Sacrofanite</v>
          </cell>
          <cell r="E3556" t="str">
            <v>https://www.mindat.org/1:1:3498:8</v>
          </cell>
        </row>
        <row r="3557">
          <cell r="A3557">
            <v>924</v>
          </cell>
          <cell r="B3557">
            <v>5245</v>
          </cell>
          <cell r="C3557" t="str">
            <v>Sadanagaite</v>
          </cell>
          <cell r="E3557" t="str">
            <v>https://www.mindat.org/1:1:3499:5</v>
          </cell>
        </row>
        <row r="3558">
          <cell r="A3558">
            <v>938</v>
          </cell>
          <cell r="B3558">
            <v>5245</v>
          </cell>
          <cell r="C3558" t="str">
            <v>Samfowlerite</v>
          </cell>
          <cell r="E3558" t="str">
            <v>https://www.mindat.org/1:1:3513:8</v>
          </cell>
        </row>
        <row r="3559">
          <cell r="A3559">
            <v>942</v>
          </cell>
          <cell r="B3559">
            <v>5245</v>
          </cell>
          <cell r="C3559" t="str">
            <v>Sanbornite</v>
          </cell>
          <cell r="E3559" t="str">
            <v>https://www.mindat.org/1:1:3518:3</v>
          </cell>
        </row>
        <row r="3560">
          <cell r="A3560">
            <v>944</v>
          </cell>
          <cell r="B3560">
            <v>5245</v>
          </cell>
          <cell r="C3560" t="str">
            <v>Saneroite</v>
          </cell>
          <cell r="E3560" t="str">
            <v>https://www.mindat.org/1:1:3520:6</v>
          </cell>
        </row>
        <row r="3561">
          <cell r="A3561">
            <v>945</v>
          </cell>
          <cell r="B3561">
            <v>5245</v>
          </cell>
          <cell r="C3561" t="str">
            <v>Sanidine</v>
          </cell>
          <cell r="E3561" t="str">
            <v>https://www.mindat.org/1:1:3521:3</v>
          </cell>
        </row>
        <row r="3562">
          <cell r="A3562">
            <v>948</v>
          </cell>
          <cell r="B3562">
            <v>5245</v>
          </cell>
          <cell r="C3562" t="str">
            <v>Santaclaraite</v>
          </cell>
          <cell r="E3562" t="str">
            <v>https://www.mindat.org/1:1:3524:4</v>
          </cell>
        </row>
        <row r="3563">
          <cell r="A3563">
            <v>952</v>
          </cell>
          <cell r="B3563">
            <v>5245</v>
          </cell>
          <cell r="C3563" t="str">
            <v>Saponite</v>
          </cell>
          <cell r="E3563" t="str">
            <v>https://www.mindat.org/1:1:3528:2</v>
          </cell>
        </row>
        <row r="3564">
          <cell r="A3564">
            <v>953</v>
          </cell>
          <cell r="B3564">
            <v>5245</v>
          </cell>
          <cell r="C3564" t="str">
            <v>Sapphirine</v>
          </cell>
          <cell r="E3564" t="str">
            <v>https://www.mindat.org/1:1:3531:2</v>
          </cell>
        </row>
        <row r="3565">
          <cell r="A3565">
            <v>954</v>
          </cell>
          <cell r="B3565">
            <v>5245</v>
          </cell>
          <cell r="C3565" t="str">
            <v>Sapphirine-1tc</v>
          </cell>
          <cell r="E3565" t="str">
            <v/>
          </cell>
        </row>
        <row r="3566">
          <cell r="A3566">
            <v>956</v>
          </cell>
          <cell r="B3566">
            <v>5245</v>
          </cell>
          <cell r="C3566" t="str">
            <v>Sarcolite</v>
          </cell>
          <cell r="E3566" t="str">
            <v>https://www.mindat.org/1:1:3533:6</v>
          </cell>
        </row>
        <row r="3567">
          <cell r="A3567">
            <v>967</v>
          </cell>
          <cell r="B3567">
            <v>5245</v>
          </cell>
          <cell r="C3567" t="str">
            <v>Rankinite</v>
          </cell>
          <cell r="E3567" t="str">
            <v>https://www.mindat.org/1:1:3363:9</v>
          </cell>
        </row>
        <row r="3568">
          <cell r="A3568">
            <v>983</v>
          </cell>
          <cell r="B3568">
            <v>5245</v>
          </cell>
          <cell r="C3568" t="str">
            <v>Rectorite</v>
          </cell>
          <cell r="E3568" t="str">
            <v>https://www.mindat.org/1:1:3377:6</v>
          </cell>
        </row>
        <row r="3569">
          <cell r="A3569">
            <v>988</v>
          </cell>
          <cell r="B3569">
            <v>5245</v>
          </cell>
          <cell r="C3569" t="str">
            <v>Reedmergnerite</v>
          </cell>
          <cell r="E3569" t="str">
            <v>https://www.mindat.org/1:1:3382:0</v>
          </cell>
        </row>
        <row r="3570">
          <cell r="A3570">
            <v>992</v>
          </cell>
          <cell r="B3570">
            <v>5245</v>
          </cell>
          <cell r="C3570" t="str">
            <v>Reidite</v>
          </cell>
          <cell r="E3570" t="str">
            <v>https://www.mindat.org/1:1:11467:3</v>
          </cell>
        </row>
        <row r="3571">
          <cell r="A3571">
            <v>994</v>
          </cell>
          <cell r="B3571">
            <v>5245</v>
          </cell>
          <cell r="C3571" t="str">
            <v>Reinhardbraunsite</v>
          </cell>
          <cell r="E3571" t="str">
            <v>https://www.mindat.org/1:1:3387:5</v>
          </cell>
        </row>
        <row r="3572">
          <cell r="A3572">
            <v>1006</v>
          </cell>
          <cell r="B3572">
            <v>5245</v>
          </cell>
          <cell r="C3572" t="str">
            <v>Revdite</v>
          </cell>
          <cell r="E3572" t="str">
            <v>https://www.mindat.org/1:1:3395:0</v>
          </cell>
        </row>
        <row r="3573">
          <cell r="A3573">
            <v>1007</v>
          </cell>
          <cell r="B3573">
            <v>5245</v>
          </cell>
          <cell r="C3573" t="str">
            <v>Reyerite</v>
          </cell>
          <cell r="E3573" t="str">
            <v>https://www.mindat.org/1:1:3396:7</v>
          </cell>
        </row>
        <row r="3574">
          <cell r="A3574">
            <v>1015</v>
          </cell>
          <cell r="B3574">
            <v>5245</v>
          </cell>
          <cell r="C3574" t="str">
            <v>Rhodesite</v>
          </cell>
          <cell r="E3574" t="str">
            <v>https://www.mindat.org/1:1:3403:2</v>
          </cell>
        </row>
        <row r="3575">
          <cell r="A3575">
            <v>1019</v>
          </cell>
          <cell r="B3575">
            <v>5245</v>
          </cell>
          <cell r="C3575" t="str">
            <v>Rhodonite</v>
          </cell>
          <cell r="E3575" t="str">
            <v>https://www.mindat.org/1:1:3407:0</v>
          </cell>
        </row>
        <row r="3576">
          <cell r="A3576">
            <v>1023</v>
          </cell>
          <cell r="B3576">
            <v>5245</v>
          </cell>
          <cell r="C3576" t="str">
            <v>Rhonite</v>
          </cell>
          <cell r="E3576" t="str">
            <v/>
          </cell>
        </row>
        <row r="3577">
          <cell r="A3577">
            <v>1024</v>
          </cell>
          <cell r="B3577">
            <v>5245</v>
          </cell>
          <cell r="C3577" t="str">
            <v>Ribbeite</v>
          </cell>
          <cell r="E3577" t="str">
            <v>https://www.mindat.org/1:1:3411:7</v>
          </cell>
        </row>
        <row r="3578">
          <cell r="A3578">
            <v>1028</v>
          </cell>
          <cell r="B3578">
            <v>5245</v>
          </cell>
          <cell r="C3578" t="str">
            <v>Richterite</v>
          </cell>
          <cell r="E3578" t="str">
            <v>https://www.mindat.org/1:1:3416:2</v>
          </cell>
        </row>
        <row r="3579">
          <cell r="A3579">
            <v>1030</v>
          </cell>
          <cell r="B3579">
            <v>5245</v>
          </cell>
          <cell r="C3579" t="str">
            <v>Riebeckite</v>
          </cell>
          <cell r="E3579" t="str">
            <v>https://www.mindat.org/1:1:3418:6</v>
          </cell>
        </row>
        <row r="3580">
          <cell r="A3580">
            <v>1031</v>
          </cell>
          <cell r="B3580">
            <v>5245</v>
          </cell>
          <cell r="C3580" t="str">
            <v>Rilandite</v>
          </cell>
          <cell r="E3580" t="str">
            <v>https://www.mindat.org/1:1:3419:3</v>
          </cell>
        </row>
        <row r="3581">
          <cell r="A3581">
            <v>1034</v>
          </cell>
          <cell r="B3581">
            <v>5245</v>
          </cell>
          <cell r="C3581" t="str">
            <v>Rinkite</v>
          </cell>
          <cell r="E3581" t="str">
            <v/>
          </cell>
        </row>
        <row r="3582">
          <cell r="A3582">
            <v>1039</v>
          </cell>
          <cell r="B3582">
            <v>5245</v>
          </cell>
          <cell r="C3582" t="str">
            <v>Riversideite</v>
          </cell>
          <cell r="E3582" t="str">
            <v>https://www.mindat.org/1:1:3427:8</v>
          </cell>
        </row>
        <row r="3583">
          <cell r="A3583">
            <v>1046</v>
          </cell>
          <cell r="B3583">
            <v>5245</v>
          </cell>
          <cell r="C3583" t="str">
            <v>Roeblingite</v>
          </cell>
          <cell r="E3583" t="str">
            <v>https://www.mindat.org/1:1:3436:0</v>
          </cell>
        </row>
        <row r="3584">
          <cell r="A3584">
            <v>1047</v>
          </cell>
          <cell r="B3584">
            <v>5245</v>
          </cell>
          <cell r="C3584" t="str">
            <v>Roedderite</v>
          </cell>
          <cell r="E3584" t="str">
            <v>https://www.mindat.org/1:1:3437:7</v>
          </cell>
        </row>
        <row r="3585">
          <cell r="A3585">
            <v>1048</v>
          </cell>
          <cell r="B3585">
            <v>5245</v>
          </cell>
          <cell r="C3585" t="str">
            <v>Roggianite</v>
          </cell>
          <cell r="E3585" t="str">
            <v>https://www.mindat.org/1:1:3438:4</v>
          </cell>
        </row>
        <row r="3586">
          <cell r="A3586">
            <v>1052</v>
          </cell>
          <cell r="B3586">
            <v>5245</v>
          </cell>
          <cell r="C3586" t="str">
            <v>Prehnite</v>
          </cell>
          <cell r="E3586" t="str">
            <v>https://www.mindat.org/1:1:3277:9</v>
          </cell>
        </row>
        <row r="3587">
          <cell r="A3587">
            <v>1054</v>
          </cell>
          <cell r="B3587">
            <v>5245</v>
          </cell>
          <cell r="C3587" t="str">
            <v>Preiswerkite</v>
          </cell>
          <cell r="E3587" t="str">
            <v>https://www.mindat.org/1:1:3279:3</v>
          </cell>
        </row>
        <row r="3588">
          <cell r="A3588">
            <v>1060</v>
          </cell>
          <cell r="B3588">
            <v>5245</v>
          </cell>
          <cell r="C3588" t="str">
            <v>Prismatine</v>
          </cell>
          <cell r="E3588" t="str">
            <v>https://www.mindat.org/1:1:7252:2</v>
          </cell>
        </row>
        <row r="3589">
          <cell r="A3589">
            <v>1082</v>
          </cell>
          <cell r="B3589">
            <v>5245</v>
          </cell>
          <cell r="C3589" t="str">
            <v>Pumpellyite</v>
          </cell>
          <cell r="E3589" t="str">
            <v/>
          </cell>
        </row>
        <row r="3590">
          <cell r="A3590">
            <v>1083</v>
          </cell>
          <cell r="B3590">
            <v>5245</v>
          </cell>
          <cell r="C3590" t="str">
            <v>Pumpellyite-(Fe+2)</v>
          </cell>
          <cell r="E3590" t="str">
            <v/>
          </cell>
        </row>
        <row r="3591">
          <cell r="A3591">
            <v>1084</v>
          </cell>
          <cell r="B3591">
            <v>5245</v>
          </cell>
          <cell r="C3591" t="str">
            <v>Pumpellyite-(Fe+3)</v>
          </cell>
          <cell r="E3591" t="str">
            <v/>
          </cell>
        </row>
        <row r="3592">
          <cell r="A3592">
            <v>1085</v>
          </cell>
          <cell r="B3592">
            <v>5245</v>
          </cell>
          <cell r="C3592" t="str">
            <v>Pumpellyite-(Mg)</v>
          </cell>
          <cell r="E3592" t="str">
            <v>https://www.mindat.org/1:1:3309:7</v>
          </cell>
        </row>
        <row r="3593">
          <cell r="A3593">
            <v>1086</v>
          </cell>
          <cell r="B3593">
            <v>5245</v>
          </cell>
          <cell r="C3593" t="str">
            <v>Pumpellyite-(Mn+2)</v>
          </cell>
          <cell r="E3593" t="str">
            <v/>
          </cell>
        </row>
        <row r="3594">
          <cell r="A3594">
            <v>1099</v>
          </cell>
          <cell r="B3594">
            <v>5245</v>
          </cell>
          <cell r="C3594" t="str">
            <v>Pyrope</v>
          </cell>
          <cell r="E3594" t="str">
            <v>https://www.mindat.org/1:1:3321:9</v>
          </cell>
        </row>
        <row r="3595">
          <cell r="A3595">
            <v>1101</v>
          </cell>
          <cell r="B3595">
            <v>5245</v>
          </cell>
          <cell r="C3595" t="str">
            <v>Pyrophyllite</v>
          </cell>
          <cell r="E3595" t="str">
            <v>https://www.mindat.org/1:1:3323:3</v>
          </cell>
        </row>
        <row r="3596">
          <cell r="A3596">
            <v>1102</v>
          </cell>
          <cell r="B3596">
            <v>5245</v>
          </cell>
          <cell r="C3596" t="str">
            <v>Pyrophyllite-2m</v>
          </cell>
          <cell r="E3596" t="str">
            <v/>
          </cell>
        </row>
        <row r="3597">
          <cell r="A3597">
            <v>1103</v>
          </cell>
          <cell r="B3597">
            <v>5245</v>
          </cell>
          <cell r="C3597" t="str">
            <v>Pyrosmaliteseries</v>
          </cell>
          <cell r="E3597" t="str">
            <v/>
          </cell>
        </row>
        <row r="3598">
          <cell r="A3598">
            <v>1105</v>
          </cell>
          <cell r="B3598">
            <v>5245</v>
          </cell>
          <cell r="C3598" t="str">
            <v>Pyroxenegroup</v>
          </cell>
          <cell r="E3598" t="str">
            <v/>
          </cell>
        </row>
        <row r="3599">
          <cell r="A3599">
            <v>1106</v>
          </cell>
          <cell r="B3599">
            <v>5245</v>
          </cell>
          <cell r="C3599" t="str">
            <v>Pyroxferroite</v>
          </cell>
          <cell r="E3599" t="str">
            <v>https://www.mindat.org/1:1:3326:4</v>
          </cell>
        </row>
        <row r="3600">
          <cell r="A3600">
            <v>1107</v>
          </cell>
          <cell r="B3600">
            <v>5245</v>
          </cell>
          <cell r="C3600" t="str">
            <v>Pyroxmangite</v>
          </cell>
          <cell r="E3600" t="str">
            <v>https://www.mindat.org/1:1:3327:1</v>
          </cell>
        </row>
        <row r="3601">
          <cell r="A3601">
            <v>1119</v>
          </cell>
          <cell r="B3601">
            <v>5245</v>
          </cell>
          <cell r="C3601" t="str">
            <v>Queitite</v>
          </cell>
          <cell r="E3601" t="str">
            <v>https://www.mindat.org/1:1:3339:4</v>
          </cell>
        </row>
        <row r="3602">
          <cell r="A3602">
            <v>1131</v>
          </cell>
          <cell r="B3602">
            <v>5245</v>
          </cell>
          <cell r="C3602" t="str">
            <v>Raite</v>
          </cell>
          <cell r="E3602" t="str">
            <v>https://www.mindat.org/1:1:3352:3</v>
          </cell>
        </row>
        <row r="3603">
          <cell r="A3603">
            <v>1136</v>
          </cell>
          <cell r="B3603">
            <v>5245</v>
          </cell>
          <cell r="C3603" t="str">
            <v>Phosinaite</v>
          </cell>
          <cell r="E3603" t="str">
            <v/>
          </cell>
        </row>
        <row r="3604">
          <cell r="A3604">
            <v>1137</v>
          </cell>
          <cell r="B3604">
            <v>5245</v>
          </cell>
          <cell r="C3604" t="str">
            <v>Phosinaite-(Ce)</v>
          </cell>
          <cell r="E3604" t="str">
            <v>https://www.mindat.org/1:1:7231:7</v>
          </cell>
        </row>
        <row r="3605">
          <cell r="A3605">
            <v>1154</v>
          </cell>
          <cell r="B3605">
            <v>5245</v>
          </cell>
          <cell r="C3605" t="str">
            <v>Piemontite</v>
          </cell>
          <cell r="E3605" t="str">
            <v>https://www.mindat.org/1:1:3208:3</v>
          </cell>
        </row>
        <row r="3606">
          <cell r="A3606">
            <v>1156</v>
          </cell>
          <cell r="B3606">
            <v>5245</v>
          </cell>
          <cell r="C3606" t="str">
            <v>Pigeonite</v>
          </cell>
          <cell r="E3606" t="str">
            <v>https://www.mindat.org/1:1:3210:6</v>
          </cell>
        </row>
        <row r="3607">
          <cell r="A3607">
            <v>1171</v>
          </cell>
          <cell r="B3607">
            <v>5245</v>
          </cell>
          <cell r="C3607" t="str">
            <v>Plagioclase</v>
          </cell>
          <cell r="E3607" t="str">
            <v>https://www.mindat.org/1:1:9264:3</v>
          </cell>
        </row>
        <row r="3608">
          <cell r="A3608">
            <v>1173</v>
          </cell>
          <cell r="B3608">
            <v>5245</v>
          </cell>
          <cell r="C3608" t="str">
            <v>Plancheite</v>
          </cell>
          <cell r="E3608" t="str">
            <v>https://www.mindat.org/1:1:3233:5</v>
          </cell>
        </row>
        <row r="3609">
          <cell r="A3609">
            <v>1181</v>
          </cell>
          <cell r="B3609">
            <v>5245</v>
          </cell>
          <cell r="C3609" t="str">
            <v>Plombierite</v>
          </cell>
          <cell r="E3609" t="str">
            <v/>
          </cell>
        </row>
        <row r="3610">
          <cell r="A3610">
            <v>1193</v>
          </cell>
          <cell r="B3610">
            <v>5245</v>
          </cell>
          <cell r="C3610" t="str">
            <v>Plumbotsumite</v>
          </cell>
          <cell r="E3610" t="str">
            <v>https://www.mindat.org/1:1:3230:4</v>
          </cell>
        </row>
        <row r="3611">
          <cell r="A3611">
            <v>1197</v>
          </cell>
          <cell r="B3611">
            <v>5245</v>
          </cell>
          <cell r="C3611" t="str">
            <v>Poldervaartite</v>
          </cell>
          <cell r="E3611" t="str">
            <v>https://www.mindat.org/1:1:3252:6</v>
          </cell>
        </row>
        <row r="3612">
          <cell r="A3612">
            <v>1201</v>
          </cell>
          <cell r="B3612">
            <v>5245</v>
          </cell>
          <cell r="C3612" t="str">
            <v>Pollucite</v>
          </cell>
          <cell r="E3612" t="str">
            <v>https://www.mindat.org/1:1:3255:7</v>
          </cell>
        </row>
        <row r="3613">
          <cell r="A3613">
            <v>1206</v>
          </cell>
          <cell r="B3613">
            <v>5245</v>
          </cell>
          <cell r="C3613" t="str">
            <v>Polylithionite</v>
          </cell>
          <cell r="E3613" t="str">
            <v>https://www.mindat.org/1:1:3260:1</v>
          </cell>
        </row>
        <row r="3614">
          <cell r="A3614">
            <v>1218</v>
          </cell>
          <cell r="B3614">
            <v>5245</v>
          </cell>
          <cell r="C3614" t="str">
            <v>Potassium-fluor-richterite</v>
          </cell>
          <cell r="E3614" t="str">
            <v/>
          </cell>
        </row>
        <row r="3615">
          <cell r="A3615">
            <v>1222</v>
          </cell>
          <cell r="B3615">
            <v>5245</v>
          </cell>
          <cell r="C3615" t="str">
            <v>Poudretteite</v>
          </cell>
          <cell r="E3615" t="str">
            <v>https://www.mindat.org/1:1:3272:4</v>
          </cell>
        </row>
        <row r="3616">
          <cell r="A3616">
            <v>1224</v>
          </cell>
          <cell r="B3616">
            <v>5245</v>
          </cell>
          <cell r="C3616" t="str">
            <v>Povondraite</v>
          </cell>
          <cell r="E3616" t="str">
            <v>https://www.mindat.org/1:1:3274:8</v>
          </cell>
        </row>
        <row r="3617">
          <cell r="A3617">
            <v>1231</v>
          </cell>
          <cell r="B3617">
            <v>5245</v>
          </cell>
          <cell r="C3617" t="str">
            <v>Tungusite</v>
          </cell>
          <cell r="E3617" t="str">
            <v>https://www.mindat.org/1:1:4055:2</v>
          </cell>
        </row>
        <row r="3618">
          <cell r="A3618">
            <v>1233</v>
          </cell>
          <cell r="B3618">
            <v>5245</v>
          </cell>
          <cell r="C3618" t="str">
            <v>Tuperssuatsiaite</v>
          </cell>
          <cell r="E3618" t="str">
            <v>https://www.mindat.org/1:1:4057:6</v>
          </cell>
        </row>
        <row r="3619">
          <cell r="A3619">
            <v>1239</v>
          </cell>
          <cell r="B3619">
            <v>5245</v>
          </cell>
          <cell r="C3619" t="str">
            <v>Tuscanite</v>
          </cell>
          <cell r="E3619" t="str">
            <v>https://www.mindat.org/1:1:4061:3</v>
          </cell>
        </row>
        <row r="3620">
          <cell r="A3620">
            <v>1253</v>
          </cell>
          <cell r="B3620">
            <v>5245</v>
          </cell>
          <cell r="C3620" t="str">
            <v>Tornebohmite</v>
          </cell>
          <cell r="E3620" t="str">
            <v/>
          </cell>
        </row>
        <row r="3621">
          <cell r="A3621">
            <v>1254</v>
          </cell>
          <cell r="B3621">
            <v>5245</v>
          </cell>
          <cell r="C3621" t="str">
            <v>Tornebohmite-(Ce)</v>
          </cell>
          <cell r="E3621" t="str">
            <v/>
          </cell>
        </row>
        <row r="3622">
          <cell r="A3622">
            <v>1257</v>
          </cell>
          <cell r="B3622">
            <v>5245</v>
          </cell>
          <cell r="C3622" t="str">
            <v>Pellyite</v>
          </cell>
          <cell r="E3622" t="str">
            <v>https://www.mindat.org/1:1:3145:1</v>
          </cell>
        </row>
        <row r="3623">
          <cell r="A3623">
            <v>1263</v>
          </cell>
          <cell r="B3623">
            <v>5245</v>
          </cell>
          <cell r="C3623" t="str">
            <v>Penkvilksite</v>
          </cell>
          <cell r="E3623" t="str">
            <v>https://www.mindat.org/1:1:3149:9</v>
          </cell>
        </row>
        <row r="3624">
          <cell r="A3624">
            <v>1264</v>
          </cell>
          <cell r="B3624">
            <v>5245</v>
          </cell>
          <cell r="C3624" t="str">
            <v>Penkvilksite-1m</v>
          </cell>
          <cell r="E3624" t="str">
            <v/>
          </cell>
        </row>
        <row r="3625">
          <cell r="A3625">
            <v>1265</v>
          </cell>
          <cell r="B3625">
            <v>5245</v>
          </cell>
          <cell r="C3625" t="str">
            <v>Penkvilksite-2o</v>
          </cell>
          <cell r="E3625" t="str">
            <v/>
          </cell>
        </row>
        <row r="3626">
          <cell r="A3626">
            <v>1266</v>
          </cell>
          <cell r="B3626">
            <v>5245</v>
          </cell>
          <cell r="C3626" t="str">
            <v>Pennantite</v>
          </cell>
          <cell r="E3626" t="str">
            <v>https://www.mindat.org/1:1:3150:5</v>
          </cell>
        </row>
        <row r="3627">
          <cell r="A3627">
            <v>1269</v>
          </cell>
          <cell r="B3627">
            <v>5245</v>
          </cell>
          <cell r="C3627" t="str">
            <v>Pentagonite</v>
          </cell>
          <cell r="E3627" t="str">
            <v>https://www.mindat.org/1:1:3152:9</v>
          </cell>
        </row>
        <row r="3628">
          <cell r="A3628">
            <v>1279</v>
          </cell>
          <cell r="B3628">
            <v>5245</v>
          </cell>
          <cell r="C3628" t="str">
            <v>Perlialite</v>
          </cell>
          <cell r="E3628" t="str">
            <v>https://www.mindat.org/1:1:3163:5</v>
          </cell>
        </row>
        <row r="3629">
          <cell r="A3629">
            <v>1284</v>
          </cell>
          <cell r="B3629">
            <v>5245</v>
          </cell>
          <cell r="C3629" t="str">
            <v>Perrierite</v>
          </cell>
          <cell r="E3629" t="str">
            <v/>
          </cell>
        </row>
        <row r="3630">
          <cell r="A3630">
            <v>1288</v>
          </cell>
          <cell r="B3630">
            <v>5245</v>
          </cell>
          <cell r="C3630" t="str">
            <v>Petalite</v>
          </cell>
          <cell r="E3630" t="str">
            <v>https://www.mindat.org/1:1:3171:0</v>
          </cell>
        </row>
        <row r="3631">
          <cell r="A3631">
            <v>1289</v>
          </cell>
          <cell r="B3631">
            <v>5245</v>
          </cell>
          <cell r="C3631" t="str">
            <v>Petarasite</v>
          </cell>
          <cell r="E3631" t="str">
            <v>https://www.mindat.org/1:1:3172:7</v>
          </cell>
        </row>
        <row r="3632">
          <cell r="A3632">
            <v>1290</v>
          </cell>
          <cell r="B3632">
            <v>5245</v>
          </cell>
          <cell r="C3632" t="str">
            <v>Petedunnite</v>
          </cell>
          <cell r="E3632" t="str">
            <v>https://www.mindat.org/1:1:3173:4</v>
          </cell>
        </row>
        <row r="3633">
          <cell r="A3633">
            <v>1302</v>
          </cell>
          <cell r="B3633">
            <v>5245</v>
          </cell>
          <cell r="C3633" t="str">
            <v>Pezzottaite</v>
          </cell>
          <cell r="E3633" t="str">
            <v>https://www.mindat.org/1:1:25652:6</v>
          </cell>
        </row>
        <row r="3634">
          <cell r="A3634">
            <v>1306</v>
          </cell>
          <cell r="B3634">
            <v>5245</v>
          </cell>
          <cell r="C3634" t="str">
            <v>Phenakite</v>
          </cell>
          <cell r="E3634" t="str">
            <v>https://www.mindat.org/1:1:3188:8</v>
          </cell>
        </row>
        <row r="3635">
          <cell r="A3635">
            <v>1309</v>
          </cell>
          <cell r="B3635">
            <v>5245</v>
          </cell>
          <cell r="C3635" t="str">
            <v>Phillipsite</v>
          </cell>
          <cell r="E3635" t="str">
            <v/>
          </cell>
        </row>
        <row r="3636">
          <cell r="A3636">
            <v>1310</v>
          </cell>
          <cell r="B3636">
            <v>5245</v>
          </cell>
          <cell r="C3636" t="str">
            <v>Phillipsite-Ca</v>
          </cell>
          <cell r="E3636" t="str">
            <v>https://www.mindat.org/1:1:7227:0</v>
          </cell>
        </row>
        <row r="3637">
          <cell r="A3637">
            <v>1311</v>
          </cell>
          <cell r="B3637">
            <v>5245</v>
          </cell>
          <cell r="C3637" t="str">
            <v>Phillipsite-K</v>
          </cell>
          <cell r="E3637" t="str">
            <v>https://www.mindat.org/1:1:7228:7</v>
          </cell>
        </row>
        <row r="3638">
          <cell r="A3638">
            <v>1312</v>
          </cell>
          <cell r="B3638">
            <v>5245</v>
          </cell>
          <cell r="C3638" t="str">
            <v>Phillipsite-Na</v>
          </cell>
          <cell r="E3638" t="str">
            <v>https://www.mindat.org/1:1:7229:4</v>
          </cell>
        </row>
        <row r="3639">
          <cell r="A3639">
            <v>1314</v>
          </cell>
          <cell r="B3639">
            <v>5245</v>
          </cell>
          <cell r="C3639" t="str">
            <v>Phlogopite</v>
          </cell>
          <cell r="E3639" t="str">
            <v>https://www.mindat.org/1:1:3193:2</v>
          </cell>
        </row>
        <row r="3640">
          <cell r="A3640">
            <v>1320</v>
          </cell>
          <cell r="B3640">
            <v>5245</v>
          </cell>
          <cell r="C3640" t="str">
            <v>Tilleyite</v>
          </cell>
          <cell r="E3640" t="str">
            <v>https://www.mindat.org/1:1:3964:8</v>
          </cell>
        </row>
        <row r="3641">
          <cell r="A3641">
            <v>1322</v>
          </cell>
          <cell r="B3641">
            <v>5245</v>
          </cell>
          <cell r="C3641" t="str">
            <v>Tinaksite</v>
          </cell>
          <cell r="E3641" t="str">
            <v>https://www.mindat.org/1:1:3966:2</v>
          </cell>
        </row>
        <row r="3642">
          <cell r="A3642">
            <v>1327</v>
          </cell>
          <cell r="B3642">
            <v>5245</v>
          </cell>
          <cell r="C3642" t="str">
            <v>Tinzenite</v>
          </cell>
          <cell r="E3642" t="str">
            <v>https://www.mindat.org/1:1:3972:3</v>
          </cell>
        </row>
        <row r="3643">
          <cell r="A3643">
            <v>1329</v>
          </cell>
          <cell r="B3643">
            <v>5245</v>
          </cell>
          <cell r="C3643" t="str">
            <v>Tiragalloite</v>
          </cell>
          <cell r="E3643" t="str">
            <v>https://www.mindat.org/1:1:3974:7</v>
          </cell>
        </row>
        <row r="3644">
          <cell r="A3644">
            <v>1330</v>
          </cell>
          <cell r="B3644">
            <v>5245</v>
          </cell>
          <cell r="C3644" t="str">
            <v>Tirodite</v>
          </cell>
          <cell r="E3644" t="str">
            <v/>
          </cell>
        </row>
        <row r="3645">
          <cell r="A3645">
            <v>1331</v>
          </cell>
          <cell r="B3645">
            <v>5245</v>
          </cell>
          <cell r="C3645" t="str">
            <v>Tisinalite</v>
          </cell>
          <cell r="E3645" t="str">
            <v>https://www.mindat.org/1:1:3976:1</v>
          </cell>
        </row>
        <row r="3646">
          <cell r="A3646">
            <v>1332</v>
          </cell>
          <cell r="B3646">
            <v>5245</v>
          </cell>
          <cell r="C3646" t="str">
            <v>Titanite</v>
          </cell>
          <cell r="E3646" t="str">
            <v>https://www.mindat.org/1:1:3977:8</v>
          </cell>
        </row>
        <row r="3647">
          <cell r="A3647">
            <v>1334</v>
          </cell>
          <cell r="B3647">
            <v>5245</v>
          </cell>
          <cell r="C3647" t="str">
            <v>Titantaramellite</v>
          </cell>
          <cell r="E3647" t="str">
            <v>https://www.mindat.org/1:1:3980:8</v>
          </cell>
        </row>
        <row r="3648">
          <cell r="A3648">
            <v>1338</v>
          </cell>
          <cell r="B3648">
            <v>5245</v>
          </cell>
          <cell r="C3648" t="str">
            <v>Tobelite</v>
          </cell>
          <cell r="E3648" t="str">
            <v>https://www.mindat.org/1:1:3984:6</v>
          </cell>
        </row>
        <row r="3649">
          <cell r="A3649">
            <v>1339</v>
          </cell>
          <cell r="B3649">
            <v>5245</v>
          </cell>
          <cell r="C3649" t="str">
            <v>Tobermorite</v>
          </cell>
          <cell r="E3649" t="str">
            <v>https://www.mindat.org/1:1:3985:3</v>
          </cell>
        </row>
        <row r="3650">
          <cell r="A3650">
            <v>1343</v>
          </cell>
          <cell r="B3650">
            <v>5245</v>
          </cell>
          <cell r="C3650" t="str">
            <v>Tokkoite</v>
          </cell>
          <cell r="E3650" t="str">
            <v>https://www.mindat.org/1:1:3989:1</v>
          </cell>
        </row>
        <row r="3651">
          <cell r="A3651">
            <v>1346</v>
          </cell>
          <cell r="B3651">
            <v>5245</v>
          </cell>
          <cell r="C3651" t="str">
            <v>Tombarthite-(Y)</v>
          </cell>
          <cell r="E3651" t="str">
            <v/>
          </cell>
        </row>
        <row r="3652">
          <cell r="A3652">
            <v>1350</v>
          </cell>
          <cell r="B3652">
            <v>5245</v>
          </cell>
          <cell r="C3652" t="str">
            <v>Topaz</v>
          </cell>
          <cell r="E3652" t="str">
            <v>https://www.mindat.org/1:1:3996:9</v>
          </cell>
        </row>
        <row r="3653">
          <cell r="A3653">
            <v>1353</v>
          </cell>
          <cell r="B3653">
            <v>5245</v>
          </cell>
          <cell r="C3653" t="str">
            <v>Tosudite</v>
          </cell>
          <cell r="E3653" t="str">
            <v>https://www.mindat.org/1:1:4001:9</v>
          </cell>
        </row>
        <row r="3654">
          <cell r="A3654">
            <v>1355</v>
          </cell>
          <cell r="B3654">
            <v>5245</v>
          </cell>
          <cell r="C3654" t="str">
            <v>Tourmaline</v>
          </cell>
          <cell r="E3654" t="str">
            <v>https://www.mindat.org/1:1:4003:3</v>
          </cell>
        </row>
        <row r="3655">
          <cell r="A3655">
            <v>1360</v>
          </cell>
          <cell r="B3655">
            <v>5245</v>
          </cell>
          <cell r="C3655" t="str">
            <v>Traskite</v>
          </cell>
          <cell r="E3655" t="str">
            <v>https://www.mindat.org/1:1:4007:1</v>
          </cell>
        </row>
        <row r="3656">
          <cell r="A3656">
            <v>1364</v>
          </cell>
          <cell r="B3656">
            <v>5245</v>
          </cell>
          <cell r="C3656" t="str">
            <v>Tremolite</v>
          </cell>
          <cell r="E3656" t="str">
            <v>https://www.mindat.org/1:1:4011:8</v>
          </cell>
        </row>
        <row r="3657">
          <cell r="A3657">
            <v>1371</v>
          </cell>
          <cell r="B3657">
            <v>5245</v>
          </cell>
          <cell r="C3657" t="str">
            <v>Trimerite</v>
          </cell>
          <cell r="E3657" t="str">
            <v>https://www.mindat.org/1:1:4018:7</v>
          </cell>
        </row>
        <row r="3658">
          <cell r="A3658">
            <v>1379</v>
          </cell>
          <cell r="B3658">
            <v>5245</v>
          </cell>
          <cell r="C3658" t="str">
            <v>Tritomite</v>
          </cell>
          <cell r="E3658" t="str">
            <v/>
          </cell>
        </row>
        <row r="3659">
          <cell r="A3659">
            <v>1380</v>
          </cell>
          <cell r="B3659">
            <v>5245</v>
          </cell>
          <cell r="C3659" t="str">
            <v>Tritomite-(Ce)</v>
          </cell>
          <cell r="E3659" t="str">
            <v>https://www.mindat.org/1:1:4026:2</v>
          </cell>
        </row>
        <row r="3660">
          <cell r="A3660">
            <v>1381</v>
          </cell>
          <cell r="B3660">
            <v>5245</v>
          </cell>
          <cell r="C3660" t="str">
            <v>Tritomite-(Y)</v>
          </cell>
          <cell r="E3660" t="str">
            <v>https://www.mindat.org/1:1:4027:9</v>
          </cell>
        </row>
        <row r="3661">
          <cell r="A3661">
            <v>1386</v>
          </cell>
          <cell r="B3661">
            <v>5245</v>
          </cell>
          <cell r="C3661" t="str">
            <v>Truscottite</v>
          </cell>
          <cell r="E3661" t="str">
            <v>https://www.mindat.org/1:1:4033:0</v>
          </cell>
        </row>
        <row r="3662">
          <cell r="A3662">
            <v>1389</v>
          </cell>
          <cell r="B3662">
            <v>5245</v>
          </cell>
          <cell r="C3662" t="str">
            <v>Tsaregorodtsevite</v>
          </cell>
          <cell r="E3662" t="str">
            <v>https://www.mindat.org/1:1:4034:7</v>
          </cell>
        </row>
        <row r="3663">
          <cell r="A3663">
            <v>1390</v>
          </cell>
          <cell r="B3663">
            <v>5245</v>
          </cell>
          <cell r="C3663" t="str">
            <v>Tschermakite</v>
          </cell>
          <cell r="E3663" t="str">
            <v>https://www.mindat.org/1:1:4035:4</v>
          </cell>
        </row>
        <row r="3664">
          <cell r="A3664">
            <v>1392</v>
          </cell>
          <cell r="B3664">
            <v>5245</v>
          </cell>
          <cell r="C3664" t="str">
            <v>Tschernichite</v>
          </cell>
          <cell r="E3664" t="str">
            <v>https://www.mindat.org/1:1:4037:8</v>
          </cell>
        </row>
        <row r="3665">
          <cell r="A3665">
            <v>1401</v>
          </cell>
          <cell r="B3665">
            <v>5245</v>
          </cell>
          <cell r="C3665" t="str">
            <v>Tugtupite</v>
          </cell>
          <cell r="E3665" t="str">
            <v>https://www.mindat.org/1:1:4044:6</v>
          </cell>
        </row>
        <row r="3666">
          <cell r="A3666">
            <v>1402</v>
          </cell>
          <cell r="B3666">
            <v>5245</v>
          </cell>
          <cell r="C3666" t="str">
            <v>Tuhualite</v>
          </cell>
          <cell r="E3666" t="str">
            <v>https://www.mindat.org/1:1:4045:3</v>
          </cell>
        </row>
        <row r="3667">
          <cell r="A3667">
            <v>1406</v>
          </cell>
          <cell r="B3667">
            <v>5245</v>
          </cell>
          <cell r="C3667" t="str">
            <v>Tundrite</v>
          </cell>
          <cell r="E3667" t="str">
            <v>https://www.mindat.org/1:1:34945:5</v>
          </cell>
        </row>
        <row r="3668">
          <cell r="A3668">
            <v>1407</v>
          </cell>
          <cell r="B3668">
            <v>5245</v>
          </cell>
          <cell r="C3668" t="str">
            <v>Tundrite-(Ce)</v>
          </cell>
          <cell r="E3668" t="str">
            <v>https://www.mindat.org/1:1:4048:4</v>
          </cell>
        </row>
        <row r="3669">
          <cell r="A3669">
            <v>1408</v>
          </cell>
          <cell r="B3669">
            <v>5245</v>
          </cell>
          <cell r="C3669" t="str">
            <v>Tundrite-(Nd)</v>
          </cell>
          <cell r="E3669" t="str">
            <v>https://www.mindat.org/1:1:4049:1</v>
          </cell>
        </row>
        <row r="3670">
          <cell r="A3670">
            <v>1415</v>
          </cell>
          <cell r="B3670">
            <v>5245</v>
          </cell>
          <cell r="C3670" t="str">
            <v>Bementite</v>
          </cell>
          <cell r="E3670" t="str">
            <v>https://www.mindat.org/1:1:621:3</v>
          </cell>
        </row>
        <row r="3671">
          <cell r="A3671">
            <v>1418</v>
          </cell>
          <cell r="B3671">
            <v>5245</v>
          </cell>
          <cell r="C3671" t="str">
            <v>Benitoite</v>
          </cell>
          <cell r="E3671" t="str">
            <v>https://www.mindat.org/1:1:624:0</v>
          </cell>
        </row>
        <row r="3672">
          <cell r="A3672">
            <v>1439</v>
          </cell>
          <cell r="B3672">
            <v>5245</v>
          </cell>
          <cell r="C3672" t="str">
            <v>Berthierine</v>
          </cell>
          <cell r="E3672" t="str">
            <v>https://www.mindat.org/1:1:639:2</v>
          </cell>
        </row>
        <row r="3673">
          <cell r="A3673">
            <v>1442</v>
          </cell>
          <cell r="B3673">
            <v>5245</v>
          </cell>
          <cell r="C3673" t="str">
            <v>Bertrandite</v>
          </cell>
          <cell r="E3673" t="str">
            <v>https://www.mindat.org/1:1:642:6</v>
          </cell>
        </row>
        <row r="3674">
          <cell r="A3674">
            <v>1443</v>
          </cell>
          <cell r="B3674">
            <v>5245</v>
          </cell>
          <cell r="C3674" t="str">
            <v>Beryl</v>
          </cell>
          <cell r="E3674" t="str">
            <v>https://www.mindat.org/1:1:819:6</v>
          </cell>
        </row>
        <row r="3675">
          <cell r="A3675">
            <v>1444</v>
          </cell>
          <cell r="B3675">
            <v>5245</v>
          </cell>
          <cell r="C3675" t="str">
            <v>Beryllite</v>
          </cell>
          <cell r="E3675" t="str">
            <v>https://www.mindat.org/1:1:643:5</v>
          </cell>
        </row>
        <row r="3676">
          <cell r="A3676">
            <v>1461</v>
          </cell>
          <cell r="B3676">
            <v>5245</v>
          </cell>
          <cell r="C3676" t="str">
            <v>Bicchulite</v>
          </cell>
          <cell r="E3676" t="str">
            <v>https://www.mindat.org/1:1:661:1</v>
          </cell>
        </row>
        <row r="3677">
          <cell r="A3677">
            <v>1467</v>
          </cell>
          <cell r="B3677">
            <v>5245</v>
          </cell>
          <cell r="C3677" t="str">
            <v>Bikitaite</v>
          </cell>
          <cell r="E3677" t="str">
            <v>https://www.mindat.org/1:1:670:9</v>
          </cell>
        </row>
        <row r="3678">
          <cell r="A3678">
            <v>1473</v>
          </cell>
          <cell r="B3678">
            <v>5245</v>
          </cell>
          <cell r="C3678" t="str">
            <v>Biotite</v>
          </cell>
          <cell r="E3678" t="str">
            <v>https://www.mindat.org/1:1:677:2</v>
          </cell>
        </row>
        <row r="3679">
          <cell r="A3679">
            <v>1486</v>
          </cell>
          <cell r="B3679">
            <v>5245</v>
          </cell>
          <cell r="C3679" t="str">
            <v>Thomsonite</v>
          </cell>
          <cell r="E3679" t="str">
            <v>https://www.mindat.org/1:1:28896:9</v>
          </cell>
        </row>
        <row r="3680">
          <cell r="A3680">
            <v>1491</v>
          </cell>
          <cell r="B3680">
            <v>5245</v>
          </cell>
          <cell r="C3680" t="str">
            <v>Thorite</v>
          </cell>
          <cell r="E3680" t="str">
            <v>https://www.mindat.org/1:1:3946:4</v>
          </cell>
        </row>
        <row r="3681">
          <cell r="A3681">
            <v>1492</v>
          </cell>
          <cell r="B3681">
            <v>5245</v>
          </cell>
          <cell r="C3681" t="str">
            <v>Thornasite</v>
          </cell>
          <cell r="E3681" t="str">
            <v>https://www.mindat.org/1:1:3947:1</v>
          </cell>
        </row>
        <row r="3682">
          <cell r="A3682">
            <v>1493</v>
          </cell>
          <cell r="B3682">
            <v>5245</v>
          </cell>
          <cell r="C3682" t="str">
            <v>Thorogummite</v>
          </cell>
          <cell r="E3682" t="str">
            <v/>
          </cell>
        </row>
        <row r="3683">
          <cell r="A3683">
            <v>1495</v>
          </cell>
          <cell r="B3683">
            <v>5245</v>
          </cell>
          <cell r="C3683" t="str">
            <v>Thortveitite</v>
          </cell>
          <cell r="E3683" t="str">
            <v>https://www.mindat.org/1:1:3950:1</v>
          </cell>
        </row>
        <row r="3684">
          <cell r="A3684">
            <v>1499</v>
          </cell>
          <cell r="B3684">
            <v>5245</v>
          </cell>
          <cell r="C3684" t="str">
            <v>Tienshanite</v>
          </cell>
          <cell r="E3684" t="str">
            <v>https://www.mindat.org/1:1:3958:7</v>
          </cell>
        </row>
        <row r="3685">
          <cell r="A3685">
            <v>1502</v>
          </cell>
          <cell r="B3685">
            <v>5245</v>
          </cell>
          <cell r="C3685" t="str">
            <v>Diopside</v>
          </cell>
          <cell r="E3685" t="str">
            <v>https://www.mindat.org/1:1:1294:8</v>
          </cell>
        </row>
        <row r="3686">
          <cell r="A3686">
            <v>1503</v>
          </cell>
          <cell r="B3686">
            <v>5245</v>
          </cell>
          <cell r="C3686" t="str">
            <v>Dioptase</v>
          </cell>
          <cell r="E3686" t="str">
            <v>https://www.mindat.org/1:1:1295:5</v>
          </cell>
        </row>
        <row r="3687">
          <cell r="A3687">
            <v>1504</v>
          </cell>
          <cell r="B3687">
            <v>5245</v>
          </cell>
          <cell r="C3687" t="str">
            <v>Dissakisite-(Ce)</v>
          </cell>
          <cell r="E3687" t="str">
            <v>https://www.mindat.org/1:1:1296:2</v>
          </cell>
        </row>
        <row r="3688">
          <cell r="A3688">
            <v>1511</v>
          </cell>
          <cell r="B3688">
            <v>5245</v>
          </cell>
          <cell r="C3688" t="str">
            <v>Dollaseite-(Ce)</v>
          </cell>
          <cell r="E3688" t="str">
            <v>https://www.mindat.org/1:1:1303:7</v>
          </cell>
        </row>
        <row r="3689">
          <cell r="A3689">
            <v>1513</v>
          </cell>
          <cell r="B3689">
            <v>5245</v>
          </cell>
          <cell r="C3689" t="str">
            <v>Bakerite</v>
          </cell>
          <cell r="E3689" t="str">
            <v/>
          </cell>
        </row>
        <row r="3690">
          <cell r="A3690">
            <v>1516</v>
          </cell>
          <cell r="B3690">
            <v>5245</v>
          </cell>
          <cell r="C3690" t="str">
            <v>Balangeroite</v>
          </cell>
          <cell r="E3690" t="str">
            <v>https://www.mindat.org/1:1:492:3</v>
          </cell>
        </row>
        <row r="3691">
          <cell r="A3691">
            <v>1518</v>
          </cell>
          <cell r="B3691">
            <v>5245</v>
          </cell>
          <cell r="C3691" t="str">
            <v>Balipholite</v>
          </cell>
          <cell r="E3691" t="str">
            <v>https://www.mindat.org/1:1:495:0</v>
          </cell>
        </row>
        <row r="3692">
          <cell r="A3692">
            <v>1523</v>
          </cell>
          <cell r="B3692">
            <v>5245</v>
          </cell>
          <cell r="C3692" t="str">
            <v>Banalsite</v>
          </cell>
          <cell r="E3692" t="str">
            <v>https://www.mindat.org/1:1:504:7</v>
          </cell>
        </row>
        <row r="3693">
          <cell r="A3693">
            <v>1526</v>
          </cell>
          <cell r="B3693">
            <v>5245</v>
          </cell>
          <cell r="C3693" t="str">
            <v>Bannisterite</v>
          </cell>
          <cell r="E3693" t="str">
            <v>https://www.mindat.org/1:1:509:2</v>
          </cell>
        </row>
        <row r="3694">
          <cell r="A3694">
            <v>1527</v>
          </cell>
          <cell r="B3694">
            <v>5245</v>
          </cell>
          <cell r="C3694" t="str">
            <v>Baotite</v>
          </cell>
          <cell r="E3694" t="str">
            <v>https://www.mindat.org/1:1:510:8</v>
          </cell>
        </row>
        <row r="3695">
          <cell r="A3695">
            <v>1529</v>
          </cell>
          <cell r="B3695">
            <v>5245</v>
          </cell>
          <cell r="C3695" t="str">
            <v>Baratovite</v>
          </cell>
          <cell r="E3695" t="str">
            <v>https://www.mindat.org/1:1:512:6</v>
          </cell>
        </row>
        <row r="3696">
          <cell r="A3696">
            <v>1536</v>
          </cell>
          <cell r="B3696">
            <v>5245</v>
          </cell>
          <cell r="C3696" t="str">
            <v>Bario-orthojoaquinite</v>
          </cell>
          <cell r="E3696" t="str">
            <v>https://www.mindat.org/1:1:525:0</v>
          </cell>
        </row>
        <row r="3697">
          <cell r="A3697">
            <v>1543</v>
          </cell>
          <cell r="B3697">
            <v>5245</v>
          </cell>
          <cell r="C3697" t="str">
            <v>Barrerite</v>
          </cell>
          <cell r="E3697" t="str">
            <v>https://www.mindat.org/1:1:536:6</v>
          </cell>
        </row>
        <row r="3698">
          <cell r="A3698">
            <v>1546</v>
          </cell>
          <cell r="B3698">
            <v>5245</v>
          </cell>
          <cell r="C3698" t="str">
            <v>Barroisite</v>
          </cell>
          <cell r="E3698" t="str">
            <v>https://www.mindat.org/1:1:539:3</v>
          </cell>
        </row>
        <row r="3699">
          <cell r="A3699">
            <v>1548</v>
          </cell>
          <cell r="B3699">
            <v>5245</v>
          </cell>
          <cell r="C3699" t="str">
            <v>Bartelkeite</v>
          </cell>
          <cell r="E3699" t="str">
            <v>https://www.mindat.org/1:1:541:8</v>
          </cell>
        </row>
        <row r="3700">
          <cell r="A3700">
            <v>1550</v>
          </cell>
          <cell r="B3700">
            <v>5245</v>
          </cell>
          <cell r="C3700" t="str">
            <v>Barylite</v>
          </cell>
          <cell r="E3700" t="str">
            <v>https://www.mindat.org/1:1:545:4</v>
          </cell>
        </row>
        <row r="3701">
          <cell r="A3701">
            <v>1551</v>
          </cell>
          <cell r="B3701">
            <v>5245</v>
          </cell>
          <cell r="C3701" t="str">
            <v>Barysilite</v>
          </cell>
          <cell r="E3701" t="str">
            <v>https://www.mindat.org/1:1:546:3</v>
          </cell>
        </row>
        <row r="3702">
          <cell r="A3702">
            <v>1553</v>
          </cell>
          <cell r="B3702">
            <v>5245</v>
          </cell>
          <cell r="C3702" t="str">
            <v>Barytolamprophyllite</v>
          </cell>
          <cell r="E3702" t="str">
            <v>https://www.mindat.org/1:1:462:2</v>
          </cell>
        </row>
        <row r="3703">
          <cell r="A3703">
            <v>1562</v>
          </cell>
          <cell r="B3703">
            <v>5245</v>
          </cell>
          <cell r="C3703" t="str">
            <v>Batisite</v>
          </cell>
          <cell r="E3703" t="str">
            <v>https://www.mindat.org/1:1:568:5</v>
          </cell>
        </row>
        <row r="3704">
          <cell r="A3704">
            <v>1565</v>
          </cell>
          <cell r="B3704">
            <v>5245</v>
          </cell>
          <cell r="C3704" t="str">
            <v>Baumite</v>
          </cell>
          <cell r="E3704" t="str">
            <v/>
          </cell>
        </row>
        <row r="3705">
          <cell r="A3705">
            <v>1569</v>
          </cell>
          <cell r="B3705">
            <v>5245</v>
          </cell>
          <cell r="C3705" t="str">
            <v>Bavenite</v>
          </cell>
          <cell r="E3705" t="str">
            <v>https://www.mindat.org/1:1:577:3</v>
          </cell>
        </row>
        <row r="3706">
          <cell r="A3706">
            <v>1576</v>
          </cell>
          <cell r="B3706">
            <v>5245</v>
          </cell>
          <cell r="C3706" t="str">
            <v>Bazirite</v>
          </cell>
          <cell r="E3706" t="str">
            <v>https://www.mindat.org/1:1:585:2</v>
          </cell>
        </row>
        <row r="3707">
          <cell r="A3707">
            <v>1577</v>
          </cell>
          <cell r="B3707">
            <v>5245</v>
          </cell>
          <cell r="C3707" t="str">
            <v>Bazzite</v>
          </cell>
          <cell r="E3707" t="str">
            <v>https://www.mindat.org/1:1:586:1</v>
          </cell>
        </row>
        <row r="3708">
          <cell r="A3708">
            <v>1586</v>
          </cell>
          <cell r="B3708">
            <v>5245</v>
          </cell>
          <cell r="C3708" t="str">
            <v>Beidellite</v>
          </cell>
          <cell r="E3708" t="str">
            <v>https://www.mindat.org/1:1:604:6</v>
          </cell>
        </row>
        <row r="3709">
          <cell r="A3709">
            <v>1597</v>
          </cell>
          <cell r="B3709">
            <v>5245</v>
          </cell>
          <cell r="C3709" t="str">
            <v>Cuprorivaite</v>
          </cell>
          <cell r="E3709" t="str">
            <v>https://www.mindat.org/1:1:1189:7</v>
          </cell>
        </row>
        <row r="3710">
          <cell r="A3710">
            <v>1598</v>
          </cell>
          <cell r="B3710">
            <v>5245</v>
          </cell>
          <cell r="C3710" t="str">
            <v>Cuprosklodowskite</v>
          </cell>
          <cell r="E3710" t="str">
            <v>https://www.mindat.org/1:1:1191:0</v>
          </cell>
        </row>
        <row r="3711">
          <cell r="A3711">
            <v>1605</v>
          </cell>
          <cell r="B3711">
            <v>5245</v>
          </cell>
          <cell r="C3711" t="str">
            <v>Cuspidine</v>
          </cell>
          <cell r="E3711" t="str">
            <v>https://www.mindat.org/1:1:1198:9</v>
          </cell>
        </row>
        <row r="3712">
          <cell r="A3712">
            <v>1612</v>
          </cell>
          <cell r="B3712">
            <v>5245</v>
          </cell>
          <cell r="C3712" t="str">
            <v>Cymrite</v>
          </cell>
          <cell r="E3712" t="str">
            <v>https://www.mindat.org/1:1:1205:4</v>
          </cell>
        </row>
        <row r="3713">
          <cell r="A3713">
            <v>1615</v>
          </cell>
          <cell r="B3713">
            <v>5245</v>
          </cell>
          <cell r="C3713" t="str">
            <v>Dachiardite</v>
          </cell>
          <cell r="E3713" t="str">
            <v>https://www.mindat.org/1:1:1212:2</v>
          </cell>
        </row>
        <row r="3714">
          <cell r="A3714">
            <v>1616</v>
          </cell>
          <cell r="B3714">
            <v>5245</v>
          </cell>
          <cell r="C3714" t="str">
            <v>Dachiardite-Ca</v>
          </cell>
          <cell r="E3714" t="str">
            <v>https://www.mindat.org/1:1:6895:2</v>
          </cell>
        </row>
        <row r="3715">
          <cell r="A3715">
            <v>1617</v>
          </cell>
          <cell r="B3715">
            <v>5245</v>
          </cell>
          <cell r="C3715" t="str">
            <v>Dachiardite-Na</v>
          </cell>
          <cell r="E3715" t="str">
            <v>https://www.mindat.org/1:1:6896:9</v>
          </cell>
        </row>
        <row r="3716">
          <cell r="A3716">
            <v>1619</v>
          </cell>
          <cell r="B3716">
            <v>5245</v>
          </cell>
          <cell r="C3716" t="str">
            <v>Dalyite</v>
          </cell>
          <cell r="E3716" t="str">
            <v>https://www.mindat.org/1:1:1214:6</v>
          </cell>
        </row>
        <row r="3717">
          <cell r="A3717">
            <v>1622</v>
          </cell>
          <cell r="B3717">
            <v>5245</v>
          </cell>
          <cell r="C3717" t="str">
            <v>Danalite</v>
          </cell>
          <cell r="E3717" t="str">
            <v>https://www.mindat.org/1:1:1341:9</v>
          </cell>
        </row>
        <row r="3718">
          <cell r="A3718">
            <v>1624</v>
          </cell>
          <cell r="B3718">
            <v>5245</v>
          </cell>
          <cell r="C3718" t="str">
            <v>Danburite</v>
          </cell>
          <cell r="E3718" t="str">
            <v>https://www.mindat.org/1:1:1218:4</v>
          </cell>
        </row>
        <row r="3719">
          <cell r="A3719">
            <v>1626</v>
          </cell>
          <cell r="B3719">
            <v>5245</v>
          </cell>
          <cell r="C3719" t="str">
            <v>Dannemorite</v>
          </cell>
          <cell r="E3719" t="str">
            <v/>
          </cell>
        </row>
        <row r="3720">
          <cell r="A3720">
            <v>1629</v>
          </cell>
          <cell r="B3720">
            <v>5245</v>
          </cell>
          <cell r="C3720" t="str">
            <v>Darapiosite</v>
          </cell>
          <cell r="E3720" t="str">
            <v/>
          </cell>
        </row>
        <row r="3721">
          <cell r="A3721">
            <v>1632</v>
          </cell>
          <cell r="B3721">
            <v>5245</v>
          </cell>
          <cell r="C3721" t="str">
            <v>Datolite</v>
          </cell>
          <cell r="E3721" t="str">
            <v>https://www.mindat.org/1:1:1340:2</v>
          </cell>
        </row>
        <row r="3722">
          <cell r="A3722">
            <v>1635</v>
          </cell>
          <cell r="B3722">
            <v>5245</v>
          </cell>
          <cell r="C3722" t="str">
            <v>Davanite</v>
          </cell>
          <cell r="E3722" t="str">
            <v>https://www.mindat.org/1:1:1231:3</v>
          </cell>
        </row>
        <row r="3723">
          <cell r="A3723">
            <v>1639</v>
          </cell>
          <cell r="B3723">
            <v>5245</v>
          </cell>
          <cell r="C3723" t="str">
            <v>Davreuxite</v>
          </cell>
          <cell r="E3723" t="str">
            <v>https://www.mindat.org/1:1:1237:5</v>
          </cell>
        </row>
        <row r="3724">
          <cell r="A3724">
            <v>1640</v>
          </cell>
          <cell r="B3724">
            <v>5245</v>
          </cell>
          <cell r="C3724" t="str">
            <v>Davyne</v>
          </cell>
          <cell r="E3724" t="str">
            <v>https://www.mindat.org/1:1:1238:2</v>
          </cell>
        </row>
        <row r="3725">
          <cell r="A3725">
            <v>1646</v>
          </cell>
          <cell r="B3725">
            <v>5245</v>
          </cell>
          <cell r="C3725" t="str">
            <v>Deerite</v>
          </cell>
          <cell r="E3725" t="str">
            <v>https://www.mindat.org/1:1:1245:0</v>
          </cell>
        </row>
        <row r="3726">
          <cell r="A3726">
            <v>1649</v>
          </cell>
          <cell r="B3726">
            <v>5245</v>
          </cell>
          <cell r="C3726" t="str">
            <v>Delhayelite</v>
          </cell>
          <cell r="E3726" t="str">
            <v>https://www.mindat.org/1:1:1251:1</v>
          </cell>
        </row>
        <row r="3727">
          <cell r="A3727">
            <v>1651</v>
          </cell>
          <cell r="B3727">
            <v>5245</v>
          </cell>
          <cell r="C3727" t="str">
            <v>Delindeite</v>
          </cell>
          <cell r="E3727" t="str">
            <v>https://www.mindat.org/1:1:1252:8</v>
          </cell>
        </row>
        <row r="3728">
          <cell r="A3728">
            <v>1652</v>
          </cell>
          <cell r="B3728">
            <v>5245</v>
          </cell>
          <cell r="C3728" t="str">
            <v>Dellaite</v>
          </cell>
          <cell r="E3728" t="str">
            <v>https://www.mindat.org/1:1:1253:5</v>
          </cell>
        </row>
        <row r="3729">
          <cell r="A3729">
            <v>1657</v>
          </cell>
          <cell r="B3729">
            <v>5245</v>
          </cell>
          <cell r="C3729" t="str">
            <v>Omphacite</v>
          </cell>
          <cell r="E3729" t="str">
            <v>https://www.mindat.org/1:1:2991:5</v>
          </cell>
        </row>
        <row r="3730">
          <cell r="A3730">
            <v>1666</v>
          </cell>
          <cell r="B3730">
            <v>5245</v>
          </cell>
          <cell r="C3730" t="str">
            <v>Orientite</v>
          </cell>
          <cell r="E3730" t="str">
            <v>https://www.mindat.org/1:1:3017:1</v>
          </cell>
        </row>
        <row r="3731">
          <cell r="A3731">
            <v>1668</v>
          </cell>
          <cell r="B3731">
            <v>5245</v>
          </cell>
          <cell r="C3731" t="str">
            <v>Orlymanite</v>
          </cell>
          <cell r="E3731" t="str">
            <v>https://www.mindat.org/1:1:3019:5</v>
          </cell>
        </row>
        <row r="3732">
          <cell r="A3732">
            <v>1673</v>
          </cell>
          <cell r="B3732">
            <v>5245</v>
          </cell>
          <cell r="C3732" t="str">
            <v>Orthochamosite</v>
          </cell>
          <cell r="E3732" t="str">
            <v/>
          </cell>
        </row>
        <row r="3733">
          <cell r="A3733">
            <v>1675</v>
          </cell>
          <cell r="B3733">
            <v>5245</v>
          </cell>
          <cell r="C3733" t="str">
            <v>Orthoclase</v>
          </cell>
          <cell r="E3733" t="str">
            <v>https://www.mindat.org/1:1:3026:3</v>
          </cell>
        </row>
        <row r="3734">
          <cell r="A3734">
            <v>1687</v>
          </cell>
          <cell r="B3734">
            <v>5245</v>
          </cell>
          <cell r="C3734" t="str">
            <v>Osumilite</v>
          </cell>
          <cell r="E3734" t="str">
            <v>https://www.mindat.org/1:1:3039:3</v>
          </cell>
        </row>
        <row r="3735">
          <cell r="A3735">
            <v>1688</v>
          </cell>
          <cell r="B3735">
            <v>5245</v>
          </cell>
          <cell r="C3735" t="str">
            <v>Osumilite-(Mg)</v>
          </cell>
          <cell r="E3735" t="str">
            <v>https://www.mindat.org/1:1:3038:6</v>
          </cell>
        </row>
        <row r="3736">
          <cell r="A3736">
            <v>1691</v>
          </cell>
          <cell r="B3736">
            <v>5245</v>
          </cell>
          <cell r="C3736" t="str">
            <v>Otjisumeite</v>
          </cell>
          <cell r="E3736" t="str">
            <v>https://www.mindat.org/1:1:3041:6</v>
          </cell>
        </row>
        <row r="3737">
          <cell r="A3737">
            <v>1693</v>
          </cell>
          <cell r="B3737">
            <v>5245</v>
          </cell>
          <cell r="C3737" t="str">
            <v>Ottrelite</v>
          </cell>
          <cell r="E3737" t="str">
            <v/>
          </cell>
        </row>
        <row r="3738">
          <cell r="A3738">
            <v>1702</v>
          </cell>
          <cell r="B3738">
            <v>5245</v>
          </cell>
          <cell r="C3738" t="str">
            <v>Oyelite</v>
          </cell>
          <cell r="E3738" t="str">
            <v>https://www.mindat.org/1:1:3053:9</v>
          </cell>
        </row>
        <row r="3739">
          <cell r="A3739">
            <v>1704</v>
          </cell>
          <cell r="B3739">
            <v>5245</v>
          </cell>
          <cell r="C3739" t="str">
            <v>Pabstite</v>
          </cell>
          <cell r="E3739" t="str">
            <v>https://www.mindat.org/1:1:3057:7</v>
          </cell>
        </row>
        <row r="3740">
          <cell r="A3740">
            <v>1720</v>
          </cell>
          <cell r="B3740">
            <v>5245</v>
          </cell>
          <cell r="C3740" t="str">
            <v>Palygorskite</v>
          </cell>
          <cell r="E3740" t="str">
            <v>https://www.mindat.org/1:1:3072:0</v>
          </cell>
        </row>
        <row r="3741">
          <cell r="A3741">
            <v>1725</v>
          </cell>
          <cell r="B3741">
            <v>5245</v>
          </cell>
          <cell r="C3741" t="str">
            <v>Papagoite</v>
          </cell>
          <cell r="E3741" t="str">
            <v>https://www.mindat.org/1:1:3077:5</v>
          </cell>
        </row>
        <row r="3742">
          <cell r="A3742">
            <v>1730</v>
          </cell>
          <cell r="B3742">
            <v>5245</v>
          </cell>
          <cell r="C3742" t="str">
            <v>Paracelsian</v>
          </cell>
          <cell r="E3742" t="str">
            <v>https://www.mindat.org/1:1:3082:9</v>
          </cell>
        </row>
        <row r="3743">
          <cell r="A3743">
            <v>1731</v>
          </cell>
          <cell r="B3743">
            <v>5245</v>
          </cell>
          <cell r="C3743" t="str">
            <v>Parachrysotile</v>
          </cell>
          <cell r="E3743" t="str">
            <v/>
          </cell>
        </row>
        <row r="3744">
          <cell r="A3744">
            <v>1737</v>
          </cell>
          <cell r="B3744">
            <v>5245</v>
          </cell>
          <cell r="C3744" t="str">
            <v>Paragonite</v>
          </cell>
          <cell r="E3744" t="str">
            <v>https://www.mindat.org/1:1:3090:4</v>
          </cell>
        </row>
        <row r="3745">
          <cell r="A3745">
            <v>1741</v>
          </cell>
          <cell r="B3745">
            <v>5245</v>
          </cell>
          <cell r="C3745" t="str">
            <v>Parakeldyshite</v>
          </cell>
          <cell r="E3745" t="str">
            <v>https://www.mindat.org/1:1:3094:2</v>
          </cell>
        </row>
        <row r="3746">
          <cell r="A3746">
            <v>1749</v>
          </cell>
          <cell r="B3746">
            <v>5245</v>
          </cell>
          <cell r="C3746" t="str">
            <v>Paranatrolite</v>
          </cell>
          <cell r="E3746" t="str">
            <v>https://www.mindat.org/1:1:3102:4</v>
          </cell>
        </row>
        <row r="3747">
          <cell r="A3747">
            <v>1761</v>
          </cell>
          <cell r="B3747">
            <v>5245</v>
          </cell>
          <cell r="C3747" t="str">
            <v>Paraspurrite</v>
          </cell>
          <cell r="E3747" t="str">
            <v/>
          </cell>
        </row>
        <row r="3748">
          <cell r="A3748">
            <v>1765</v>
          </cell>
          <cell r="B3748">
            <v>5245</v>
          </cell>
          <cell r="C3748" t="str">
            <v>Paraumbite</v>
          </cell>
          <cell r="E3748" t="str">
            <v>https://www.mindat.org/1:1:3117:8</v>
          </cell>
        </row>
        <row r="3749">
          <cell r="A3749">
            <v>1767</v>
          </cell>
          <cell r="B3749">
            <v>5245</v>
          </cell>
          <cell r="C3749" t="str">
            <v>Pargasite</v>
          </cell>
          <cell r="E3749" t="str">
            <v>https://www.mindat.org/1:1:3119:2</v>
          </cell>
        </row>
        <row r="3750">
          <cell r="A3750">
            <v>1774</v>
          </cell>
          <cell r="B3750">
            <v>5245</v>
          </cell>
          <cell r="C3750" t="str">
            <v>Parsettensite</v>
          </cell>
          <cell r="E3750" t="str">
            <v>https://www.mindat.org/1:1:3125:3</v>
          </cell>
        </row>
        <row r="3751">
          <cell r="A3751">
            <v>1776</v>
          </cell>
          <cell r="B3751">
            <v>5245</v>
          </cell>
          <cell r="C3751" t="str">
            <v>Partheite</v>
          </cell>
          <cell r="E3751" t="str">
            <v/>
          </cell>
        </row>
        <row r="3752">
          <cell r="A3752">
            <v>1782</v>
          </cell>
          <cell r="B3752">
            <v>5245</v>
          </cell>
          <cell r="C3752" t="str">
            <v>Paulingite</v>
          </cell>
          <cell r="E3752" t="str">
            <v>https://www.mindat.org/1:1:470364:4</v>
          </cell>
        </row>
        <row r="3753">
          <cell r="A3753">
            <v>1783</v>
          </cell>
          <cell r="B3753">
            <v>5245</v>
          </cell>
          <cell r="C3753" t="str">
            <v>Paulingite-Ca</v>
          </cell>
          <cell r="E3753" t="str">
            <v>https://www.mindat.org/1:1:7218:8</v>
          </cell>
        </row>
        <row r="3754">
          <cell r="A3754">
            <v>1784</v>
          </cell>
          <cell r="B3754">
            <v>5245</v>
          </cell>
          <cell r="C3754" t="str">
            <v>Paulingite-K</v>
          </cell>
          <cell r="E3754" t="str">
            <v>https://www.mindat.org/1:1:7219:5</v>
          </cell>
        </row>
        <row r="3755">
          <cell r="A3755">
            <v>1791</v>
          </cell>
          <cell r="B3755">
            <v>5245</v>
          </cell>
          <cell r="C3755" t="str">
            <v>Pecoraite</v>
          </cell>
          <cell r="E3755" t="str">
            <v>https://www.mindat.org/1:1:3139:0</v>
          </cell>
        </row>
        <row r="3756">
          <cell r="A3756">
            <v>1792</v>
          </cell>
          <cell r="B3756">
            <v>5245</v>
          </cell>
          <cell r="C3756" t="str">
            <v>Pectolite</v>
          </cell>
          <cell r="E3756" t="str">
            <v>https://www.mindat.org/1:1:3141:3</v>
          </cell>
        </row>
        <row r="3757">
          <cell r="A3757">
            <v>1793</v>
          </cell>
          <cell r="B3757">
            <v>5245</v>
          </cell>
          <cell r="C3757" t="str">
            <v>Pectolite-m2abc</v>
          </cell>
          <cell r="E3757" t="str">
            <v/>
          </cell>
        </row>
        <row r="3758">
          <cell r="A3758">
            <v>1800</v>
          </cell>
          <cell r="B3758">
            <v>5245</v>
          </cell>
          <cell r="C3758" t="str">
            <v>Donpeacorite</v>
          </cell>
          <cell r="E3758" t="str">
            <v>https://www.mindat.org/1:1:1310:5</v>
          </cell>
        </row>
        <row r="3759">
          <cell r="A3759">
            <v>1808</v>
          </cell>
          <cell r="B3759">
            <v>5245</v>
          </cell>
          <cell r="C3759" t="str">
            <v>Dravite</v>
          </cell>
          <cell r="E3759" t="str">
            <v>https://www.mindat.org/1:1:1318:1</v>
          </cell>
        </row>
        <row r="3760">
          <cell r="A3760">
            <v>1820</v>
          </cell>
          <cell r="B3760">
            <v>5245</v>
          </cell>
          <cell r="C3760" t="str">
            <v>Dumortierite</v>
          </cell>
          <cell r="E3760" t="str">
            <v>https://www.mindat.org/1:1:1329:7</v>
          </cell>
        </row>
        <row r="3761">
          <cell r="A3761">
            <v>1832</v>
          </cell>
          <cell r="B3761">
            <v>5245</v>
          </cell>
          <cell r="C3761" t="str">
            <v>Eakerite</v>
          </cell>
          <cell r="E3761" t="str">
            <v>https://www.mindat.org/1:1:1343:3</v>
          </cell>
        </row>
        <row r="3762">
          <cell r="A3762">
            <v>1838</v>
          </cell>
          <cell r="B3762">
            <v>5245</v>
          </cell>
          <cell r="C3762" t="str">
            <v>Eckermannite</v>
          </cell>
          <cell r="E3762" t="str">
            <v>https://www.mindat.org/1:1:1348:8</v>
          </cell>
        </row>
        <row r="3763">
          <cell r="A3763">
            <v>1841</v>
          </cell>
          <cell r="B3763">
            <v>5245</v>
          </cell>
          <cell r="C3763" t="str">
            <v>Edenite</v>
          </cell>
          <cell r="E3763" t="str">
            <v>https://www.mindat.org/1:1:1351:8</v>
          </cell>
        </row>
        <row r="3764">
          <cell r="A3764">
            <v>1842</v>
          </cell>
          <cell r="B3764">
            <v>5245</v>
          </cell>
          <cell r="C3764" t="str">
            <v>Edgarbaileyite</v>
          </cell>
          <cell r="E3764" t="str">
            <v>https://www.mindat.org/1:1:1352:5</v>
          </cell>
        </row>
        <row r="3765">
          <cell r="A3765">
            <v>1844</v>
          </cell>
          <cell r="B3765">
            <v>5245</v>
          </cell>
          <cell r="C3765" t="str">
            <v>Edingtonite</v>
          </cell>
          <cell r="E3765" t="str">
            <v>https://www.mindat.org/1:1:1353:2</v>
          </cell>
        </row>
        <row r="3766">
          <cell r="A3766">
            <v>1846</v>
          </cell>
          <cell r="B3766">
            <v>5245</v>
          </cell>
          <cell r="C3766" t="str">
            <v>Effenbergerite</v>
          </cell>
          <cell r="E3766" t="str">
            <v>https://www.mindat.org/1:1:6911:9</v>
          </cell>
        </row>
        <row r="3767">
          <cell r="A3767">
            <v>1848</v>
          </cell>
          <cell r="B3767">
            <v>5245</v>
          </cell>
          <cell r="C3767" t="str">
            <v>Eggletonite</v>
          </cell>
          <cell r="E3767" t="str">
            <v>https://www.mindat.org/1:1:1356:3</v>
          </cell>
        </row>
        <row r="3768">
          <cell r="A3768">
            <v>1851</v>
          </cell>
          <cell r="B3768">
            <v>5245</v>
          </cell>
          <cell r="C3768" t="str">
            <v>Eifelite</v>
          </cell>
          <cell r="E3768" t="str">
            <v>https://www.mindat.org/1:1:1359:4</v>
          </cell>
        </row>
        <row r="3769">
          <cell r="A3769">
            <v>1853</v>
          </cell>
          <cell r="B3769">
            <v>5245</v>
          </cell>
          <cell r="C3769" t="str">
            <v>Ekanite</v>
          </cell>
          <cell r="E3769" t="str">
            <v>https://www.mindat.org/1:1:1361:7</v>
          </cell>
        </row>
        <row r="3770">
          <cell r="A3770">
            <v>1856</v>
          </cell>
          <cell r="B3770">
            <v>5245</v>
          </cell>
          <cell r="C3770" t="str">
            <v>Elbaite</v>
          </cell>
          <cell r="E3770" t="str">
            <v>https://www.mindat.org/1:1:1364:8</v>
          </cell>
        </row>
        <row r="3771">
          <cell r="A3771">
            <v>1858</v>
          </cell>
          <cell r="B3771">
            <v>5245</v>
          </cell>
          <cell r="C3771" t="str">
            <v>Ellenbergerite</v>
          </cell>
          <cell r="E3771" t="str">
            <v>https://www.mindat.org/1:1:1366:2</v>
          </cell>
        </row>
        <row r="3772">
          <cell r="A3772">
            <v>1862</v>
          </cell>
          <cell r="B3772">
            <v>5245</v>
          </cell>
          <cell r="C3772" t="str">
            <v>Elpidite</v>
          </cell>
          <cell r="E3772" t="str">
            <v>https://www.mindat.org/1:1:1370:9</v>
          </cell>
        </row>
        <row r="3773">
          <cell r="A3773">
            <v>1865</v>
          </cell>
          <cell r="B3773">
            <v>5245</v>
          </cell>
          <cell r="C3773" t="str">
            <v>Emeleusite</v>
          </cell>
          <cell r="E3773" t="str">
            <v>https://www.mindat.org/1:1:1374:7</v>
          </cell>
        </row>
        <row r="3774">
          <cell r="A3774">
            <v>1872</v>
          </cell>
          <cell r="B3774">
            <v>5245</v>
          </cell>
          <cell r="C3774" t="str">
            <v>Enstatite</v>
          </cell>
          <cell r="E3774" t="str">
            <v>https://www.mindat.org/1:1:1384:6</v>
          </cell>
        </row>
        <row r="3775">
          <cell r="A3775">
            <v>1874</v>
          </cell>
          <cell r="B3775">
            <v>5245</v>
          </cell>
          <cell r="C3775" t="str">
            <v>Ephesite</v>
          </cell>
          <cell r="E3775" t="str">
            <v>https://www.mindat.org/1:1:1387:7</v>
          </cell>
        </row>
        <row r="3776">
          <cell r="A3776">
            <v>1875</v>
          </cell>
          <cell r="B3776">
            <v>5245</v>
          </cell>
          <cell r="C3776" t="str">
            <v>Epididymite</v>
          </cell>
          <cell r="E3776" t="str">
            <v>https://www.mindat.org/1:1:1388:4</v>
          </cell>
        </row>
        <row r="3777">
          <cell r="A3777">
            <v>1876</v>
          </cell>
          <cell r="B3777">
            <v>5245</v>
          </cell>
          <cell r="C3777" t="str">
            <v>Epidote</v>
          </cell>
          <cell r="E3777" t="str">
            <v>https://www.mindat.org/1:1:1389:1</v>
          </cell>
        </row>
        <row r="3778">
          <cell r="A3778">
            <v>1877</v>
          </cell>
          <cell r="B3778">
            <v>5245</v>
          </cell>
          <cell r="C3778" t="str">
            <v>Epistilbite</v>
          </cell>
          <cell r="E3778" t="str">
            <v>https://www.mindat.org/1:1:1391:4</v>
          </cell>
        </row>
        <row r="3779">
          <cell r="A3779">
            <v>1878</v>
          </cell>
          <cell r="B3779">
            <v>5245</v>
          </cell>
          <cell r="C3779" t="str">
            <v>Epistolite</v>
          </cell>
          <cell r="E3779" t="str">
            <v>https://www.mindat.org/1:1:1392:1</v>
          </cell>
        </row>
        <row r="3780">
          <cell r="A3780">
            <v>1883</v>
          </cell>
          <cell r="B3780">
            <v>5245</v>
          </cell>
          <cell r="C3780" t="str">
            <v>Ericssonite</v>
          </cell>
          <cell r="E3780" t="str">
            <v>https://www.mindat.org/1:1:1397:6</v>
          </cell>
        </row>
        <row r="3781">
          <cell r="A3781">
            <v>1885</v>
          </cell>
          <cell r="B3781">
            <v>5245</v>
          </cell>
          <cell r="C3781" t="str">
            <v>Erionite</v>
          </cell>
          <cell r="E3781" t="str">
            <v>https://www.mindat.org/1:1:1399:0</v>
          </cell>
        </row>
        <row r="3782">
          <cell r="A3782">
            <v>1886</v>
          </cell>
          <cell r="B3782">
            <v>5245</v>
          </cell>
          <cell r="C3782" t="str">
            <v>Erionite-Ca</v>
          </cell>
          <cell r="E3782" t="str">
            <v>https://www.mindat.org/1:1:6915:7</v>
          </cell>
        </row>
        <row r="3783">
          <cell r="A3783">
            <v>1887</v>
          </cell>
          <cell r="B3783">
            <v>5245</v>
          </cell>
          <cell r="C3783" t="str">
            <v>Erionite-K</v>
          </cell>
          <cell r="E3783" t="str">
            <v>https://www.mindat.org/1:1:6916:4</v>
          </cell>
        </row>
        <row r="3784">
          <cell r="A3784">
            <v>1888</v>
          </cell>
          <cell r="B3784">
            <v>5245</v>
          </cell>
          <cell r="C3784" t="str">
            <v>Erionite-Na</v>
          </cell>
          <cell r="E3784" t="str">
            <v>https://www.mindat.org/1:1:6917:1</v>
          </cell>
        </row>
        <row r="3785">
          <cell r="A3785">
            <v>1895</v>
          </cell>
          <cell r="B3785">
            <v>5245</v>
          </cell>
          <cell r="C3785" t="str">
            <v>Ershovite</v>
          </cell>
          <cell r="E3785" t="str">
            <v>https://www.mindat.org/1:1:1405:8</v>
          </cell>
        </row>
        <row r="3786">
          <cell r="A3786">
            <v>1903</v>
          </cell>
          <cell r="B3786">
            <v>5245</v>
          </cell>
          <cell r="C3786" t="str">
            <v>Esperite</v>
          </cell>
          <cell r="E3786" t="str">
            <v>https://www.mindat.org/1:1:1412:6</v>
          </cell>
        </row>
        <row r="3787">
          <cell r="A3787">
            <v>1904</v>
          </cell>
          <cell r="B3787">
            <v>5245</v>
          </cell>
          <cell r="C3787" t="str">
            <v>Esseneite</v>
          </cell>
          <cell r="E3787" t="str">
            <v>https://www.mindat.org/1:1:1413:3</v>
          </cell>
        </row>
        <row r="3788">
          <cell r="A3788">
            <v>1909</v>
          </cell>
          <cell r="B3788">
            <v>5245</v>
          </cell>
          <cell r="C3788" t="str">
            <v>Euclase</v>
          </cell>
          <cell r="E3788" t="str">
            <v>https://www.mindat.org/1:1:1418:8</v>
          </cell>
        </row>
        <row r="3789">
          <cell r="A3789">
            <v>1910</v>
          </cell>
          <cell r="B3789">
            <v>5245</v>
          </cell>
          <cell r="C3789" t="str">
            <v>Eucryptite</v>
          </cell>
          <cell r="E3789" t="str">
            <v>https://www.mindat.org/1:1:1419:5</v>
          </cell>
        </row>
        <row r="3790">
          <cell r="A3790">
            <v>1911</v>
          </cell>
          <cell r="B3790">
            <v>5245</v>
          </cell>
          <cell r="C3790" t="str">
            <v>Eudialyte</v>
          </cell>
          <cell r="E3790" t="str">
            <v>https://www.mindat.org/1:1:1420:1</v>
          </cell>
        </row>
        <row r="3791">
          <cell r="A3791">
            <v>1912</v>
          </cell>
          <cell r="B3791">
            <v>5245</v>
          </cell>
          <cell r="C3791" t="str">
            <v>Eudidymite</v>
          </cell>
          <cell r="E3791" t="str">
            <v>https://www.mindat.org/1:1:1421:8</v>
          </cell>
        </row>
        <row r="3792">
          <cell r="A3792">
            <v>1915</v>
          </cell>
          <cell r="B3792">
            <v>5245</v>
          </cell>
          <cell r="C3792" t="str">
            <v>Eulytite</v>
          </cell>
          <cell r="E3792" t="str">
            <v/>
          </cell>
        </row>
        <row r="3793">
          <cell r="A3793">
            <v>1924</v>
          </cell>
          <cell r="B3793">
            <v>5245</v>
          </cell>
          <cell r="C3793" t="str">
            <v>F-K-magnesio-arfvedsonite</v>
          </cell>
          <cell r="E3793" t="str">
            <v/>
          </cell>
        </row>
        <row r="3794">
          <cell r="A3794">
            <v>1931</v>
          </cell>
          <cell r="B3794">
            <v>5245</v>
          </cell>
          <cell r="C3794" t="str">
            <v>Falcondoite</v>
          </cell>
          <cell r="E3794" t="str">
            <v>https://www.mindat.org/1:1:1444:7</v>
          </cell>
        </row>
        <row r="3795">
          <cell r="A3795">
            <v>1936</v>
          </cell>
          <cell r="B3795">
            <v>5245</v>
          </cell>
          <cell r="C3795" t="str">
            <v>Faujasite</v>
          </cell>
          <cell r="E3795" t="str">
            <v>https://www.mindat.org/1:1:35126:5</v>
          </cell>
        </row>
        <row r="3796">
          <cell r="A3796">
            <v>1937</v>
          </cell>
          <cell r="B3796">
            <v>5245</v>
          </cell>
          <cell r="C3796" t="str">
            <v>Faujasite-Ca</v>
          </cell>
          <cell r="E3796" t="str">
            <v>https://www.mindat.org/1:1:6920:1</v>
          </cell>
        </row>
        <row r="3797">
          <cell r="A3797">
            <v>1938</v>
          </cell>
          <cell r="B3797">
            <v>5245</v>
          </cell>
          <cell r="C3797" t="str">
            <v>Faujasite-Mg</v>
          </cell>
          <cell r="E3797" t="str">
            <v>https://www.mindat.org/1:1:6921:8</v>
          </cell>
        </row>
        <row r="3798">
          <cell r="A3798">
            <v>1939</v>
          </cell>
          <cell r="B3798">
            <v>5245</v>
          </cell>
          <cell r="C3798" t="str">
            <v>Faujasite-Na</v>
          </cell>
          <cell r="E3798" t="str">
            <v>https://www.mindat.org/1:1:6922:5</v>
          </cell>
        </row>
        <row r="3799">
          <cell r="A3799">
            <v>1941</v>
          </cell>
          <cell r="B3799">
            <v>5245</v>
          </cell>
          <cell r="C3799" t="str">
            <v>Fayalite</v>
          </cell>
          <cell r="E3799" t="str">
            <v>https://www.mindat.org/1:1:1458:4</v>
          </cell>
        </row>
        <row r="3800">
          <cell r="A3800">
            <v>1942</v>
          </cell>
          <cell r="B3800">
            <v>5245</v>
          </cell>
          <cell r="C3800" t="str">
            <v>Fedorite</v>
          </cell>
          <cell r="E3800" t="str">
            <v>https://www.mindat.org/1:1:1467:6</v>
          </cell>
        </row>
        <row r="3801">
          <cell r="A3801">
            <v>1947</v>
          </cell>
          <cell r="B3801">
            <v>5245</v>
          </cell>
          <cell r="C3801" t="str">
            <v>Feldspargroup</v>
          </cell>
          <cell r="E3801" t="str">
            <v/>
          </cell>
        </row>
        <row r="3802">
          <cell r="A3802">
            <v>1949</v>
          </cell>
          <cell r="B3802">
            <v>5245</v>
          </cell>
          <cell r="C3802" t="str">
            <v>Fenaksite</v>
          </cell>
          <cell r="E3802" t="str">
            <v>https://www.mindat.org/1:1:1475:1</v>
          </cell>
        </row>
        <row r="3803">
          <cell r="A3803">
            <v>1969</v>
          </cell>
          <cell r="B3803">
            <v>5245</v>
          </cell>
          <cell r="C3803" t="str">
            <v>Ferrierite</v>
          </cell>
          <cell r="E3803" t="str">
            <v>https://www.mindat.org/1:1:1492:8</v>
          </cell>
        </row>
        <row r="3804">
          <cell r="A3804">
            <v>1970</v>
          </cell>
          <cell r="B3804">
            <v>5245</v>
          </cell>
          <cell r="C3804" t="str">
            <v>Ferrierite-K</v>
          </cell>
          <cell r="E3804" t="str">
            <v>https://www.mindat.org/1:1:6930:0</v>
          </cell>
        </row>
        <row r="3805">
          <cell r="A3805">
            <v>1971</v>
          </cell>
          <cell r="B3805">
            <v>5245</v>
          </cell>
          <cell r="C3805" t="str">
            <v>Ferrierite-Mg</v>
          </cell>
          <cell r="E3805" t="str">
            <v>https://www.mindat.org/1:1:6931:7</v>
          </cell>
        </row>
        <row r="3806">
          <cell r="A3806">
            <v>1972</v>
          </cell>
          <cell r="B3806">
            <v>5245</v>
          </cell>
          <cell r="C3806" t="str">
            <v>Ferrierite-Na</v>
          </cell>
          <cell r="E3806" t="str">
            <v>https://www.mindat.org/1:1:6932:4</v>
          </cell>
        </row>
        <row r="3807">
          <cell r="A3807">
            <v>1982</v>
          </cell>
          <cell r="B3807">
            <v>5245</v>
          </cell>
          <cell r="C3807" t="str">
            <v>Ferrisurite</v>
          </cell>
          <cell r="E3807" t="str">
            <v>https://www.mindat.org/1:1:1501:7</v>
          </cell>
        </row>
        <row r="3808">
          <cell r="A3808">
            <v>1985</v>
          </cell>
          <cell r="B3808">
            <v>5245</v>
          </cell>
          <cell r="C3808" t="str">
            <v>Ferro-actinolite</v>
          </cell>
          <cell r="E3808" t="str">
            <v>https://www.mindat.org/1:1:1505:5</v>
          </cell>
        </row>
        <row r="3809">
          <cell r="A3809">
            <v>1988</v>
          </cell>
          <cell r="B3809">
            <v>5245</v>
          </cell>
          <cell r="C3809" t="str">
            <v>Ferro-anthophyllite</v>
          </cell>
          <cell r="E3809" t="str">
            <v>https://www.mindat.org/1:1:1464:5</v>
          </cell>
        </row>
        <row r="3810">
          <cell r="A3810">
            <v>1989</v>
          </cell>
          <cell r="B3810">
            <v>5245</v>
          </cell>
          <cell r="C3810" t="str">
            <v>Ferro-axinite</v>
          </cell>
          <cell r="E3810" t="str">
            <v/>
          </cell>
        </row>
        <row r="3811">
          <cell r="A3811">
            <v>1992</v>
          </cell>
          <cell r="B3811">
            <v>5245</v>
          </cell>
          <cell r="C3811" t="str">
            <v>Ferro-edenite</v>
          </cell>
          <cell r="E3811" t="str">
            <v>https://www.mindat.org/1:1:1472:0</v>
          </cell>
        </row>
        <row r="3812">
          <cell r="A3812">
            <v>1995</v>
          </cell>
          <cell r="B3812">
            <v>5245</v>
          </cell>
          <cell r="C3812" t="str">
            <v>Ferrobustamite</v>
          </cell>
          <cell r="E3812" t="str">
            <v>https://www.mindat.org/1:1:1511:6</v>
          </cell>
        </row>
        <row r="3813">
          <cell r="A3813">
            <v>1996</v>
          </cell>
          <cell r="B3813">
            <v>5245</v>
          </cell>
          <cell r="C3813" t="str">
            <v>Ferrocarpholite</v>
          </cell>
          <cell r="E3813" t="str">
            <v>https://www.mindat.org/1:1:1512:3</v>
          </cell>
        </row>
        <row r="3814">
          <cell r="A3814">
            <v>1997</v>
          </cell>
          <cell r="B3814">
            <v>5245</v>
          </cell>
          <cell r="C3814" t="str">
            <v>Ferroceladonite</v>
          </cell>
          <cell r="E3814" t="str">
            <v>https://www.mindat.org/1:1:6935:5</v>
          </cell>
        </row>
        <row r="3815">
          <cell r="A3815">
            <v>1999</v>
          </cell>
          <cell r="B3815">
            <v>5245</v>
          </cell>
          <cell r="C3815" t="str">
            <v>Ferrogedrite</v>
          </cell>
          <cell r="E3815" t="str">
            <v/>
          </cell>
        </row>
        <row r="3816">
          <cell r="A3816">
            <v>2000</v>
          </cell>
          <cell r="B3816">
            <v>5245</v>
          </cell>
          <cell r="C3816" t="str">
            <v>Ferroglaucophane</v>
          </cell>
          <cell r="E3816" t="str">
            <v/>
          </cell>
        </row>
        <row r="3817">
          <cell r="A3817">
            <v>2003</v>
          </cell>
          <cell r="B3817">
            <v>5245</v>
          </cell>
          <cell r="C3817" t="str">
            <v>Ferrohornblende</v>
          </cell>
          <cell r="E3817" t="str">
            <v/>
          </cell>
        </row>
        <row r="3818">
          <cell r="A3818">
            <v>2009</v>
          </cell>
          <cell r="B3818">
            <v>5245</v>
          </cell>
          <cell r="C3818" t="str">
            <v>Ferropargasite</v>
          </cell>
          <cell r="E3818" t="str">
            <v/>
          </cell>
        </row>
        <row r="3819">
          <cell r="A3819">
            <v>2010</v>
          </cell>
          <cell r="B3819">
            <v>5245</v>
          </cell>
          <cell r="C3819" t="str">
            <v>Ferropyrosmalite</v>
          </cell>
          <cell r="E3819" t="str">
            <v/>
          </cell>
        </row>
        <row r="3820">
          <cell r="A3820">
            <v>2014</v>
          </cell>
          <cell r="B3820">
            <v>5245</v>
          </cell>
          <cell r="C3820" t="str">
            <v>Ferrosilite</v>
          </cell>
          <cell r="E3820" t="str">
            <v>https://www.mindat.org/1:1:1528:4</v>
          </cell>
        </row>
        <row r="3821">
          <cell r="A3821">
            <v>2026</v>
          </cell>
          <cell r="B3821">
            <v>5245</v>
          </cell>
          <cell r="C3821" t="str">
            <v>Fersmanite</v>
          </cell>
          <cell r="E3821" t="str">
            <v>https://www.mindat.org/1:1:1538:3</v>
          </cell>
        </row>
        <row r="3822">
          <cell r="A3822">
            <v>2063</v>
          </cell>
          <cell r="B3822">
            <v>5245</v>
          </cell>
          <cell r="C3822" t="str">
            <v>Fluorapophyllite</v>
          </cell>
          <cell r="E3822" t="str">
            <v/>
          </cell>
        </row>
        <row r="3823">
          <cell r="A3823">
            <v>2066</v>
          </cell>
          <cell r="B3823">
            <v>5245</v>
          </cell>
          <cell r="C3823" t="str">
            <v>Fluorellestadite</v>
          </cell>
          <cell r="E3823" t="str">
            <v>https://www.mindat.org/1:1:1575:8</v>
          </cell>
        </row>
        <row r="3824">
          <cell r="A3824">
            <v>2069</v>
          </cell>
          <cell r="B3824">
            <v>5245</v>
          </cell>
          <cell r="C3824" t="str">
            <v>Fluoro-ferroleakeite</v>
          </cell>
          <cell r="E3824" t="str">
            <v/>
          </cell>
        </row>
        <row r="3825">
          <cell r="A3825">
            <v>2080</v>
          </cell>
          <cell r="B3825">
            <v>5245</v>
          </cell>
          <cell r="C3825" t="str">
            <v>Micagroup</v>
          </cell>
          <cell r="E3825" t="str">
            <v/>
          </cell>
        </row>
        <row r="3826">
          <cell r="A3826">
            <v>2083</v>
          </cell>
          <cell r="B3826">
            <v>5245</v>
          </cell>
          <cell r="C3826" t="str">
            <v>Microcline</v>
          </cell>
          <cell r="E3826" t="str">
            <v>https://www.mindat.org/1:1:2704:1</v>
          </cell>
        </row>
        <row r="3827">
          <cell r="A3827">
            <v>2085</v>
          </cell>
          <cell r="B3827">
            <v>5245</v>
          </cell>
          <cell r="C3827" t="str">
            <v>Microsommite</v>
          </cell>
          <cell r="E3827" t="str">
            <v>https://www.mindat.org/1:1:2706:5</v>
          </cell>
        </row>
        <row r="3828">
          <cell r="A3828">
            <v>2089</v>
          </cell>
          <cell r="B3828">
            <v>5245</v>
          </cell>
          <cell r="C3828" t="str">
            <v>Milarite</v>
          </cell>
          <cell r="E3828" t="str">
            <v>https://www.mindat.org/1:1:2710:2</v>
          </cell>
        </row>
        <row r="3829">
          <cell r="A3829">
            <v>2098</v>
          </cell>
          <cell r="B3829">
            <v>5245</v>
          </cell>
          <cell r="C3829" t="str">
            <v>Minehillite</v>
          </cell>
          <cell r="E3829" t="str">
            <v>https://www.mindat.org/1:1:2719:5</v>
          </cell>
        </row>
        <row r="3830">
          <cell r="A3830">
            <v>2102</v>
          </cell>
          <cell r="B3830">
            <v>5245</v>
          </cell>
          <cell r="C3830" t="str">
            <v>Minnesotaite</v>
          </cell>
          <cell r="E3830" t="str">
            <v>https://www.mindat.org/1:1:2722:5</v>
          </cell>
        </row>
        <row r="3831">
          <cell r="A3831">
            <v>2107</v>
          </cell>
          <cell r="B3831">
            <v>5245</v>
          </cell>
          <cell r="C3831" t="str">
            <v>Miserite</v>
          </cell>
          <cell r="E3831" t="str">
            <v>https://www.mindat.org/1:1:2727:0</v>
          </cell>
        </row>
        <row r="3832">
          <cell r="A3832">
            <v>2126</v>
          </cell>
          <cell r="B3832">
            <v>5245</v>
          </cell>
          <cell r="C3832" t="str">
            <v>Molybdophyllite</v>
          </cell>
          <cell r="E3832" t="str">
            <v>https://www.mindat.org/1:1:2735:5</v>
          </cell>
        </row>
        <row r="3833">
          <cell r="A3833">
            <v>2133</v>
          </cell>
          <cell r="B3833">
            <v>5245</v>
          </cell>
          <cell r="C3833" t="str">
            <v>Mongolite</v>
          </cell>
          <cell r="E3833" t="str">
            <v>https://www.mindat.org/1:1:2756:0</v>
          </cell>
        </row>
        <row r="3834">
          <cell r="A3834">
            <v>2139</v>
          </cell>
          <cell r="B3834">
            <v>5245</v>
          </cell>
          <cell r="C3834" t="str">
            <v>Montdorite</v>
          </cell>
          <cell r="E3834" t="str">
            <v>https://www.mindat.org/1:1:2762:1</v>
          </cell>
        </row>
        <row r="3835">
          <cell r="A3835">
            <v>2142</v>
          </cell>
          <cell r="B3835">
            <v>5245</v>
          </cell>
          <cell r="C3835" t="str">
            <v>Monteregianite-(Y)</v>
          </cell>
          <cell r="E3835" t="str">
            <v>https://www.mindat.org/1:1:2765:2</v>
          </cell>
        </row>
        <row r="3836">
          <cell r="A3836">
            <v>2143</v>
          </cell>
          <cell r="B3836">
            <v>5245</v>
          </cell>
          <cell r="C3836" t="str">
            <v>Montesommaite</v>
          </cell>
          <cell r="E3836" t="str">
            <v>https://www.mindat.org/1:1:2766:9</v>
          </cell>
        </row>
        <row r="3837">
          <cell r="A3837">
            <v>2145</v>
          </cell>
          <cell r="B3837">
            <v>5245</v>
          </cell>
          <cell r="C3837" t="str">
            <v>Monticellite</v>
          </cell>
          <cell r="E3837" t="str">
            <v>https://www.mindat.org/1:1:2768:3</v>
          </cell>
        </row>
        <row r="3838">
          <cell r="A3838">
            <v>2146</v>
          </cell>
          <cell r="B3838">
            <v>5245</v>
          </cell>
          <cell r="C3838" t="str">
            <v>Montmorillonite</v>
          </cell>
          <cell r="E3838" t="str">
            <v>https://www.mindat.org/1:1:2821:5</v>
          </cell>
        </row>
        <row r="3839">
          <cell r="A3839">
            <v>2156</v>
          </cell>
          <cell r="B3839">
            <v>5245</v>
          </cell>
          <cell r="C3839" t="str">
            <v>Mordenite</v>
          </cell>
          <cell r="E3839" t="str">
            <v>https://www.mindat.org/1:1:2779:9</v>
          </cell>
        </row>
        <row r="3840">
          <cell r="A3840">
            <v>2163</v>
          </cell>
          <cell r="B3840">
            <v>5245</v>
          </cell>
          <cell r="C3840" t="str">
            <v>Mosandrite</v>
          </cell>
          <cell r="E3840" t="str">
            <v/>
          </cell>
        </row>
        <row r="3841">
          <cell r="A3841">
            <v>2170</v>
          </cell>
          <cell r="B3841">
            <v>5245</v>
          </cell>
          <cell r="C3841" t="str">
            <v>Mountainite</v>
          </cell>
          <cell r="E3841" t="str">
            <v>https://www.mindat.org/1:1:2795:9</v>
          </cell>
        </row>
        <row r="3842">
          <cell r="A3842">
            <v>2174</v>
          </cell>
          <cell r="B3842">
            <v>5245</v>
          </cell>
          <cell r="C3842" t="str">
            <v>Mozartite</v>
          </cell>
          <cell r="E3842" t="str">
            <v>https://www.mindat.org/1:1:2799:7</v>
          </cell>
        </row>
        <row r="3843">
          <cell r="A3843">
            <v>2180</v>
          </cell>
          <cell r="B3843">
            <v>5245</v>
          </cell>
          <cell r="C3843" t="str">
            <v>Muirite</v>
          </cell>
          <cell r="E3843" t="str">
            <v>https://www.mindat.org/1:1:2804:8</v>
          </cell>
        </row>
        <row r="3844">
          <cell r="A3844">
            <v>2181</v>
          </cell>
          <cell r="B3844">
            <v>5245</v>
          </cell>
          <cell r="C3844" t="str">
            <v>Mukhinite</v>
          </cell>
          <cell r="E3844" t="str">
            <v>https://www.mindat.org/1:1:2805:5</v>
          </cell>
        </row>
        <row r="3845">
          <cell r="A3845">
            <v>2182</v>
          </cell>
          <cell r="B3845">
            <v>5245</v>
          </cell>
          <cell r="C3845" t="str">
            <v>Mullite</v>
          </cell>
          <cell r="E3845" t="str">
            <v>https://www.mindat.org/1:1:2806:2</v>
          </cell>
        </row>
        <row r="3846">
          <cell r="A3846">
            <v>2189</v>
          </cell>
          <cell r="B3846">
            <v>5245</v>
          </cell>
          <cell r="C3846" t="str">
            <v>Murmanite</v>
          </cell>
          <cell r="E3846" t="str">
            <v>https://www.mindat.org/1:1:2813:0</v>
          </cell>
        </row>
        <row r="3847">
          <cell r="A3847">
            <v>2191</v>
          </cell>
          <cell r="B3847">
            <v>5245</v>
          </cell>
          <cell r="C3847" t="str">
            <v>Muscovite</v>
          </cell>
          <cell r="E3847" t="str">
            <v>https://www.mindat.org/1:1:2815:4</v>
          </cell>
        </row>
        <row r="3848">
          <cell r="A3848">
            <v>2201</v>
          </cell>
          <cell r="B3848">
            <v>5245</v>
          </cell>
          <cell r="C3848" t="str">
            <v>Nabesite</v>
          </cell>
          <cell r="E3848" t="str">
            <v>https://www.mindat.org/1:1:11439:0</v>
          </cell>
        </row>
        <row r="3849">
          <cell r="A3849">
            <v>2205</v>
          </cell>
          <cell r="B3849">
            <v>5245</v>
          </cell>
          <cell r="C3849" t="str">
            <v>Nacareniobsite-(Ce)</v>
          </cell>
          <cell r="E3849" t="str">
            <v>https://www.mindat.org/1:1:2825:3</v>
          </cell>
        </row>
        <row r="3850">
          <cell r="A3850">
            <v>2206</v>
          </cell>
          <cell r="B3850">
            <v>5245</v>
          </cell>
          <cell r="C3850" t="str">
            <v>Nacrite</v>
          </cell>
          <cell r="E3850" t="str">
            <v>https://www.mindat.org/1:1:2826:0</v>
          </cell>
        </row>
        <row r="3851">
          <cell r="A3851">
            <v>2208</v>
          </cell>
          <cell r="B3851">
            <v>5245</v>
          </cell>
          <cell r="C3851" t="str">
            <v>Nafertisite</v>
          </cell>
          <cell r="E3851" t="str">
            <v>https://www.mindat.org/1:1:7186:0</v>
          </cell>
        </row>
        <row r="3852">
          <cell r="A3852">
            <v>2209</v>
          </cell>
          <cell r="B3852">
            <v>5245</v>
          </cell>
          <cell r="C3852" t="str">
            <v>Nagashimalite</v>
          </cell>
          <cell r="E3852" t="str">
            <v>https://www.mindat.org/1:1:2828:4</v>
          </cell>
        </row>
        <row r="3853">
          <cell r="A3853">
            <v>2210</v>
          </cell>
          <cell r="B3853">
            <v>5245</v>
          </cell>
          <cell r="C3853" t="str">
            <v>Nagelschmidtite</v>
          </cell>
          <cell r="E3853" t="str">
            <v>https://www.mindat.org/1:1:2829:1</v>
          </cell>
        </row>
        <row r="3854">
          <cell r="A3854">
            <v>2217</v>
          </cell>
          <cell r="B3854">
            <v>5245</v>
          </cell>
          <cell r="C3854" t="str">
            <v>Nambulite</v>
          </cell>
          <cell r="E3854" t="str">
            <v>https://www.mindat.org/1:1:2835:2</v>
          </cell>
        </row>
        <row r="3855">
          <cell r="A3855">
            <v>2222</v>
          </cell>
          <cell r="B3855">
            <v>5245</v>
          </cell>
          <cell r="C3855" t="str">
            <v>Nanpingite</v>
          </cell>
          <cell r="E3855" t="str">
            <v>https://www.mindat.org/1:1:2839:0</v>
          </cell>
        </row>
        <row r="3856">
          <cell r="A3856">
            <v>2224</v>
          </cell>
          <cell r="B3856">
            <v>5245</v>
          </cell>
          <cell r="C3856" t="str">
            <v>Narsarsukite</v>
          </cell>
          <cell r="E3856" t="str">
            <v>https://www.mindat.org/1:1:2841:3</v>
          </cell>
        </row>
        <row r="3857">
          <cell r="A3857">
            <v>2227</v>
          </cell>
          <cell r="B3857">
            <v>5245</v>
          </cell>
          <cell r="C3857" t="str">
            <v>Nasonite</v>
          </cell>
          <cell r="E3857" t="str">
            <v>https://www.mindat.org/1:1:2844:4</v>
          </cell>
        </row>
        <row r="3858">
          <cell r="A3858">
            <v>2231</v>
          </cell>
          <cell r="B3858">
            <v>5245</v>
          </cell>
          <cell r="C3858" t="str">
            <v>Natisite</v>
          </cell>
          <cell r="E3858" t="str">
            <v>https://www.mindat.org/1:1:2848:2</v>
          </cell>
        </row>
        <row r="3859">
          <cell r="A3859">
            <v>2234</v>
          </cell>
          <cell r="B3859">
            <v>5245</v>
          </cell>
          <cell r="C3859" t="str">
            <v>Natroapophyllite</v>
          </cell>
          <cell r="E3859" t="str">
            <v/>
          </cell>
        </row>
        <row r="3860">
          <cell r="A3860">
            <v>2240</v>
          </cell>
          <cell r="B3860">
            <v>5245</v>
          </cell>
          <cell r="C3860" t="str">
            <v>Natrolite</v>
          </cell>
          <cell r="E3860" t="str">
            <v>https://www.mindat.org/1:1:2947:2</v>
          </cell>
        </row>
        <row r="3861">
          <cell r="A3861">
            <v>2243</v>
          </cell>
          <cell r="B3861">
            <v>5245</v>
          </cell>
          <cell r="C3861" t="str">
            <v>Natronambulite</v>
          </cell>
          <cell r="E3861" t="str">
            <v>https://www.mindat.org/1:1:2859:8</v>
          </cell>
        </row>
        <row r="3862">
          <cell r="A3862">
            <v>2247</v>
          </cell>
          <cell r="B3862">
            <v>5245</v>
          </cell>
          <cell r="C3862" t="str">
            <v>Natrosilite</v>
          </cell>
          <cell r="E3862" t="str">
            <v>https://www.mindat.org/1:1:2863:5</v>
          </cell>
        </row>
        <row r="3863">
          <cell r="A3863">
            <v>2250</v>
          </cell>
          <cell r="B3863">
            <v>5245</v>
          </cell>
          <cell r="C3863" t="str">
            <v>Naujakasite</v>
          </cell>
          <cell r="E3863" t="str">
            <v>https://www.mindat.org/1:1:2865:9</v>
          </cell>
        </row>
        <row r="3864">
          <cell r="A3864">
            <v>2253</v>
          </cell>
          <cell r="B3864">
            <v>5245</v>
          </cell>
          <cell r="C3864" t="str">
            <v>Nchwaningite</v>
          </cell>
          <cell r="E3864" t="str">
            <v>https://www.mindat.org/1:1:2868:0</v>
          </cell>
        </row>
        <row r="3865">
          <cell r="A3865">
            <v>2257</v>
          </cell>
          <cell r="B3865">
            <v>5245</v>
          </cell>
          <cell r="C3865" t="str">
            <v>Nekoite</v>
          </cell>
          <cell r="E3865" t="str">
            <v>https://www.mindat.org/1:1:2872:7</v>
          </cell>
        </row>
        <row r="3866">
          <cell r="A3866">
            <v>2259</v>
          </cell>
          <cell r="B3866">
            <v>5245</v>
          </cell>
          <cell r="C3866" t="str">
            <v>Nelenite</v>
          </cell>
          <cell r="E3866" t="str">
            <v>https://www.mindat.org/1:1:2874:1</v>
          </cell>
        </row>
        <row r="3867">
          <cell r="A3867">
            <v>2260</v>
          </cell>
          <cell r="B3867">
            <v>5245</v>
          </cell>
          <cell r="C3867" t="str">
            <v>Neltnerite</v>
          </cell>
          <cell r="E3867" t="str">
            <v>https://www.mindat.org/1:1:2875:8</v>
          </cell>
        </row>
        <row r="3868">
          <cell r="A3868">
            <v>2261</v>
          </cell>
          <cell r="B3868">
            <v>5245</v>
          </cell>
          <cell r="C3868" t="str">
            <v>Nenadkevichite</v>
          </cell>
          <cell r="E3868" t="str">
            <v>https://www.mindat.org/1:1:2877:2</v>
          </cell>
        </row>
        <row r="3869">
          <cell r="A3869">
            <v>2262</v>
          </cell>
          <cell r="B3869">
            <v>5245</v>
          </cell>
          <cell r="C3869" t="str">
            <v>Neotocite</v>
          </cell>
          <cell r="E3869" t="str">
            <v>https://www.mindat.org/1:1:2879:6</v>
          </cell>
        </row>
        <row r="3870">
          <cell r="A3870">
            <v>2263</v>
          </cell>
          <cell r="B3870">
            <v>5245</v>
          </cell>
          <cell r="C3870" t="str">
            <v>Nepheline</v>
          </cell>
          <cell r="E3870" t="str">
            <v>https://www.mindat.org/1:1:2880:2</v>
          </cell>
        </row>
        <row r="3871">
          <cell r="A3871">
            <v>2264</v>
          </cell>
          <cell r="B3871">
            <v>5245</v>
          </cell>
          <cell r="C3871" t="str">
            <v>Nepouite</v>
          </cell>
          <cell r="E3871" t="str">
            <v/>
          </cell>
        </row>
        <row r="3872">
          <cell r="A3872">
            <v>2266</v>
          </cell>
          <cell r="B3872">
            <v>5245</v>
          </cell>
          <cell r="C3872" t="str">
            <v>Neptunite</v>
          </cell>
          <cell r="E3872" t="str">
            <v>https://www.mindat.org/1:1:2883:3</v>
          </cell>
        </row>
        <row r="3873">
          <cell r="A3873">
            <v>2296</v>
          </cell>
          <cell r="B3873">
            <v>5245</v>
          </cell>
          <cell r="C3873" t="str">
            <v>Nimite</v>
          </cell>
          <cell r="E3873" t="str">
            <v>https://www.mindat.org/1:1:2905:2</v>
          </cell>
        </row>
        <row r="3874">
          <cell r="A3874">
            <v>2303</v>
          </cell>
          <cell r="B3874">
            <v>5245</v>
          </cell>
          <cell r="C3874" t="str">
            <v>Niobokupletskite</v>
          </cell>
          <cell r="E3874" t="str">
            <v>https://www.mindat.org/1:1:7098:6</v>
          </cell>
        </row>
        <row r="3875">
          <cell r="A3875">
            <v>2304</v>
          </cell>
          <cell r="B3875">
            <v>5245</v>
          </cell>
          <cell r="C3875" t="str">
            <v>Niobophyllite</v>
          </cell>
          <cell r="E3875" t="str">
            <v>https://www.mindat.org/1:1:2911:3</v>
          </cell>
        </row>
        <row r="3876">
          <cell r="A3876">
            <v>2305</v>
          </cell>
          <cell r="B3876">
            <v>5245</v>
          </cell>
          <cell r="C3876" t="str">
            <v>Niocalite</v>
          </cell>
          <cell r="E3876" t="str">
            <v>https://www.mindat.org/1:1:2913:7</v>
          </cell>
        </row>
        <row r="3877">
          <cell r="A3877">
            <v>2315</v>
          </cell>
          <cell r="B3877">
            <v>5245</v>
          </cell>
          <cell r="C3877" t="str">
            <v>Nontronite</v>
          </cell>
          <cell r="E3877" t="str">
            <v>https://www.mindat.org/1:1:2924:3</v>
          </cell>
        </row>
        <row r="3878">
          <cell r="A3878">
            <v>2316</v>
          </cell>
          <cell r="B3878">
            <v>5245</v>
          </cell>
          <cell r="C3878" t="str">
            <v>Norbergite</v>
          </cell>
          <cell r="E3878" t="str">
            <v>https://www.mindat.org/1:1:2925:0</v>
          </cell>
        </row>
        <row r="3879">
          <cell r="A3879">
            <v>2319</v>
          </cell>
          <cell r="B3879">
            <v>5245</v>
          </cell>
          <cell r="C3879" t="str">
            <v>Nordite</v>
          </cell>
          <cell r="E3879" t="str">
            <v/>
          </cell>
        </row>
        <row r="3880">
          <cell r="A3880">
            <v>2320</v>
          </cell>
          <cell r="B3880">
            <v>5245</v>
          </cell>
          <cell r="C3880" t="str">
            <v>Nordite-(Ce)</v>
          </cell>
          <cell r="E3880" t="str">
            <v>https://www.mindat.org/1:1:2928:1</v>
          </cell>
        </row>
        <row r="3881">
          <cell r="A3881">
            <v>2321</v>
          </cell>
          <cell r="B3881">
            <v>5245</v>
          </cell>
          <cell r="C3881" t="str">
            <v>Nordite-(La)</v>
          </cell>
          <cell r="E3881" t="str">
            <v>https://www.mindat.org/1:1:2929:8</v>
          </cell>
        </row>
        <row r="3882">
          <cell r="A3882">
            <v>2324</v>
          </cell>
          <cell r="B3882">
            <v>5245</v>
          </cell>
          <cell r="C3882" t="str">
            <v>Normandite</v>
          </cell>
          <cell r="E3882" t="str">
            <v>https://www.mindat.org/1:1:2932:8</v>
          </cell>
        </row>
        <row r="3883">
          <cell r="A3883">
            <v>2325</v>
          </cell>
          <cell r="B3883">
            <v>5245</v>
          </cell>
          <cell r="C3883" t="str">
            <v>Norrishite</v>
          </cell>
          <cell r="E3883" t="str">
            <v>https://www.mindat.org/1:1:2933:5</v>
          </cell>
        </row>
        <row r="3884">
          <cell r="A3884">
            <v>2328</v>
          </cell>
          <cell r="B3884">
            <v>5245</v>
          </cell>
          <cell r="C3884" t="str">
            <v>Nosean</v>
          </cell>
          <cell r="E3884" t="str">
            <v>https://www.mindat.org/1:1:2936:6</v>
          </cell>
        </row>
        <row r="3885">
          <cell r="A3885">
            <v>2333</v>
          </cell>
          <cell r="B3885">
            <v>5245</v>
          </cell>
          <cell r="C3885" t="str">
            <v>Noelbensonite</v>
          </cell>
          <cell r="E3885" t="str">
            <v>https://www.mindat.org/1:1:2923:6</v>
          </cell>
        </row>
        <row r="3886">
          <cell r="A3886">
            <v>2338</v>
          </cell>
          <cell r="B3886">
            <v>5245</v>
          </cell>
          <cell r="C3886" t="str">
            <v>Nyboite</v>
          </cell>
          <cell r="E3886" t="str">
            <v/>
          </cell>
        </row>
        <row r="3887">
          <cell r="A3887">
            <v>2344</v>
          </cell>
          <cell r="B3887">
            <v>5245</v>
          </cell>
          <cell r="C3887" t="str">
            <v>Odinite</v>
          </cell>
          <cell r="E3887" t="str">
            <v>https://www.mindat.org/1:1:2957:1</v>
          </cell>
        </row>
        <row r="3888">
          <cell r="A3888">
            <v>2345</v>
          </cell>
          <cell r="B3888">
            <v>5245</v>
          </cell>
          <cell r="C3888" t="str">
            <v>Odinite-1m</v>
          </cell>
          <cell r="E3888" t="str">
            <v/>
          </cell>
        </row>
        <row r="3889">
          <cell r="A3889">
            <v>2348</v>
          </cell>
          <cell r="B3889">
            <v>5245</v>
          </cell>
          <cell r="C3889" t="str">
            <v>Offretite</v>
          </cell>
          <cell r="E3889" t="str">
            <v>https://www.mindat.org/1:1:2960:1</v>
          </cell>
        </row>
        <row r="3890">
          <cell r="A3890">
            <v>2350</v>
          </cell>
          <cell r="B3890">
            <v>5245</v>
          </cell>
          <cell r="C3890" t="str">
            <v>Ohmilite</v>
          </cell>
          <cell r="E3890" t="str">
            <v>https://www.mindat.org/1:1:2963:2</v>
          </cell>
        </row>
        <row r="3891">
          <cell r="A3891">
            <v>2354</v>
          </cell>
          <cell r="B3891">
            <v>5245</v>
          </cell>
          <cell r="C3891" t="str">
            <v>Okenite</v>
          </cell>
          <cell r="E3891" t="str">
            <v>https://www.mindat.org/1:1:2967:0</v>
          </cell>
        </row>
        <row r="3892">
          <cell r="A3892">
            <v>2355</v>
          </cell>
          <cell r="B3892">
            <v>5245</v>
          </cell>
          <cell r="C3892" t="str">
            <v>Okhotskite</v>
          </cell>
          <cell r="E3892" t="str">
            <v>https://www.mindat.org/1:1:2968:7</v>
          </cell>
        </row>
        <row r="3893">
          <cell r="A3893">
            <v>2358</v>
          </cell>
          <cell r="B3893">
            <v>5245</v>
          </cell>
          <cell r="C3893" t="str">
            <v>Olenite</v>
          </cell>
          <cell r="E3893" t="str">
            <v>https://www.mindat.org/1:1:2972:4</v>
          </cell>
        </row>
        <row r="3894">
          <cell r="A3894">
            <v>2360</v>
          </cell>
          <cell r="B3894">
            <v>5245</v>
          </cell>
          <cell r="C3894" t="str">
            <v>Oligoclase</v>
          </cell>
          <cell r="E3894" t="str">
            <v>https://www.mindat.org/1:2976:2</v>
          </cell>
        </row>
        <row r="3895">
          <cell r="A3895">
            <v>2362</v>
          </cell>
          <cell r="B3895">
            <v>5245</v>
          </cell>
          <cell r="C3895" t="str">
            <v>Olivineseries</v>
          </cell>
          <cell r="E3895" t="str">
            <v/>
          </cell>
        </row>
        <row r="3896">
          <cell r="A3896">
            <v>2367</v>
          </cell>
          <cell r="B3896">
            <v>5245</v>
          </cell>
          <cell r="C3896" t="str">
            <v>Lithiomarsturite</v>
          </cell>
          <cell r="E3896" t="str">
            <v>https://www.mindat.org/1:1:2417:0</v>
          </cell>
        </row>
        <row r="3897">
          <cell r="A3897">
            <v>2374</v>
          </cell>
          <cell r="B3897">
            <v>5245</v>
          </cell>
          <cell r="C3897" t="str">
            <v>Litidionite</v>
          </cell>
          <cell r="E3897" t="str">
            <v>https://www.mindat.org/1:1:2422:4</v>
          </cell>
        </row>
        <row r="3898">
          <cell r="A3898">
            <v>2378</v>
          </cell>
          <cell r="B3898">
            <v>5245</v>
          </cell>
          <cell r="C3898" t="str">
            <v>Lizardite</v>
          </cell>
          <cell r="E3898" t="str">
            <v>https://www.mindat.org/1:1:2425:5</v>
          </cell>
        </row>
        <row r="3899">
          <cell r="A3899">
            <v>2379</v>
          </cell>
          <cell r="B3899">
            <v>5245</v>
          </cell>
          <cell r="C3899" t="str">
            <v>Lizardite-1t</v>
          </cell>
          <cell r="E3899" t="str">
            <v/>
          </cell>
        </row>
        <row r="3900">
          <cell r="A3900">
            <v>2381</v>
          </cell>
          <cell r="B3900">
            <v>5245</v>
          </cell>
          <cell r="C3900" t="str">
            <v>Lomonosovite</v>
          </cell>
          <cell r="E3900" t="str">
            <v>https://www.mindat.org/1:1:2428:6</v>
          </cell>
        </row>
        <row r="3901">
          <cell r="A3901">
            <v>2389</v>
          </cell>
          <cell r="B3901">
            <v>5245</v>
          </cell>
          <cell r="C3901" t="str">
            <v>Lorenzenite</v>
          </cell>
          <cell r="E3901" t="str">
            <v>https://www.mindat.org/1:1:2436:1</v>
          </cell>
        </row>
        <row r="3902">
          <cell r="A3902">
            <v>2392</v>
          </cell>
          <cell r="B3902">
            <v>5245</v>
          </cell>
          <cell r="C3902" t="str">
            <v>Loudounite</v>
          </cell>
          <cell r="E3902" t="str">
            <v>https://www.mindat.org/1:1:2440:8</v>
          </cell>
        </row>
        <row r="3903">
          <cell r="A3903">
            <v>2393</v>
          </cell>
          <cell r="B3903">
            <v>5245</v>
          </cell>
          <cell r="C3903" t="str">
            <v>Loughlinite</v>
          </cell>
          <cell r="E3903" t="str">
            <v>https://www.mindat.org/1:1:2441:5</v>
          </cell>
        </row>
        <row r="3904">
          <cell r="A3904">
            <v>2394</v>
          </cell>
          <cell r="B3904">
            <v>5245</v>
          </cell>
          <cell r="C3904" t="str">
            <v>Lourenswalsite</v>
          </cell>
          <cell r="E3904" t="str">
            <v>https://www.mindat.org/1:1:2442:2</v>
          </cell>
        </row>
        <row r="3905">
          <cell r="A3905">
            <v>2395</v>
          </cell>
          <cell r="B3905">
            <v>5245</v>
          </cell>
          <cell r="C3905" t="str">
            <v>Lovdarite</v>
          </cell>
          <cell r="E3905" t="str">
            <v>https://www.mindat.org/1:1:2443:9</v>
          </cell>
        </row>
        <row r="3906">
          <cell r="A3906">
            <v>2397</v>
          </cell>
          <cell r="B3906">
            <v>5245</v>
          </cell>
          <cell r="C3906" t="str">
            <v>Lovozerite</v>
          </cell>
          <cell r="E3906" t="str">
            <v>https://www.mindat.org/1:1:2445:3</v>
          </cell>
        </row>
        <row r="3907">
          <cell r="A3907">
            <v>2401</v>
          </cell>
          <cell r="B3907">
            <v>5245</v>
          </cell>
          <cell r="C3907" t="str">
            <v>Luddenite</v>
          </cell>
          <cell r="E3907" t="str">
            <v>https://www.mindat.org/1:1:2450:7</v>
          </cell>
        </row>
        <row r="3908">
          <cell r="A3908">
            <v>2420</v>
          </cell>
          <cell r="B3908">
            <v>5245</v>
          </cell>
          <cell r="C3908" t="str">
            <v>Macdonaldite</v>
          </cell>
          <cell r="E3908" t="str">
            <v>https://www.mindat.org/1:1:2506:1</v>
          </cell>
        </row>
        <row r="3909">
          <cell r="A3909">
            <v>2422</v>
          </cell>
          <cell r="B3909">
            <v>5245</v>
          </cell>
          <cell r="C3909" t="str">
            <v>Macfallite</v>
          </cell>
          <cell r="E3909" t="str">
            <v>https://www.mindat.org/1:1:2508:5</v>
          </cell>
        </row>
        <row r="3910">
          <cell r="A3910">
            <v>2427</v>
          </cell>
          <cell r="B3910">
            <v>5245</v>
          </cell>
          <cell r="C3910" t="str">
            <v>Macquartite</v>
          </cell>
          <cell r="E3910" t="str">
            <v>https://www.mindat.org/1:1:2514:6</v>
          </cell>
        </row>
        <row r="3911">
          <cell r="A3911">
            <v>2429</v>
          </cell>
          <cell r="B3911">
            <v>5245</v>
          </cell>
          <cell r="C3911" t="str">
            <v>Magadiite</v>
          </cell>
          <cell r="E3911" t="str">
            <v>https://www.mindat.org/1:1:2530:6</v>
          </cell>
        </row>
        <row r="3912">
          <cell r="A3912">
            <v>2434</v>
          </cell>
          <cell r="B3912">
            <v>5245</v>
          </cell>
          <cell r="C3912" t="str">
            <v>Magnesio-arfvedsonite</v>
          </cell>
          <cell r="E3912" t="str">
            <v>https://www.mindat.org/1:1:2537:5</v>
          </cell>
        </row>
        <row r="3913">
          <cell r="A3913">
            <v>2435</v>
          </cell>
          <cell r="B3913">
            <v>5245</v>
          </cell>
          <cell r="C3913" t="str">
            <v>Magnesio-axinite</v>
          </cell>
          <cell r="E3913" t="str">
            <v/>
          </cell>
        </row>
        <row r="3914">
          <cell r="A3914">
            <v>2438</v>
          </cell>
          <cell r="B3914">
            <v>5245</v>
          </cell>
          <cell r="C3914" t="str">
            <v>Magnesiochloritoid</v>
          </cell>
          <cell r="E3914" t="str">
            <v>https://www.mindat.org/1:1:2497:2</v>
          </cell>
        </row>
        <row r="3915">
          <cell r="A3915">
            <v>2448</v>
          </cell>
          <cell r="B3915">
            <v>5245</v>
          </cell>
          <cell r="C3915" t="str">
            <v>Magnesiohastingsite</v>
          </cell>
          <cell r="E3915" t="str">
            <v/>
          </cell>
        </row>
        <row r="3916">
          <cell r="A3916">
            <v>2449</v>
          </cell>
          <cell r="B3916">
            <v>5245</v>
          </cell>
          <cell r="C3916" t="str">
            <v>Magnesiohornblende</v>
          </cell>
          <cell r="E3916" t="str">
            <v/>
          </cell>
        </row>
        <row r="3917">
          <cell r="A3917">
            <v>2452</v>
          </cell>
          <cell r="B3917">
            <v>5245</v>
          </cell>
          <cell r="C3917" t="str">
            <v>Magnesioriebeckite</v>
          </cell>
          <cell r="E3917" t="str">
            <v/>
          </cell>
        </row>
        <row r="3918">
          <cell r="A3918">
            <v>2468</v>
          </cell>
          <cell r="B3918">
            <v>5245</v>
          </cell>
          <cell r="C3918" t="str">
            <v>Majorite</v>
          </cell>
          <cell r="E3918" t="str">
            <v>https://www.mindat.org/1:1:2546:7</v>
          </cell>
        </row>
        <row r="3919">
          <cell r="A3919">
            <v>2469</v>
          </cell>
          <cell r="B3919">
            <v>5245</v>
          </cell>
          <cell r="C3919" t="str">
            <v>Makarochkinite</v>
          </cell>
          <cell r="E3919" t="str">
            <v>https://www.mindat.org/1:1:2547:4</v>
          </cell>
        </row>
        <row r="3920">
          <cell r="A3920">
            <v>2470</v>
          </cell>
          <cell r="B3920">
            <v>5245</v>
          </cell>
          <cell r="C3920" t="str">
            <v>Makatite</v>
          </cell>
          <cell r="E3920" t="str">
            <v>https://www.mindat.org/1:1:2548:1</v>
          </cell>
        </row>
        <row r="3921">
          <cell r="A3921">
            <v>2474</v>
          </cell>
          <cell r="B3921">
            <v>5245</v>
          </cell>
          <cell r="C3921" t="str">
            <v>Malayaite</v>
          </cell>
          <cell r="E3921" t="str">
            <v>https://www.mindat.org/1:1:2552:8</v>
          </cell>
        </row>
        <row r="3922">
          <cell r="A3922">
            <v>2481</v>
          </cell>
          <cell r="B3922">
            <v>5245</v>
          </cell>
          <cell r="C3922" t="str">
            <v>Manandonite</v>
          </cell>
          <cell r="E3922" t="str">
            <v>https://www.mindat.org/1:1:2559:7</v>
          </cell>
        </row>
        <row r="3923">
          <cell r="A3923">
            <v>2484</v>
          </cell>
          <cell r="B3923">
            <v>5245</v>
          </cell>
          <cell r="C3923" t="str">
            <v>Mangan-neptunite</v>
          </cell>
          <cell r="E3923" t="str">
            <v/>
          </cell>
        </row>
        <row r="3924">
          <cell r="A3924">
            <v>2486</v>
          </cell>
          <cell r="B3924">
            <v>5245</v>
          </cell>
          <cell r="C3924" t="str">
            <v>Manganaxinite</v>
          </cell>
          <cell r="E3924" t="str">
            <v/>
          </cell>
        </row>
        <row r="3925">
          <cell r="A3925">
            <v>2487</v>
          </cell>
          <cell r="B3925">
            <v>5245</v>
          </cell>
          <cell r="C3925" t="str">
            <v>Manganbabingtonite</v>
          </cell>
          <cell r="E3925" t="str">
            <v>https://www.mindat.org/1:1:2494:1</v>
          </cell>
        </row>
        <row r="3926">
          <cell r="A3926">
            <v>2494</v>
          </cell>
          <cell r="B3926">
            <v>5245</v>
          </cell>
          <cell r="C3926" t="str">
            <v>Manganhumite</v>
          </cell>
          <cell r="E3926" t="str">
            <v>https://www.mindat.org/1:1:2470:5</v>
          </cell>
        </row>
        <row r="3927">
          <cell r="A3927">
            <v>2498</v>
          </cell>
          <cell r="B3927">
            <v>5245</v>
          </cell>
          <cell r="C3927" t="str">
            <v>Manganocummingtonite</v>
          </cell>
          <cell r="E3927" t="str">
            <v/>
          </cell>
        </row>
        <row r="3928">
          <cell r="A3928">
            <v>2499</v>
          </cell>
          <cell r="B3928">
            <v>5245</v>
          </cell>
          <cell r="C3928" t="str">
            <v>Manganogrunerite</v>
          </cell>
          <cell r="E3928" t="str">
            <v/>
          </cell>
        </row>
        <row r="3929">
          <cell r="A3929">
            <v>2511</v>
          </cell>
          <cell r="B3929">
            <v>5245</v>
          </cell>
          <cell r="C3929" t="str">
            <v>Manganpyrosmalite</v>
          </cell>
          <cell r="E3929" t="str">
            <v/>
          </cell>
        </row>
        <row r="3930">
          <cell r="A3930">
            <v>2512</v>
          </cell>
          <cell r="B3930">
            <v>5245</v>
          </cell>
          <cell r="C3930" t="str">
            <v>Manganvesuvianite</v>
          </cell>
          <cell r="E3930" t="str">
            <v>https://www.mindat.org/1:1:11475:2</v>
          </cell>
        </row>
        <row r="3931">
          <cell r="A3931">
            <v>2520</v>
          </cell>
          <cell r="B3931">
            <v>5245</v>
          </cell>
          <cell r="C3931" t="str">
            <v>Margarite</v>
          </cell>
          <cell r="E3931" t="str">
            <v>https://www.mindat.org/1:1:2573:3</v>
          </cell>
        </row>
        <row r="3932">
          <cell r="A3932">
            <v>2521</v>
          </cell>
          <cell r="B3932">
            <v>5245</v>
          </cell>
          <cell r="C3932" t="str">
            <v>Margarosanite</v>
          </cell>
          <cell r="E3932" t="str">
            <v>https://www.mindat.org/1:1:2574:0</v>
          </cell>
        </row>
        <row r="3933">
          <cell r="A3933">
            <v>2522</v>
          </cell>
          <cell r="B3933">
            <v>5245</v>
          </cell>
          <cell r="C3933" t="str">
            <v>Marialite</v>
          </cell>
          <cell r="E3933" t="str">
            <v>https://www.mindat.org/1:1:2575:7</v>
          </cell>
        </row>
        <row r="3934">
          <cell r="A3934">
            <v>2524</v>
          </cell>
          <cell r="B3934">
            <v>5245</v>
          </cell>
          <cell r="C3934" t="str">
            <v>Maricopaite</v>
          </cell>
          <cell r="E3934" t="str">
            <v>https://www.mindat.org/1:1:2577:1</v>
          </cell>
        </row>
        <row r="3935">
          <cell r="A3935">
            <v>2528</v>
          </cell>
          <cell r="B3935">
            <v>5245</v>
          </cell>
          <cell r="C3935" t="str">
            <v>Marsturite</v>
          </cell>
          <cell r="E3935" t="str">
            <v>https://www.mindat.org/1:1:2581:8</v>
          </cell>
        </row>
        <row r="3936">
          <cell r="A3936">
            <v>2533</v>
          </cell>
          <cell r="B3936">
            <v>5245</v>
          </cell>
          <cell r="C3936" t="str">
            <v>Masutomilite</v>
          </cell>
          <cell r="E3936" t="str">
            <v>https://www.mindat.org/1:1:2588:7</v>
          </cell>
        </row>
        <row r="3937">
          <cell r="A3937">
            <v>2542</v>
          </cell>
          <cell r="B3937">
            <v>5245</v>
          </cell>
          <cell r="C3937" t="str">
            <v>Mattheddleite</v>
          </cell>
          <cell r="E3937" t="str">
            <v>https://www.mindat.org/1:1:2597:9</v>
          </cell>
        </row>
        <row r="3938">
          <cell r="A3938">
            <v>2545</v>
          </cell>
          <cell r="B3938">
            <v>5245</v>
          </cell>
          <cell r="C3938" t="str">
            <v>Maufite</v>
          </cell>
          <cell r="E3938" t="str">
            <v/>
          </cell>
        </row>
        <row r="3939">
          <cell r="A3939">
            <v>2551</v>
          </cell>
          <cell r="B3939">
            <v>5245</v>
          </cell>
          <cell r="C3939" t="str">
            <v>Mazzite</v>
          </cell>
          <cell r="E3939" t="str">
            <v>https://www.mindat.org/1:1:27548:8</v>
          </cell>
        </row>
        <row r="3940">
          <cell r="A3940">
            <v>2559</v>
          </cell>
          <cell r="B3940">
            <v>5245</v>
          </cell>
          <cell r="C3940" t="str">
            <v>Mcgillite</v>
          </cell>
          <cell r="E3940" t="str">
            <v>https://www.mindat.org/1:1:2613:6</v>
          </cell>
        </row>
        <row r="3941">
          <cell r="A3941">
            <v>2565</v>
          </cell>
          <cell r="B3941">
            <v>5245</v>
          </cell>
          <cell r="C3941" t="str">
            <v>Medaite</v>
          </cell>
          <cell r="E3941" t="str">
            <v>https://www.mindat.org/1:1:2624:2</v>
          </cell>
        </row>
        <row r="3942">
          <cell r="A3942">
            <v>2568</v>
          </cell>
          <cell r="B3942">
            <v>5245</v>
          </cell>
          <cell r="C3942" t="str">
            <v>Meionite</v>
          </cell>
          <cell r="E3942" t="str">
            <v>https://www.mindat.org/1:1:2627:3</v>
          </cell>
        </row>
        <row r="3943">
          <cell r="A3943">
            <v>2570</v>
          </cell>
          <cell r="B3943">
            <v>5245</v>
          </cell>
          <cell r="C3943" t="str">
            <v>Melanocerite-(Ce)</v>
          </cell>
          <cell r="E3943" t="str">
            <v>https://www.mindat.org/1:1:2629:7</v>
          </cell>
        </row>
        <row r="3944">
          <cell r="A3944">
            <v>2573</v>
          </cell>
          <cell r="B3944">
            <v>5245</v>
          </cell>
          <cell r="C3944" t="str">
            <v>Melanotekite</v>
          </cell>
          <cell r="E3944" t="str">
            <v>https://www.mindat.org/1:1:2632:7</v>
          </cell>
        </row>
        <row r="3945">
          <cell r="A3945">
            <v>2577</v>
          </cell>
          <cell r="B3945">
            <v>5245</v>
          </cell>
          <cell r="C3945" t="str">
            <v>Meliliteseries</v>
          </cell>
          <cell r="E3945" t="str">
            <v/>
          </cell>
        </row>
        <row r="3946">
          <cell r="A3946">
            <v>2578</v>
          </cell>
          <cell r="B3946">
            <v>5245</v>
          </cell>
          <cell r="C3946" t="str">
            <v>Meliphanite</v>
          </cell>
          <cell r="E3946" t="str">
            <v>https://www.mindat.org/1:1:2636:5</v>
          </cell>
        </row>
        <row r="3947">
          <cell r="A3947">
            <v>2593</v>
          </cell>
          <cell r="B3947">
            <v>5245</v>
          </cell>
          <cell r="C3947" t="str">
            <v>Merlinoite</v>
          </cell>
          <cell r="E3947" t="str">
            <v>https://www.mindat.org/1:1:2651:8</v>
          </cell>
        </row>
        <row r="3948">
          <cell r="A3948">
            <v>2598</v>
          </cell>
          <cell r="B3948">
            <v>5245</v>
          </cell>
          <cell r="C3948" t="str">
            <v>Merwinite</v>
          </cell>
          <cell r="E3948" t="str">
            <v>https://www.mindat.org/1:1:2656:3</v>
          </cell>
        </row>
        <row r="3949">
          <cell r="A3949">
            <v>2599</v>
          </cell>
          <cell r="B3949">
            <v>5245</v>
          </cell>
          <cell r="C3949" t="str">
            <v>Mesolite</v>
          </cell>
          <cell r="E3949" t="str">
            <v>https://www.mindat.org/1:1:2657:0</v>
          </cell>
        </row>
        <row r="3950">
          <cell r="A3950">
            <v>2641</v>
          </cell>
          <cell r="B3950">
            <v>5245</v>
          </cell>
          <cell r="C3950" t="str">
            <v>Foitite</v>
          </cell>
          <cell r="E3950" t="str">
            <v>https://www.mindat.org/1:1:1579:6</v>
          </cell>
        </row>
        <row r="3951">
          <cell r="A3951">
            <v>2647</v>
          </cell>
          <cell r="B3951">
            <v>5245</v>
          </cell>
          <cell r="C3951" t="str">
            <v>Forsterite</v>
          </cell>
          <cell r="E3951" t="str">
            <v>https://www.mindat.org/1:1:1584:0</v>
          </cell>
        </row>
        <row r="3952">
          <cell r="A3952">
            <v>2648</v>
          </cell>
          <cell r="B3952">
            <v>5245</v>
          </cell>
          <cell r="C3952" t="str">
            <v>Foshagite</v>
          </cell>
          <cell r="E3952" t="str">
            <v>https://www.mindat.org/1:1:1585:7</v>
          </cell>
        </row>
        <row r="3953">
          <cell r="A3953">
            <v>2649</v>
          </cell>
          <cell r="B3953">
            <v>5245</v>
          </cell>
          <cell r="C3953" t="str">
            <v>Foshallasite</v>
          </cell>
          <cell r="E3953" t="str">
            <v/>
          </cell>
        </row>
        <row r="3954">
          <cell r="A3954">
            <v>2651</v>
          </cell>
          <cell r="B3954">
            <v>5245</v>
          </cell>
          <cell r="C3954" t="str">
            <v>Fraipontite</v>
          </cell>
          <cell r="E3954" t="str">
            <v>https://www.mindat.org/1:1:1588:8</v>
          </cell>
        </row>
        <row r="3955">
          <cell r="A3955">
            <v>2653</v>
          </cell>
          <cell r="B3955">
            <v>5245</v>
          </cell>
          <cell r="C3955" t="str">
            <v>Franciscanite</v>
          </cell>
          <cell r="E3955" t="str">
            <v>https://www.mindat.org/1:1:1590:1</v>
          </cell>
        </row>
        <row r="3956">
          <cell r="A3956">
            <v>2662</v>
          </cell>
          <cell r="B3956">
            <v>5245</v>
          </cell>
          <cell r="C3956" t="str">
            <v>Franklinfurnaceite</v>
          </cell>
          <cell r="E3956" t="str">
            <v>https://www.mindat.org/1:1:1597:0</v>
          </cell>
        </row>
        <row r="3957">
          <cell r="A3957">
            <v>2666</v>
          </cell>
          <cell r="B3957">
            <v>5245</v>
          </cell>
          <cell r="C3957" t="str">
            <v>Franzinite</v>
          </cell>
          <cell r="E3957" t="str">
            <v>https://www.mindat.org/1:1:1601:4</v>
          </cell>
        </row>
        <row r="3958">
          <cell r="A3958">
            <v>2672</v>
          </cell>
          <cell r="B3958">
            <v>5245</v>
          </cell>
          <cell r="C3958" t="str">
            <v>Fresnoite</v>
          </cell>
          <cell r="E3958" t="str">
            <v>https://www.mindat.org/1:1:1607:6</v>
          </cell>
        </row>
        <row r="3959">
          <cell r="A3959">
            <v>2675</v>
          </cell>
          <cell r="B3959">
            <v>5245</v>
          </cell>
          <cell r="C3959" t="str">
            <v>Friedelite</v>
          </cell>
          <cell r="E3959" t="str">
            <v>https://www.mindat.org/1:1:1609:0</v>
          </cell>
        </row>
        <row r="3960">
          <cell r="A3960">
            <v>2683</v>
          </cell>
          <cell r="B3960">
            <v>5245</v>
          </cell>
          <cell r="C3960" t="str">
            <v>Fukalite</v>
          </cell>
          <cell r="E3960" t="str">
            <v>https://www.mindat.org/1:1:1619:9</v>
          </cell>
        </row>
        <row r="3961">
          <cell r="A3961">
            <v>2689</v>
          </cell>
          <cell r="B3961">
            <v>5245</v>
          </cell>
          <cell r="C3961" t="str">
            <v>Gadolinite</v>
          </cell>
          <cell r="E3961" t="str">
            <v/>
          </cell>
        </row>
        <row r="3962">
          <cell r="A3962">
            <v>2690</v>
          </cell>
          <cell r="B3962">
            <v>5245</v>
          </cell>
          <cell r="C3962" t="str">
            <v>Gadolinite-(Ce)</v>
          </cell>
          <cell r="E3962" t="str">
            <v>https://www.mindat.org/1:1:1627:4</v>
          </cell>
        </row>
        <row r="3963">
          <cell r="A3963">
            <v>2691</v>
          </cell>
          <cell r="B3963">
            <v>5245</v>
          </cell>
          <cell r="C3963" t="str">
            <v>Gadolinite-(Y)</v>
          </cell>
          <cell r="E3963" t="str">
            <v>https://www.mindat.org/1:1:1628:1</v>
          </cell>
        </row>
        <row r="3964">
          <cell r="A3964">
            <v>2693</v>
          </cell>
          <cell r="B3964">
            <v>5245</v>
          </cell>
          <cell r="C3964" t="str">
            <v>Gageite</v>
          </cell>
          <cell r="E3964" t="str">
            <v>https://www.mindat.org/1:1:1631:1</v>
          </cell>
        </row>
        <row r="3965">
          <cell r="A3965">
            <v>2694</v>
          </cell>
          <cell r="B3965">
            <v>5245</v>
          </cell>
          <cell r="C3965" t="str">
            <v>Gageite-1tc</v>
          </cell>
          <cell r="E3965" t="str">
            <v/>
          </cell>
        </row>
        <row r="3966">
          <cell r="A3966">
            <v>2695</v>
          </cell>
          <cell r="B3966">
            <v>5245</v>
          </cell>
          <cell r="C3966" t="str">
            <v>Gageite-2m</v>
          </cell>
          <cell r="E3966" t="str">
            <v/>
          </cell>
        </row>
        <row r="3967">
          <cell r="A3967">
            <v>2697</v>
          </cell>
          <cell r="B3967">
            <v>5245</v>
          </cell>
          <cell r="C3967" t="str">
            <v>Gaidonnayite</v>
          </cell>
          <cell r="E3967" t="str">
            <v>https://www.mindat.org/1:1:1634:2</v>
          </cell>
        </row>
        <row r="3968">
          <cell r="A3968">
            <v>2710</v>
          </cell>
          <cell r="B3968">
            <v>5245</v>
          </cell>
          <cell r="C3968" t="str">
            <v>Ganomalite</v>
          </cell>
          <cell r="E3968" t="str">
            <v>https://www.mindat.org/1:1:1647:2</v>
          </cell>
        </row>
        <row r="3969">
          <cell r="A3969">
            <v>2711</v>
          </cell>
          <cell r="B3969">
            <v>5245</v>
          </cell>
          <cell r="C3969" t="str">
            <v>Ganophyllite</v>
          </cell>
          <cell r="E3969" t="str">
            <v>https://www.mindat.org/1:1:1649:6</v>
          </cell>
        </row>
        <row r="3970">
          <cell r="A3970">
            <v>2714</v>
          </cell>
          <cell r="B3970">
            <v>5245</v>
          </cell>
          <cell r="C3970" t="str">
            <v>Garnetgroup</v>
          </cell>
          <cell r="E3970" t="str">
            <v/>
          </cell>
        </row>
        <row r="3971">
          <cell r="A3971">
            <v>2715</v>
          </cell>
          <cell r="B3971">
            <v>5245</v>
          </cell>
          <cell r="C3971" t="str">
            <v>Garnierite(generalterm)</v>
          </cell>
          <cell r="E3971" t="str">
            <v/>
          </cell>
        </row>
        <row r="3972">
          <cell r="A3972">
            <v>2716</v>
          </cell>
          <cell r="B3972">
            <v>5245</v>
          </cell>
          <cell r="C3972" t="str">
            <v>Garrelsite</v>
          </cell>
          <cell r="E3972" t="str">
            <v>https://www.mindat.org/1:1:1652:6</v>
          </cell>
        </row>
        <row r="3973">
          <cell r="A3973">
            <v>2717</v>
          </cell>
          <cell r="B3973">
            <v>5245</v>
          </cell>
          <cell r="C3973" t="str">
            <v>Garronite</v>
          </cell>
          <cell r="E3973" t="str">
            <v>https://www.mindat.org/1:1:46692:9</v>
          </cell>
        </row>
        <row r="3974">
          <cell r="A3974">
            <v>2729</v>
          </cell>
          <cell r="B3974">
            <v>5245</v>
          </cell>
          <cell r="C3974" t="str">
            <v>Gedrite</v>
          </cell>
          <cell r="E3974" t="str">
            <v>https://www.mindat.org/1:1:1665:6</v>
          </cell>
        </row>
        <row r="3975">
          <cell r="A3975">
            <v>2732</v>
          </cell>
          <cell r="B3975">
            <v>5245</v>
          </cell>
          <cell r="C3975" t="str">
            <v>Gehlenite</v>
          </cell>
          <cell r="E3975" t="str">
            <v>https://www.mindat.org/1:1:1668:7</v>
          </cell>
        </row>
        <row r="3976">
          <cell r="A3976">
            <v>2737</v>
          </cell>
          <cell r="B3976">
            <v>5245</v>
          </cell>
          <cell r="C3976" t="str">
            <v>Genthelvite</v>
          </cell>
          <cell r="E3976" t="str">
            <v>https://www.mindat.org/1:1:1673:1</v>
          </cell>
        </row>
        <row r="3977">
          <cell r="A3977">
            <v>2740</v>
          </cell>
          <cell r="B3977">
            <v>5245</v>
          </cell>
          <cell r="C3977" t="str">
            <v>Georgechaoite</v>
          </cell>
          <cell r="E3977" t="str">
            <v>https://www.mindat.org/1:1:1675:5</v>
          </cell>
        </row>
        <row r="3978">
          <cell r="A3978">
            <v>2752</v>
          </cell>
          <cell r="B3978">
            <v>5245</v>
          </cell>
          <cell r="C3978" t="str">
            <v>Gerstmannite</v>
          </cell>
          <cell r="E3978" t="str">
            <v>https://www.mindat.org/1:1:1685:4</v>
          </cell>
        </row>
        <row r="3979">
          <cell r="A3979">
            <v>2758</v>
          </cell>
          <cell r="B3979">
            <v>5245</v>
          </cell>
          <cell r="C3979" t="str">
            <v>Gilalite</v>
          </cell>
          <cell r="E3979" t="str">
            <v>https://www.mindat.org/1:1:1691:5</v>
          </cell>
        </row>
        <row r="3980">
          <cell r="A3980">
            <v>2759</v>
          </cell>
          <cell r="B3980">
            <v>5245</v>
          </cell>
          <cell r="C3980" t="str">
            <v>Gillespite</v>
          </cell>
          <cell r="E3980" t="str">
            <v>https://www.mindat.org/1:1:1693:9</v>
          </cell>
        </row>
        <row r="3981">
          <cell r="A3981">
            <v>2768</v>
          </cell>
          <cell r="B3981">
            <v>5245</v>
          </cell>
          <cell r="C3981" t="str">
            <v>Gismondine</v>
          </cell>
          <cell r="E3981" t="str">
            <v>https://www.mindat.org/1:1:10315:4</v>
          </cell>
        </row>
        <row r="3982">
          <cell r="A3982">
            <v>2769</v>
          </cell>
          <cell r="B3982">
            <v>5245</v>
          </cell>
          <cell r="C3982" t="str">
            <v>Gittinsite</v>
          </cell>
          <cell r="E3982" t="str">
            <v>https://www.mindat.org/1:1:1702:8</v>
          </cell>
        </row>
        <row r="3983">
          <cell r="A3983">
            <v>2770</v>
          </cell>
          <cell r="B3983">
            <v>5245</v>
          </cell>
          <cell r="C3983" t="str">
            <v>Giuseppettite</v>
          </cell>
          <cell r="E3983" t="str">
            <v>https://www.mindat.org/1:1:1703:5</v>
          </cell>
        </row>
        <row r="3984">
          <cell r="A3984">
            <v>2776</v>
          </cell>
          <cell r="B3984">
            <v>5245</v>
          </cell>
          <cell r="C3984" t="str">
            <v>Glaucochroite</v>
          </cell>
          <cell r="E3984" t="str">
            <v>https://www.mindat.org/1:1:1708:0</v>
          </cell>
        </row>
        <row r="3985">
          <cell r="A3985">
            <v>2778</v>
          </cell>
          <cell r="B3985">
            <v>5245</v>
          </cell>
          <cell r="C3985" t="str">
            <v>Glauconite</v>
          </cell>
          <cell r="E3985" t="str">
            <v/>
          </cell>
        </row>
        <row r="3986">
          <cell r="A3986">
            <v>2779</v>
          </cell>
          <cell r="B3986">
            <v>5245</v>
          </cell>
          <cell r="C3986" t="str">
            <v>Glaucophane</v>
          </cell>
          <cell r="E3986" t="str">
            <v>https://www.mindat.org/1:1:1704:2</v>
          </cell>
        </row>
        <row r="3987">
          <cell r="A3987">
            <v>2783</v>
          </cell>
          <cell r="B3987">
            <v>5245</v>
          </cell>
          <cell r="C3987" t="str">
            <v>Gmelinite</v>
          </cell>
          <cell r="E3987" t="str">
            <v>https://www.mindat.org/1:1:1714:1</v>
          </cell>
        </row>
        <row r="3988">
          <cell r="A3988">
            <v>2784</v>
          </cell>
          <cell r="B3988">
            <v>5245</v>
          </cell>
          <cell r="C3988" t="str">
            <v>Gmelinite-Ca</v>
          </cell>
          <cell r="E3988" t="str">
            <v>https://www.mindat.org/1:1:6971:3</v>
          </cell>
        </row>
        <row r="3989">
          <cell r="A3989">
            <v>2785</v>
          </cell>
          <cell r="B3989">
            <v>5245</v>
          </cell>
          <cell r="C3989" t="str">
            <v>Gmelinite-K</v>
          </cell>
          <cell r="E3989" t="str">
            <v>https://www.mindat.org/1:1:6972:0</v>
          </cell>
        </row>
        <row r="3990">
          <cell r="A3990">
            <v>2786</v>
          </cell>
          <cell r="B3990">
            <v>5245</v>
          </cell>
          <cell r="C3990" t="str">
            <v>Gmelinite-Na</v>
          </cell>
          <cell r="E3990" t="str">
            <v>https://www.mindat.org/1:1:6973:7</v>
          </cell>
        </row>
        <row r="3991">
          <cell r="A3991">
            <v>2787</v>
          </cell>
          <cell r="B3991">
            <v>5245</v>
          </cell>
          <cell r="C3991" t="str">
            <v>Gobbinsite</v>
          </cell>
          <cell r="E3991" t="str">
            <v>https://www.mindat.org/1:1:1715:8</v>
          </cell>
        </row>
        <row r="3992">
          <cell r="A3992">
            <v>2798</v>
          </cell>
          <cell r="B3992">
            <v>5245</v>
          </cell>
          <cell r="C3992" t="str">
            <v>Goldmanite</v>
          </cell>
          <cell r="E3992" t="str">
            <v>https://www.mindat.org/1:1:1723:3</v>
          </cell>
        </row>
        <row r="3993">
          <cell r="A3993">
            <v>2799</v>
          </cell>
          <cell r="B3993">
            <v>5245</v>
          </cell>
          <cell r="C3993" t="str">
            <v>Gonnardite</v>
          </cell>
          <cell r="E3993" t="str">
            <v>https://www.mindat.org/1:1:1724:0</v>
          </cell>
        </row>
        <row r="3994">
          <cell r="A3994">
            <v>2800</v>
          </cell>
          <cell r="B3994">
            <v>5245</v>
          </cell>
          <cell r="C3994" t="str">
            <v>Gonyerite</v>
          </cell>
          <cell r="E3994" t="str">
            <v>https://www.mindat.org/1:1:1725:7</v>
          </cell>
        </row>
        <row r="3995">
          <cell r="A3995">
            <v>2801</v>
          </cell>
          <cell r="B3995">
            <v>5245</v>
          </cell>
          <cell r="C3995" t="str">
            <v>Goosecreekite</v>
          </cell>
          <cell r="E3995" t="str">
            <v>https://www.mindat.org/1:1:1726:4</v>
          </cell>
        </row>
        <row r="3996">
          <cell r="A3996">
            <v>2816</v>
          </cell>
          <cell r="B3996">
            <v>5245</v>
          </cell>
          <cell r="C3996" t="str">
            <v>Grandidierite</v>
          </cell>
          <cell r="E3996" t="str">
            <v>https://www.mindat.org/1:1:1737:0</v>
          </cell>
        </row>
        <row r="3997">
          <cell r="A3997">
            <v>2825</v>
          </cell>
          <cell r="B3997">
            <v>5245</v>
          </cell>
          <cell r="C3997" t="str">
            <v>Greenalite</v>
          </cell>
          <cell r="E3997" t="str">
            <v>https://www.mindat.org/1:1:1745:5</v>
          </cell>
        </row>
        <row r="3998">
          <cell r="A3998">
            <v>2836</v>
          </cell>
          <cell r="B3998">
            <v>5245</v>
          </cell>
          <cell r="C3998" t="str">
            <v>Grossular</v>
          </cell>
          <cell r="E3998" t="str">
            <v>https://www.mindat.org/1:1:1755:4</v>
          </cell>
        </row>
        <row r="3999">
          <cell r="A3999">
            <v>2840</v>
          </cell>
          <cell r="B3999">
            <v>5245</v>
          </cell>
          <cell r="C3999" t="str">
            <v>Grunerite</v>
          </cell>
          <cell r="E3999" t="str">
            <v>https://www.mindat.org/1:1:1758:5</v>
          </cell>
        </row>
        <row r="4000">
          <cell r="A4000">
            <v>2851</v>
          </cell>
          <cell r="B4000">
            <v>5245</v>
          </cell>
          <cell r="C4000" t="str">
            <v>Gummite(generalterm)</v>
          </cell>
          <cell r="E4000" t="str">
            <v/>
          </cell>
        </row>
        <row r="4001">
          <cell r="A4001">
            <v>2859</v>
          </cell>
          <cell r="B4001">
            <v>5245</v>
          </cell>
          <cell r="C4001" t="str">
            <v>Gyrolite</v>
          </cell>
          <cell r="E4001" t="str">
            <v>https://www.mindat.org/1:1:1785:1</v>
          </cell>
        </row>
        <row r="4002">
          <cell r="A4002">
            <v>2862</v>
          </cell>
          <cell r="B4002">
            <v>5245</v>
          </cell>
          <cell r="C4002" t="str">
            <v>Gotzenite</v>
          </cell>
          <cell r="E4002" t="str">
            <v/>
          </cell>
        </row>
        <row r="4003">
          <cell r="A4003">
            <v>2864</v>
          </cell>
          <cell r="B4003">
            <v>5245</v>
          </cell>
          <cell r="C4003" t="str">
            <v>Hafnon</v>
          </cell>
          <cell r="E4003" t="str">
            <v>https://www.mindat.org/1:1:1792:9</v>
          </cell>
        </row>
        <row r="4004">
          <cell r="A4004">
            <v>2869</v>
          </cell>
          <cell r="B4004">
            <v>5245</v>
          </cell>
          <cell r="C4004" t="str">
            <v>Hainite</v>
          </cell>
          <cell r="E4004" t="str">
            <v/>
          </cell>
        </row>
        <row r="4005">
          <cell r="A4005">
            <v>2870</v>
          </cell>
          <cell r="B4005">
            <v>5245</v>
          </cell>
          <cell r="C4005" t="str">
            <v>Haiweeite</v>
          </cell>
          <cell r="E4005" t="str">
            <v>https://www.mindat.org/1:1:1802:5</v>
          </cell>
        </row>
        <row r="4006">
          <cell r="A4006">
            <v>2874</v>
          </cell>
          <cell r="B4006">
            <v>5245</v>
          </cell>
          <cell r="C4006" t="str">
            <v>Halloysite</v>
          </cell>
          <cell r="E4006" t="str">
            <v>https://www.mindat.org/1:1:1808:7</v>
          </cell>
        </row>
        <row r="4007">
          <cell r="A4007">
            <v>2880</v>
          </cell>
          <cell r="B4007">
            <v>5245</v>
          </cell>
          <cell r="C4007" t="str">
            <v>Hancockite</v>
          </cell>
          <cell r="E4007" t="str">
            <v>https://www.mindat.org/1:1:1814:8</v>
          </cell>
        </row>
        <row r="4008">
          <cell r="A4008">
            <v>2884</v>
          </cell>
          <cell r="B4008">
            <v>5245</v>
          </cell>
          <cell r="C4008" t="str">
            <v>Haradaite</v>
          </cell>
          <cell r="E4008" t="str">
            <v>https://www.mindat.org/1:1:1817:9</v>
          </cell>
        </row>
        <row r="4009">
          <cell r="A4009">
            <v>2885</v>
          </cell>
          <cell r="B4009">
            <v>5245</v>
          </cell>
          <cell r="C4009" t="str">
            <v>Hardystonite</v>
          </cell>
          <cell r="E4009" t="str">
            <v>https://www.mindat.org/1:1:1818:6</v>
          </cell>
        </row>
        <row r="4010">
          <cell r="A4010">
            <v>2887</v>
          </cell>
          <cell r="B4010">
            <v>5245</v>
          </cell>
          <cell r="C4010" t="str">
            <v>Harmotome</v>
          </cell>
          <cell r="E4010" t="str">
            <v>https://www.mindat.org/1:1:1820:9</v>
          </cell>
        </row>
        <row r="4011">
          <cell r="A4011">
            <v>2889</v>
          </cell>
          <cell r="B4011">
            <v>5245</v>
          </cell>
          <cell r="C4011" t="str">
            <v>Harstigite</v>
          </cell>
          <cell r="E4011" t="str">
            <v>https://www.mindat.org/1:1:1822:3</v>
          </cell>
        </row>
        <row r="4012">
          <cell r="A4012">
            <v>2891</v>
          </cell>
          <cell r="B4012">
            <v>5245</v>
          </cell>
          <cell r="C4012" t="str">
            <v>Hastingsite</v>
          </cell>
          <cell r="E4012" t="str">
            <v>https://www.mindat.org/1:1:1824:7</v>
          </cell>
        </row>
        <row r="4013">
          <cell r="A4013">
            <v>2899</v>
          </cell>
          <cell r="B4013">
            <v>5245</v>
          </cell>
          <cell r="C4013" t="str">
            <v>Hauyne</v>
          </cell>
          <cell r="E4013" t="str">
            <v/>
          </cell>
        </row>
        <row r="4014">
          <cell r="A4014">
            <v>2908</v>
          </cell>
          <cell r="B4014">
            <v>5245</v>
          </cell>
          <cell r="C4014" t="str">
            <v>Hectorite</v>
          </cell>
          <cell r="E4014" t="str">
            <v>https://www.mindat.org/1:1:1841:4</v>
          </cell>
        </row>
        <row r="4015">
          <cell r="A4015">
            <v>2909</v>
          </cell>
          <cell r="B4015">
            <v>5245</v>
          </cell>
          <cell r="C4015" t="str">
            <v>Hedenbergite</v>
          </cell>
          <cell r="E4015" t="str">
            <v>https://www.mindat.org/1:1:1842:1</v>
          </cell>
        </row>
        <row r="4016">
          <cell r="A4016">
            <v>2915</v>
          </cell>
          <cell r="B4016">
            <v>5245</v>
          </cell>
          <cell r="C4016" t="str">
            <v>Hejtmanite</v>
          </cell>
          <cell r="E4016" t="str">
            <v>https://www.mindat.org/1:1:1849:0</v>
          </cell>
        </row>
        <row r="4017">
          <cell r="A4017">
            <v>2917</v>
          </cell>
          <cell r="B4017">
            <v>5245</v>
          </cell>
          <cell r="C4017" t="str">
            <v>Hellandite</v>
          </cell>
          <cell r="E4017" t="str">
            <v/>
          </cell>
        </row>
        <row r="4018">
          <cell r="A4018">
            <v>2920</v>
          </cell>
          <cell r="B4018">
            <v>5245</v>
          </cell>
          <cell r="C4018" t="str">
            <v>Helvite</v>
          </cell>
          <cell r="E4018" t="str">
            <v/>
          </cell>
        </row>
        <row r="4019">
          <cell r="A4019">
            <v>2925</v>
          </cell>
          <cell r="B4019">
            <v>5245</v>
          </cell>
          <cell r="C4019" t="str">
            <v>Hemimorphite</v>
          </cell>
          <cell r="E4019" t="str">
            <v>https://www.mindat.org/1:1:1860:5</v>
          </cell>
        </row>
        <row r="4020">
          <cell r="A4020">
            <v>2929</v>
          </cell>
          <cell r="B4020">
            <v>5245</v>
          </cell>
          <cell r="C4020" t="str">
            <v>Hendricksite</v>
          </cell>
          <cell r="E4020" t="str">
            <v>https://www.mindat.org/1:1:1864:3</v>
          </cell>
        </row>
        <row r="4021">
          <cell r="A4021">
            <v>2932</v>
          </cell>
          <cell r="B4021">
            <v>5245</v>
          </cell>
          <cell r="C4021" t="str">
            <v>Hennomartinite</v>
          </cell>
          <cell r="E4021" t="str">
            <v>https://www.mindat.org/1:1:1867:4</v>
          </cell>
        </row>
        <row r="4022">
          <cell r="A4022">
            <v>2933</v>
          </cell>
          <cell r="B4022">
            <v>5245</v>
          </cell>
          <cell r="C4022" t="str">
            <v>Henritermierite</v>
          </cell>
          <cell r="E4022" t="str">
            <v>https://www.mindat.org/1:1:1868:1</v>
          </cell>
        </row>
        <row r="4023">
          <cell r="A4023">
            <v>2938</v>
          </cell>
          <cell r="B4023">
            <v>5245</v>
          </cell>
          <cell r="C4023" t="str">
            <v>Herschelite</v>
          </cell>
          <cell r="E4023" t="str">
            <v/>
          </cell>
        </row>
        <row r="4024">
          <cell r="A4024">
            <v>2946</v>
          </cell>
          <cell r="B4024">
            <v>5245</v>
          </cell>
          <cell r="C4024" t="str">
            <v>Heulandite</v>
          </cell>
          <cell r="E4024" t="str">
            <v>https://www.mindat.org/1:1:1889:6</v>
          </cell>
        </row>
        <row r="4025">
          <cell r="A4025">
            <v>2947</v>
          </cell>
          <cell r="B4025">
            <v>5245</v>
          </cell>
          <cell r="C4025" t="str">
            <v>Heulandite-K</v>
          </cell>
          <cell r="E4025" t="str">
            <v>https://www.mindat.org/1:1:6989:8</v>
          </cell>
        </row>
        <row r="4026">
          <cell r="A4026">
            <v>2948</v>
          </cell>
          <cell r="B4026">
            <v>5245</v>
          </cell>
          <cell r="C4026" t="str">
            <v>Heulandite-Na</v>
          </cell>
          <cell r="E4026" t="str">
            <v>https://www.mindat.org/1:1:6990:4</v>
          </cell>
        </row>
        <row r="4027">
          <cell r="A4027">
            <v>2949</v>
          </cell>
          <cell r="B4027">
            <v>5245</v>
          </cell>
          <cell r="C4027" t="str">
            <v>Heulandite-Sr</v>
          </cell>
          <cell r="E4027" t="str">
            <v>https://www.mindat.org/1:1:6991:1</v>
          </cell>
        </row>
        <row r="4028">
          <cell r="A4028">
            <v>2950</v>
          </cell>
          <cell r="B4028">
            <v>5245</v>
          </cell>
          <cell r="C4028" t="str">
            <v>Heulandite-Ca</v>
          </cell>
          <cell r="E4028" t="str">
            <v>https://www.mindat.org/1:1:6988:1</v>
          </cell>
        </row>
        <row r="4029">
          <cell r="A4029">
            <v>2960</v>
          </cell>
          <cell r="B4029">
            <v>5245</v>
          </cell>
          <cell r="C4029" t="str">
            <v>Hibschite</v>
          </cell>
          <cell r="E4029" t="str">
            <v/>
          </cell>
        </row>
        <row r="4030">
          <cell r="A4030">
            <v>2963</v>
          </cell>
          <cell r="B4030">
            <v>5245</v>
          </cell>
          <cell r="C4030" t="str">
            <v>Hilairite</v>
          </cell>
          <cell r="E4030" t="str">
            <v>https://www.mindat.org/1:1:1901:5</v>
          </cell>
        </row>
        <row r="4031">
          <cell r="A4031">
            <v>2968</v>
          </cell>
          <cell r="B4031">
            <v>5245</v>
          </cell>
          <cell r="C4031" t="str">
            <v>Hillebrandite</v>
          </cell>
          <cell r="E4031" t="str">
            <v>https://www.mindat.org/1:1:1904:6</v>
          </cell>
        </row>
        <row r="4032">
          <cell r="A4032">
            <v>2969</v>
          </cell>
          <cell r="B4032">
            <v>5245</v>
          </cell>
          <cell r="C4032" t="str">
            <v>Hingganite</v>
          </cell>
          <cell r="E4032" t="str">
            <v/>
          </cell>
        </row>
        <row r="4033">
          <cell r="A4033">
            <v>2970</v>
          </cell>
          <cell r="B4033">
            <v>5245</v>
          </cell>
          <cell r="C4033" t="str">
            <v>Hingganite-(Ce)</v>
          </cell>
          <cell r="E4033" t="str">
            <v>https://www.mindat.org/1:1:1905:3</v>
          </cell>
        </row>
        <row r="4034">
          <cell r="A4034">
            <v>2971</v>
          </cell>
          <cell r="B4034">
            <v>5245</v>
          </cell>
          <cell r="C4034" t="str">
            <v>Hingganite-(Y)</v>
          </cell>
          <cell r="E4034" t="str">
            <v>https://www.mindat.org/1:1:1906:0</v>
          </cell>
        </row>
        <row r="4035">
          <cell r="A4035">
            <v>2972</v>
          </cell>
          <cell r="B4035">
            <v>5245</v>
          </cell>
          <cell r="C4035" t="str">
            <v>Hingganite-(Yb)</v>
          </cell>
          <cell r="E4035" t="str">
            <v>https://www.mindat.org/1:1:1907:7</v>
          </cell>
        </row>
        <row r="4036">
          <cell r="A4036">
            <v>2974</v>
          </cell>
          <cell r="B4036">
            <v>5245</v>
          </cell>
          <cell r="C4036" t="str">
            <v>Hiortdahlite</v>
          </cell>
          <cell r="E4036" t="str">
            <v>https://www.mindat.org/1:1:1909:1</v>
          </cell>
        </row>
        <row r="4037">
          <cell r="A4037">
            <v>2975</v>
          </cell>
          <cell r="B4037">
            <v>5245</v>
          </cell>
          <cell r="C4037" t="str">
            <v>Hisingerite</v>
          </cell>
          <cell r="E4037" t="str">
            <v>https://www.mindat.org/1:1:1910:7</v>
          </cell>
        </row>
        <row r="4038">
          <cell r="A4038">
            <v>2979</v>
          </cell>
          <cell r="B4038">
            <v>5245</v>
          </cell>
          <cell r="C4038" t="str">
            <v>Hodgkinsonite</v>
          </cell>
          <cell r="E4038" t="str">
            <v>https://www.mindat.org/1:1:1913:8</v>
          </cell>
        </row>
        <row r="4039">
          <cell r="A4039">
            <v>2982</v>
          </cell>
          <cell r="B4039">
            <v>5245</v>
          </cell>
          <cell r="C4039" t="str">
            <v>Hogtuvaite</v>
          </cell>
          <cell r="E4039" t="str">
            <v/>
          </cell>
        </row>
        <row r="4040">
          <cell r="A4040">
            <v>2988</v>
          </cell>
          <cell r="B4040">
            <v>5245</v>
          </cell>
          <cell r="C4040" t="str">
            <v>Holmquistite</v>
          </cell>
          <cell r="E4040" t="str">
            <v>https://www.mindat.org/1:1:1923:7</v>
          </cell>
        </row>
        <row r="4041">
          <cell r="A4041">
            <v>2990</v>
          </cell>
          <cell r="B4041">
            <v>5245</v>
          </cell>
          <cell r="C4041" t="str">
            <v>Holtite</v>
          </cell>
          <cell r="E4041" t="str">
            <v>https://www.mindat.org/1:1:1925:1</v>
          </cell>
        </row>
        <row r="4042">
          <cell r="A4042">
            <v>2991</v>
          </cell>
          <cell r="B4042">
            <v>5245</v>
          </cell>
          <cell r="C4042" t="str">
            <v>Homilite</v>
          </cell>
          <cell r="E4042" t="str">
            <v>https://www.mindat.org/1:1:1926:8</v>
          </cell>
        </row>
        <row r="4043">
          <cell r="A4043">
            <v>2996</v>
          </cell>
          <cell r="B4043">
            <v>5245</v>
          </cell>
          <cell r="C4043" t="str">
            <v>Hornblendeseries</v>
          </cell>
          <cell r="E4043" t="str">
            <v/>
          </cell>
        </row>
        <row r="4044">
          <cell r="A4044">
            <v>3001</v>
          </cell>
          <cell r="B4044">
            <v>5245</v>
          </cell>
          <cell r="C4044" t="str">
            <v>Howieite</v>
          </cell>
          <cell r="E4044" t="str">
            <v>https://www.mindat.org/1:1:1935:0</v>
          </cell>
        </row>
        <row r="4045">
          <cell r="A4045">
            <v>3003</v>
          </cell>
          <cell r="B4045">
            <v>5245</v>
          </cell>
          <cell r="C4045" t="str">
            <v>Hsianghualite</v>
          </cell>
          <cell r="E4045" t="str">
            <v>https://www.mindat.org/1:1:1937:4</v>
          </cell>
        </row>
        <row r="4046">
          <cell r="A4046">
            <v>3006</v>
          </cell>
          <cell r="B4046">
            <v>5245</v>
          </cell>
          <cell r="C4046" t="str">
            <v>Hubeite</v>
          </cell>
          <cell r="E4046" t="str">
            <v>https://www.mindat.org/1:1:8864:6</v>
          </cell>
        </row>
        <row r="4047">
          <cell r="A4047">
            <v>3011</v>
          </cell>
          <cell r="B4047">
            <v>5245</v>
          </cell>
          <cell r="C4047" t="str">
            <v>Humite</v>
          </cell>
          <cell r="E4047" t="str">
            <v>https://www.mindat.org/1:1:1947:3</v>
          </cell>
        </row>
        <row r="4048">
          <cell r="A4048">
            <v>3019</v>
          </cell>
          <cell r="B4048">
            <v>5245</v>
          </cell>
          <cell r="C4048" t="str">
            <v>Huttonite</v>
          </cell>
          <cell r="E4048" t="str">
            <v>https://www.mindat.org/1:1:1955:8</v>
          </cell>
        </row>
        <row r="4049">
          <cell r="A4049">
            <v>3020</v>
          </cell>
          <cell r="B4049">
            <v>5245</v>
          </cell>
          <cell r="C4049" t="str">
            <v>Hyalophane</v>
          </cell>
          <cell r="E4049" t="str">
            <v/>
          </cell>
        </row>
        <row r="4050">
          <cell r="A4050">
            <v>3021</v>
          </cell>
          <cell r="B4050">
            <v>5245</v>
          </cell>
          <cell r="C4050" t="str">
            <v>Hyalotekite</v>
          </cell>
          <cell r="E4050" t="str">
            <v>https://www.mindat.org/1:1:1961:9</v>
          </cell>
        </row>
        <row r="4051">
          <cell r="A4051">
            <v>3024</v>
          </cell>
          <cell r="B4051">
            <v>5245</v>
          </cell>
          <cell r="C4051" t="str">
            <v>Hydrobiotite</v>
          </cell>
          <cell r="E4051" t="str">
            <v>https://www.mindat.org/1:1:1966:4</v>
          </cell>
        </row>
        <row r="4052">
          <cell r="A4052">
            <v>3029</v>
          </cell>
          <cell r="B4052">
            <v>5245</v>
          </cell>
          <cell r="C4052" t="str">
            <v>Hydrodelhayelite</v>
          </cell>
          <cell r="E4052" t="str">
            <v>https://www.mindat.org/1:1:1971:8</v>
          </cell>
        </row>
        <row r="4053">
          <cell r="A4053">
            <v>3032</v>
          </cell>
          <cell r="B4053">
            <v>5245</v>
          </cell>
          <cell r="C4053" t="str">
            <v>Hydrogrossularseries</v>
          </cell>
          <cell r="E4053" t="str">
            <v/>
          </cell>
        </row>
        <row r="4054">
          <cell r="A4054">
            <v>3046</v>
          </cell>
          <cell r="B4054">
            <v>5245</v>
          </cell>
          <cell r="C4054" t="str">
            <v>Hydrougrandite</v>
          </cell>
          <cell r="E4054" t="str">
            <v/>
          </cell>
        </row>
        <row r="4055">
          <cell r="A4055">
            <v>3048</v>
          </cell>
          <cell r="B4055">
            <v>5245</v>
          </cell>
          <cell r="C4055" t="str">
            <v>Hydroxyapophyllite</v>
          </cell>
          <cell r="E4055" t="str">
            <v/>
          </cell>
        </row>
        <row r="4056">
          <cell r="A4056">
            <v>3049</v>
          </cell>
          <cell r="B4056">
            <v>5245</v>
          </cell>
          <cell r="C4056" t="str">
            <v>Hydroxycancrinite</v>
          </cell>
          <cell r="E4056" t="str">
            <v>https://www.mindat.org/1:1:1990:9</v>
          </cell>
        </row>
        <row r="4057">
          <cell r="A4057">
            <v>3056</v>
          </cell>
          <cell r="B4057">
            <v>5245</v>
          </cell>
          <cell r="C4057" t="str">
            <v>Hydroxylellestadite</v>
          </cell>
          <cell r="E4057" t="str">
            <v>https://www.mindat.org/1:1:1958:9</v>
          </cell>
        </row>
        <row r="4058">
          <cell r="A4058">
            <v>3060</v>
          </cell>
          <cell r="B4058">
            <v>5245</v>
          </cell>
          <cell r="C4058" t="str">
            <v>Hypersthene</v>
          </cell>
          <cell r="E4058" t="str">
            <v/>
          </cell>
        </row>
        <row r="4059">
          <cell r="A4059">
            <v>3071</v>
          </cell>
          <cell r="B4059">
            <v>5245</v>
          </cell>
          <cell r="C4059" t="str">
            <v>Iimoriite-(Y)</v>
          </cell>
          <cell r="E4059" t="str">
            <v>https://www.mindat.org/1:1:2006:6</v>
          </cell>
        </row>
        <row r="4060">
          <cell r="A4060">
            <v>3077</v>
          </cell>
          <cell r="B4060">
            <v>5245</v>
          </cell>
          <cell r="C4060" t="str">
            <v>Illite</v>
          </cell>
          <cell r="E4060" t="str">
            <v>https://www.mindat.org/1:1:2011:0</v>
          </cell>
        </row>
        <row r="4061">
          <cell r="A4061">
            <v>3078</v>
          </cell>
          <cell r="B4061">
            <v>5245</v>
          </cell>
          <cell r="C4061" t="str">
            <v>Ilmajokite</v>
          </cell>
          <cell r="E4061" t="str">
            <v>https://www.mindat.org/1:1:2012:7</v>
          </cell>
        </row>
        <row r="4062">
          <cell r="A4062">
            <v>3083</v>
          </cell>
          <cell r="B4062">
            <v>5245</v>
          </cell>
          <cell r="C4062" t="str">
            <v>Ilvaite</v>
          </cell>
          <cell r="E4062" t="str">
            <v>https://www.mindat.org/1:1:2016:5</v>
          </cell>
        </row>
        <row r="4063">
          <cell r="A4063">
            <v>3084</v>
          </cell>
          <cell r="B4063">
            <v>5245</v>
          </cell>
          <cell r="C4063" t="str">
            <v>Imandrite</v>
          </cell>
          <cell r="E4063" t="str">
            <v>https://www.mindat.org/1:1:2017:2</v>
          </cell>
        </row>
        <row r="4064">
          <cell r="A4064">
            <v>3093</v>
          </cell>
          <cell r="B4064">
            <v>5245</v>
          </cell>
          <cell r="C4064" t="str">
            <v>Indialite</v>
          </cell>
          <cell r="E4064" t="str">
            <v>https://www.mindat.org/1:1:2026:4</v>
          </cell>
        </row>
        <row r="4065">
          <cell r="A4065">
            <v>3097</v>
          </cell>
          <cell r="B4065">
            <v>5245</v>
          </cell>
          <cell r="C4065" t="str">
            <v>Inesite</v>
          </cell>
          <cell r="E4065" t="str">
            <v>https://www.mindat.org/1:1:2031:8</v>
          </cell>
        </row>
        <row r="4066">
          <cell r="A4066">
            <v>3100</v>
          </cell>
          <cell r="B4066">
            <v>5245</v>
          </cell>
          <cell r="C4066" t="str">
            <v>Innelite</v>
          </cell>
          <cell r="E4066" t="str">
            <v>https://www.mindat.org/1:1:2034:9</v>
          </cell>
        </row>
        <row r="4067">
          <cell r="A4067">
            <v>3132</v>
          </cell>
          <cell r="B4067">
            <v>5245</v>
          </cell>
          <cell r="C4067" t="str">
            <v>Jadeite</v>
          </cell>
          <cell r="E4067" t="str">
            <v>https://www.mindat.org/1:1:2062:2</v>
          </cell>
        </row>
        <row r="4068">
          <cell r="A4068">
            <v>3134</v>
          </cell>
          <cell r="B4068">
            <v>5245</v>
          </cell>
          <cell r="C4068" t="str">
            <v>Jagoite</v>
          </cell>
          <cell r="E4068" t="str">
            <v>https://www.mindat.org/1:1:2064:6</v>
          </cell>
        </row>
        <row r="4069">
          <cell r="A4069">
            <v>3145</v>
          </cell>
          <cell r="B4069">
            <v>5245</v>
          </cell>
          <cell r="C4069" t="str">
            <v>Janhaugite</v>
          </cell>
          <cell r="E4069" t="str">
            <v>https://www.mindat.org/1:1:2074:5</v>
          </cell>
        </row>
        <row r="4070">
          <cell r="A4070">
            <v>3151</v>
          </cell>
          <cell r="B4070">
            <v>5245</v>
          </cell>
          <cell r="C4070" t="str">
            <v>Jasmundite</v>
          </cell>
          <cell r="E4070" t="str">
            <v>https://www.mindat.org/1:1:2080:6</v>
          </cell>
        </row>
        <row r="4071">
          <cell r="A4071">
            <v>3155</v>
          </cell>
          <cell r="B4071">
            <v>5245</v>
          </cell>
          <cell r="C4071" t="str">
            <v>Jennite</v>
          </cell>
          <cell r="E4071" t="str">
            <v>https://www.mindat.org/1:1:2087:5</v>
          </cell>
        </row>
        <row r="4072">
          <cell r="A4072">
            <v>3161</v>
          </cell>
          <cell r="B4072">
            <v>5245</v>
          </cell>
          <cell r="C4072" t="str">
            <v>Jerrygibbsite</v>
          </cell>
          <cell r="E4072" t="str">
            <v>https://www.mindat.org/1:1:2092:9</v>
          </cell>
        </row>
        <row r="4073">
          <cell r="A4073">
            <v>3166</v>
          </cell>
          <cell r="B4073">
            <v>5245</v>
          </cell>
          <cell r="C4073" t="str">
            <v>Jimthompsonite</v>
          </cell>
          <cell r="E4073" t="str">
            <v>https://www.mindat.org/1:1:2096:7</v>
          </cell>
        </row>
        <row r="4074">
          <cell r="A4074">
            <v>3167</v>
          </cell>
          <cell r="B4074">
            <v>5245</v>
          </cell>
          <cell r="C4074" t="str">
            <v>Jinshajiangite</v>
          </cell>
          <cell r="E4074" t="str">
            <v>https://www.mindat.org/1:1:2097:4</v>
          </cell>
        </row>
        <row r="4075">
          <cell r="A4075">
            <v>3169</v>
          </cell>
          <cell r="B4075">
            <v>5245</v>
          </cell>
          <cell r="C4075" t="str">
            <v>Joaquinite-(Ce)</v>
          </cell>
          <cell r="E4075" t="str">
            <v>https://www.mindat.org/1:1:2099:8</v>
          </cell>
        </row>
        <row r="4076">
          <cell r="A4076">
            <v>3170</v>
          </cell>
          <cell r="B4076">
            <v>5245</v>
          </cell>
          <cell r="C4076" t="str">
            <v>Joesmithite</v>
          </cell>
          <cell r="E4076" t="str">
            <v>https://www.mindat.org/1:1:2100:1</v>
          </cell>
        </row>
        <row r="4077">
          <cell r="A4077">
            <v>3173</v>
          </cell>
          <cell r="B4077">
            <v>5245</v>
          </cell>
          <cell r="C4077" t="str">
            <v>Johannsenite</v>
          </cell>
          <cell r="E4077" t="str">
            <v>https://www.mindat.org/1:1:2103:2</v>
          </cell>
        </row>
        <row r="4078">
          <cell r="A4078">
            <v>3176</v>
          </cell>
          <cell r="B4078">
            <v>5245</v>
          </cell>
          <cell r="C4078" t="str">
            <v>Johninnesite</v>
          </cell>
          <cell r="E4078" t="str">
            <v>https://www.mindat.org/1:1:2106:3</v>
          </cell>
        </row>
        <row r="4079">
          <cell r="A4079">
            <v>3183</v>
          </cell>
          <cell r="B4079">
            <v>5245</v>
          </cell>
          <cell r="C4079" t="str">
            <v>Jonesite</v>
          </cell>
          <cell r="E4079" t="str">
            <v>https://www.mindat.org/1:1:2112:4</v>
          </cell>
        </row>
        <row r="4080">
          <cell r="A4080">
            <v>3195</v>
          </cell>
          <cell r="B4080">
            <v>5245</v>
          </cell>
          <cell r="C4080" t="str">
            <v>Juanite</v>
          </cell>
          <cell r="E4080" t="str">
            <v>https://www.mindat.org/1:1:2119:3</v>
          </cell>
        </row>
        <row r="4081">
          <cell r="A4081">
            <v>3196</v>
          </cell>
          <cell r="B4081">
            <v>5245</v>
          </cell>
          <cell r="C4081" t="str">
            <v>Julgoldite-(Fe2+)</v>
          </cell>
          <cell r="E4081" t="str">
            <v/>
          </cell>
        </row>
        <row r="4082">
          <cell r="A4082">
            <v>3199</v>
          </cell>
          <cell r="B4082">
            <v>5245</v>
          </cell>
          <cell r="C4082" t="str">
            <v>Junitoite</v>
          </cell>
          <cell r="E4082" t="str">
            <v>https://www.mindat.org/1:1:2123:0</v>
          </cell>
        </row>
        <row r="4083">
          <cell r="A4083">
            <v>3204</v>
          </cell>
          <cell r="B4083">
            <v>5245</v>
          </cell>
          <cell r="C4083" t="str">
            <v>K-feldspar</v>
          </cell>
          <cell r="E4083" t="str">
            <v/>
          </cell>
        </row>
        <row r="4084">
          <cell r="A4084">
            <v>3207</v>
          </cell>
          <cell r="B4084">
            <v>5245</v>
          </cell>
          <cell r="C4084" t="str">
            <v>Kaersutite</v>
          </cell>
          <cell r="E4084" t="str">
            <v>https://www.mindat.org/1:1:2129:2</v>
          </cell>
        </row>
        <row r="4085">
          <cell r="A4085">
            <v>3211</v>
          </cell>
          <cell r="B4085">
            <v>5245</v>
          </cell>
          <cell r="C4085" t="str">
            <v>Kainosite-(Y)</v>
          </cell>
          <cell r="E4085" t="str">
            <v>https://www.mindat.org/1:1:2133:9</v>
          </cell>
        </row>
        <row r="4086">
          <cell r="A4086">
            <v>3212</v>
          </cell>
          <cell r="B4086">
            <v>5245</v>
          </cell>
          <cell r="C4086" t="str">
            <v>Kalborsite</v>
          </cell>
          <cell r="E4086" t="str">
            <v>https://www.mindat.org/1:1:2135:3</v>
          </cell>
        </row>
        <row r="4087">
          <cell r="A4087">
            <v>3218</v>
          </cell>
          <cell r="B4087">
            <v>5245</v>
          </cell>
          <cell r="C4087" t="str">
            <v>Kaliophilite</v>
          </cell>
          <cell r="E4087" t="str">
            <v>https://www.mindat.org/1:1:2139:1</v>
          </cell>
        </row>
        <row r="4088">
          <cell r="A4088">
            <v>3221</v>
          </cell>
          <cell r="B4088">
            <v>5245</v>
          </cell>
          <cell r="C4088" t="str">
            <v>Kalsilite</v>
          </cell>
          <cell r="E4088" t="str">
            <v>https://www.mindat.org/1:1:2142:1</v>
          </cell>
        </row>
        <row r="4089">
          <cell r="A4089">
            <v>3231</v>
          </cell>
          <cell r="B4089">
            <v>5245</v>
          </cell>
          <cell r="C4089" t="str">
            <v>Kanemite</v>
          </cell>
          <cell r="E4089" t="str">
            <v>https://www.mindat.org/1:1:2152:0</v>
          </cell>
        </row>
        <row r="4090">
          <cell r="A4090">
            <v>3233</v>
          </cell>
          <cell r="B4090">
            <v>5245</v>
          </cell>
          <cell r="C4090" t="str">
            <v>Kanoite</v>
          </cell>
          <cell r="E4090" t="str">
            <v>https://www.mindat.org/1:1:2154:4</v>
          </cell>
        </row>
        <row r="4091">
          <cell r="A4091">
            <v>3234</v>
          </cell>
          <cell r="B4091">
            <v>5245</v>
          </cell>
          <cell r="C4091" t="str">
            <v>Kanonaite</v>
          </cell>
          <cell r="E4091" t="str">
            <v>https://www.mindat.org/1:1:2155:1</v>
          </cell>
        </row>
        <row r="4092">
          <cell r="A4092">
            <v>3235</v>
          </cell>
          <cell r="B4092">
            <v>5245</v>
          </cell>
          <cell r="C4092" t="str">
            <v>Kaolinite</v>
          </cell>
          <cell r="E4092" t="str">
            <v>https://www.mindat.org/1:1:2156:8</v>
          </cell>
        </row>
        <row r="4093">
          <cell r="A4093">
            <v>3236</v>
          </cell>
          <cell r="B4093">
            <v>5245</v>
          </cell>
          <cell r="C4093" t="str">
            <v>Kaolinitegroup</v>
          </cell>
          <cell r="E4093" t="str">
            <v/>
          </cell>
        </row>
        <row r="4094">
          <cell r="A4094">
            <v>3242</v>
          </cell>
          <cell r="B4094">
            <v>5245</v>
          </cell>
          <cell r="C4094" t="str">
            <v>Karnasurtite-(Ce)</v>
          </cell>
          <cell r="E4094" t="str">
            <v>https://www.mindat.org/1:1:2161:2</v>
          </cell>
        </row>
        <row r="4095">
          <cell r="A4095">
            <v>3246</v>
          </cell>
          <cell r="B4095">
            <v>5245</v>
          </cell>
          <cell r="C4095" t="str">
            <v>Kasolite</v>
          </cell>
          <cell r="E4095" t="str">
            <v>https://www.mindat.org/1:1:2165:0</v>
          </cell>
        </row>
        <row r="4096">
          <cell r="A4096">
            <v>3250</v>
          </cell>
          <cell r="B4096">
            <v>5245</v>
          </cell>
          <cell r="C4096" t="str">
            <v>Katayamalite</v>
          </cell>
          <cell r="E4096" t="str">
            <v>https://www.mindat.org/1:1:4716:2</v>
          </cell>
        </row>
        <row r="4097">
          <cell r="A4097">
            <v>3251</v>
          </cell>
          <cell r="B4097">
            <v>5245</v>
          </cell>
          <cell r="C4097" t="str">
            <v>Katoite</v>
          </cell>
          <cell r="E4097" t="str">
            <v>https://www.mindat.org/1:1:2167:4</v>
          </cell>
        </row>
        <row r="4098">
          <cell r="A4098">
            <v>3252</v>
          </cell>
          <cell r="B4098">
            <v>5245</v>
          </cell>
          <cell r="C4098" t="str">
            <v>Katophorite</v>
          </cell>
          <cell r="E4098" t="str">
            <v>https://www.mindat.org/1:1:7163:1</v>
          </cell>
        </row>
        <row r="4099">
          <cell r="A4099">
            <v>3253</v>
          </cell>
          <cell r="B4099">
            <v>5245</v>
          </cell>
          <cell r="C4099" t="str">
            <v>Katoptrite</v>
          </cell>
          <cell r="E4099" t="str">
            <v>https://www.mindat.org/1:1:2169:8</v>
          </cell>
        </row>
        <row r="4100">
          <cell r="A4100">
            <v>3256</v>
          </cell>
          <cell r="B4100">
            <v>5245</v>
          </cell>
          <cell r="C4100" t="str">
            <v>Kazakovite</v>
          </cell>
          <cell r="E4100" t="str">
            <v>https://www.mindat.org/1:1:2172:8</v>
          </cell>
        </row>
        <row r="4101">
          <cell r="A4101">
            <v>3258</v>
          </cell>
          <cell r="B4101">
            <v>5245</v>
          </cell>
          <cell r="C4101" t="str">
            <v>Kegelite</v>
          </cell>
          <cell r="E4101" t="str">
            <v>https://www.mindat.org/1:1:2175:9</v>
          </cell>
        </row>
        <row r="4102">
          <cell r="A4102">
            <v>3264</v>
          </cell>
          <cell r="B4102">
            <v>5245</v>
          </cell>
          <cell r="C4102" t="str">
            <v>Keldyshite</v>
          </cell>
          <cell r="E4102" t="str">
            <v>https://www.mindat.org/1:1:2179:7</v>
          </cell>
        </row>
        <row r="4103">
          <cell r="A4103">
            <v>3265</v>
          </cell>
          <cell r="B4103">
            <v>5245</v>
          </cell>
          <cell r="C4103" t="str">
            <v>Kellyite</v>
          </cell>
          <cell r="E4103" t="str">
            <v>https://www.mindat.org/1:1:2180:3</v>
          </cell>
        </row>
        <row r="4104">
          <cell r="A4104">
            <v>3271</v>
          </cell>
          <cell r="B4104">
            <v>5245</v>
          </cell>
          <cell r="C4104" t="str">
            <v>Kentbrooksite</v>
          </cell>
          <cell r="E4104" t="str">
            <v>https://www.mindat.org/1:1:7132:7</v>
          </cell>
        </row>
        <row r="4105">
          <cell r="A4105">
            <v>3272</v>
          </cell>
          <cell r="B4105">
            <v>5245</v>
          </cell>
          <cell r="C4105" t="str">
            <v>Kentrolite</v>
          </cell>
          <cell r="E4105" t="str">
            <v>https://www.mindat.org/1:1:2185:8</v>
          </cell>
        </row>
        <row r="4106">
          <cell r="A4106">
            <v>3273</v>
          </cell>
          <cell r="B4106">
            <v>5245</v>
          </cell>
          <cell r="C4106" t="str">
            <v>Kenyaite</v>
          </cell>
          <cell r="E4106" t="str">
            <v>https://www.mindat.org/1:1:2186:5</v>
          </cell>
        </row>
        <row r="4107">
          <cell r="A4107">
            <v>3287</v>
          </cell>
          <cell r="B4107">
            <v>5245</v>
          </cell>
          <cell r="C4107" t="str">
            <v>Khibinskite</v>
          </cell>
          <cell r="E4107" t="str">
            <v>https://www.mindat.org/1:1:2198:8</v>
          </cell>
        </row>
        <row r="4108">
          <cell r="A4108">
            <v>3289</v>
          </cell>
          <cell r="B4108">
            <v>5245</v>
          </cell>
          <cell r="C4108" t="str">
            <v>Khmaralite</v>
          </cell>
          <cell r="E4108" t="str">
            <v>https://www.mindat.org/1:1:7136:5</v>
          </cell>
        </row>
        <row r="4109">
          <cell r="A4109">
            <v>3296</v>
          </cell>
          <cell r="B4109">
            <v>5245</v>
          </cell>
          <cell r="C4109" t="str">
            <v>Kilchoanite</v>
          </cell>
          <cell r="E4109" t="str">
            <v>https://www.mindat.org/1:1:2205:3</v>
          </cell>
        </row>
        <row r="4110">
          <cell r="A4110">
            <v>3297</v>
          </cell>
          <cell r="B4110">
            <v>5245</v>
          </cell>
          <cell r="C4110" t="str">
            <v>Killalaite</v>
          </cell>
          <cell r="E4110" t="str">
            <v>https://www.mindat.org/1:1:2206:0</v>
          </cell>
        </row>
        <row r="4111">
          <cell r="A4111">
            <v>3300</v>
          </cell>
          <cell r="B4111">
            <v>5245</v>
          </cell>
          <cell r="C4111" t="str">
            <v>Kimzeyite</v>
          </cell>
          <cell r="E4111" t="str">
            <v>https://www.mindat.org/1:1:2209:1</v>
          </cell>
        </row>
        <row r="4112">
          <cell r="A4112">
            <v>3304</v>
          </cell>
          <cell r="B4112">
            <v>5245</v>
          </cell>
          <cell r="C4112" t="str">
            <v>Kinoite</v>
          </cell>
          <cell r="E4112" t="str">
            <v>https://www.mindat.org/1:1:2213:8</v>
          </cell>
        </row>
        <row r="4113">
          <cell r="A4113">
            <v>3305</v>
          </cell>
          <cell r="B4113">
            <v>5245</v>
          </cell>
          <cell r="C4113" t="str">
            <v>Kinoshitalite</v>
          </cell>
          <cell r="E4113" t="str">
            <v>https://www.mindat.org/1:1:2307:4</v>
          </cell>
        </row>
        <row r="4114">
          <cell r="A4114">
            <v>3309</v>
          </cell>
          <cell r="B4114">
            <v>5245</v>
          </cell>
          <cell r="C4114" t="str">
            <v>Kirschsteinite</v>
          </cell>
          <cell r="E4114" t="str">
            <v>https://www.mindat.org/1:1:2217:6</v>
          </cell>
        </row>
        <row r="4115">
          <cell r="A4115">
            <v>3312</v>
          </cell>
          <cell r="B4115">
            <v>5245</v>
          </cell>
          <cell r="C4115" t="str">
            <v>Kittatinnyite</v>
          </cell>
          <cell r="E4115" t="str">
            <v>https://www.mindat.org/1:1:2220:6</v>
          </cell>
        </row>
        <row r="4116">
          <cell r="A4116">
            <v>3322</v>
          </cell>
          <cell r="B4116">
            <v>5245</v>
          </cell>
          <cell r="C4116" t="str">
            <v>Koashvite</v>
          </cell>
          <cell r="E4116" t="str">
            <v>https://www.mindat.org/1:1:2230:5</v>
          </cell>
        </row>
        <row r="4117">
          <cell r="A4117">
            <v>3337</v>
          </cell>
          <cell r="B4117">
            <v>5245</v>
          </cell>
          <cell r="C4117" t="str">
            <v>Komarovite</v>
          </cell>
          <cell r="E4117" t="str">
            <v>https://www.mindat.org/1:1:2245:9</v>
          </cell>
        </row>
        <row r="4118">
          <cell r="A4118">
            <v>3346</v>
          </cell>
          <cell r="B4118">
            <v>5245</v>
          </cell>
          <cell r="C4118" t="str">
            <v>Kornerupine</v>
          </cell>
          <cell r="E4118" t="str">
            <v>https://www.mindat.org/1:1:2254:1</v>
          </cell>
        </row>
        <row r="4119">
          <cell r="A4119">
            <v>3354</v>
          </cell>
          <cell r="B4119">
            <v>5245</v>
          </cell>
          <cell r="C4119" t="str">
            <v>Kostylevite</v>
          </cell>
          <cell r="E4119" t="str">
            <v>https://www.mindat.org/1:1:2261:9</v>
          </cell>
        </row>
        <row r="4120">
          <cell r="A4120">
            <v>3360</v>
          </cell>
          <cell r="B4120">
            <v>5245</v>
          </cell>
          <cell r="C4120" t="str">
            <v>Kozulite</v>
          </cell>
          <cell r="E4120" t="str">
            <v/>
          </cell>
        </row>
        <row r="4121">
          <cell r="A4121">
            <v>3365</v>
          </cell>
          <cell r="B4121">
            <v>5245</v>
          </cell>
          <cell r="C4121" t="str">
            <v>Krauskopfite</v>
          </cell>
          <cell r="E4121" t="str">
            <v>https://www.mindat.org/1:1:2271:8</v>
          </cell>
        </row>
        <row r="4122">
          <cell r="A4122">
            <v>3372</v>
          </cell>
          <cell r="B4122">
            <v>5245</v>
          </cell>
          <cell r="C4122" t="str">
            <v>Kristiansenite</v>
          </cell>
          <cell r="E4122" t="str">
            <v>https://www.mindat.org/1:1:10814:0</v>
          </cell>
        </row>
        <row r="4123">
          <cell r="A4123">
            <v>3380</v>
          </cell>
          <cell r="B4123">
            <v>5245</v>
          </cell>
          <cell r="C4123" t="str">
            <v>Kukisvumite</v>
          </cell>
          <cell r="E4123" t="str">
            <v>https://www.mindat.org/1:1:2283:1</v>
          </cell>
        </row>
        <row r="4124">
          <cell r="A4124">
            <v>3384</v>
          </cell>
          <cell r="B4124">
            <v>5245</v>
          </cell>
          <cell r="C4124" t="str">
            <v>Kulkeite</v>
          </cell>
          <cell r="E4124" t="str">
            <v>https://www.mindat.org/1:1:2287:9</v>
          </cell>
        </row>
        <row r="4125">
          <cell r="A4125">
            <v>3386</v>
          </cell>
          <cell r="B4125">
            <v>5245</v>
          </cell>
          <cell r="C4125" t="str">
            <v>Kupletskite</v>
          </cell>
          <cell r="E4125" t="str">
            <v>https://www.mindat.org/1:1:2290:9</v>
          </cell>
        </row>
        <row r="4126">
          <cell r="A4126">
            <v>3400</v>
          </cell>
          <cell r="B4126">
            <v>5245</v>
          </cell>
          <cell r="C4126" t="str">
            <v>Kvanefjeldite</v>
          </cell>
          <cell r="E4126" t="str">
            <v>https://www.mindat.org/1:1:2302:9</v>
          </cell>
        </row>
        <row r="4127">
          <cell r="A4127">
            <v>3401</v>
          </cell>
          <cell r="B4127">
            <v>5245</v>
          </cell>
          <cell r="C4127" t="str">
            <v>Kyanite</v>
          </cell>
          <cell r="E4127" t="str">
            <v>https://www.mindat.org/1:1:2303:6</v>
          </cell>
        </row>
        <row r="4128">
          <cell r="A4128">
            <v>3404</v>
          </cell>
          <cell r="B4128">
            <v>5245</v>
          </cell>
          <cell r="C4128" t="str">
            <v>Labradorite</v>
          </cell>
          <cell r="E4128" t="str">
            <v>https://www.mindat.org/1:1:815:0</v>
          </cell>
        </row>
        <row r="4129">
          <cell r="A4129">
            <v>3405</v>
          </cell>
          <cell r="B4129">
            <v>5245</v>
          </cell>
          <cell r="C4129" t="str">
            <v>Labuntsovite</v>
          </cell>
          <cell r="E4129" t="str">
            <v/>
          </cell>
        </row>
        <row r="4130">
          <cell r="A4130">
            <v>3409</v>
          </cell>
          <cell r="B4130">
            <v>5245</v>
          </cell>
          <cell r="C4130" t="str">
            <v>Laihunite</v>
          </cell>
          <cell r="E4130" t="str">
            <v>https://www.mindat.org/1:1:2312:8</v>
          </cell>
        </row>
        <row r="4131">
          <cell r="A4131">
            <v>3412</v>
          </cell>
          <cell r="B4131">
            <v>5245</v>
          </cell>
          <cell r="C4131" t="str">
            <v>Lamprophyllite</v>
          </cell>
          <cell r="E4131" t="str">
            <v>https://www.mindat.org/1:1:2315:9</v>
          </cell>
        </row>
        <row r="4132">
          <cell r="A4132">
            <v>3416</v>
          </cell>
          <cell r="B4132">
            <v>5245</v>
          </cell>
          <cell r="C4132" t="str">
            <v>Langbanite</v>
          </cell>
          <cell r="E4132" t="str">
            <v/>
          </cell>
        </row>
        <row r="4133">
          <cell r="A4133">
            <v>3428</v>
          </cell>
          <cell r="B4133">
            <v>5245</v>
          </cell>
          <cell r="C4133" t="str">
            <v>Laplandite-(Ce)</v>
          </cell>
          <cell r="E4133" t="str">
            <v>https://www.mindat.org/1:1:2331:9</v>
          </cell>
        </row>
        <row r="4134">
          <cell r="A4134">
            <v>3430</v>
          </cell>
          <cell r="B4134">
            <v>5245</v>
          </cell>
          <cell r="C4134" t="str">
            <v>Larnite</v>
          </cell>
          <cell r="E4134" t="str">
            <v>https://www.mindat.org/1:1:2333:3</v>
          </cell>
        </row>
        <row r="4135">
          <cell r="A4135">
            <v>3432</v>
          </cell>
          <cell r="B4135">
            <v>5245</v>
          </cell>
          <cell r="C4135" t="str">
            <v>Larsenite</v>
          </cell>
          <cell r="E4135" t="str">
            <v>https://www.mindat.org/1:1:2335:7</v>
          </cell>
        </row>
        <row r="4136">
          <cell r="A4136">
            <v>3433</v>
          </cell>
          <cell r="B4136">
            <v>5245</v>
          </cell>
          <cell r="C4136" t="str">
            <v>Latiumite</v>
          </cell>
          <cell r="E4136" t="str">
            <v>https://www.mindat.org/1:1:2336:4</v>
          </cell>
        </row>
        <row r="4137">
          <cell r="A4137">
            <v>3436</v>
          </cell>
          <cell r="B4137">
            <v>5245</v>
          </cell>
          <cell r="C4137" t="str">
            <v>Laumontite</v>
          </cell>
          <cell r="E4137" t="str">
            <v>https://www.mindat.org/1:1:2340:1</v>
          </cell>
        </row>
        <row r="4138">
          <cell r="A4138">
            <v>3446</v>
          </cell>
          <cell r="B4138">
            <v>5245</v>
          </cell>
          <cell r="C4138" t="str">
            <v>Lavenite</v>
          </cell>
          <cell r="E4138" t="str">
            <v/>
          </cell>
        </row>
        <row r="4139">
          <cell r="A4139">
            <v>3450</v>
          </cell>
          <cell r="B4139">
            <v>5245</v>
          </cell>
          <cell r="C4139" t="str">
            <v>Lawsonite</v>
          </cell>
          <cell r="E4139" t="str">
            <v>https://www.mindat.org/1:1:2353:1</v>
          </cell>
        </row>
        <row r="4140">
          <cell r="A4140">
            <v>3453</v>
          </cell>
          <cell r="B4140">
            <v>5245</v>
          </cell>
          <cell r="C4140" t="str">
            <v>Lazurite</v>
          </cell>
          <cell r="E4140" t="str">
            <v>https://www.mindat.org/1:1:2357:9</v>
          </cell>
        </row>
        <row r="4141">
          <cell r="A4141">
            <v>3457</v>
          </cell>
          <cell r="B4141">
            <v>5245</v>
          </cell>
          <cell r="C4141" t="str">
            <v>Leakeite</v>
          </cell>
          <cell r="E4141" t="str">
            <v/>
          </cell>
        </row>
        <row r="4142">
          <cell r="A4142">
            <v>3462</v>
          </cell>
          <cell r="B4142">
            <v>5245</v>
          </cell>
          <cell r="C4142" t="str">
            <v>Leifite</v>
          </cell>
          <cell r="E4142" t="str">
            <v>https://www.mindat.org/1:1:2368:5</v>
          </cell>
        </row>
        <row r="4143">
          <cell r="A4143">
            <v>3468</v>
          </cell>
          <cell r="B4143">
            <v>5245</v>
          </cell>
          <cell r="C4143" t="str">
            <v>Lemoynite</v>
          </cell>
          <cell r="E4143" t="str">
            <v>https://www.mindat.org/1:1:2371:5</v>
          </cell>
        </row>
        <row r="4144">
          <cell r="A4144">
            <v>3472</v>
          </cell>
          <cell r="B4144">
            <v>5245</v>
          </cell>
          <cell r="C4144" t="str">
            <v>Lennilenapeite</v>
          </cell>
          <cell r="E4144" t="str">
            <v>https://www.mindat.org/1:1:2375:3</v>
          </cell>
        </row>
        <row r="4145">
          <cell r="A4145">
            <v>3477</v>
          </cell>
          <cell r="B4145">
            <v>5245</v>
          </cell>
          <cell r="C4145" t="str">
            <v>Lepidolite</v>
          </cell>
          <cell r="E4145" t="str">
            <v>https://www.mindat.org/1:1:2380:7</v>
          </cell>
        </row>
        <row r="4146">
          <cell r="A4146">
            <v>3478</v>
          </cell>
          <cell r="B4146">
            <v>5245</v>
          </cell>
          <cell r="C4146" t="str">
            <v>Lepidolite-2m</v>
          </cell>
          <cell r="E4146" t="str">
            <v/>
          </cell>
        </row>
        <row r="4147">
          <cell r="A4147">
            <v>3482</v>
          </cell>
          <cell r="B4147">
            <v>5245</v>
          </cell>
          <cell r="C4147" t="str">
            <v>Leucite</v>
          </cell>
          <cell r="E4147" t="str">
            <v>https://www.mindat.org/1:1:2465:1</v>
          </cell>
        </row>
        <row r="4148">
          <cell r="A4148">
            <v>3483</v>
          </cell>
          <cell r="B4148">
            <v>5245</v>
          </cell>
          <cell r="C4148" t="str">
            <v>Leucophanite</v>
          </cell>
          <cell r="E4148" t="str">
            <v>https://www.mindat.org/1:1:2383:8</v>
          </cell>
        </row>
        <row r="4149">
          <cell r="A4149">
            <v>3484</v>
          </cell>
          <cell r="B4149">
            <v>5245</v>
          </cell>
          <cell r="C4149" t="str">
            <v>Leucophoenicite</v>
          </cell>
          <cell r="E4149" t="str">
            <v>https://www.mindat.org/1:1:2384:5</v>
          </cell>
        </row>
        <row r="4150">
          <cell r="A4150">
            <v>3486</v>
          </cell>
          <cell r="B4150">
            <v>5245</v>
          </cell>
          <cell r="C4150" t="str">
            <v>Leucosphenite</v>
          </cell>
          <cell r="E4150" t="str">
            <v>https://www.mindat.org/1:1:2386:9</v>
          </cell>
        </row>
        <row r="4151">
          <cell r="A4151">
            <v>3489</v>
          </cell>
          <cell r="B4151">
            <v>5245</v>
          </cell>
          <cell r="C4151" t="str">
            <v>Levyne</v>
          </cell>
          <cell r="E4151" t="str">
            <v/>
          </cell>
        </row>
        <row r="4152">
          <cell r="A4152">
            <v>3490</v>
          </cell>
          <cell r="B4152">
            <v>5245</v>
          </cell>
          <cell r="C4152" t="str">
            <v>Levyne-Ca</v>
          </cell>
          <cell r="E4152" t="str">
            <v/>
          </cell>
        </row>
        <row r="4153">
          <cell r="A4153">
            <v>3491</v>
          </cell>
          <cell r="B4153">
            <v>5245</v>
          </cell>
          <cell r="C4153" t="str">
            <v>Levyne-Na</v>
          </cell>
          <cell r="E4153" t="str">
            <v/>
          </cell>
        </row>
        <row r="4154">
          <cell r="A4154">
            <v>3496</v>
          </cell>
          <cell r="B4154">
            <v>5245</v>
          </cell>
          <cell r="C4154" t="str">
            <v>Liddicoatite</v>
          </cell>
          <cell r="E4154" t="str">
            <v/>
          </cell>
        </row>
        <row r="4155">
          <cell r="A4155">
            <v>3498</v>
          </cell>
          <cell r="B4155">
            <v>5245</v>
          </cell>
          <cell r="C4155" t="str">
            <v>Liebenbergite</v>
          </cell>
          <cell r="E4155" t="str">
            <v>https://www.mindat.org/1:1:2397:5</v>
          </cell>
        </row>
        <row r="4156">
          <cell r="A4156">
            <v>3512</v>
          </cell>
          <cell r="B4156">
            <v>5245</v>
          </cell>
          <cell r="C4156" t="str">
            <v>Lintisite</v>
          </cell>
          <cell r="E4156" t="str">
            <v>https://www.mindat.org/1:1:2410:1</v>
          </cell>
        </row>
        <row r="4157">
          <cell r="A4157">
            <v>3513</v>
          </cell>
          <cell r="B4157">
            <v>5245</v>
          </cell>
          <cell r="C4157" t="str">
            <v>Liottite</v>
          </cell>
          <cell r="E4157" t="str">
            <v>https://www.mindat.org/1:1:2411:8</v>
          </cell>
        </row>
        <row r="4158">
          <cell r="A4158">
            <v>3526</v>
          </cell>
          <cell r="B4158">
            <v>5245</v>
          </cell>
          <cell r="C4158" t="str">
            <v>Bismutoferrite</v>
          </cell>
          <cell r="E4158" t="str">
            <v>https://www.mindat.org/1:1:667:5</v>
          </cell>
        </row>
        <row r="4159">
          <cell r="A4159">
            <v>3532</v>
          </cell>
          <cell r="B4159">
            <v>5245</v>
          </cell>
          <cell r="C4159" t="str">
            <v>Bityite</v>
          </cell>
          <cell r="E4159" t="str">
            <v>https://www.mindat.org/1:1:689:7</v>
          </cell>
        </row>
        <row r="4160">
          <cell r="A4160">
            <v>3552</v>
          </cell>
          <cell r="B4160">
            <v>5245</v>
          </cell>
          <cell r="C4160" t="str">
            <v>Boltwoodite</v>
          </cell>
          <cell r="E4160" t="str">
            <v>https://www.mindat.org/1:1:716:0</v>
          </cell>
        </row>
        <row r="4161">
          <cell r="A4161">
            <v>3558</v>
          </cell>
          <cell r="B4161">
            <v>5245</v>
          </cell>
          <cell r="C4161" t="str">
            <v>Boralsilite</v>
          </cell>
          <cell r="E4161" t="str">
            <v>https://www.mindat.org/1:1:6829:7</v>
          </cell>
        </row>
        <row r="4162">
          <cell r="A4162">
            <v>3562</v>
          </cell>
          <cell r="B4162">
            <v>5245</v>
          </cell>
          <cell r="C4162" t="str">
            <v>Bornemanite</v>
          </cell>
          <cell r="E4162" t="str">
            <v>https://www.mindat.org/1:1:725:8</v>
          </cell>
        </row>
        <row r="4163">
          <cell r="A4163">
            <v>3566</v>
          </cell>
          <cell r="B4163">
            <v>5245</v>
          </cell>
          <cell r="C4163" t="str">
            <v>Boromuscovite</v>
          </cell>
          <cell r="E4163" t="str">
            <v>https://www.mindat.org/1:1:729:4</v>
          </cell>
        </row>
        <row r="4164">
          <cell r="A4164">
            <v>3568</v>
          </cell>
          <cell r="B4164">
            <v>5245</v>
          </cell>
          <cell r="C4164" t="str">
            <v>Bostwickite</v>
          </cell>
          <cell r="E4164" t="str">
            <v>https://www.mindat.org/1:1:731:9</v>
          </cell>
        </row>
        <row r="4165">
          <cell r="A4165">
            <v>3584</v>
          </cell>
          <cell r="B4165">
            <v>5245</v>
          </cell>
          <cell r="C4165" t="str">
            <v>Brammallite</v>
          </cell>
          <cell r="E4165" t="str">
            <v/>
          </cell>
        </row>
        <row r="4166">
          <cell r="A4166">
            <v>3588</v>
          </cell>
          <cell r="B4166">
            <v>5245</v>
          </cell>
          <cell r="C4166" t="str">
            <v>Brannockite</v>
          </cell>
          <cell r="E4166" t="str">
            <v>https://www.mindat.org/1:1:755:9</v>
          </cell>
        </row>
        <row r="4167">
          <cell r="A4167">
            <v>3590</v>
          </cell>
          <cell r="B4167">
            <v>5245</v>
          </cell>
          <cell r="C4167" t="str">
            <v>Braunite</v>
          </cell>
          <cell r="E4167" t="str">
            <v>https://www.mindat.org/1:1:757:7</v>
          </cell>
        </row>
        <row r="4168">
          <cell r="A4168">
            <v>3593</v>
          </cell>
          <cell r="B4168">
            <v>5245</v>
          </cell>
          <cell r="C4168" t="str">
            <v>Bredigite</v>
          </cell>
          <cell r="E4168" t="str">
            <v>https://www.mindat.org/1:1:762:9</v>
          </cell>
        </row>
        <row r="4169">
          <cell r="A4169">
            <v>3596</v>
          </cell>
          <cell r="B4169">
            <v>5245</v>
          </cell>
          <cell r="C4169" t="str">
            <v>Brewsterite</v>
          </cell>
          <cell r="E4169" t="str">
            <v>https://www.mindat.org/1:1:766:5</v>
          </cell>
        </row>
        <row r="4170">
          <cell r="A4170">
            <v>3597</v>
          </cell>
          <cell r="B4170">
            <v>5245</v>
          </cell>
          <cell r="C4170" t="str">
            <v>Brewsterite-Ba</v>
          </cell>
          <cell r="E4170" t="str">
            <v>https://www.mindat.org/1:1:6832:7</v>
          </cell>
        </row>
        <row r="4171">
          <cell r="A4171">
            <v>3598</v>
          </cell>
          <cell r="B4171">
            <v>5245</v>
          </cell>
          <cell r="C4171" t="str">
            <v>Brewsterite-Sr</v>
          </cell>
          <cell r="E4171" t="str">
            <v>https://www.mindat.org/1:1:6833:4</v>
          </cell>
        </row>
        <row r="4172">
          <cell r="A4172">
            <v>3604</v>
          </cell>
          <cell r="B4172">
            <v>5245</v>
          </cell>
          <cell r="C4172" t="str">
            <v>Brindleyite</v>
          </cell>
          <cell r="E4172" t="str">
            <v>https://www.mindat.org/1:1:774:4</v>
          </cell>
        </row>
        <row r="4173">
          <cell r="A4173">
            <v>3605</v>
          </cell>
          <cell r="B4173">
            <v>5245</v>
          </cell>
          <cell r="C4173" t="str">
            <v>Britholite</v>
          </cell>
          <cell r="E4173" t="str">
            <v/>
          </cell>
        </row>
        <row r="4174">
          <cell r="A4174">
            <v>3606</v>
          </cell>
          <cell r="B4174">
            <v>5245</v>
          </cell>
          <cell r="C4174" t="str">
            <v>Britholite-(Ce)</v>
          </cell>
          <cell r="E4174" t="str">
            <v>https://www.mindat.org/1:1:775:3</v>
          </cell>
        </row>
        <row r="4175">
          <cell r="A4175">
            <v>3607</v>
          </cell>
          <cell r="B4175">
            <v>5245</v>
          </cell>
          <cell r="C4175" t="str">
            <v>Britholite-(Y)</v>
          </cell>
          <cell r="E4175" t="str">
            <v>https://www.mindat.org/1:1:776:2</v>
          </cell>
        </row>
        <row r="4176">
          <cell r="A4176">
            <v>3623</v>
          </cell>
          <cell r="B4176">
            <v>5245</v>
          </cell>
          <cell r="C4176" t="str">
            <v>Buddingtonite</v>
          </cell>
          <cell r="E4176" t="str">
            <v>https://www.mindat.org/1:1:796:6</v>
          </cell>
        </row>
        <row r="4177">
          <cell r="A4177">
            <v>3624</v>
          </cell>
          <cell r="B4177">
            <v>5245</v>
          </cell>
          <cell r="C4177" t="str">
            <v>Buergerite</v>
          </cell>
          <cell r="E4177" t="str">
            <v/>
          </cell>
        </row>
        <row r="4178">
          <cell r="A4178">
            <v>3629</v>
          </cell>
          <cell r="B4178">
            <v>5245</v>
          </cell>
          <cell r="C4178" t="str">
            <v>Bultfonteinite</v>
          </cell>
          <cell r="E4178" t="str">
            <v>https://www.mindat.org/1:1:800:8</v>
          </cell>
        </row>
        <row r="4179">
          <cell r="A4179">
            <v>3633</v>
          </cell>
          <cell r="B4179">
            <v>5245</v>
          </cell>
          <cell r="C4179" t="str">
            <v>Burckhardtite</v>
          </cell>
          <cell r="E4179" t="str">
            <v>https://www.mindat.org/1:1:804:4</v>
          </cell>
        </row>
        <row r="4180">
          <cell r="A4180">
            <v>3638</v>
          </cell>
          <cell r="B4180">
            <v>5245</v>
          </cell>
          <cell r="C4180" t="str">
            <v>Bustamite</v>
          </cell>
          <cell r="E4180" t="str">
            <v>https://www.mindat.org/1:1:809:9</v>
          </cell>
        </row>
        <row r="4181">
          <cell r="A4181">
            <v>3645</v>
          </cell>
          <cell r="B4181">
            <v>5245</v>
          </cell>
          <cell r="C4181" t="str">
            <v>Bytownite</v>
          </cell>
          <cell r="E4181" t="str">
            <v>https://www.mindat.org/1:1:815:0</v>
          </cell>
        </row>
        <row r="4182">
          <cell r="A4182">
            <v>3667</v>
          </cell>
          <cell r="B4182">
            <v>5245</v>
          </cell>
          <cell r="C4182" t="str">
            <v>Calciohilairite</v>
          </cell>
          <cell r="E4182" t="str">
            <v>https://www.mindat.org/1:1:831:8</v>
          </cell>
        </row>
        <row r="4183">
          <cell r="A4183">
            <v>3673</v>
          </cell>
          <cell r="B4183">
            <v>5245</v>
          </cell>
          <cell r="C4183" t="str">
            <v>Calciumcatapleiite</v>
          </cell>
          <cell r="E4183" t="str">
            <v/>
          </cell>
        </row>
        <row r="4184">
          <cell r="A4184">
            <v>3677</v>
          </cell>
          <cell r="B4184">
            <v>5245</v>
          </cell>
          <cell r="C4184" t="str">
            <v>Calderite</v>
          </cell>
          <cell r="E4184" t="str">
            <v>https://www.mindat.org/1:1:864:6</v>
          </cell>
        </row>
        <row r="4185">
          <cell r="A4185">
            <v>3690</v>
          </cell>
          <cell r="B4185">
            <v>5245</v>
          </cell>
          <cell r="C4185" t="str">
            <v>Canasite</v>
          </cell>
          <cell r="E4185" t="str">
            <v>https://www.mindat.org/1:1:878:9</v>
          </cell>
        </row>
        <row r="4186">
          <cell r="A4186">
            <v>3692</v>
          </cell>
          <cell r="B4186">
            <v>5245</v>
          </cell>
          <cell r="C4186" t="str">
            <v>Cancrinite</v>
          </cell>
          <cell r="E4186" t="str">
            <v>https://www.mindat.org/1:1:880:4</v>
          </cell>
        </row>
        <row r="4187">
          <cell r="A4187">
            <v>3693</v>
          </cell>
          <cell r="B4187">
            <v>5245</v>
          </cell>
          <cell r="C4187" t="str">
            <v>Cancrisilite</v>
          </cell>
          <cell r="E4187" t="str">
            <v>https://www.mindat.org/1:1:881:3</v>
          </cell>
        </row>
        <row r="4188">
          <cell r="A4188">
            <v>3701</v>
          </cell>
          <cell r="B4188">
            <v>5245</v>
          </cell>
          <cell r="C4188" t="str">
            <v>Cappelenite-(Y)</v>
          </cell>
          <cell r="E4188" t="str">
            <v>https://www.mindat.org/1:1:889:5</v>
          </cell>
        </row>
        <row r="4189">
          <cell r="A4189">
            <v>3705</v>
          </cell>
          <cell r="B4189">
            <v>5245</v>
          </cell>
          <cell r="C4189" t="str">
            <v>Carboirite</v>
          </cell>
          <cell r="E4189" t="str">
            <v>https://www.mindat.org/1:1:893:8</v>
          </cell>
        </row>
        <row r="4190">
          <cell r="A4190">
            <v>3710</v>
          </cell>
          <cell r="B4190">
            <v>5245</v>
          </cell>
          <cell r="C4190" t="str">
            <v>Carletonite</v>
          </cell>
          <cell r="E4190" t="str">
            <v>https://www.mindat.org/1:1:898:3</v>
          </cell>
        </row>
        <row r="4191">
          <cell r="A4191">
            <v>3715</v>
          </cell>
          <cell r="B4191">
            <v>5245</v>
          </cell>
          <cell r="C4191" t="str">
            <v>Carlosturanite</v>
          </cell>
          <cell r="E4191" t="str">
            <v>https://www.mindat.org/1:1:903:4</v>
          </cell>
        </row>
        <row r="4192">
          <cell r="A4192">
            <v>3722</v>
          </cell>
          <cell r="B4192">
            <v>5245</v>
          </cell>
          <cell r="C4192" t="str">
            <v>Carpholite</v>
          </cell>
          <cell r="E4192" t="str">
            <v>https://www.mindat.org/1:1:909:8</v>
          </cell>
        </row>
        <row r="4193">
          <cell r="A4193">
            <v>3727</v>
          </cell>
          <cell r="B4193">
            <v>5245</v>
          </cell>
          <cell r="C4193" t="str">
            <v>Caryopilite</v>
          </cell>
          <cell r="E4193" t="str">
            <v>https://www.mindat.org/1:1:913:1</v>
          </cell>
        </row>
        <row r="4194">
          <cell r="A4194">
            <v>3733</v>
          </cell>
          <cell r="B4194">
            <v>5245</v>
          </cell>
          <cell r="C4194" t="str">
            <v>Catapleiite</v>
          </cell>
          <cell r="E4194" t="str">
            <v>https://www.mindat.org/1:1:919:5</v>
          </cell>
        </row>
        <row r="4195">
          <cell r="A4195">
            <v>3735</v>
          </cell>
          <cell r="B4195">
            <v>5245</v>
          </cell>
          <cell r="C4195" t="str">
            <v>Cavansite</v>
          </cell>
          <cell r="E4195" t="str">
            <v>https://www.mindat.org/1:1:921:0</v>
          </cell>
        </row>
        <row r="4196">
          <cell r="A4196">
            <v>3736</v>
          </cell>
          <cell r="B4196">
            <v>5245</v>
          </cell>
          <cell r="C4196" t="str">
            <v>Caysichite-(Y)</v>
          </cell>
          <cell r="E4196" t="str">
            <v>https://www.mindat.org/1:1:922:9</v>
          </cell>
        </row>
        <row r="4197">
          <cell r="A4197">
            <v>3739</v>
          </cell>
          <cell r="B4197">
            <v>5245</v>
          </cell>
          <cell r="C4197" t="str">
            <v>Cebollite</v>
          </cell>
          <cell r="E4197" t="str">
            <v>https://www.mindat.org/1:1:924:7</v>
          </cell>
        </row>
        <row r="4198">
          <cell r="A4198">
            <v>3742</v>
          </cell>
          <cell r="B4198">
            <v>5245</v>
          </cell>
          <cell r="C4198" t="str">
            <v>Celadonite</v>
          </cell>
          <cell r="E4198" t="str">
            <v>https://www.mindat.org/1:1:926:5</v>
          </cell>
        </row>
        <row r="4199">
          <cell r="A4199">
            <v>3744</v>
          </cell>
          <cell r="B4199">
            <v>5245</v>
          </cell>
          <cell r="C4199" t="str">
            <v>Celsian</v>
          </cell>
          <cell r="E4199" t="str">
            <v>https://www.mindat.org/1:1:928:3</v>
          </cell>
        </row>
        <row r="4200">
          <cell r="A4200">
            <v>3747</v>
          </cell>
          <cell r="B4200">
            <v>5245</v>
          </cell>
          <cell r="C4200" t="str">
            <v>Cerite-(Ce)</v>
          </cell>
          <cell r="E4200" t="str">
            <v/>
          </cell>
        </row>
        <row r="4201">
          <cell r="A4201">
            <v>3752</v>
          </cell>
          <cell r="B4201">
            <v>5245</v>
          </cell>
          <cell r="C4201" t="str">
            <v>Cervandonite-(Ce)</v>
          </cell>
          <cell r="E4201" t="str">
            <v>https://www.mindat.org/1:1:935:3</v>
          </cell>
        </row>
        <row r="4202">
          <cell r="A4202">
            <v>3758</v>
          </cell>
          <cell r="B4202">
            <v>5245</v>
          </cell>
          <cell r="C4202" t="str">
            <v>Cesiumkupletskite</v>
          </cell>
          <cell r="E4202" t="str">
            <v/>
          </cell>
        </row>
        <row r="4203">
          <cell r="A4203">
            <v>3759</v>
          </cell>
          <cell r="B4203">
            <v>5245</v>
          </cell>
          <cell r="C4203" t="str">
            <v>Cesium-kupletskite</v>
          </cell>
          <cell r="E4203" t="str">
            <v/>
          </cell>
        </row>
        <row r="4204">
          <cell r="A4204">
            <v>3763</v>
          </cell>
          <cell r="B4204">
            <v>5245</v>
          </cell>
          <cell r="C4204" t="str">
            <v>Chabazite</v>
          </cell>
          <cell r="E4204" t="str">
            <v/>
          </cell>
        </row>
        <row r="4205">
          <cell r="A4205">
            <v>3764</v>
          </cell>
          <cell r="B4205">
            <v>5245</v>
          </cell>
          <cell r="C4205" t="str">
            <v>Chabazite-Ca</v>
          </cell>
          <cell r="E4205" t="str">
            <v>https://www.mindat.org/1:1:6854:9</v>
          </cell>
        </row>
        <row r="4206">
          <cell r="A4206">
            <v>3765</v>
          </cell>
          <cell r="B4206">
            <v>5245</v>
          </cell>
          <cell r="C4206" t="str">
            <v>Chabazite-K</v>
          </cell>
          <cell r="E4206" t="str">
            <v>https://www.mindat.org/1:1:6855:6</v>
          </cell>
        </row>
        <row r="4207">
          <cell r="A4207">
            <v>3766</v>
          </cell>
          <cell r="B4207">
            <v>5245</v>
          </cell>
          <cell r="C4207" t="str">
            <v>Chabazite-Na</v>
          </cell>
          <cell r="E4207" t="str">
            <v>https://www.mindat.org/1:1:6856:3</v>
          </cell>
        </row>
        <row r="4208">
          <cell r="A4208">
            <v>3767</v>
          </cell>
          <cell r="B4208">
            <v>5245</v>
          </cell>
          <cell r="C4208" t="str">
            <v>Chabazite-Sr</v>
          </cell>
          <cell r="E4208" t="str">
            <v>https://www.mindat.org/1:1:6857:0</v>
          </cell>
        </row>
        <row r="4209">
          <cell r="A4209">
            <v>3784</v>
          </cell>
          <cell r="B4209">
            <v>5245</v>
          </cell>
          <cell r="C4209" t="str">
            <v>Chamosite</v>
          </cell>
          <cell r="E4209" t="str">
            <v>https://www.mindat.org/1:1:967:2</v>
          </cell>
        </row>
        <row r="4210">
          <cell r="A4210">
            <v>3788</v>
          </cell>
          <cell r="B4210">
            <v>5245</v>
          </cell>
          <cell r="C4210" t="str">
            <v>Chantalite</v>
          </cell>
          <cell r="E4210" t="str">
            <v>https://www.mindat.org/1:1:969:0</v>
          </cell>
        </row>
        <row r="4211">
          <cell r="A4211">
            <v>3790</v>
          </cell>
          <cell r="B4211">
            <v>5245</v>
          </cell>
          <cell r="C4211" t="str">
            <v>Chapmanite</v>
          </cell>
          <cell r="E4211" t="str">
            <v>https://www.mindat.org/1:1:970:6</v>
          </cell>
        </row>
        <row r="4212">
          <cell r="A4212">
            <v>3794</v>
          </cell>
          <cell r="B4212">
            <v>5245</v>
          </cell>
          <cell r="C4212" t="str">
            <v>Charoite</v>
          </cell>
          <cell r="E4212" t="str">
            <v>https://www.mindat.org/1:1:972:4</v>
          </cell>
        </row>
        <row r="4213">
          <cell r="A4213">
            <v>3796</v>
          </cell>
          <cell r="B4213">
            <v>5245</v>
          </cell>
          <cell r="C4213" t="str">
            <v>Chayesite</v>
          </cell>
          <cell r="E4213" t="str">
            <v>https://www.mindat.org/1:1:974:2</v>
          </cell>
        </row>
        <row r="4214">
          <cell r="A4214">
            <v>3809</v>
          </cell>
          <cell r="B4214">
            <v>5245</v>
          </cell>
          <cell r="C4214" t="str">
            <v>Chesterite</v>
          </cell>
          <cell r="E4214" t="str">
            <v>https://www.mindat.org/1:1:997:3</v>
          </cell>
        </row>
        <row r="4215">
          <cell r="A4215">
            <v>3811</v>
          </cell>
          <cell r="B4215">
            <v>5245</v>
          </cell>
          <cell r="C4215" t="str">
            <v>Chevkinite</v>
          </cell>
          <cell r="E4215" t="str">
            <v/>
          </cell>
        </row>
        <row r="4216">
          <cell r="A4216">
            <v>3812</v>
          </cell>
          <cell r="B4216">
            <v>5245</v>
          </cell>
          <cell r="C4216" t="str">
            <v>Chevkinite-(Ce)</v>
          </cell>
          <cell r="E4216" t="str">
            <v>https://www.mindat.org/1:1:6867:9</v>
          </cell>
        </row>
        <row r="4217">
          <cell r="A4217">
            <v>3813</v>
          </cell>
          <cell r="B4217">
            <v>5245</v>
          </cell>
          <cell r="C4217" t="str">
            <v>Chiavennite</v>
          </cell>
          <cell r="E4217" t="str">
            <v>https://www.mindat.org/1:1:1002:9</v>
          </cell>
        </row>
        <row r="4218">
          <cell r="A4218">
            <v>3818</v>
          </cell>
          <cell r="B4218">
            <v>5245</v>
          </cell>
          <cell r="C4218" t="str">
            <v>Chkalovite</v>
          </cell>
          <cell r="E4218" t="str">
            <v>https://www.mindat.org/1:1:1007:4</v>
          </cell>
        </row>
        <row r="4219">
          <cell r="A4219">
            <v>3824</v>
          </cell>
          <cell r="B4219">
            <v>5245</v>
          </cell>
          <cell r="C4219" t="str">
            <v>Chlorellestadite</v>
          </cell>
          <cell r="E4219" t="str">
            <v>https://www.mindat.org/1:1:1015:9</v>
          </cell>
        </row>
        <row r="4220">
          <cell r="A4220">
            <v>3825</v>
          </cell>
          <cell r="B4220">
            <v>5245</v>
          </cell>
          <cell r="C4220" t="str">
            <v>Chloritegroup</v>
          </cell>
          <cell r="E4220" t="str">
            <v/>
          </cell>
        </row>
        <row r="4221">
          <cell r="A4221">
            <v>3826</v>
          </cell>
          <cell r="B4221">
            <v>5245</v>
          </cell>
          <cell r="C4221" t="str">
            <v>Chloritoid</v>
          </cell>
          <cell r="E4221" t="str">
            <v>https://www.mindat.org/1:1:1017:3</v>
          </cell>
        </row>
        <row r="4222">
          <cell r="A4222">
            <v>3835</v>
          </cell>
          <cell r="B4222">
            <v>5245</v>
          </cell>
          <cell r="C4222" t="str">
            <v>Chondrodite</v>
          </cell>
          <cell r="E4222" t="str">
            <v>https://www.mindat.org/1:1:1027:2</v>
          </cell>
        </row>
        <row r="4223">
          <cell r="A4223">
            <v>3848</v>
          </cell>
          <cell r="B4223">
            <v>5245</v>
          </cell>
          <cell r="C4223" t="str">
            <v>Chrysocolla</v>
          </cell>
          <cell r="E4223" t="str">
            <v>https://www.mindat.org/1:1:1040:1</v>
          </cell>
        </row>
        <row r="4224">
          <cell r="A4224">
            <v>3849</v>
          </cell>
          <cell r="B4224">
            <v>5245</v>
          </cell>
          <cell r="C4224" t="str">
            <v>Chrysotile</v>
          </cell>
          <cell r="E4224" t="str">
            <v>https://www.mindat.org/1:1:975:1</v>
          </cell>
        </row>
        <row r="4225">
          <cell r="A4225">
            <v>3876</v>
          </cell>
          <cell r="B4225">
            <v>5245</v>
          </cell>
          <cell r="C4225" t="str">
            <v>Clinochlore</v>
          </cell>
          <cell r="E4225" t="str">
            <v>https://www.mindat.org/1:1:1070:8</v>
          </cell>
        </row>
        <row r="4226">
          <cell r="A4226">
            <v>3877</v>
          </cell>
          <cell r="B4226">
            <v>5245</v>
          </cell>
          <cell r="C4226" t="str">
            <v>Clinochrysotile</v>
          </cell>
          <cell r="E4226" t="str">
            <v/>
          </cell>
        </row>
        <row r="4227">
          <cell r="A4227">
            <v>3879</v>
          </cell>
          <cell r="B4227">
            <v>5245</v>
          </cell>
          <cell r="C4227" t="str">
            <v>Clinoenstatite</v>
          </cell>
          <cell r="E4227" t="str">
            <v>https://www.mindat.org/1:1:1072:2</v>
          </cell>
        </row>
        <row r="4228">
          <cell r="A4228">
            <v>3881</v>
          </cell>
          <cell r="B4228">
            <v>5245</v>
          </cell>
          <cell r="C4228" t="str">
            <v>Clinoferrosilite</v>
          </cell>
          <cell r="E4228" t="str">
            <v>https://www.mindat.org/1:1:1073:9</v>
          </cell>
        </row>
        <row r="4229">
          <cell r="A4229">
            <v>3882</v>
          </cell>
          <cell r="B4229">
            <v>5245</v>
          </cell>
          <cell r="C4229" t="str">
            <v>Clinohedrite</v>
          </cell>
          <cell r="E4229" t="str">
            <v>https://www.mindat.org/1:1:1075:3</v>
          </cell>
        </row>
        <row r="4230">
          <cell r="A4230">
            <v>3884</v>
          </cell>
          <cell r="B4230">
            <v>5245</v>
          </cell>
          <cell r="C4230" t="str">
            <v>Clinohumite</v>
          </cell>
          <cell r="E4230" t="str">
            <v>https://www.mindat.org/1:1:1077:7</v>
          </cell>
        </row>
        <row r="4231">
          <cell r="A4231">
            <v>3885</v>
          </cell>
          <cell r="B4231">
            <v>5245</v>
          </cell>
          <cell r="C4231" t="str">
            <v>Clinojimthompsonite</v>
          </cell>
          <cell r="E4231" t="str">
            <v>https://www.mindat.org/1:1:1078:4</v>
          </cell>
        </row>
        <row r="4232">
          <cell r="A4232">
            <v>3889</v>
          </cell>
          <cell r="B4232">
            <v>5245</v>
          </cell>
          <cell r="C4232" t="str">
            <v>Clinoptilolite</v>
          </cell>
          <cell r="E4232" t="str">
            <v>https://www.mindat.org/1:1:1082:1</v>
          </cell>
        </row>
        <row r="4233">
          <cell r="A4233">
            <v>3890</v>
          </cell>
          <cell r="B4233">
            <v>5245</v>
          </cell>
          <cell r="C4233" t="str">
            <v>Clinoptilolite-Ca</v>
          </cell>
          <cell r="E4233" t="str">
            <v>https://www.mindat.org/1:1:6882:2</v>
          </cell>
        </row>
        <row r="4234">
          <cell r="A4234">
            <v>3891</v>
          </cell>
          <cell r="B4234">
            <v>5245</v>
          </cell>
          <cell r="C4234" t="str">
            <v>Clinoptilolite-K</v>
          </cell>
          <cell r="E4234" t="str">
            <v>https://www.mindat.org/1:1:6883:9</v>
          </cell>
        </row>
        <row r="4235">
          <cell r="A4235">
            <v>3892</v>
          </cell>
          <cell r="B4235">
            <v>5245</v>
          </cell>
          <cell r="C4235" t="str">
            <v>Clinoptilolite-Na</v>
          </cell>
          <cell r="E4235" t="str">
            <v>https://www.mindat.org/1:1:6884:6</v>
          </cell>
        </row>
        <row r="4236">
          <cell r="A4236">
            <v>3897</v>
          </cell>
          <cell r="B4236">
            <v>5245</v>
          </cell>
          <cell r="C4236" t="str">
            <v>Clinozoisite</v>
          </cell>
          <cell r="E4236" t="str">
            <v>https://www.mindat.org/1:1:1087:6</v>
          </cell>
        </row>
        <row r="4237">
          <cell r="A4237">
            <v>3898</v>
          </cell>
          <cell r="B4237">
            <v>5245</v>
          </cell>
          <cell r="C4237" t="str">
            <v>Clintonite</v>
          </cell>
          <cell r="E4237" t="str">
            <v>https://www.mindat.org/1:1:1088:3</v>
          </cell>
        </row>
        <row r="4238">
          <cell r="A4238">
            <v>3911</v>
          </cell>
          <cell r="B4238">
            <v>5245</v>
          </cell>
          <cell r="C4238" t="str">
            <v>Coffinite</v>
          </cell>
          <cell r="E4238" t="str">
            <v>https://www.mindat.org/1:1:1106:4</v>
          </cell>
        </row>
        <row r="4239">
          <cell r="A4239">
            <v>3920</v>
          </cell>
          <cell r="B4239">
            <v>5245</v>
          </cell>
          <cell r="C4239" t="str">
            <v>Combeite</v>
          </cell>
          <cell r="E4239" t="str">
            <v>https://www.mindat.org/1:1:1115:6</v>
          </cell>
        </row>
        <row r="4240">
          <cell r="A4240">
            <v>3927</v>
          </cell>
          <cell r="B4240">
            <v>5245</v>
          </cell>
          <cell r="C4240" t="str">
            <v>Cookeite</v>
          </cell>
          <cell r="E4240" t="str">
            <v>https://www.mindat.org/1:1:1121:7</v>
          </cell>
        </row>
        <row r="4241">
          <cell r="A4241">
            <v>3928</v>
          </cell>
          <cell r="B4241">
            <v>5245</v>
          </cell>
          <cell r="C4241" t="str">
            <v>Coombsite</v>
          </cell>
          <cell r="E4241" t="str">
            <v>https://www.mindat.org/1:1:1122:4</v>
          </cell>
        </row>
        <row r="4242">
          <cell r="A4242">
            <v>3939</v>
          </cell>
          <cell r="B4242">
            <v>5245</v>
          </cell>
          <cell r="C4242" t="str">
            <v>Cordierite</v>
          </cell>
          <cell r="E4242" t="str">
            <v>https://www.mindat.org/1:1:1128:6</v>
          </cell>
        </row>
        <row r="4243">
          <cell r="A4243">
            <v>3944</v>
          </cell>
          <cell r="B4243">
            <v>5245</v>
          </cell>
          <cell r="C4243" t="str">
            <v>Abswurmbachite</v>
          </cell>
          <cell r="E4243" t="str">
            <v>https://www.mindat.org/1:1:9:7</v>
          </cell>
        </row>
        <row r="4244">
          <cell r="A4244">
            <v>3947</v>
          </cell>
          <cell r="B4244">
            <v>5245</v>
          </cell>
          <cell r="C4244" t="str">
            <v>Actinolite</v>
          </cell>
          <cell r="E4244" t="str">
            <v>https://www.mindat.org/1:1:18:1</v>
          </cell>
        </row>
        <row r="4245">
          <cell r="A4245">
            <v>3953</v>
          </cell>
          <cell r="B4245">
            <v>5245</v>
          </cell>
          <cell r="C4245" t="str">
            <v>Aegirine</v>
          </cell>
          <cell r="E4245" t="str">
            <v>https://www.mindat.org/1:1:31:0</v>
          </cell>
        </row>
        <row r="4246">
          <cell r="A4246">
            <v>3954</v>
          </cell>
          <cell r="B4246">
            <v>5245</v>
          </cell>
          <cell r="C4246" t="str">
            <v>Aenigmatite</v>
          </cell>
          <cell r="E4246" t="str">
            <v>https://www.mindat.org/1:1:33:4</v>
          </cell>
        </row>
        <row r="4247">
          <cell r="A4247">
            <v>3955</v>
          </cell>
          <cell r="B4247">
            <v>5245</v>
          </cell>
          <cell r="C4247" t="str">
            <v>Aerinite</v>
          </cell>
          <cell r="E4247" t="str">
            <v>https://www.mindat.org/1:1:34:1</v>
          </cell>
        </row>
        <row r="4248">
          <cell r="A4248">
            <v>3961</v>
          </cell>
          <cell r="B4248">
            <v>5245</v>
          </cell>
          <cell r="C4248" t="str">
            <v>Afghanite</v>
          </cell>
          <cell r="E4248" t="str">
            <v>https://www.mindat.org/1:1:41:9</v>
          </cell>
        </row>
        <row r="4249">
          <cell r="A4249">
            <v>3962</v>
          </cell>
          <cell r="B4249">
            <v>5245</v>
          </cell>
          <cell r="C4249" t="str">
            <v>Afwillite</v>
          </cell>
          <cell r="E4249" t="str">
            <v>https://www.mindat.org/1:1:42:6</v>
          </cell>
        </row>
        <row r="4250">
          <cell r="A4250">
            <v>3966</v>
          </cell>
          <cell r="B4250">
            <v>5245</v>
          </cell>
          <cell r="C4250" t="str">
            <v>Agrellite</v>
          </cell>
          <cell r="E4250" t="str">
            <v>https://www.mindat.org/1:1:57:0</v>
          </cell>
        </row>
        <row r="4251">
          <cell r="A4251">
            <v>3972</v>
          </cell>
          <cell r="B4251">
            <v>5245</v>
          </cell>
          <cell r="C4251" t="str">
            <v>Ajoite</v>
          </cell>
          <cell r="E4251" t="str">
            <v>https://www.mindat.org/1:1:66:2</v>
          </cell>
        </row>
        <row r="4252">
          <cell r="A4252">
            <v>3974</v>
          </cell>
          <cell r="B4252">
            <v>5245</v>
          </cell>
          <cell r="C4252" t="str">
            <v>Akatoreite</v>
          </cell>
          <cell r="E4252" t="str">
            <v>https://www.mindat.org/1:1:68:6</v>
          </cell>
        </row>
        <row r="4253">
          <cell r="A4253">
            <v>3984</v>
          </cell>
          <cell r="B4253">
            <v>5245</v>
          </cell>
          <cell r="C4253" t="str">
            <v>Alamosite</v>
          </cell>
          <cell r="E4253" t="str">
            <v>https://www.mindat.org/1:1:93:8</v>
          </cell>
        </row>
        <row r="4254">
          <cell r="A4254">
            <v>3986</v>
          </cell>
          <cell r="B4254">
            <v>5245</v>
          </cell>
          <cell r="C4254" t="str">
            <v>Albite</v>
          </cell>
          <cell r="E4254" t="str">
            <v>https://www.mindat.org/1:1:96:9</v>
          </cell>
        </row>
        <row r="4255">
          <cell r="A4255">
            <v>3993</v>
          </cell>
          <cell r="B4255">
            <v>5245</v>
          </cell>
          <cell r="C4255" t="str">
            <v>Aliettite</v>
          </cell>
          <cell r="E4255" t="str">
            <v>https://www.mindat.org/1:1:115:7</v>
          </cell>
        </row>
        <row r="4256">
          <cell r="A4256">
            <v>3995</v>
          </cell>
          <cell r="B4256">
            <v>5245</v>
          </cell>
          <cell r="C4256" t="str">
            <v>Allanite</v>
          </cell>
          <cell r="E4256" t="str">
            <v/>
          </cell>
        </row>
        <row r="4257">
          <cell r="A4257">
            <v>3996</v>
          </cell>
          <cell r="B4257">
            <v>5245</v>
          </cell>
          <cell r="C4257" t="str">
            <v>Allanite-(Ce)</v>
          </cell>
          <cell r="E4257" t="str">
            <v>https://www.mindat.org/1:1:125:4</v>
          </cell>
        </row>
        <row r="4258">
          <cell r="A4258">
            <v>3997</v>
          </cell>
          <cell r="B4258">
            <v>5245</v>
          </cell>
          <cell r="C4258" t="str">
            <v>Allanite-(La)</v>
          </cell>
          <cell r="E4258" t="str">
            <v>https://www.mindat.org/1:1:126:3</v>
          </cell>
        </row>
        <row r="4259">
          <cell r="A4259">
            <v>3998</v>
          </cell>
          <cell r="B4259">
            <v>5245</v>
          </cell>
          <cell r="C4259" t="str">
            <v>Allanite-(Y)</v>
          </cell>
          <cell r="E4259" t="str">
            <v>https://www.mindat.org/1:1:127:2</v>
          </cell>
        </row>
        <row r="4260">
          <cell r="A4260">
            <v>4000</v>
          </cell>
          <cell r="B4260">
            <v>5245</v>
          </cell>
          <cell r="C4260" t="str">
            <v>Alleghanyite</v>
          </cell>
          <cell r="E4260" t="str">
            <v>https://www.mindat.org/1:1:129:0</v>
          </cell>
        </row>
        <row r="4261">
          <cell r="A4261">
            <v>4002</v>
          </cell>
          <cell r="B4261">
            <v>5245</v>
          </cell>
          <cell r="C4261" t="str">
            <v>Allophane</v>
          </cell>
          <cell r="E4261" t="str">
            <v>https://www.mindat.org/1:1:139:7</v>
          </cell>
        </row>
        <row r="4262">
          <cell r="A4262">
            <v>4005</v>
          </cell>
          <cell r="B4262">
            <v>5245</v>
          </cell>
          <cell r="C4262" t="str">
            <v>Almandine</v>
          </cell>
          <cell r="E4262" t="str">
            <v>https://www.mindat.org/1:1:452:5</v>
          </cell>
        </row>
        <row r="4263">
          <cell r="A4263">
            <v>4017</v>
          </cell>
          <cell r="B4263">
            <v>5245</v>
          </cell>
          <cell r="C4263" t="str">
            <v>Aluminotschermakite</v>
          </cell>
          <cell r="E4263" t="str">
            <v/>
          </cell>
        </row>
        <row r="4264">
          <cell r="A4264">
            <v>4034</v>
          </cell>
          <cell r="B4264">
            <v>5245</v>
          </cell>
          <cell r="C4264" t="str">
            <v>Amesite</v>
          </cell>
          <cell r="E4264" t="str">
            <v>https://www.mindat.org/1:1:197:1</v>
          </cell>
        </row>
        <row r="4265">
          <cell r="A4265">
            <v>4035</v>
          </cell>
          <cell r="B4265">
            <v>5245</v>
          </cell>
          <cell r="C4265" t="str">
            <v>Amicite</v>
          </cell>
          <cell r="E4265" t="str">
            <v>https://www.mindat.org/1:1:199:9</v>
          </cell>
        </row>
        <row r="4266">
          <cell r="A4266">
            <v>4036</v>
          </cell>
          <cell r="B4266">
            <v>5245</v>
          </cell>
          <cell r="C4266" t="str">
            <v>Aminoffite</v>
          </cell>
          <cell r="E4266" t="str">
            <v>https://www.mindat.org/1:1:200:4</v>
          </cell>
        </row>
        <row r="4267">
          <cell r="A4267">
            <v>4043</v>
          </cell>
          <cell r="B4267">
            <v>5245</v>
          </cell>
          <cell r="C4267" t="str">
            <v>Ammonioleucite</v>
          </cell>
          <cell r="E4267" t="str">
            <v>https://www.mindat.org/1:1:206:8</v>
          </cell>
        </row>
        <row r="4268">
          <cell r="A4268">
            <v>4044</v>
          </cell>
          <cell r="B4268">
            <v>5245</v>
          </cell>
          <cell r="C4268" t="str">
            <v>Amphibolegroup</v>
          </cell>
          <cell r="E4268" t="str">
            <v/>
          </cell>
        </row>
        <row r="4269">
          <cell r="A4269">
            <v>4045</v>
          </cell>
          <cell r="B4269">
            <v>5245</v>
          </cell>
          <cell r="C4269" t="str">
            <v>Amstallite</v>
          </cell>
          <cell r="E4269" t="str">
            <v>https://www.mindat.org/1:1:208:6</v>
          </cell>
        </row>
        <row r="4270">
          <cell r="A4270">
            <v>4046</v>
          </cell>
          <cell r="B4270">
            <v>5245</v>
          </cell>
          <cell r="C4270" t="str">
            <v>Analcime</v>
          </cell>
          <cell r="E4270" t="str">
            <v>https://www.mindat.org/1:1:210:1</v>
          </cell>
        </row>
        <row r="4271">
          <cell r="A4271">
            <v>4047</v>
          </cell>
          <cell r="B4271">
            <v>5245</v>
          </cell>
          <cell r="C4271" t="str">
            <v>Anandite</v>
          </cell>
          <cell r="E4271" t="str">
            <v>https://www.mindat.org/1:1:456:1</v>
          </cell>
        </row>
        <row r="4272">
          <cell r="A4272">
            <v>4052</v>
          </cell>
          <cell r="B4272">
            <v>5245</v>
          </cell>
          <cell r="C4272" t="str">
            <v>Andalusite</v>
          </cell>
          <cell r="E4272" t="str">
            <v>https://www.mindat.org/1:1:217:4</v>
          </cell>
        </row>
        <row r="4273">
          <cell r="A4273">
            <v>4054</v>
          </cell>
          <cell r="B4273">
            <v>5245</v>
          </cell>
          <cell r="C4273" t="str">
            <v>Andesine</v>
          </cell>
          <cell r="E4273" t="str">
            <v>https://www.mindat.org/1:1:220:8</v>
          </cell>
        </row>
        <row r="4274">
          <cell r="A4274">
            <v>4056</v>
          </cell>
          <cell r="B4274">
            <v>5245</v>
          </cell>
          <cell r="C4274" t="str">
            <v>Andradite</v>
          </cell>
          <cell r="E4274" t="str">
            <v>https://www.mindat.org/1:1:223:5</v>
          </cell>
        </row>
        <row r="4275">
          <cell r="A4275">
            <v>4067</v>
          </cell>
          <cell r="B4275">
            <v>5245</v>
          </cell>
          <cell r="C4275" t="str">
            <v>Annite</v>
          </cell>
          <cell r="E4275" t="str">
            <v>https://www.mindat.org/1:1:241:1</v>
          </cell>
        </row>
        <row r="4276">
          <cell r="A4276">
            <v>4068</v>
          </cell>
          <cell r="B4276">
            <v>5245</v>
          </cell>
          <cell r="C4276" t="str">
            <v>Anorthite</v>
          </cell>
          <cell r="E4276" t="str">
            <v>https://www.mindat.org/1:1:246:6</v>
          </cell>
        </row>
        <row r="4277">
          <cell r="A4277">
            <v>4069</v>
          </cell>
          <cell r="B4277">
            <v>5245</v>
          </cell>
          <cell r="C4277" t="str">
            <v>Anorthoclase</v>
          </cell>
          <cell r="E4277" t="str">
            <v>https://www.mindat.org/1:1:248:4</v>
          </cell>
        </row>
        <row r="4278">
          <cell r="A4278">
            <v>4073</v>
          </cell>
          <cell r="B4278">
            <v>5245</v>
          </cell>
          <cell r="C4278" t="str">
            <v>Anthophyllite</v>
          </cell>
          <cell r="E4278" t="str">
            <v>https://www.mindat.org/1:1:254:5</v>
          </cell>
        </row>
        <row r="4279">
          <cell r="A4279">
            <v>4074</v>
          </cell>
          <cell r="B4279">
            <v>5245</v>
          </cell>
          <cell r="C4279" t="str">
            <v>Antigorite</v>
          </cell>
          <cell r="E4279" t="str">
            <v>https://www.mindat.org/1:1:260:6</v>
          </cell>
        </row>
        <row r="4280">
          <cell r="A4280">
            <v>4080</v>
          </cell>
          <cell r="B4280">
            <v>5245</v>
          </cell>
          <cell r="C4280" t="str">
            <v>Apachite</v>
          </cell>
          <cell r="E4280" t="str">
            <v>https://www.mindat.org/1:1:272:1</v>
          </cell>
        </row>
        <row r="4281">
          <cell r="A4281">
            <v>4085</v>
          </cell>
          <cell r="B4281">
            <v>5245</v>
          </cell>
          <cell r="C4281" t="str">
            <v>Apophyllite</v>
          </cell>
          <cell r="E4281" t="str">
            <v/>
          </cell>
        </row>
        <row r="4282">
          <cell r="A4282">
            <v>4097</v>
          </cell>
          <cell r="B4282">
            <v>5245</v>
          </cell>
          <cell r="C4282" t="str">
            <v>Ardennite</v>
          </cell>
          <cell r="E4282" t="str">
            <v/>
          </cell>
        </row>
        <row r="4283">
          <cell r="A4283">
            <v>4098</v>
          </cell>
          <cell r="B4283">
            <v>5245</v>
          </cell>
          <cell r="C4283" t="str">
            <v>Arfvedsonite</v>
          </cell>
          <cell r="E4283" t="str">
            <v>https://www.mindat.org/1:1:325:2</v>
          </cell>
        </row>
        <row r="4284">
          <cell r="A4284">
            <v>4109</v>
          </cell>
          <cell r="B4284">
            <v>5245</v>
          </cell>
          <cell r="C4284" t="str">
            <v>Armenite</v>
          </cell>
          <cell r="E4284" t="str">
            <v>https://www.mindat.org/1:1:343:8</v>
          </cell>
        </row>
        <row r="4285">
          <cell r="A4285">
            <v>4110</v>
          </cell>
          <cell r="B4285">
            <v>5245</v>
          </cell>
          <cell r="C4285" t="str">
            <v>Armstrongite</v>
          </cell>
          <cell r="E4285" t="str">
            <v>https://www.mindat.org/1:1:344:7</v>
          </cell>
        </row>
        <row r="4286">
          <cell r="A4286">
            <v>4140</v>
          </cell>
          <cell r="B4286">
            <v>5245</v>
          </cell>
          <cell r="C4286" t="str">
            <v>Asbestos</v>
          </cell>
          <cell r="E4286" t="str">
            <v/>
          </cell>
        </row>
      </sheetData>
      <sheetData sheetId="2"/>
    </sheetDataSet>
  </externalBook>
</externalLink>
</file>

<file path=xl/persons/person.xml><?xml version="1.0" encoding="utf-8"?>
<personList xmlns="http://schemas.microsoft.com/office/spreadsheetml/2018/threadedcomments" xmlns:x="http://schemas.openxmlformats.org/spreadsheetml/2006/main">
  <person displayName="Stephen Richard" id="{7C27963D-87B1-4251-92DC-9935E425F34B}" userId="944a82e2ddcde9eb"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 dT="2024-12-13T11:46:00.93" personId="{7C27963D-87B1-4251-92DC-9935E425F34B}" id="{19AE9CA8-0237-42EB-9337-C730880CACDC}">
    <text>Vocabualry_uniq includes selected terms, leaving out most granular classes.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25D71-D134-439B-9396-08CC6F60961C}">
  <dimension ref="A1:D237"/>
  <sheetViews>
    <sheetView topLeftCell="A67" workbookViewId="0">
      <selection activeCell="A68" sqref="A68:XFD68"/>
    </sheetView>
  </sheetViews>
  <sheetFormatPr defaultRowHeight="14.25" x14ac:dyDescent="0.45"/>
  <cols>
    <col min="2" max="2" width="48.53125" customWidth="1"/>
    <col min="3" max="3" width="36.9296875" bestFit="1" customWidth="1"/>
    <col min="4" max="4" width="27.46484375" customWidth="1"/>
  </cols>
  <sheetData>
    <row r="1" spans="1:4" x14ac:dyDescent="0.45">
      <c r="A1" t="s">
        <v>1093</v>
      </c>
      <c r="B1" t="s">
        <v>1094</v>
      </c>
      <c r="C1" t="s">
        <v>0</v>
      </c>
      <c r="D1" t="s">
        <v>1200</v>
      </c>
    </row>
    <row r="2" spans="1:4" x14ac:dyDescent="0.45">
      <c r="A2">
        <f>D2</f>
        <v>1</v>
      </c>
      <c r="B2" t="s">
        <v>383</v>
      </c>
      <c r="C2" t="s">
        <v>384</v>
      </c>
      <c r="D2">
        <f>IFERROR(INDEX([1]Material_vocabulary!$A$2:$E$4286,MATCH(B2,[1]Material_vocabulary!$E$2:$E$4286,FALSE),1),"")</f>
        <v>1</v>
      </c>
    </row>
    <row r="3" spans="1:4" x14ac:dyDescent="0.45">
      <c r="A3">
        <f>D3</f>
        <v>2</v>
      </c>
      <c r="B3" t="s">
        <v>289</v>
      </c>
      <c r="C3" t="s">
        <v>290</v>
      </c>
      <c r="D3">
        <f>IFERROR(INDEX([1]Material_vocabulary!$A$2:$E$4286,MATCH(B3,[1]Material_vocabulary!$E$2:$E$4286,FALSE),1),"")</f>
        <v>2</v>
      </c>
    </row>
    <row r="4" spans="1:4" x14ac:dyDescent="0.45">
      <c r="A4">
        <f>D4</f>
        <v>4</v>
      </c>
      <c r="B4" t="s">
        <v>305</v>
      </c>
      <c r="C4" t="s">
        <v>306</v>
      </c>
      <c r="D4">
        <f>IFERROR(INDEX([1]Material_vocabulary!$A$2:$E$4286,MATCH(B4,[1]Material_vocabulary!$E$2:$E$4286,FALSE),1),"")</f>
        <v>4</v>
      </c>
    </row>
    <row r="5" spans="1:4" x14ac:dyDescent="0.45">
      <c r="A5" t="str">
        <f>D5</f>
        <v/>
      </c>
      <c r="B5" t="s">
        <v>167</v>
      </c>
      <c r="C5" t="s">
        <v>168</v>
      </c>
      <c r="D5" t="str">
        <f>IFERROR(INDEX([1]Material_vocabulary!$A$2:$E$4286,MATCH(B5,[1]Material_vocabulary!$E$2:$E$4286,FALSE),1),"")</f>
        <v/>
      </c>
    </row>
    <row r="6" spans="1:4" x14ac:dyDescent="0.45">
      <c r="A6">
        <f>D6</f>
        <v>4252</v>
      </c>
      <c r="B6" t="s">
        <v>45</v>
      </c>
      <c r="C6" t="s">
        <v>46</v>
      </c>
      <c r="D6">
        <f>IFERROR(INDEX([1]Material_vocabulary!$A$2:$E$4286,MATCH(B6,[1]Material_vocabulary!$E$2:$E$4286,FALSE),1),"")</f>
        <v>4252</v>
      </c>
    </row>
    <row r="7" spans="1:4" x14ac:dyDescent="0.45">
      <c r="A7">
        <f>D7</f>
        <v>4256</v>
      </c>
      <c r="B7" t="s">
        <v>425</v>
      </c>
      <c r="C7" t="s">
        <v>426</v>
      </c>
      <c r="D7">
        <f>IFERROR(INDEX([1]Material_vocabulary!$A$2:$E$4286,MATCH(B7,[1]Material_vocabulary!$E$2:$E$4286,FALSE),1),"")</f>
        <v>4256</v>
      </c>
    </row>
    <row r="8" spans="1:4" x14ac:dyDescent="0.45">
      <c r="A8" t="str">
        <f>D8</f>
        <v/>
      </c>
      <c r="B8" t="s">
        <v>399</v>
      </c>
      <c r="C8" t="s">
        <v>400</v>
      </c>
      <c r="D8" t="str">
        <f>IFERROR(INDEX([1]Material_vocabulary!$A$2:$E$4286,MATCH(B8,[1]Material_vocabulary!$E$2:$E$4286,FALSE),1),"")</f>
        <v/>
      </c>
    </row>
    <row r="9" spans="1:4" x14ac:dyDescent="0.45">
      <c r="A9">
        <f>D9</f>
        <v>4258</v>
      </c>
      <c r="B9" t="s">
        <v>337</v>
      </c>
      <c r="C9" t="s">
        <v>338</v>
      </c>
      <c r="D9">
        <f>IFERROR(INDEX([1]Material_vocabulary!$A$2:$E$4286,MATCH(B9,[1]Material_vocabulary!$E$2:$E$4286,FALSE),1),"")</f>
        <v>4258</v>
      </c>
    </row>
    <row r="10" spans="1:4" x14ac:dyDescent="0.45">
      <c r="A10">
        <f>D10</f>
        <v>4262</v>
      </c>
      <c r="B10" t="s">
        <v>47</v>
      </c>
      <c r="C10" t="s">
        <v>48</v>
      </c>
      <c r="D10">
        <f>IFERROR(INDEX([1]Material_vocabulary!$A$2:$E$4286,MATCH(B10,[1]Material_vocabulary!$E$2:$E$4286,FALSE),1),"")</f>
        <v>4262</v>
      </c>
    </row>
    <row r="11" spans="1:4" x14ac:dyDescent="0.45">
      <c r="A11">
        <f>D11</f>
        <v>4278</v>
      </c>
      <c r="B11" t="s">
        <v>1097</v>
      </c>
      <c r="C11" t="s">
        <v>1098</v>
      </c>
      <c r="D11">
        <f>IFERROR(INDEX([1]Material_vocabulary!$A$2:$E$4286,MATCH(B11,[1]Material_vocabulary!$E$2:$E$4286,FALSE),1),"")</f>
        <v>4278</v>
      </c>
    </row>
    <row r="12" spans="1:4" x14ac:dyDescent="0.45">
      <c r="A12">
        <f>D12</f>
        <v>5008</v>
      </c>
      <c r="B12" t="s">
        <v>15</v>
      </c>
      <c r="C12" t="s">
        <v>16</v>
      </c>
      <c r="D12">
        <f>IFERROR(INDEX([1]Material_vocabulary!$A$2:$E$4286,MATCH(B12,[1]Material_vocabulary!$E$2:$E$4286,FALSE),1),"")</f>
        <v>5008</v>
      </c>
    </row>
    <row r="13" spans="1:4" x14ac:dyDescent="0.45">
      <c r="A13">
        <f>D13</f>
        <v>5031</v>
      </c>
      <c r="B13" t="s">
        <v>1119</v>
      </c>
      <c r="C13" t="s">
        <v>62</v>
      </c>
      <c r="D13">
        <f>IFERROR(INDEX([1]Material_vocabulary!$A$2:$E$4286,MATCH(B13,[1]Material_vocabulary!$E$2:$E$4286,FALSE),1),"")</f>
        <v>5031</v>
      </c>
    </row>
    <row r="14" spans="1:4" x14ac:dyDescent="0.45">
      <c r="A14">
        <f>D14</f>
        <v>5041</v>
      </c>
      <c r="B14" t="s">
        <v>1125</v>
      </c>
      <c r="C14" t="s">
        <v>82</v>
      </c>
      <c r="D14">
        <f>IFERROR(INDEX([1]Material_vocabulary!$A$2:$E$4286,MATCH(B14,[1]Material_vocabulary!$E$2:$E$4286,FALSE),1),"")</f>
        <v>5041</v>
      </c>
    </row>
    <row r="15" spans="1:4" x14ac:dyDescent="0.45">
      <c r="A15">
        <f>D15</f>
        <v>5047</v>
      </c>
      <c r="B15" t="s">
        <v>1130</v>
      </c>
      <c r="C15" t="s">
        <v>94</v>
      </c>
      <c r="D15">
        <f>IFERROR(INDEX([1]Material_vocabulary!$A$2:$E$4286,MATCH(B15,[1]Material_vocabulary!$E$2:$E$4286,FALSE),1),"")</f>
        <v>5047</v>
      </c>
    </row>
    <row r="16" spans="1:4" x14ac:dyDescent="0.45">
      <c r="A16">
        <f>D16</f>
        <v>5066</v>
      </c>
      <c r="B16" t="s">
        <v>1137</v>
      </c>
      <c r="C16" t="s">
        <v>132</v>
      </c>
      <c r="D16">
        <f>IFERROR(INDEX([1]Material_vocabulary!$A$2:$E$4286,MATCH(B16,[1]Material_vocabulary!$E$2:$E$4286,FALSE),1),"")</f>
        <v>5066</v>
      </c>
    </row>
    <row r="17" spans="1:4" x14ac:dyDescent="0.45">
      <c r="A17" t="str">
        <f>D17</f>
        <v/>
      </c>
      <c r="B17" t="s">
        <v>133</v>
      </c>
      <c r="C17" t="s">
        <v>134</v>
      </c>
      <c r="D17" t="str">
        <f>IFERROR(INDEX([1]Material_vocabulary!$A$2:$E$4286,MATCH(B17,[1]Material_vocabulary!$E$2:$E$4286,FALSE),1),"")</f>
        <v/>
      </c>
    </row>
    <row r="18" spans="1:4" x14ac:dyDescent="0.45">
      <c r="A18">
        <f>D18</f>
        <v>5069</v>
      </c>
      <c r="B18" t="s">
        <v>137</v>
      </c>
      <c r="C18" t="s">
        <v>138</v>
      </c>
      <c r="D18">
        <f>IFERROR(INDEX([1]Material_vocabulary!$A$2:$E$4286,MATCH(B18,[1]Material_vocabulary!$E$2:$E$4286,FALSE),1),"")</f>
        <v>5069</v>
      </c>
    </row>
    <row r="19" spans="1:4" x14ac:dyDescent="0.45">
      <c r="A19">
        <f>D19</f>
        <v>5071</v>
      </c>
      <c r="B19" t="s">
        <v>141</v>
      </c>
      <c r="C19" t="s">
        <v>142</v>
      </c>
      <c r="D19">
        <f>IFERROR(INDEX([1]Material_vocabulary!$A$2:$E$4286,MATCH(B19,[1]Material_vocabulary!$E$2:$E$4286,FALSE),1),"")</f>
        <v>5071</v>
      </c>
    </row>
    <row r="20" spans="1:4" x14ac:dyDescent="0.45">
      <c r="A20">
        <f>D20</f>
        <v>5072</v>
      </c>
      <c r="B20" t="s">
        <v>1139</v>
      </c>
      <c r="C20" t="s">
        <v>144</v>
      </c>
      <c r="D20">
        <f>IFERROR(INDEX([1]Material_vocabulary!$A$2:$E$4286,MATCH(B20,[1]Material_vocabulary!$E$2:$E$4286,FALSE),1),"")</f>
        <v>5072</v>
      </c>
    </row>
    <row r="21" spans="1:4" x14ac:dyDescent="0.45">
      <c r="A21" t="str">
        <f>D21</f>
        <v/>
      </c>
      <c r="B21" t="s">
        <v>173</v>
      </c>
      <c r="C21" t="s">
        <v>174</v>
      </c>
      <c r="D21" t="str">
        <f>IFERROR(INDEX([1]Material_vocabulary!$A$2:$E$4286,MATCH(B21,[1]Material_vocabulary!$E$2:$E$4286,FALSE),1),"")</f>
        <v/>
      </c>
    </row>
    <row r="22" spans="1:4" x14ac:dyDescent="0.45">
      <c r="A22" t="str">
        <f>D22</f>
        <v/>
      </c>
      <c r="B22" t="s">
        <v>175</v>
      </c>
      <c r="C22" t="s">
        <v>176</v>
      </c>
      <c r="D22" t="str">
        <f>IFERROR(INDEX([1]Material_vocabulary!$A$2:$E$4286,MATCH(B22,[1]Material_vocabulary!$E$2:$E$4286,FALSE),1),"")</f>
        <v/>
      </c>
    </row>
    <row r="23" spans="1:4" x14ac:dyDescent="0.45">
      <c r="A23" t="str">
        <f>D23</f>
        <v/>
      </c>
      <c r="B23" t="s">
        <v>1144</v>
      </c>
      <c r="C23" t="s">
        <v>184</v>
      </c>
      <c r="D23" t="str">
        <f>IFERROR(INDEX([1]Material_vocabulary!$A$2:$E$4286,MATCH(B23,[1]Material_vocabulary!$E$2:$E$4286,FALSE),1),"")</f>
        <v/>
      </c>
    </row>
    <row r="24" spans="1:4" x14ac:dyDescent="0.45">
      <c r="A24">
        <f>D24</f>
        <v>5097</v>
      </c>
      <c r="B24" t="s">
        <v>1146</v>
      </c>
      <c r="C24" t="s">
        <v>194</v>
      </c>
      <c r="D24">
        <f>IFERROR(INDEX([1]Material_vocabulary!$A$2:$E$4286,MATCH(B24,[1]Material_vocabulary!$E$2:$E$4286,FALSE),1),"")</f>
        <v>5097</v>
      </c>
    </row>
    <row r="25" spans="1:4" x14ac:dyDescent="0.45">
      <c r="A25">
        <f>D25</f>
        <v>5098</v>
      </c>
      <c r="B25" t="s">
        <v>1147</v>
      </c>
      <c r="C25" t="s">
        <v>196</v>
      </c>
      <c r="D25">
        <f>IFERROR(INDEX([1]Material_vocabulary!$A$2:$E$4286,MATCH(B25,[1]Material_vocabulary!$E$2:$E$4286,FALSE),1),"")</f>
        <v>5098</v>
      </c>
    </row>
    <row r="26" spans="1:4" x14ac:dyDescent="0.45">
      <c r="A26" t="str">
        <f>D26</f>
        <v/>
      </c>
      <c r="B26" t="s">
        <v>215</v>
      </c>
      <c r="C26" t="s">
        <v>216</v>
      </c>
      <c r="D26" t="str">
        <f>IFERROR(INDEX([1]Material_vocabulary!$A$2:$E$4286,MATCH(B26,[1]Material_vocabulary!$E$2:$E$4286,FALSE),1),"")</f>
        <v/>
      </c>
    </row>
    <row r="27" spans="1:4" x14ac:dyDescent="0.45">
      <c r="A27" t="str">
        <f>D27</f>
        <v/>
      </c>
      <c r="B27" t="s">
        <v>217</v>
      </c>
      <c r="C27" t="s">
        <v>218</v>
      </c>
      <c r="D27" t="str">
        <f>IFERROR(INDEX([1]Material_vocabulary!$A$2:$E$4286,MATCH(B27,[1]Material_vocabulary!$E$2:$E$4286,FALSE),1),"")</f>
        <v/>
      </c>
    </row>
    <row r="28" spans="1:4" x14ac:dyDescent="0.45">
      <c r="A28">
        <f>D28</f>
        <v>5110</v>
      </c>
      <c r="B28" t="s">
        <v>219</v>
      </c>
      <c r="C28" t="s">
        <v>220</v>
      </c>
      <c r="D28">
        <f>IFERROR(INDEX([1]Material_vocabulary!$A$2:$E$4286,MATCH(B28,[1]Material_vocabulary!$E$2:$E$4286,FALSE),1),"")</f>
        <v>5110</v>
      </c>
    </row>
    <row r="29" spans="1:4" x14ac:dyDescent="0.45">
      <c r="A29">
        <f>D29</f>
        <v>5111</v>
      </c>
      <c r="B29" t="s">
        <v>221</v>
      </c>
      <c r="C29" t="s">
        <v>222</v>
      </c>
      <c r="D29">
        <f>IFERROR(INDEX([1]Material_vocabulary!$A$2:$E$4286,MATCH(B29,[1]Material_vocabulary!$E$2:$E$4286,FALSE),1),"")</f>
        <v>5111</v>
      </c>
    </row>
    <row r="30" spans="1:4" x14ac:dyDescent="0.45">
      <c r="A30">
        <f>D30</f>
        <v>5112</v>
      </c>
      <c r="B30" t="s">
        <v>223</v>
      </c>
      <c r="C30" t="s">
        <v>224</v>
      </c>
      <c r="D30">
        <f>IFERROR(INDEX([1]Material_vocabulary!$A$2:$E$4286,MATCH(B30,[1]Material_vocabulary!$E$2:$E$4286,FALSE),1),"")</f>
        <v>5112</v>
      </c>
    </row>
    <row r="31" spans="1:4" x14ac:dyDescent="0.45">
      <c r="A31">
        <f>D31</f>
        <v>5119</v>
      </c>
      <c r="B31" t="s">
        <v>237</v>
      </c>
      <c r="C31" t="s">
        <v>238</v>
      </c>
      <c r="D31">
        <f>IFERROR(INDEX([1]Material_vocabulary!$A$2:$E$4286,MATCH(B31,[1]Material_vocabulary!$E$2:$E$4286,FALSE),1),"")</f>
        <v>5119</v>
      </c>
    </row>
    <row r="32" spans="1:4" x14ac:dyDescent="0.45">
      <c r="A32" t="str">
        <f>D32</f>
        <v/>
      </c>
      <c r="B32" t="s">
        <v>245</v>
      </c>
      <c r="C32" t="s">
        <v>246</v>
      </c>
      <c r="D32" t="str">
        <f>IFERROR(INDEX([1]Material_vocabulary!$A$2:$E$4286,MATCH(B32,[1]Material_vocabulary!$E$2:$E$4286,FALSE),1),"")</f>
        <v/>
      </c>
    </row>
    <row r="33" spans="1:4" x14ac:dyDescent="0.45">
      <c r="A33" t="str">
        <f>D33</f>
        <v/>
      </c>
      <c r="B33" t="s">
        <v>259</v>
      </c>
      <c r="C33" t="s">
        <v>260</v>
      </c>
      <c r="D33" t="str">
        <f>IFERROR(INDEX([1]Material_vocabulary!$A$2:$E$4286,MATCH(B33,[1]Material_vocabulary!$E$2:$E$4286,FALSE),1),"")</f>
        <v/>
      </c>
    </row>
    <row r="34" spans="1:4" x14ac:dyDescent="0.45">
      <c r="A34">
        <f>D34</f>
        <v>5131</v>
      </c>
      <c r="B34" t="s">
        <v>261</v>
      </c>
      <c r="C34" t="s">
        <v>262</v>
      </c>
      <c r="D34">
        <f>IFERROR(INDEX([1]Material_vocabulary!$A$2:$E$4286,MATCH(B34,[1]Material_vocabulary!$E$2:$E$4286,FALSE),1),"")</f>
        <v>5131</v>
      </c>
    </row>
    <row r="35" spans="1:4" x14ac:dyDescent="0.45">
      <c r="A35" t="str">
        <f>D35</f>
        <v/>
      </c>
      <c r="B35" t="s">
        <v>263</v>
      </c>
      <c r="C35" t="s">
        <v>264</v>
      </c>
      <c r="D35" t="str">
        <f>IFERROR(INDEX([1]Material_vocabulary!$A$2:$E$4286,MATCH(B35,[1]Material_vocabulary!$E$2:$E$4286,FALSE),1),"")</f>
        <v/>
      </c>
    </row>
    <row r="36" spans="1:4" x14ac:dyDescent="0.45">
      <c r="A36">
        <f>D36</f>
        <v>5133</v>
      </c>
      <c r="B36" t="s">
        <v>1161</v>
      </c>
      <c r="C36" t="s">
        <v>266</v>
      </c>
      <c r="D36">
        <f>IFERROR(INDEX([1]Material_vocabulary!$A$2:$E$4286,MATCH(B36,[1]Material_vocabulary!$E$2:$E$4286,FALSE),1),"")</f>
        <v>5133</v>
      </c>
    </row>
    <row r="37" spans="1:4" x14ac:dyDescent="0.45">
      <c r="A37">
        <f>D37</f>
        <v>5134</v>
      </c>
      <c r="B37" t="s">
        <v>267</v>
      </c>
      <c r="C37" t="s">
        <v>268</v>
      </c>
      <c r="D37">
        <f>IFERROR(INDEX([1]Material_vocabulary!$A$2:$E$4286,MATCH(B37,[1]Material_vocabulary!$E$2:$E$4286,FALSE),1),"")</f>
        <v>5134</v>
      </c>
    </row>
    <row r="38" spans="1:4" x14ac:dyDescent="0.45">
      <c r="A38">
        <f>D38</f>
        <v>5138</v>
      </c>
      <c r="B38" t="s">
        <v>275</v>
      </c>
      <c r="C38" t="s">
        <v>276</v>
      </c>
      <c r="D38">
        <f>IFERROR(INDEX([1]Material_vocabulary!$A$2:$E$4286,MATCH(B38,[1]Material_vocabulary!$E$2:$E$4286,FALSE),1),"")</f>
        <v>5138</v>
      </c>
    </row>
    <row r="39" spans="1:4" x14ac:dyDescent="0.45">
      <c r="A39">
        <f>D39</f>
        <v>5139</v>
      </c>
      <c r="B39" t="s">
        <v>277</v>
      </c>
      <c r="C39" t="s">
        <v>278</v>
      </c>
      <c r="D39">
        <f>IFERROR(INDEX([1]Material_vocabulary!$A$2:$E$4286,MATCH(B39,[1]Material_vocabulary!$E$2:$E$4286,FALSE),1),"")</f>
        <v>5139</v>
      </c>
    </row>
    <row r="40" spans="1:4" x14ac:dyDescent="0.45">
      <c r="A40">
        <f>D40</f>
        <v>5141</v>
      </c>
      <c r="B40" t="s">
        <v>281</v>
      </c>
      <c r="C40" t="s">
        <v>282</v>
      </c>
      <c r="D40">
        <f>IFERROR(INDEX([1]Material_vocabulary!$A$2:$E$4286,MATCH(B40,[1]Material_vocabulary!$E$2:$E$4286,FALSE),1),"")</f>
        <v>5141</v>
      </c>
    </row>
    <row r="41" spans="1:4" x14ac:dyDescent="0.45">
      <c r="A41">
        <f>D41</f>
        <v>5142</v>
      </c>
      <c r="B41" t="s">
        <v>283</v>
      </c>
      <c r="C41" t="s">
        <v>284</v>
      </c>
      <c r="D41">
        <f>IFERROR(INDEX([1]Material_vocabulary!$A$2:$E$4286,MATCH(B41,[1]Material_vocabulary!$E$2:$E$4286,FALSE),1),"")</f>
        <v>5142</v>
      </c>
    </row>
    <row r="42" spans="1:4" x14ac:dyDescent="0.45">
      <c r="A42">
        <f>D42</f>
        <v>5143</v>
      </c>
      <c r="B42" t="s">
        <v>285</v>
      </c>
      <c r="C42" t="s">
        <v>286</v>
      </c>
      <c r="D42">
        <f>IFERROR(INDEX([1]Material_vocabulary!$A$2:$E$4286,MATCH(B42,[1]Material_vocabulary!$E$2:$E$4286,FALSE),1),"")</f>
        <v>5143</v>
      </c>
    </row>
    <row r="43" spans="1:4" x14ac:dyDescent="0.45">
      <c r="A43">
        <f>D43</f>
        <v>5156</v>
      </c>
      <c r="B43" t="s">
        <v>1166</v>
      </c>
      <c r="C43" t="s">
        <v>312</v>
      </c>
      <c r="D43">
        <f>IFERROR(INDEX([1]Material_vocabulary!$A$2:$E$4286,MATCH(B43,[1]Material_vocabulary!$E$2:$E$4286,FALSE),1),"")</f>
        <v>5156</v>
      </c>
    </row>
    <row r="44" spans="1:4" x14ac:dyDescent="0.45">
      <c r="A44" t="str">
        <f>D44</f>
        <v/>
      </c>
      <c r="B44" t="s">
        <v>315</v>
      </c>
      <c r="C44" t="s">
        <v>316</v>
      </c>
      <c r="D44" t="str">
        <f>IFERROR(INDEX([1]Material_vocabulary!$A$2:$E$4286,MATCH(B44,[1]Material_vocabulary!$E$2:$E$4286,FALSE),1),"")</f>
        <v/>
      </c>
    </row>
    <row r="45" spans="1:4" x14ac:dyDescent="0.45">
      <c r="A45">
        <f>D45</f>
        <v>5160</v>
      </c>
      <c r="B45" t="s">
        <v>319</v>
      </c>
      <c r="C45" t="s">
        <v>320</v>
      </c>
      <c r="D45">
        <f>IFERROR(INDEX([1]Material_vocabulary!$A$2:$E$4286,MATCH(B45,[1]Material_vocabulary!$E$2:$E$4286,FALSE),1),"")</f>
        <v>5160</v>
      </c>
    </row>
    <row r="46" spans="1:4" x14ac:dyDescent="0.45">
      <c r="A46">
        <f>D46</f>
        <v>5162</v>
      </c>
      <c r="B46" t="s">
        <v>323</v>
      </c>
      <c r="C46" t="s">
        <v>324</v>
      </c>
      <c r="D46">
        <f>IFERROR(INDEX([1]Material_vocabulary!$A$2:$E$4286,MATCH(B46,[1]Material_vocabulary!$E$2:$E$4286,FALSE),1),"")</f>
        <v>5162</v>
      </c>
    </row>
    <row r="47" spans="1:4" x14ac:dyDescent="0.45">
      <c r="A47" t="str">
        <f>D47</f>
        <v/>
      </c>
      <c r="B47" t="s">
        <v>351</v>
      </c>
      <c r="C47" t="s">
        <v>352</v>
      </c>
      <c r="D47" t="str">
        <f>IFERROR(INDEX([1]Material_vocabulary!$A$2:$E$4286,MATCH(B47,[1]Material_vocabulary!$E$2:$E$4286,FALSE),1),"")</f>
        <v/>
      </c>
    </row>
    <row r="48" spans="1:4" x14ac:dyDescent="0.45">
      <c r="A48">
        <f>D48</f>
        <v>5178</v>
      </c>
      <c r="B48" t="s">
        <v>355</v>
      </c>
      <c r="C48" t="s">
        <v>356</v>
      </c>
      <c r="D48">
        <f>IFERROR(INDEX([1]Material_vocabulary!$A$2:$E$4286,MATCH(B48,[1]Material_vocabulary!$E$2:$E$4286,FALSE),1),"")</f>
        <v>5178</v>
      </c>
    </row>
    <row r="49" spans="1:4" x14ac:dyDescent="0.45">
      <c r="A49">
        <f>D49</f>
        <v>5191</v>
      </c>
      <c r="B49" t="s">
        <v>381</v>
      </c>
      <c r="C49" t="s">
        <v>382</v>
      </c>
      <c r="D49">
        <f>IFERROR(INDEX([1]Material_vocabulary!$A$2:$E$4286,MATCH(B49,[1]Material_vocabulary!$E$2:$E$4286,FALSE),1),"")</f>
        <v>5191</v>
      </c>
    </row>
    <row r="50" spans="1:4" x14ac:dyDescent="0.45">
      <c r="A50" t="str">
        <f>D50</f>
        <v/>
      </c>
      <c r="B50" t="s">
        <v>1183</v>
      </c>
      <c r="C50" t="s">
        <v>398</v>
      </c>
      <c r="D50" t="str">
        <f>IFERROR(INDEX([1]Material_vocabulary!$A$2:$E$4286,MATCH(B50,[1]Material_vocabulary!$E$2:$E$4286,FALSE),1),"")</f>
        <v/>
      </c>
    </row>
    <row r="51" spans="1:4" x14ac:dyDescent="0.45">
      <c r="A51" t="str">
        <f>D51</f>
        <v/>
      </c>
      <c r="B51" t="s">
        <v>401</v>
      </c>
      <c r="C51" t="s">
        <v>402</v>
      </c>
      <c r="D51" t="str">
        <f>IFERROR(INDEX([1]Material_vocabulary!$A$2:$E$4286,MATCH(B51,[1]Material_vocabulary!$E$2:$E$4286,FALSE),1),"")</f>
        <v/>
      </c>
    </row>
    <row r="52" spans="1:4" x14ac:dyDescent="0.45">
      <c r="A52">
        <f>D52</f>
        <v>5202</v>
      </c>
      <c r="B52" t="s">
        <v>403</v>
      </c>
      <c r="C52" t="s">
        <v>404</v>
      </c>
      <c r="D52">
        <f>IFERROR(INDEX([1]Material_vocabulary!$A$2:$E$4286,MATCH(B52,[1]Material_vocabulary!$E$2:$E$4286,FALSE),1),"")</f>
        <v>5202</v>
      </c>
    </row>
    <row r="53" spans="1:4" x14ac:dyDescent="0.45">
      <c r="A53" t="str">
        <f>D53</f>
        <v/>
      </c>
      <c r="B53" t="s">
        <v>1191</v>
      </c>
      <c r="C53" t="s">
        <v>424</v>
      </c>
      <c r="D53" t="str">
        <f>IFERROR(INDEX([1]Material_vocabulary!$A$2:$E$4286,MATCH(B53,[1]Material_vocabulary!$E$2:$E$4286,FALSE),1),"")</f>
        <v/>
      </c>
    </row>
    <row r="54" spans="1:4" x14ac:dyDescent="0.45">
      <c r="A54">
        <f>D54</f>
        <v>5216</v>
      </c>
      <c r="B54" t="s">
        <v>431</v>
      </c>
      <c r="C54" t="s">
        <v>432</v>
      </c>
      <c r="D54">
        <f>IFERROR(INDEX([1]Material_vocabulary!$A$2:$E$4286,MATCH(B54,[1]Material_vocabulary!$E$2:$E$4286,FALSE),1),"")</f>
        <v>5216</v>
      </c>
    </row>
    <row r="55" spans="1:4" x14ac:dyDescent="0.45">
      <c r="A55">
        <f>D55</f>
        <v>5222</v>
      </c>
      <c r="B55" t="s">
        <v>443</v>
      </c>
      <c r="C55" t="s">
        <v>444</v>
      </c>
      <c r="D55">
        <f>IFERROR(INDEX([1]Material_vocabulary!$A$2:$E$4286,MATCH(B55,[1]Material_vocabulary!$E$2:$E$4286,FALSE),1),"")</f>
        <v>5222</v>
      </c>
    </row>
    <row r="56" spans="1:4" x14ac:dyDescent="0.45">
      <c r="A56">
        <f>D56</f>
        <v>5225</v>
      </c>
      <c r="B56" t="s">
        <v>449</v>
      </c>
      <c r="C56" t="s">
        <v>450</v>
      </c>
      <c r="D56">
        <f>IFERROR(INDEX([1]Material_vocabulary!$A$2:$E$4286,MATCH(B56,[1]Material_vocabulary!$E$2:$E$4286,FALSE),1),"")</f>
        <v>5225</v>
      </c>
    </row>
    <row r="57" spans="1:4" x14ac:dyDescent="0.45">
      <c r="A57">
        <f>D57</f>
        <v>5226</v>
      </c>
      <c r="B57" t="s">
        <v>451</v>
      </c>
      <c r="C57" t="s">
        <v>452</v>
      </c>
      <c r="D57">
        <f>IFERROR(INDEX([1]Material_vocabulary!$A$2:$E$4286,MATCH(B57,[1]Material_vocabulary!$E$2:$E$4286,FALSE),1),"")</f>
        <v>5226</v>
      </c>
    </row>
    <row r="58" spans="1:4" x14ac:dyDescent="0.45">
      <c r="A58">
        <f>D58</f>
        <v>5228</v>
      </c>
      <c r="B58" t="s">
        <v>1196</v>
      </c>
      <c r="C58" t="s">
        <v>456</v>
      </c>
      <c r="D58">
        <f>IFERROR(INDEX([1]Material_vocabulary!$A$2:$E$4286,MATCH(B58,[1]Material_vocabulary!$E$2:$E$4286,FALSE),1),"")</f>
        <v>5228</v>
      </c>
    </row>
    <row r="59" spans="1:4" x14ac:dyDescent="0.45">
      <c r="A59">
        <f>D59</f>
        <v>5229</v>
      </c>
      <c r="B59" t="s">
        <v>457</v>
      </c>
      <c r="C59" t="s">
        <v>458</v>
      </c>
      <c r="D59">
        <f>IFERROR(INDEX([1]Material_vocabulary!$A$2:$E$4286,MATCH(B59,[1]Material_vocabulary!$E$2:$E$4286,FALSE),1),"")</f>
        <v>5229</v>
      </c>
    </row>
    <row r="60" spans="1:4" x14ac:dyDescent="0.45">
      <c r="A60">
        <f>D60</f>
        <v>5231</v>
      </c>
      <c r="B60" s="1" t="s">
        <v>866</v>
      </c>
      <c r="C60" s="1" t="s">
        <v>865</v>
      </c>
      <c r="D60">
        <f>IFERROR(INDEX([1]Material_vocabulary!$A$2:$E$4286,MATCH(B60,[1]Material_vocabulary!$E$2:$E$4286,FALSE),1),"")</f>
        <v>5231</v>
      </c>
    </row>
    <row r="61" spans="1:4" x14ac:dyDescent="0.45">
      <c r="A61">
        <f>D61</f>
        <v>5232</v>
      </c>
      <c r="B61" s="1" t="s">
        <v>863</v>
      </c>
      <c r="C61" s="1" t="s">
        <v>862</v>
      </c>
      <c r="D61">
        <f>IFERROR(INDEX([1]Material_vocabulary!$A$2:$E$4286,MATCH(B61,[1]Material_vocabulary!$E$2:$E$4286,FALSE),1),"")</f>
        <v>5232</v>
      </c>
    </row>
    <row r="62" spans="1:4" x14ac:dyDescent="0.45">
      <c r="A62">
        <f>D62</f>
        <v>5233</v>
      </c>
      <c r="B62" s="1" t="s">
        <v>860</v>
      </c>
      <c r="C62" s="1" t="s">
        <v>859</v>
      </c>
      <c r="D62">
        <f>IFERROR(INDEX([1]Material_vocabulary!$A$2:$E$4286,MATCH(B62,[1]Material_vocabulary!$E$2:$E$4286,FALSE),1),"")</f>
        <v>5233</v>
      </c>
    </row>
    <row r="63" spans="1:4" x14ac:dyDescent="0.45">
      <c r="A63">
        <f>D63</f>
        <v>5236</v>
      </c>
      <c r="B63" t="s">
        <v>1103</v>
      </c>
      <c r="C63" t="s">
        <v>1104</v>
      </c>
      <c r="D63">
        <f>IFERROR(INDEX([1]Material_vocabulary!$A$2:$E$4286,MATCH(B63,[1]Material_vocabulary!$E$2:$E$4286,FALSE),1),"")</f>
        <v>5236</v>
      </c>
    </row>
    <row r="64" spans="1:4" x14ac:dyDescent="0.45">
      <c r="A64">
        <f>D64</f>
        <v>5248</v>
      </c>
      <c r="B64" t="s">
        <v>147</v>
      </c>
      <c r="C64" t="s">
        <v>148</v>
      </c>
      <c r="D64">
        <f>IFERROR(INDEX([1]Material_vocabulary!$A$2:$E$4286,MATCH(B64,[1]Material_vocabulary!$E$2:$E$4286,FALSE),1),"")</f>
        <v>5248</v>
      </c>
    </row>
    <row r="65" spans="1:4" x14ac:dyDescent="0.45">
      <c r="A65">
        <f>D65</f>
        <v>5249</v>
      </c>
      <c r="B65" t="s">
        <v>101</v>
      </c>
      <c r="C65" t="s">
        <v>102</v>
      </c>
      <c r="D65">
        <f>IFERROR(INDEX([1]Material_vocabulary!$A$2:$E$4286,MATCH(B65,[1]Material_vocabulary!$E$2:$E$4286,FALSE),1),"")</f>
        <v>5249</v>
      </c>
    </row>
    <row r="66" spans="1:4" x14ac:dyDescent="0.45">
      <c r="A66">
        <f>D66</f>
        <v>5250</v>
      </c>
      <c r="B66" t="s">
        <v>1163</v>
      </c>
      <c r="C66" t="s">
        <v>292</v>
      </c>
      <c r="D66">
        <f>IFERROR(INDEX([1]Material_vocabulary!$A$2:$E$4286,MATCH(B66,[1]Material_vocabulary!$E$2:$E$4286,FALSE),1),"")</f>
        <v>5250</v>
      </c>
    </row>
    <row r="67" spans="1:4" x14ac:dyDescent="0.45">
      <c r="A67">
        <v>6000</v>
      </c>
      <c r="B67" t="s">
        <v>17</v>
      </c>
      <c r="C67" t="s">
        <v>18</v>
      </c>
      <c r="D67">
        <f>IFERROR(INDEX([1]Material_vocabulary!$A$2:$E$4286,MATCH(B67,[1]Material_vocabulary!$E$2:$E$4286,FALSE),1),"")</f>
        <v>6000</v>
      </c>
    </row>
    <row r="68" spans="1:4" x14ac:dyDescent="0.45">
      <c r="A68">
        <v>6001</v>
      </c>
      <c r="B68" t="s">
        <v>21</v>
      </c>
      <c r="C68" t="s">
        <v>22</v>
      </c>
      <c r="D68">
        <f>IFERROR(INDEX([1]Material_vocabulary!$A$2:$E$4286,MATCH(B68,[1]Material_vocabulary!$E$2:$E$4286,FALSE),1),"")</f>
        <v>6001</v>
      </c>
    </row>
    <row r="69" spans="1:4" x14ac:dyDescent="0.45">
      <c r="A69">
        <v>6002</v>
      </c>
      <c r="B69" t="s">
        <v>117</v>
      </c>
      <c r="C69" t="s">
        <v>118</v>
      </c>
      <c r="D69">
        <f>IFERROR(INDEX([1]Material_vocabulary!$A$2:$E$4286,MATCH(B69,[1]Material_vocabulary!$E$2:$E$4286,FALSE),1),"")</f>
        <v>6002</v>
      </c>
    </row>
    <row r="70" spans="1:4" x14ac:dyDescent="0.45">
      <c r="A70">
        <v>6003</v>
      </c>
      <c r="B70" t="s">
        <v>293</v>
      </c>
      <c r="C70" t="s">
        <v>294</v>
      </c>
      <c r="D70">
        <f>IFERROR(INDEX([1]Material_vocabulary!$A$2:$E$4286,MATCH(B70,[1]Material_vocabulary!$E$2:$E$4286,FALSE),1),"")</f>
        <v>6003</v>
      </c>
    </row>
    <row r="71" spans="1:4" x14ac:dyDescent="0.45">
      <c r="A71">
        <v>6004</v>
      </c>
      <c r="B71" t="s">
        <v>333</v>
      </c>
      <c r="C71" t="s">
        <v>334</v>
      </c>
      <c r="D71">
        <f>IFERROR(INDEX([1]Material_vocabulary!$A$2:$E$4286,MATCH(B71,[1]Material_vocabulary!$E$2:$E$4286,FALSE),1),"")</f>
        <v>6004</v>
      </c>
    </row>
    <row r="72" spans="1:4" x14ac:dyDescent="0.45">
      <c r="A72">
        <v>6005</v>
      </c>
      <c r="B72" t="s">
        <v>3</v>
      </c>
      <c r="C72" t="s">
        <v>4</v>
      </c>
      <c r="D72">
        <f>IFERROR(INDEX([1]Material_vocabulary!$A$2:$E$4286,MATCH(B72,[1]Material_vocabulary!$E$2:$E$4286,FALSE),1),"")</f>
        <v>6005</v>
      </c>
    </row>
    <row r="73" spans="1:4" x14ac:dyDescent="0.45">
      <c r="A73">
        <v>6006</v>
      </c>
      <c r="B73" t="s">
        <v>5</v>
      </c>
      <c r="C73" t="s">
        <v>6</v>
      </c>
      <c r="D73" t="str">
        <f>IFERROR(INDEX([1]Material_vocabulary!$A$2:$E$4286,MATCH(B73,[1]Material_vocabulary!$E$2:$E$4286,FALSE),1),"")</f>
        <v/>
      </c>
    </row>
    <row r="74" spans="1:4" x14ac:dyDescent="0.45">
      <c r="A74">
        <v>6007</v>
      </c>
      <c r="B74" t="s">
        <v>11</v>
      </c>
      <c r="C74" t="s">
        <v>12</v>
      </c>
      <c r="D74" t="str">
        <f>IFERROR(INDEX([1]Material_vocabulary!$A$2:$E$4286,MATCH(B74,[1]Material_vocabulary!$E$2:$E$4286,FALSE),1),"")</f>
        <v/>
      </c>
    </row>
    <row r="75" spans="1:4" x14ac:dyDescent="0.45">
      <c r="A75">
        <v>6008</v>
      </c>
      <c r="B75" t="s">
        <v>13</v>
      </c>
      <c r="C75" t="s">
        <v>14</v>
      </c>
      <c r="D75">
        <f>IFERROR(INDEX([1]Material_vocabulary!$A$2:$E$4286,MATCH(B75,[1]Material_vocabulary!$E$2:$E$4286,FALSE),1),"")</f>
        <v>6008</v>
      </c>
    </row>
    <row r="76" spans="1:4" x14ac:dyDescent="0.45">
      <c r="A76">
        <v>6009</v>
      </c>
      <c r="B76" t="s">
        <v>23</v>
      </c>
      <c r="C76" t="s">
        <v>24</v>
      </c>
      <c r="D76">
        <f>IFERROR(INDEX([1]Material_vocabulary!$A$2:$E$4286,MATCH(B76,[1]Material_vocabulary!$E$2:$E$4286,FALSE),1),"")</f>
        <v>6009</v>
      </c>
    </row>
    <row r="77" spans="1:4" x14ac:dyDescent="0.45">
      <c r="A77">
        <v>6010</v>
      </c>
      <c r="B77" t="s">
        <v>25</v>
      </c>
      <c r="C77" t="s">
        <v>26</v>
      </c>
      <c r="D77">
        <f>IFERROR(INDEX([1]Material_vocabulary!$A$2:$E$4286,MATCH(B77,[1]Material_vocabulary!$E$2:$E$4286,FALSE),1),"")</f>
        <v>6010</v>
      </c>
    </row>
    <row r="78" spans="1:4" x14ac:dyDescent="0.45">
      <c r="A78">
        <v>6011</v>
      </c>
      <c r="B78" t="s">
        <v>37</v>
      </c>
      <c r="C78" t="s">
        <v>38</v>
      </c>
      <c r="D78" t="str">
        <f>IFERROR(INDEX([1]Material_vocabulary!$A$2:$E$4286,MATCH(B78,[1]Material_vocabulary!$E$2:$E$4286,FALSE),1),"")</f>
        <v/>
      </c>
    </row>
    <row r="79" spans="1:4" x14ac:dyDescent="0.45">
      <c r="A79">
        <v>6012</v>
      </c>
      <c r="B79" t="s">
        <v>41</v>
      </c>
      <c r="C79" t="s">
        <v>42</v>
      </c>
      <c r="D79">
        <f>IFERROR(INDEX([1]Material_vocabulary!$A$2:$E$4286,MATCH(B79,[1]Material_vocabulary!$E$2:$E$4286,FALSE),1),"")</f>
        <v>6012</v>
      </c>
    </row>
    <row r="80" spans="1:4" x14ac:dyDescent="0.45">
      <c r="A80">
        <v>6013</v>
      </c>
      <c r="B80" t="s">
        <v>49</v>
      </c>
      <c r="C80" t="s">
        <v>50</v>
      </c>
      <c r="D80">
        <f>IFERROR(INDEX([1]Material_vocabulary!$A$2:$E$4286,MATCH(B80,[1]Material_vocabulary!$E$2:$E$4286,FALSE),1),"")</f>
        <v>6013</v>
      </c>
    </row>
    <row r="81" spans="1:4" x14ac:dyDescent="0.45">
      <c r="A81">
        <v>6014</v>
      </c>
      <c r="B81" t="s">
        <v>57</v>
      </c>
      <c r="C81" t="s">
        <v>58</v>
      </c>
      <c r="D81">
        <f>IFERROR(INDEX([1]Material_vocabulary!$A$2:$E$4286,MATCH(B81,[1]Material_vocabulary!$E$2:$E$4286,FALSE),1),"")</f>
        <v>6014</v>
      </c>
    </row>
    <row r="82" spans="1:4" x14ac:dyDescent="0.45">
      <c r="A82">
        <v>6015</v>
      </c>
      <c r="B82" t="s">
        <v>59</v>
      </c>
      <c r="C82" t="s">
        <v>60</v>
      </c>
      <c r="D82">
        <f>IFERROR(INDEX([1]Material_vocabulary!$A$2:$E$4286,MATCH(B82,[1]Material_vocabulary!$E$2:$E$4286,FALSE),1),"")</f>
        <v>6015</v>
      </c>
    </row>
    <row r="83" spans="1:4" x14ac:dyDescent="0.45">
      <c r="A83">
        <v>6016</v>
      </c>
      <c r="B83" t="s">
        <v>79</v>
      </c>
      <c r="C83" t="s">
        <v>80</v>
      </c>
      <c r="D83">
        <f>IFERROR(INDEX([1]Material_vocabulary!$A$2:$E$4286,MATCH(B83,[1]Material_vocabulary!$E$2:$E$4286,FALSE),1),"")</f>
        <v>6016</v>
      </c>
    </row>
    <row r="84" spans="1:4" x14ac:dyDescent="0.45">
      <c r="A84">
        <v>6017</v>
      </c>
      <c r="B84" t="s">
        <v>83</v>
      </c>
      <c r="C84" t="s">
        <v>84</v>
      </c>
      <c r="D84">
        <f>IFERROR(INDEX([1]Material_vocabulary!$A$2:$E$4286,MATCH(B84,[1]Material_vocabulary!$E$2:$E$4286,FALSE),1),"")</f>
        <v>6017</v>
      </c>
    </row>
    <row r="85" spans="1:4" x14ac:dyDescent="0.45">
      <c r="A85">
        <v>6018</v>
      </c>
      <c r="B85" t="s">
        <v>87</v>
      </c>
      <c r="C85" t="s">
        <v>88</v>
      </c>
      <c r="D85">
        <f>IFERROR(INDEX([1]Material_vocabulary!$A$2:$E$4286,MATCH(B85,[1]Material_vocabulary!$E$2:$E$4286,FALSE),1),"")</f>
        <v>6018</v>
      </c>
    </row>
    <row r="86" spans="1:4" x14ac:dyDescent="0.45">
      <c r="A86">
        <v>6019</v>
      </c>
      <c r="B86" t="s">
        <v>89</v>
      </c>
      <c r="C86" t="s">
        <v>90</v>
      </c>
      <c r="D86">
        <f>IFERROR(INDEX([1]Material_vocabulary!$A$2:$E$4286,MATCH(B86,[1]Material_vocabulary!$E$2:$E$4286,FALSE),1),"")</f>
        <v>6019</v>
      </c>
    </row>
    <row r="87" spans="1:4" x14ac:dyDescent="0.45">
      <c r="A87">
        <v>6020</v>
      </c>
      <c r="B87" t="s">
        <v>91</v>
      </c>
      <c r="C87" t="s">
        <v>92</v>
      </c>
      <c r="D87">
        <f>IFERROR(INDEX([1]Material_vocabulary!$A$2:$E$4286,MATCH(B87,[1]Material_vocabulary!$E$2:$E$4286,FALSE),1),"")</f>
        <v>6020</v>
      </c>
    </row>
    <row r="88" spans="1:4" x14ac:dyDescent="0.45">
      <c r="A88">
        <v>6021</v>
      </c>
      <c r="B88" t="s">
        <v>95</v>
      </c>
      <c r="C88" t="s">
        <v>96</v>
      </c>
      <c r="D88">
        <f>IFERROR(INDEX([1]Material_vocabulary!$A$2:$E$4286,MATCH(B88,[1]Material_vocabulary!$E$2:$E$4286,FALSE),1),"")</f>
        <v>6021</v>
      </c>
    </row>
    <row r="89" spans="1:4" x14ac:dyDescent="0.45">
      <c r="A89">
        <v>6022</v>
      </c>
      <c r="B89" t="s">
        <v>99</v>
      </c>
      <c r="C89" t="s">
        <v>100</v>
      </c>
      <c r="D89" t="str">
        <f>IFERROR(INDEX([1]Material_vocabulary!$A$2:$E$4286,MATCH(B89,[1]Material_vocabulary!$E$2:$E$4286,FALSE),1),"")</f>
        <v/>
      </c>
    </row>
    <row r="90" spans="1:4" x14ac:dyDescent="0.45">
      <c r="A90">
        <v>6023</v>
      </c>
      <c r="B90" t="s">
        <v>109</v>
      </c>
      <c r="C90" t="s">
        <v>110</v>
      </c>
      <c r="D90" t="str">
        <f>IFERROR(INDEX([1]Material_vocabulary!$A$2:$E$4286,MATCH(B90,[1]Material_vocabulary!$E$2:$E$4286,FALSE),1),"")</f>
        <v/>
      </c>
    </row>
    <row r="91" spans="1:4" x14ac:dyDescent="0.45">
      <c r="A91">
        <v>6024</v>
      </c>
      <c r="B91" t="s">
        <v>111</v>
      </c>
      <c r="C91" t="s">
        <v>112</v>
      </c>
      <c r="D91" t="str">
        <f>IFERROR(INDEX([1]Material_vocabulary!$A$2:$E$4286,MATCH(B91,[1]Material_vocabulary!$E$2:$E$4286,FALSE),1),"")</f>
        <v/>
      </c>
    </row>
    <row r="92" spans="1:4" x14ac:dyDescent="0.45">
      <c r="A92">
        <v>6025</v>
      </c>
      <c r="B92" t="s">
        <v>113</v>
      </c>
      <c r="C92" t="s">
        <v>114</v>
      </c>
      <c r="D92" t="str">
        <f>IFERROR(INDEX([1]Material_vocabulary!$A$2:$E$4286,MATCH(B92,[1]Material_vocabulary!$E$2:$E$4286,FALSE),1),"")</f>
        <v/>
      </c>
    </row>
    <row r="93" spans="1:4" x14ac:dyDescent="0.45">
      <c r="A93">
        <v>6026</v>
      </c>
      <c r="B93" t="s">
        <v>115</v>
      </c>
      <c r="C93" t="s">
        <v>116</v>
      </c>
      <c r="D93">
        <f>IFERROR(INDEX([1]Material_vocabulary!$A$2:$E$4286,MATCH(B93,[1]Material_vocabulary!$E$2:$E$4286,FALSE),1),"")</f>
        <v>6026</v>
      </c>
    </row>
    <row r="94" spans="1:4" x14ac:dyDescent="0.45">
      <c r="A94">
        <v>6027</v>
      </c>
      <c r="B94" t="s">
        <v>119</v>
      </c>
      <c r="C94" t="s">
        <v>120</v>
      </c>
      <c r="D94">
        <f>IFERROR(INDEX([1]Material_vocabulary!$A$2:$E$4286,MATCH(B94,[1]Material_vocabulary!$E$2:$E$4286,FALSE),1),"")</f>
        <v>6027</v>
      </c>
    </row>
    <row r="95" spans="1:4" x14ac:dyDescent="0.45">
      <c r="A95">
        <v>6028</v>
      </c>
      <c r="B95" t="s">
        <v>145</v>
      </c>
      <c r="C95" t="s">
        <v>146</v>
      </c>
      <c r="D95">
        <f>IFERROR(INDEX([1]Material_vocabulary!$A$2:$E$4286,MATCH(B95,[1]Material_vocabulary!$E$2:$E$4286,FALSE),1),"")</f>
        <v>6028</v>
      </c>
    </row>
    <row r="96" spans="1:4" x14ac:dyDescent="0.45">
      <c r="A96">
        <v>6029</v>
      </c>
      <c r="B96" t="s">
        <v>149</v>
      </c>
      <c r="C96" t="s">
        <v>150</v>
      </c>
      <c r="D96">
        <f>IFERROR(INDEX([1]Material_vocabulary!$A$2:$E$4286,MATCH(B96,[1]Material_vocabulary!$E$2:$E$4286,FALSE),1),"")</f>
        <v>6029</v>
      </c>
    </row>
    <row r="97" spans="1:4" x14ac:dyDescent="0.45">
      <c r="A97">
        <v>6030</v>
      </c>
      <c r="B97" t="s">
        <v>151</v>
      </c>
      <c r="C97" t="s">
        <v>152</v>
      </c>
      <c r="D97">
        <f>IFERROR(INDEX([1]Material_vocabulary!$A$2:$E$4286,MATCH(B97,[1]Material_vocabulary!$E$2:$E$4286,FALSE),1),"")</f>
        <v>6030</v>
      </c>
    </row>
    <row r="98" spans="1:4" x14ac:dyDescent="0.45">
      <c r="A98">
        <v>6031</v>
      </c>
      <c r="B98" t="s">
        <v>153</v>
      </c>
      <c r="C98" t="s">
        <v>154</v>
      </c>
      <c r="D98">
        <f>IFERROR(INDEX([1]Material_vocabulary!$A$2:$E$4286,MATCH(B98,[1]Material_vocabulary!$E$2:$E$4286,FALSE),1),"")</f>
        <v>6031</v>
      </c>
    </row>
    <row r="99" spans="1:4" x14ac:dyDescent="0.45">
      <c r="A99">
        <v>6032</v>
      </c>
      <c r="B99" t="s">
        <v>155</v>
      </c>
      <c r="C99" t="s">
        <v>156</v>
      </c>
      <c r="D99" t="str">
        <f>IFERROR(INDEX([1]Material_vocabulary!$A$2:$E$4286,MATCH(B99,[1]Material_vocabulary!$E$2:$E$4286,FALSE),1),"")</f>
        <v/>
      </c>
    </row>
    <row r="100" spans="1:4" x14ac:dyDescent="0.45">
      <c r="A100">
        <v>6033</v>
      </c>
      <c r="B100" t="s">
        <v>157</v>
      </c>
      <c r="C100" t="s">
        <v>158</v>
      </c>
      <c r="D100">
        <f>IFERROR(INDEX([1]Material_vocabulary!$A$2:$E$4286,MATCH(B100,[1]Material_vocabulary!$E$2:$E$4286,FALSE),1),"")</f>
        <v>6033</v>
      </c>
    </row>
    <row r="101" spans="1:4" x14ac:dyDescent="0.45">
      <c r="A101">
        <v>6034</v>
      </c>
      <c r="B101" t="s">
        <v>163</v>
      </c>
      <c r="C101" t="s">
        <v>164</v>
      </c>
      <c r="D101">
        <f>IFERROR(INDEX([1]Material_vocabulary!$A$2:$E$4286,MATCH(B101,[1]Material_vocabulary!$E$2:$E$4286,FALSE),1),"")</f>
        <v>6034</v>
      </c>
    </row>
    <row r="102" spans="1:4" x14ac:dyDescent="0.45">
      <c r="A102">
        <v>6035</v>
      </c>
      <c r="B102" t="s">
        <v>169</v>
      </c>
      <c r="C102" t="s">
        <v>170</v>
      </c>
      <c r="D102" t="str">
        <f>IFERROR(INDEX([1]Material_vocabulary!$A$2:$E$4286,MATCH(B102,[1]Material_vocabulary!$E$2:$E$4286,FALSE),1),"")</f>
        <v/>
      </c>
    </row>
    <row r="103" spans="1:4" x14ac:dyDescent="0.45">
      <c r="A103">
        <v>6036</v>
      </c>
      <c r="B103" t="s">
        <v>171</v>
      </c>
      <c r="C103" t="s">
        <v>172</v>
      </c>
      <c r="D103">
        <f>IFERROR(INDEX([1]Material_vocabulary!$A$2:$E$4286,MATCH(B103,[1]Material_vocabulary!$E$2:$E$4286,FALSE),1),"")</f>
        <v>6036</v>
      </c>
    </row>
    <row r="104" spans="1:4" x14ac:dyDescent="0.45">
      <c r="A104">
        <v>6037</v>
      </c>
      <c r="B104" t="s">
        <v>177</v>
      </c>
      <c r="C104" t="s">
        <v>178</v>
      </c>
      <c r="D104" t="str">
        <f>IFERROR(INDEX([1]Material_vocabulary!$A$2:$E$4286,MATCH(B104,[1]Material_vocabulary!$E$2:$E$4286,FALSE),1),"")</f>
        <v/>
      </c>
    </row>
    <row r="105" spans="1:4" x14ac:dyDescent="0.45">
      <c r="A105">
        <v>6038</v>
      </c>
      <c r="B105" t="s">
        <v>179</v>
      </c>
      <c r="C105" t="s">
        <v>180</v>
      </c>
      <c r="D105" t="str">
        <f>IFERROR(INDEX([1]Material_vocabulary!$A$2:$E$4286,MATCH(B105,[1]Material_vocabulary!$E$2:$E$4286,FALSE),1),"")</f>
        <v/>
      </c>
    </row>
    <row r="106" spans="1:4" x14ac:dyDescent="0.45">
      <c r="A106">
        <v>6039</v>
      </c>
      <c r="B106" t="s">
        <v>181</v>
      </c>
      <c r="C106" t="s">
        <v>182</v>
      </c>
      <c r="D106">
        <f>IFERROR(INDEX([1]Material_vocabulary!$A$2:$E$4286,MATCH(B106,[1]Material_vocabulary!$E$2:$E$4286,FALSE),1),"")</f>
        <v>6039</v>
      </c>
    </row>
    <row r="107" spans="1:4" x14ac:dyDescent="0.45">
      <c r="A107">
        <v>6040</v>
      </c>
      <c r="B107" t="s">
        <v>187</v>
      </c>
      <c r="C107" t="s">
        <v>188</v>
      </c>
      <c r="D107" t="str">
        <f>IFERROR(INDEX([1]Material_vocabulary!$A$2:$E$4286,MATCH(B107,[1]Material_vocabulary!$E$2:$E$4286,FALSE),1),"")</f>
        <v/>
      </c>
    </row>
    <row r="108" spans="1:4" x14ac:dyDescent="0.45">
      <c r="A108">
        <v>6041</v>
      </c>
      <c r="B108" t="s">
        <v>189</v>
      </c>
      <c r="C108" t="s">
        <v>190</v>
      </c>
      <c r="D108">
        <f>IFERROR(INDEX([1]Material_vocabulary!$A$2:$E$4286,MATCH(B108,[1]Material_vocabulary!$E$2:$E$4286,FALSE),1),"")</f>
        <v>6041</v>
      </c>
    </row>
    <row r="109" spans="1:4" x14ac:dyDescent="0.45">
      <c r="A109">
        <v>6042</v>
      </c>
      <c r="B109" t="s">
        <v>191</v>
      </c>
      <c r="C109" t="s">
        <v>192</v>
      </c>
      <c r="D109" t="str">
        <f>IFERROR(INDEX([1]Material_vocabulary!$A$2:$E$4286,MATCH(B109,[1]Material_vocabulary!$E$2:$E$4286,FALSE),1),"")</f>
        <v/>
      </c>
    </row>
    <row r="110" spans="1:4" x14ac:dyDescent="0.45">
      <c r="A110">
        <v>6043</v>
      </c>
      <c r="B110" t="s">
        <v>199</v>
      </c>
      <c r="C110" t="s">
        <v>200</v>
      </c>
      <c r="D110">
        <f>IFERROR(INDEX([1]Material_vocabulary!$A$2:$E$4286,MATCH(B110,[1]Material_vocabulary!$E$2:$E$4286,FALSE),1),"")</f>
        <v>6043</v>
      </c>
    </row>
    <row r="111" spans="1:4" x14ac:dyDescent="0.45">
      <c r="A111">
        <v>6044</v>
      </c>
      <c r="B111" t="s">
        <v>207</v>
      </c>
      <c r="C111" t="s">
        <v>208</v>
      </c>
      <c r="D111" t="str">
        <f>IFERROR(INDEX([1]Material_vocabulary!$A$2:$E$4286,MATCH(B111,[1]Material_vocabulary!$E$2:$E$4286,FALSE),1),"")</f>
        <v/>
      </c>
    </row>
    <row r="112" spans="1:4" x14ac:dyDescent="0.45">
      <c r="A112">
        <v>6045</v>
      </c>
      <c r="B112" t="s">
        <v>209</v>
      </c>
      <c r="C112" t="s">
        <v>210</v>
      </c>
      <c r="D112">
        <f>IFERROR(INDEX([1]Material_vocabulary!$A$2:$E$4286,MATCH(B112,[1]Material_vocabulary!$E$2:$E$4286,FALSE),1),"")</f>
        <v>6045</v>
      </c>
    </row>
    <row r="113" spans="1:4" x14ac:dyDescent="0.45">
      <c r="A113">
        <v>6046</v>
      </c>
      <c r="B113" t="s">
        <v>213</v>
      </c>
      <c r="C113" t="s">
        <v>214</v>
      </c>
      <c r="D113">
        <f>IFERROR(INDEX([1]Material_vocabulary!$A$2:$E$4286,MATCH(B113,[1]Material_vocabulary!$E$2:$E$4286,FALSE),1),"")</f>
        <v>6046</v>
      </c>
    </row>
    <row r="114" spans="1:4" x14ac:dyDescent="0.45">
      <c r="A114">
        <v>6047</v>
      </c>
      <c r="B114" t="s">
        <v>225</v>
      </c>
      <c r="C114" t="s">
        <v>226</v>
      </c>
      <c r="D114">
        <f>IFERROR(INDEX([1]Material_vocabulary!$A$2:$E$4286,MATCH(B114,[1]Material_vocabulary!$E$2:$E$4286,FALSE),1),"")</f>
        <v>6047</v>
      </c>
    </row>
    <row r="115" spans="1:4" x14ac:dyDescent="0.45">
      <c r="A115">
        <v>6048</v>
      </c>
      <c r="B115" t="s">
        <v>241</v>
      </c>
      <c r="C115" t="s">
        <v>242</v>
      </c>
      <c r="D115">
        <f>IFERROR(INDEX([1]Material_vocabulary!$A$2:$E$4286,MATCH(B115,[1]Material_vocabulary!$E$2:$E$4286,FALSE),1),"")</f>
        <v>6048</v>
      </c>
    </row>
    <row r="116" spans="1:4" x14ac:dyDescent="0.45">
      <c r="A116">
        <v>6049</v>
      </c>
      <c r="B116" t="s">
        <v>243</v>
      </c>
      <c r="C116" t="s">
        <v>244</v>
      </c>
      <c r="D116">
        <f>IFERROR(INDEX([1]Material_vocabulary!$A$2:$E$4286,MATCH(B116,[1]Material_vocabulary!$E$2:$E$4286,FALSE),1),"")</f>
        <v>6049</v>
      </c>
    </row>
    <row r="117" spans="1:4" x14ac:dyDescent="0.45">
      <c r="A117">
        <v>6050</v>
      </c>
      <c r="B117" t="s">
        <v>247</v>
      </c>
      <c r="C117" t="s">
        <v>248</v>
      </c>
      <c r="D117">
        <f>IFERROR(INDEX([1]Material_vocabulary!$A$2:$E$4286,MATCH(B117,[1]Material_vocabulary!$E$2:$E$4286,FALSE),1),"")</f>
        <v>6050</v>
      </c>
    </row>
    <row r="118" spans="1:4" x14ac:dyDescent="0.45">
      <c r="A118">
        <v>6051</v>
      </c>
      <c r="B118" t="s">
        <v>269</v>
      </c>
      <c r="C118" t="s">
        <v>270</v>
      </c>
      <c r="D118">
        <f>IFERROR(INDEX([1]Material_vocabulary!$A$2:$E$4286,MATCH(B118,[1]Material_vocabulary!$E$2:$E$4286,FALSE),1),"")</f>
        <v>6051</v>
      </c>
    </row>
    <row r="119" spans="1:4" x14ac:dyDescent="0.45">
      <c r="A119">
        <v>6052</v>
      </c>
      <c r="B119" t="s">
        <v>295</v>
      </c>
      <c r="C119" t="s">
        <v>296</v>
      </c>
      <c r="D119" t="str">
        <f>IFERROR(INDEX([1]Material_vocabulary!$A$2:$E$4286,MATCH(B119,[1]Material_vocabulary!$E$2:$E$4286,FALSE),1),"")</f>
        <v/>
      </c>
    </row>
    <row r="120" spans="1:4" x14ac:dyDescent="0.45">
      <c r="A120">
        <v>6053</v>
      </c>
      <c r="B120" t="s">
        <v>299</v>
      </c>
      <c r="C120" t="s">
        <v>300</v>
      </c>
      <c r="D120">
        <f>IFERROR(INDEX([1]Material_vocabulary!$A$2:$E$4286,MATCH(B120,[1]Material_vocabulary!$E$2:$E$4286,FALSE),1),"")</f>
        <v>6053</v>
      </c>
    </row>
    <row r="121" spans="1:4" x14ac:dyDescent="0.45">
      <c r="A121">
        <v>6054</v>
      </c>
      <c r="B121" t="s">
        <v>303</v>
      </c>
      <c r="C121" t="s">
        <v>304</v>
      </c>
      <c r="D121">
        <f>IFERROR(INDEX([1]Material_vocabulary!$A$2:$E$4286,MATCH(B121,[1]Material_vocabulary!$E$2:$E$4286,FALSE),1),"")</f>
        <v>6054</v>
      </c>
    </row>
    <row r="122" spans="1:4" x14ac:dyDescent="0.45">
      <c r="A122">
        <v>6055</v>
      </c>
      <c r="B122" t="s">
        <v>309</v>
      </c>
      <c r="C122" t="s">
        <v>310</v>
      </c>
      <c r="D122">
        <f>IFERROR(INDEX([1]Material_vocabulary!$A$2:$E$4286,MATCH(B122,[1]Material_vocabulary!$E$2:$E$4286,FALSE),1),"")</f>
        <v>6055</v>
      </c>
    </row>
    <row r="123" spans="1:4" x14ac:dyDescent="0.45">
      <c r="A123">
        <v>6056</v>
      </c>
      <c r="B123" t="s">
        <v>313</v>
      </c>
      <c r="C123" t="s">
        <v>314</v>
      </c>
      <c r="D123">
        <f>IFERROR(INDEX([1]Material_vocabulary!$A$2:$E$4286,MATCH(B123,[1]Material_vocabulary!$E$2:$E$4286,FALSE),1),"")</f>
        <v>6056</v>
      </c>
    </row>
    <row r="124" spans="1:4" x14ac:dyDescent="0.45">
      <c r="A124">
        <v>6057</v>
      </c>
      <c r="B124" t="s">
        <v>329</v>
      </c>
      <c r="C124" t="s">
        <v>330</v>
      </c>
      <c r="D124" t="str">
        <f>IFERROR(INDEX([1]Material_vocabulary!$A$2:$E$4286,MATCH(B124,[1]Material_vocabulary!$E$2:$E$4286,FALSE),1),"")</f>
        <v/>
      </c>
    </row>
    <row r="125" spans="1:4" x14ac:dyDescent="0.45">
      <c r="A125">
        <v>6058</v>
      </c>
      <c r="B125" t="s">
        <v>341</v>
      </c>
      <c r="C125" t="s">
        <v>342</v>
      </c>
      <c r="D125">
        <f>IFERROR(INDEX([1]Material_vocabulary!$A$2:$E$4286,MATCH(B125,[1]Material_vocabulary!$E$2:$E$4286,FALSE),1),"")</f>
        <v>6058</v>
      </c>
    </row>
    <row r="126" spans="1:4" x14ac:dyDescent="0.45">
      <c r="A126">
        <v>6059</v>
      </c>
      <c r="B126" t="s">
        <v>343</v>
      </c>
      <c r="C126" t="s">
        <v>344</v>
      </c>
      <c r="D126">
        <f>IFERROR(INDEX([1]Material_vocabulary!$A$2:$E$4286,MATCH(B126,[1]Material_vocabulary!$E$2:$E$4286,FALSE),1),"")</f>
        <v>6059</v>
      </c>
    </row>
    <row r="127" spans="1:4" x14ac:dyDescent="0.45">
      <c r="A127">
        <v>6060</v>
      </c>
      <c r="B127" t="s">
        <v>345</v>
      </c>
      <c r="C127" t="s">
        <v>346</v>
      </c>
      <c r="D127" t="str">
        <f>IFERROR(INDEX([1]Material_vocabulary!$A$2:$E$4286,MATCH(B127,[1]Material_vocabulary!$E$2:$E$4286,FALSE),1),"")</f>
        <v/>
      </c>
    </row>
    <row r="128" spans="1:4" x14ac:dyDescent="0.45">
      <c r="A128">
        <v>6061</v>
      </c>
      <c r="B128" t="s">
        <v>347</v>
      </c>
      <c r="C128" t="s">
        <v>348</v>
      </c>
      <c r="D128">
        <f>IFERROR(INDEX([1]Material_vocabulary!$A$2:$E$4286,MATCH(B128,[1]Material_vocabulary!$E$2:$E$4286,FALSE),1),"")</f>
        <v>6061</v>
      </c>
    </row>
    <row r="129" spans="1:4" x14ac:dyDescent="0.45">
      <c r="A129">
        <v>6062</v>
      </c>
      <c r="B129" t="s">
        <v>357</v>
      </c>
      <c r="C129" t="s">
        <v>358</v>
      </c>
      <c r="D129">
        <f>IFERROR(INDEX([1]Material_vocabulary!$A$2:$E$4286,MATCH(B129,[1]Material_vocabulary!$E$2:$E$4286,FALSE),1),"")</f>
        <v>6062</v>
      </c>
    </row>
    <row r="130" spans="1:4" x14ac:dyDescent="0.45">
      <c r="A130">
        <v>6063</v>
      </c>
      <c r="B130" t="s">
        <v>369</v>
      </c>
      <c r="C130" t="s">
        <v>370</v>
      </c>
      <c r="D130">
        <f>IFERROR(INDEX([1]Material_vocabulary!$A$2:$E$4286,MATCH(B130,[1]Material_vocabulary!$E$2:$E$4286,FALSE),1),"")</f>
        <v>6063</v>
      </c>
    </row>
    <row r="131" spans="1:4" x14ac:dyDescent="0.45">
      <c r="A131">
        <v>6064</v>
      </c>
      <c r="B131" t="s">
        <v>371</v>
      </c>
      <c r="C131" t="s">
        <v>372</v>
      </c>
      <c r="D131">
        <f>IFERROR(INDEX([1]Material_vocabulary!$A$2:$E$4286,MATCH(B131,[1]Material_vocabulary!$E$2:$E$4286,FALSE),1),"")</f>
        <v>6064</v>
      </c>
    </row>
    <row r="132" spans="1:4" x14ac:dyDescent="0.45">
      <c r="A132">
        <v>6065</v>
      </c>
      <c r="B132" t="s">
        <v>373</v>
      </c>
      <c r="C132" t="s">
        <v>374</v>
      </c>
      <c r="D132">
        <f>IFERROR(INDEX([1]Material_vocabulary!$A$2:$E$4286,MATCH(B132,[1]Material_vocabulary!$E$2:$E$4286,FALSE),1),"")</f>
        <v>6065</v>
      </c>
    </row>
    <row r="133" spans="1:4" x14ac:dyDescent="0.45">
      <c r="A133">
        <v>6066</v>
      </c>
      <c r="B133" t="s">
        <v>377</v>
      </c>
      <c r="C133" t="s">
        <v>378</v>
      </c>
      <c r="D133">
        <f>IFERROR(INDEX([1]Material_vocabulary!$A$2:$E$4286,MATCH(B133,[1]Material_vocabulary!$E$2:$E$4286,FALSE),1),"")</f>
        <v>6066</v>
      </c>
    </row>
    <row r="134" spans="1:4" x14ac:dyDescent="0.45">
      <c r="A134">
        <v>6067</v>
      </c>
      <c r="B134" t="s">
        <v>379</v>
      </c>
      <c r="C134" t="s">
        <v>380</v>
      </c>
      <c r="D134" t="str">
        <f>IFERROR(INDEX([1]Material_vocabulary!$A$2:$E$4286,MATCH(B134,[1]Material_vocabulary!$E$2:$E$4286,FALSE),1),"")</f>
        <v/>
      </c>
    </row>
    <row r="135" spans="1:4" x14ac:dyDescent="0.45">
      <c r="A135">
        <v>6068</v>
      </c>
      <c r="B135" t="s">
        <v>391</v>
      </c>
      <c r="C135" t="s">
        <v>392</v>
      </c>
      <c r="D135">
        <f>IFERROR(INDEX([1]Material_vocabulary!$A$2:$E$4286,MATCH(B135,[1]Material_vocabulary!$E$2:$E$4286,FALSE),1),"")</f>
        <v>6068</v>
      </c>
    </row>
    <row r="136" spans="1:4" x14ac:dyDescent="0.45">
      <c r="A136">
        <v>6069</v>
      </c>
      <c r="B136" t="s">
        <v>405</v>
      </c>
      <c r="C136" t="s">
        <v>406</v>
      </c>
      <c r="D136">
        <f>IFERROR(INDEX([1]Material_vocabulary!$A$2:$E$4286,MATCH(B136,[1]Material_vocabulary!$E$2:$E$4286,FALSE),1),"")</f>
        <v>6069</v>
      </c>
    </row>
    <row r="137" spans="1:4" x14ac:dyDescent="0.45">
      <c r="A137">
        <v>6070</v>
      </c>
      <c r="B137" t="s">
        <v>429</v>
      </c>
      <c r="C137" t="s">
        <v>430</v>
      </c>
      <c r="D137">
        <f>IFERROR(INDEX([1]Material_vocabulary!$A$2:$E$4286,MATCH(B137,[1]Material_vocabulary!$E$2:$E$4286,FALSE),1),"")</f>
        <v>6070</v>
      </c>
    </row>
    <row r="138" spans="1:4" x14ac:dyDescent="0.45">
      <c r="A138">
        <v>6071</v>
      </c>
      <c r="B138" t="s">
        <v>433</v>
      </c>
      <c r="C138" t="s">
        <v>434</v>
      </c>
      <c r="D138" t="str">
        <f>IFERROR(INDEX([1]Material_vocabulary!$A$2:$E$4286,MATCH(B138,[1]Material_vocabulary!$E$2:$E$4286,FALSE),1),"")</f>
        <v/>
      </c>
    </row>
    <row r="139" spans="1:4" x14ac:dyDescent="0.45">
      <c r="A139">
        <v>6072</v>
      </c>
      <c r="B139" t="s">
        <v>435</v>
      </c>
      <c r="C139" t="s">
        <v>436</v>
      </c>
      <c r="D139" t="str">
        <f>IFERROR(INDEX([1]Material_vocabulary!$A$2:$E$4286,MATCH(B139,[1]Material_vocabulary!$E$2:$E$4286,FALSE),1),"")</f>
        <v/>
      </c>
    </row>
    <row r="140" spans="1:4" x14ac:dyDescent="0.45">
      <c r="A140">
        <v>6073</v>
      </c>
      <c r="B140" t="s">
        <v>437</v>
      </c>
      <c r="C140" t="s">
        <v>438</v>
      </c>
      <c r="D140" t="str">
        <f>IFERROR(INDEX([1]Material_vocabulary!$A$2:$E$4286,MATCH(B140,[1]Material_vocabulary!$E$2:$E$4286,FALSE),1),"")</f>
        <v/>
      </c>
    </row>
    <row r="141" spans="1:4" x14ac:dyDescent="0.45">
      <c r="A141">
        <v>6074</v>
      </c>
      <c r="B141" t="s">
        <v>445</v>
      </c>
      <c r="C141" t="s">
        <v>446</v>
      </c>
      <c r="D141">
        <f>IFERROR(INDEX([1]Material_vocabulary!$A$2:$E$4286,MATCH(B141,[1]Material_vocabulary!$E$2:$E$4286,FALSE),1),"")</f>
        <v>6074</v>
      </c>
    </row>
    <row r="142" spans="1:4" x14ac:dyDescent="0.45">
      <c r="A142">
        <v>6075</v>
      </c>
      <c r="B142" t="s">
        <v>447</v>
      </c>
      <c r="C142" t="s">
        <v>448</v>
      </c>
      <c r="D142">
        <f>IFERROR(INDEX([1]Material_vocabulary!$A$2:$E$4286,MATCH(B142,[1]Material_vocabulary!$E$2:$E$4286,FALSE),1),"")</f>
        <v>6075</v>
      </c>
    </row>
    <row r="143" spans="1:4" x14ac:dyDescent="0.45">
      <c r="A143">
        <v>6076</v>
      </c>
      <c r="B143" t="s">
        <v>1106</v>
      </c>
      <c r="C143" t="s">
        <v>2</v>
      </c>
      <c r="D143">
        <f>IFERROR(INDEX([1]Material_vocabulary!$A$2:$E$4286,MATCH(B143,[1]Material_vocabulary!$E$2:$E$4286,FALSE),1),"")</f>
        <v>6076</v>
      </c>
    </row>
    <row r="144" spans="1:4" x14ac:dyDescent="0.45">
      <c r="A144">
        <v>6077</v>
      </c>
      <c r="B144" t="s">
        <v>7</v>
      </c>
      <c r="C144" t="s">
        <v>8</v>
      </c>
      <c r="D144">
        <f>IFERROR(INDEX([1]Material_vocabulary!$A$2:$E$4286,MATCH(B144,[1]Material_vocabulary!$E$2:$E$4286,FALSE),1),"")</f>
        <v>6077</v>
      </c>
    </row>
    <row r="145" spans="1:4" x14ac:dyDescent="0.45">
      <c r="A145">
        <v>6078</v>
      </c>
      <c r="B145" t="s">
        <v>9</v>
      </c>
      <c r="C145" t="s">
        <v>10</v>
      </c>
      <c r="D145">
        <f>IFERROR(INDEX([1]Material_vocabulary!$A$2:$E$4286,MATCH(B145,[1]Material_vocabulary!$E$2:$E$4286,FALSE),1),"")</f>
        <v>6078</v>
      </c>
    </row>
    <row r="146" spans="1:4" x14ac:dyDescent="0.45">
      <c r="A146">
        <v>6079</v>
      </c>
      <c r="B146" t="s">
        <v>1107</v>
      </c>
      <c r="C146" t="s">
        <v>20</v>
      </c>
      <c r="D146">
        <f>IFERROR(INDEX([1]Material_vocabulary!$A$2:$E$4286,MATCH(B146,[1]Material_vocabulary!$E$2:$E$4286,FALSE),1),"")</f>
        <v>6079</v>
      </c>
    </row>
    <row r="147" spans="1:4" x14ac:dyDescent="0.45">
      <c r="A147">
        <v>6080</v>
      </c>
      <c r="B147" t="s">
        <v>1108</v>
      </c>
      <c r="C147" t="s">
        <v>28</v>
      </c>
      <c r="D147" t="str">
        <f>IFERROR(INDEX([1]Material_vocabulary!$A$2:$E$4286,MATCH(B147,[1]Material_vocabulary!$E$2:$E$4286,FALSE),1),"")</f>
        <v/>
      </c>
    </row>
    <row r="148" spans="1:4" x14ac:dyDescent="0.45">
      <c r="A148">
        <v>6081</v>
      </c>
      <c r="B148" t="s">
        <v>1109</v>
      </c>
      <c r="C148" t="s">
        <v>30</v>
      </c>
      <c r="D148">
        <f>IFERROR(INDEX([1]Material_vocabulary!$A$2:$E$4286,MATCH(B148,[1]Material_vocabulary!$E$2:$E$4286,FALSE),1),"")</f>
        <v>6081</v>
      </c>
    </row>
    <row r="149" spans="1:4" x14ac:dyDescent="0.45">
      <c r="A149">
        <v>6082</v>
      </c>
      <c r="B149" t="s">
        <v>1110</v>
      </c>
      <c r="C149" t="s">
        <v>32</v>
      </c>
      <c r="D149">
        <f>IFERROR(INDEX([1]Material_vocabulary!$A$2:$E$4286,MATCH(B149,[1]Material_vocabulary!$E$2:$E$4286,FALSE),1),"")</f>
        <v>6082</v>
      </c>
    </row>
    <row r="150" spans="1:4" x14ac:dyDescent="0.45">
      <c r="A150">
        <v>6083</v>
      </c>
      <c r="B150" t="s">
        <v>1111</v>
      </c>
      <c r="C150" t="s">
        <v>34</v>
      </c>
      <c r="D150">
        <f>IFERROR(INDEX([1]Material_vocabulary!$A$2:$E$4286,MATCH(B150,[1]Material_vocabulary!$E$2:$E$4286,FALSE),1),"")</f>
        <v>6083</v>
      </c>
    </row>
    <row r="151" spans="1:4" x14ac:dyDescent="0.45">
      <c r="A151">
        <v>6084</v>
      </c>
      <c r="B151" t="s">
        <v>1112</v>
      </c>
      <c r="C151" t="s">
        <v>36</v>
      </c>
      <c r="D151" t="str">
        <f>IFERROR(INDEX([1]Material_vocabulary!$A$2:$E$4286,MATCH(B151,[1]Material_vocabulary!$E$2:$E$4286,FALSE),1),"")</f>
        <v/>
      </c>
    </row>
    <row r="152" spans="1:4" x14ac:dyDescent="0.45">
      <c r="A152">
        <v>6085</v>
      </c>
      <c r="B152" t="s">
        <v>1113</v>
      </c>
      <c r="C152" t="s">
        <v>40</v>
      </c>
      <c r="D152">
        <f>IFERROR(INDEX([1]Material_vocabulary!$A$2:$E$4286,MATCH(B152,[1]Material_vocabulary!$E$2:$E$4286,FALSE),1),"")</f>
        <v>6085</v>
      </c>
    </row>
    <row r="153" spans="1:4" x14ac:dyDescent="0.45">
      <c r="A153">
        <v>6086</v>
      </c>
      <c r="B153" t="s">
        <v>43</v>
      </c>
      <c r="C153" t="s">
        <v>44</v>
      </c>
      <c r="D153" t="str">
        <f>IFERROR(INDEX([1]Material_vocabulary!$A$2:$E$4286,MATCH(B153,[1]Material_vocabulary!$E$2:$E$4286,FALSE),1),"")</f>
        <v/>
      </c>
    </row>
    <row r="154" spans="1:4" x14ac:dyDescent="0.45">
      <c r="A154">
        <v>6087</v>
      </c>
      <c r="B154" t="s">
        <v>1114</v>
      </c>
      <c r="C154" t="s">
        <v>52</v>
      </c>
      <c r="D154" t="str">
        <f>IFERROR(INDEX([1]Material_vocabulary!$A$2:$E$4286,MATCH(B154,[1]Material_vocabulary!$E$2:$E$4286,FALSE),1),"")</f>
        <v/>
      </c>
    </row>
    <row r="155" spans="1:4" x14ac:dyDescent="0.45">
      <c r="A155">
        <v>6088</v>
      </c>
      <c r="B155" t="s">
        <v>1115</v>
      </c>
      <c r="C155" t="s">
        <v>56</v>
      </c>
      <c r="D155" t="str">
        <f>IFERROR(INDEX([1]Material_vocabulary!$A$2:$E$4286,MATCH(B155,[1]Material_vocabulary!$E$2:$E$4286,FALSE),1),"")</f>
        <v/>
      </c>
    </row>
    <row r="156" spans="1:4" x14ac:dyDescent="0.45">
      <c r="A156">
        <v>6089</v>
      </c>
      <c r="B156" t="s">
        <v>1116</v>
      </c>
      <c r="C156" t="s">
        <v>64</v>
      </c>
      <c r="D156" t="str">
        <f>IFERROR(INDEX([1]Material_vocabulary!$A$2:$E$4286,MATCH(B156,[1]Material_vocabulary!$E$2:$E$4286,FALSE),1),"")</f>
        <v/>
      </c>
    </row>
    <row r="157" spans="1:4" x14ac:dyDescent="0.45">
      <c r="A157">
        <v>6090</v>
      </c>
      <c r="B157" t="s">
        <v>1117</v>
      </c>
      <c r="C157" t="s">
        <v>66</v>
      </c>
      <c r="D157">
        <f>IFERROR(INDEX([1]Material_vocabulary!$A$2:$E$4286,MATCH(B157,[1]Material_vocabulary!$E$2:$E$4286,FALSE),1),"")</f>
        <v>6090</v>
      </c>
    </row>
    <row r="158" spans="1:4" x14ac:dyDescent="0.45">
      <c r="A158">
        <v>6091</v>
      </c>
      <c r="B158" t="s">
        <v>1118</v>
      </c>
      <c r="C158" t="s">
        <v>68</v>
      </c>
      <c r="D158" t="str">
        <f>IFERROR(INDEX([1]Material_vocabulary!$A$2:$E$4286,MATCH(B158,[1]Material_vocabulary!$E$2:$E$4286,FALSE),1),"")</f>
        <v/>
      </c>
    </row>
    <row r="159" spans="1:4" x14ac:dyDescent="0.45">
      <c r="A159">
        <v>6092</v>
      </c>
      <c r="B159" t="s">
        <v>1120</v>
      </c>
      <c r="C159" t="s">
        <v>70</v>
      </c>
      <c r="D159" t="str">
        <f>IFERROR(INDEX([1]Material_vocabulary!$A$2:$E$4286,MATCH(B159,[1]Material_vocabulary!$E$2:$E$4286,FALSE),1),"")</f>
        <v/>
      </c>
    </row>
    <row r="160" spans="1:4" x14ac:dyDescent="0.45">
      <c r="A160">
        <v>6093</v>
      </c>
      <c r="B160" t="s">
        <v>1121</v>
      </c>
      <c r="C160" t="s">
        <v>72</v>
      </c>
      <c r="D160" t="str">
        <f>IFERROR(INDEX([1]Material_vocabulary!$A$2:$E$4286,MATCH(B160,[1]Material_vocabulary!$E$2:$E$4286,FALSE),1),"")</f>
        <v/>
      </c>
    </row>
    <row r="161" spans="1:4" x14ac:dyDescent="0.45">
      <c r="A161">
        <v>6094</v>
      </c>
      <c r="B161" t="s">
        <v>1122</v>
      </c>
      <c r="C161" t="s">
        <v>74</v>
      </c>
      <c r="D161" t="str">
        <f>IFERROR(INDEX([1]Material_vocabulary!$A$2:$E$4286,MATCH(B161,[1]Material_vocabulary!$E$2:$E$4286,FALSE),1),"")</f>
        <v/>
      </c>
    </row>
    <row r="162" spans="1:4" x14ac:dyDescent="0.45">
      <c r="A162">
        <v>6095</v>
      </c>
      <c r="B162" t="s">
        <v>1123</v>
      </c>
      <c r="C162" t="s">
        <v>76</v>
      </c>
      <c r="D162" t="str">
        <f>IFERROR(INDEX([1]Material_vocabulary!$A$2:$E$4286,MATCH(B162,[1]Material_vocabulary!$E$2:$E$4286,FALSE),1),"")</f>
        <v/>
      </c>
    </row>
    <row r="163" spans="1:4" x14ac:dyDescent="0.45">
      <c r="A163">
        <v>6096</v>
      </c>
      <c r="B163" t="s">
        <v>1124</v>
      </c>
      <c r="C163" t="s">
        <v>78</v>
      </c>
      <c r="D163" t="str">
        <f>IFERROR(INDEX([1]Material_vocabulary!$A$2:$E$4286,MATCH(B163,[1]Material_vocabulary!$E$2:$E$4286,FALSE),1),"")</f>
        <v/>
      </c>
    </row>
    <row r="164" spans="1:4" x14ac:dyDescent="0.45">
      <c r="A164">
        <v>6097</v>
      </c>
      <c r="B164" t="s">
        <v>1126</v>
      </c>
      <c r="C164" t="s">
        <v>86</v>
      </c>
      <c r="D164">
        <f>IFERROR(INDEX([1]Material_vocabulary!$A$2:$E$4286,MATCH(B164,[1]Material_vocabulary!$E$2:$E$4286,FALSE),1),"")</f>
        <v>6097</v>
      </c>
    </row>
    <row r="165" spans="1:4" x14ac:dyDescent="0.45">
      <c r="A165">
        <v>6098</v>
      </c>
      <c r="B165" t="s">
        <v>1127</v>
      </c>
      <c r="C165" t="s">
        <v>108</v>
      </c>
      <c r="D165">
        <f>IFERROR(INDEX([1]Material_vocabulary!$A$2:$E$4286,MATCH(B165,[1]Material_vocabulary!$E$2:$E$4286,FALSE),1),"")</f>
        <v>6098</v>
      </c>
    </row>
    <row r="166" spans="1:4" x14ac:dyDescent="0.45">
      <c r="A166">
        <v>6099</v>
      </c>
      <c r="B166" t="s">
        <v>1128</v>
      </c>
      <c r="C166" t="s">
        <v>302</v>
      </c>
      <c r="D166" t="str">
        <f>IFERROR(INDEX([1]Material_vocabulary!$A$2:$E$4286,MATCH(B166,[1]Material_vocabulary!$E$2:$E$4286,FALSE),1),"")</f>
        <v/>
      </c>
    </row>
    <row r="167" spans="1:4" x14ac:dyDescent="0.45">
      <c r="A167">
        <v>6100</v>
      </c>
      <c r="B167" t="s">
        <v>1129</v>
      </c>
      <c r="C167" t="s">
        <v>394</v>
      </c>
      <c r="D167" t="str">
        <f>IFERROR(INDEX([1]Material_vocabulary!$A$2:$E$4286,MATCH(B167,[1]Material_vocabulary!$E$2:$E$4286,FALSE),1),"")</f>
        <v/>
      </c>
    </row>
    <row r="168" spans="1:4" x14ac:dyDescent="0.45">
      <c r="A168">
        <v>6101</v>
      </c>
      <c r="B168" t="s">
        <v>1131</v>
      </c>
      <c r="C168" t="s">
        <v>98</v>
      </c>
      <c r="D168" t="str">
        <f>IFERROR(INDEX([1]Material_vocabulary!$A$2:$E$4286,MATCH(B168,[1]Material_vocabulary!$E$2:$E$4286,FALSE),1),"")</f>
        <v/>
      </c>
    </row>
    <row r="169" spans="1:4" x14ac:dyDescent="0.45">
      <c r="A169">
        <v>6102</v>
      </c>
      <c r="B169" t="s">
        <v>103</v>
      </c>
      <c r="C169" t="s">
        <v>104</v>
      </c>
      <c r="D169">
        <f>IFERROR(INDEX([1]Material_vocabulary!$A$2:$E$4286,MATCH(B169,[1]Material_vocabulary!$E$2:$E$4286,FALSE),1),"")</f>
        <v>6102</v>
      </c>
    </row>
    <row r="170" spans="1:4" x14ac:dyDescent="0.45">
      <c r="A170">
        <v>6103</v>
      </c>
      <c r="B170" t="s">
        <v>1132</v>
      </c>
      <c r="C170" t="s">
        <v>106</v>
      </c>
      <c r="D170">
        <f>IFERROR(INDEX([1]Material_vocabulary!$A$2:$E$4286,MATCH(B170,[1]Material_vocabulary!$E$2:$E$4286,FALSE),1),"")</f>
        <v>6103</v>
      </c>
    </row>
    <row r="171" spans="1:4" x14ac:dyDescent="0.45">
      <c r="A171">
        <v>6104</v>
      </c>
      <c r="B171" t="s">
        <v>1133</v>
      </c>
      <c r="C171" t="s">
        <v>124</v>
      </c>
      <c r="D171">
        <f>IFERROR(INDEX([1]Material_vocabulary!$A$2:$E$4286,MATCH(B171,[1]Material_vocabulary!$E$2:$E$4286,FALSE),1),"")</f>
        <v>6104</v>
      </c>
    </row>
    <row r="172" spans="1:4" x14ac:dyDescent="0.45">
      <c r="A172">
        <v>6105</v>
      </c>
      <c r="B172" t="s">
        <v>1134</v>
      </c>
      <c r="C172" t="s">
        <v>126</v>
      </c>
      <c r="D172" t="str">
        <f>IFERROR(INDEX([1]Material_vocabulary!$A$2:$E$4286,MATCH(B172,[1]Material_vocabulary!$E$2:$E$4286,FALSE),1),"")</f>
        <v/>
      </c>
    </row>
    <row r="173" spans="1:4" x14ac:dyDescent="0.45">
      <c r="A173">
        <v>6106</v>
      </c>
      <c r="B173" t="s">
        <v>1135</v>
      </c>
      <c r="C173" t="s">
        <v>128</v>
      </c>
      <c r="D173" t="str">
        <f>IFERROR(INDEX([1]Material_vocabulary!$A$2:$E$4286,MATCH(B173,[1]Material_vocabulary!$E$2:$E$4286,FALSE),1),"")</f>
        <v/>
      </c>
    </row>
    <row r="174" spans="1:4" x14ac:dyDescent="0.45">
      <c r="A174">
        <v>6107</v>
      </c>
      <c r="B174" t="s">
        <v>1136</v>
      </c>
      <c r="C174" t="s">
        <v>122</v>
      </c>
      <c r="D174" t="str">
        <f>IFERROR(INDEX([1]Material_vocabulary!$A$2:$E$4286,MATCH(B174,[1]Material_vocabulary!$E$2:$E$4286,FALSE),1),"")</f>
        <v/>
      </c>
    </row>
    <row r="175" spans="1:4" x14ac:dyDescent="0.45">
      <c r="A175">
        <v>6108</v>
      </c>
      <c r="B175" t="s">
        <v>129</v>
      </c>
      <c r="C175" t="s">
        <v>130</v>
      </c>
      <c r="D175" t="str">
        <f>IFERROR(INDEX([1]Material_vocabulary!$A$2:$E$4286,MATCH(B175,[1]Material_vocabulary!$E$2:$E$4286,FALSE),1),"")</f>
        <v/>
      </c>
    </row>
    <row r="176" spans="1:4" x14ac:dyDescent="0.45">
      <c r="A176">
        <v>6109</v>
      </c>
      <c r="B176" t="s">
        <v>1138</v>
      </c>
      <c r="C176" t="s">
        <v>136</v>
      </c>
      <c r="D176">
        <f>IFERROR(INDEX([1]Material_vocabulary!$A$2:$E$4286,MATCH(B176,[1]Material_vocabulary!$E$2:$E$4286,FALSE),1),"")</f>
        <v>6109</v>
      </c>
    </row>
    <row r="177" spans="1:4" x14ac:dyDescent="0.45">
      <c r="A177">
        <v>6110</v>
      </c>
      <c r="B177" t="s">
        <v>139</v>
      </c>
      <c r="C177" t="s">
        <v>140</v>
      </c>
      <c r="D177">
        <f>IFERROR(INDEX([1]Material_vocabulary!$A$2:$E$4286,MATCH(B177,[1]Material_vocabulary!$E$2:$E$4286,FALSE),1),"")</f>
        <v>6110</v>
      </c>
    </row>
    <row r="178" spans="1:4" x14ac:dyDescent="0.45">
      <c r="A178">
        <v>6111</v>
      </c>
      <c r="B178" t="s">
        <v>1140</v>
      </c>
      <c r="C178" t="s">
        <v>160</v>
      </c>
      <c r="D178">
        <f>IFERROR(INDEX([1]Material_vocabulary!$A$2:$E$4286,MATCH(B178,[1]Material_vocabulary!$E$2:$E$4286,FALSE),1),"")</f>
        <v>6111</v>
      </c>
    </row>
    <row r="179" spans="1:4" x14ac:dyDescent="0.45">
      <c r="A179">
        <v>6112</v>
      </c>
      <c r="B179" t="s">
        <v>1141</v>
      </c>
      <c r="C179" t="s">
        <v>162</v>
      </c>
      <c r="D179">
        <f>IFERROR(INDEX([1]Material_vocabulary!$A$2:$E$4286,MATCH(B179,[1]Material_vocabulary!$E$2:$E$4286,FALSE),1),"")</f>
        <v>6112</v>
      </c>
    </row>
    <row r="180" spans="1:4" x14ac:dyDescent="0.45">
      <c r="A180">
        <v>6113</v>
      </c>
      <c r="B180" t="s">
        <v>1142</v>
      </c>
      <c r="C180" t="s">
        <v>166</v>
      </c>
      <c r="D180" t="str">
        <f>IFERROR(INDEX([1]Material_vocabulary!$A$2:$E$4286,MATCH(B180,[1]Material_vocabulary!$E$2:$E$4286,FALSE),1),"")</f>
        <v/>
      </c>
    </row>
    <row r="181" spans="1:4" x14ac:dyDescent="0.45">
      <c r="A181">
        <v>6114</v>
      </c>
      <c r="B181" t="s">
        <v>1143</v>
      </c>
      <c r="C181" t="s">
        <v>54</v>
      </c>
      <c r="D181">
        <f>IFERROR(INDEX([1]Material_vocabulary!$A$2:$E$4286,MATCH(B181,[1]Material_vocabulary!$E$2:$E$4286,FALSE),1),"")</f>
        <v>6114</v>
      </c>
    </row>
    <row r="182" spans="1:4" x14ac:dyDescent="0.45">
      <c r="A182">
        <v>6115</v>
      </c>
      <c r="B182" t="s">
        <v>1145</v>
      </c>
      <c r="C182" t="s">
        <v>186</v>
      </c>
      <c r="D182" t="str">
        <f>IFERROR(INDEX([1]Material_vocabulary!$A$2:$E$4286,MATCH(B182,[1]Material_vocabulary!$E$2:$E$4286,FALSE),1),"")</f>
        <v/>
      </c>
    </row>
    <row r="183" spans="1:4" x14ac:dyDescent="0.45">
      <c r="A183">
        <v>6116</v>
      </c>
      <c r="B183" t="s">
        <v>1148</v>
      </c>
      <c r="C183" t="s">
        <v>198</v>
      </c>
      <c r="D183" t="str">
        <f>IFERROR(INDEX([1]Material_vocabulary!$A$2:$E$4286,MATCH(B183,[1]Material_vocabulary!$E$2:$E$4286,FALSE),1),"")</f>
        <v/>
      </c>
    </row>
    <row r="184" spans="1:4" x14ac:dyDescent="0.45">
      <c r="A184">
        <v>6117</v>
      </c>
      <c r="B184" t="s">
        <v>201</v>
      </c>
      <c r="C184" t="s">
        <v>202</v>
      </c>
      <c r="D184">
        <f>IFERROR(INDEX([1]Material_vocabulary!$A$2:$E$4286,MATCH(B184,[1]Material_vocabulary!$E$2:$E$4286,FALSE),1),"")</f>
        <v>6117</v>
      </c>
    </row>
    <row r="185" spans="1:4" x14ac:dyDescent="0.45">
      <c r="A185">
        <v>6118</v>
      </c>
      <c r="B185" t="s">
        <v>203</v>
      </c>
      <c r="C185" t="s">
        <v>204</v>
      </c>
      <c r="D185">
        <f>IFERROR(INDEX([1]Material_vocabulary!$A$2:$E$4286,MATCH(B185,[1]Material_vocabulary!$E$2:$E$4286,FALSE),1),"")</f>
        <v>6118</v>
      </c>
    </row>
    <row r="186" spans="1:4" x14ac:dyDescent="0.45">
      <c r="A186">
        <v>6119</v>
      </c>
      <c r="B186" t="s">
        <v>1149</v>
      </c>
      <c r="C186" t="s">
        <v>212</v>
      </c>
      <c r="D186">
        <f>IFERROR(INDEX([1]Material_vocabulary!$A$2:$E$4286,MATCH(B186,[1]Material_vocabulary!$E$2:$E$4286,FALSE),1),"")</f>
        <v>6119</v>
      </c>
    </row>
    <row r="187" spans="1:4" x14ac:dyDescent="0.45">
      <c r="A187">
        <v>6120</v>
      </c>
      <c r="B187" t="s">
        <v>1150</v>
      </c>
      <c r="C187" t="s">
        <v>228</v>
      </c>
      <c r="D187" t="str">
        <f>IFERROR(INDEX([1]Material_vocabulary!$A$2:$E$4286,MATCH(B187,[1]Material_vocabulary!$E$2:$E$4286,FALSE),1),"")</f>
        <v/>
      </c>
    </row>
    <row r="188" spans="1:4" x14ac:dyDescent="0.45">
      <c r="A188">
        <v>6121</v>
      </c>
      <c r="B188" t="s">
        <v>1151</v>
      </c>
      <c r="C188" t="s">
        <v>230</v>
      </c>
      <c r="D188" t="str">
        <f>IFERROR(INDEX([1]Material_vocabulary!$A$2:$E$4286,MATCH(B188,[1]Material_vocabulary!$E$2:$E$4286,FALSE),1),"")</f>
        <v/>
      </c>
    </row>
    <row r="189" spans="1:4" x14ac:dyDescent="0.45">
      <c r="A189">
        <v>6122</v>
      </c>
      <c r="B189" t="s">
        <v>1152</v>
      </c>
      <c r="C189" t="s">
        <v>234</v>
      </c>
      <c r="D189" t="str">
        <f>IFERROR(INDEX([1]Material_vocabulary!$A$2:$E$4286,MATCH(B189,[1]Material_vocabulary!$E$2:$E$4286,FALSE),1),"")</f>
        <v/>
      </c>
    </row>
    <row r="190" spans="1:4" x14ac:dyDescent="0.45">
      <c r="A190">
        <v>6123</v>
      </c>
      <c r="B190" t="s">
        <v>1153</v>
      </c>
      <c r="C190" t="s">
        <v>232</v>
      </c>
      <c r="D190" t="str">
        <f>IFERROR(INDEX([1]Material_vocabulary!$A$2:$E$4286,MATCH(B190,[1]Material_vocabulary!$E$2:$E$4286,FALSE),1),"")</f>
        <v/>
      </c>
    </row>
    <row r="191" spans="1:4" x14ac:dyDescent="0.45">
      <c r="A191">
        <v>6124</v>
      </c>
      <c r="B191" t="s">
        <v>1154</v>
      </c>
      <c r="C191" t="s">
        <v>236</v>
      </c>
      <c r="D191" t="str">
        <f>IFERROR(INDEX([1]Material_vocabulary!$A$2:$E$4286,MATCH(B191,[1]Material_vocabulary!$E$2:$E$4286,FALSE),1),"")</f>
        <v/>
      </c>
    </row>
    <row r="192" spans="1:4" x14ac:dyDescent="0.45">
      <c r="A192">
        <v>6125</v>
      </c>
      <c r="B192" t="s">
        <v>1155</v>
      </c>
      <c r="C192" t="s">
        <v>240</v>
      </c>
      <c r="D192">
        <f>IFERROR(INDEX([1]Material_vocabulary!$A$2:$E$4286,MATCH(B192,[1]Material_vocabulary!$E$2:$E$4286,FALSE),1),"")</f>
        <v>6125</v>
      </c>
    </row>
    <row r="193" spans="1:4" x14ac:dyDescent="0.45">
      <c r="A193">
        <v>6126</v>
      </c>
      <c r="B193" t="s">
        <v>1156</v>
      </c>
      <c r="C193" t="s">
        <v>250</v>
      </c>
      <c r="D193">
        <f>IFERROR(INDEX([1]Material_vocabulary!$A$2:$E$4286,MATCH(B193,[1]Material_vocabulary!$E$2:$E$4286,FALSE),1),"")</f>
        <v>6126</v>
      </c>
    </row>
    <row r="194" spans="1:4" x14ac:dyDescent="0.45">
      <c r="A194">
        <v>6127</v>
      </c>
      <c r="B194" t="s">
        <v>1157</v>
      </c>
      <c r="C194" t="s">
        <v>252</v>
      </c>
      <c r="D194" t="str">
        <f>IFERROR(INDEX([1]Material_vocabulary!$A$2:$E$4286,MATCH(B194,[1]Material_vocabulary!$E$2:$E$4286,FALSE),1),"")</f>
        <v/>
      </c>
    </row>
    <row r="195" spans="1:4" x14ac:dyDescent="0.45">
      <c r="A195">
        <v>6128</v>
      </c>
      <c r="B195" t="s">
        <v>1158</v>
      </c>
      <c r="C195" t="s">
        <v>254</v>
      </c>
      <c r="D195">
        <f>IFERROR(INDEX([1]Material_vocabulary!$A$2:$E$4286,MATCH(B195,[1]Material_vocabulary!$E$2:$E$4286,FALSE),1),"")</f>
        <v>6128</v>
      </c>
    </row>
    <row r="196" spans="1:4" x14ac:dyDescent="0.45">
      <c r="A196">
        <v>6129</v>
      </c>
      <c r="B196" t="s">
        <v>1159</v>
      </c>
      <c r="C196" t="s">
        <v>256</v>
      </c>
      <c r="D196" t="str">
        <f>IFERROR(INDEX([1]Material_vocabulary!$A$2:$E$4286,MATCH(B196,[1]Material_vocabulary!$E$2:$E$4286,FALSE),1),"")</f>
        <v/>
      </c>
    </row>
    <row r="197" spans="1:4" x14ac:dyDescent="0.45">
      <c r="A197">
        <v>6130</v>
      </c>
      <c r="B197" t="s">
        <v>1160</v>
      </c>
      <c r="C197" t="s">
        <v>258</v>
      </c>
      <c r="D197" t="str">
        <f>IFERROR(INDEX([1]Material_vocabulary!$A$2:$E$4286,MATCH(B197,[1]Material_vocabulary!$E$2:$E$4286,FALSE),1),"")</f>
        <v/>
      </c>
    </row>
    <row r="198" spans="1:4" x14ac:dyDescent="0.45">
      <c r="A198">
        <v>6131</v>
      </c>
      <c r="B198" t="s">
        <v>271</v>
      </c>
      <c r="C198" t="s">
        <v>272</v>
      </c>
      <c r="D198" t="str">
        <f>IFERROR(INDEX([1]Material_vocabulary!$A$2:$E$4286,MATCH(B198,[1]Material_vocabulary!$E$2:$E$4286,FALSE),1),"")</f>
        <v/>
      </c>
    </row>
    <row r="199" spans="1:4" x14ac:dyDescent="0.45">
      <c r="A199">
        <v>6132</v>
      </c>
      <c r="B199" t="s">
        <v>1162</v>
      </c>
      <c r="C199" t="s">
        <v>274</v>
      </c>
      <c r="D199" t="str">
        <f>IFERROR(INDEX([1]Material_vocabulary!$A$2:$E$4286,MATCH(B199,[1]Material_vocabulary!$E$2:$E$4286,FALSE),1),"")</f>
        <v/>
      </c>
    </row>
    <row r="200" spans="1:4" x14ac:dyDescent="0.45">
      <c r="A200">
        <v>6133</v>
      </c>
      <c r="B200" t="s">
        <v>279</v>
      </c>
      <c r="C200" t="s">
        <v>280</v>
      </c>
      <c r="D200">
        <f>IFERROR(INDEX([1]Material_vocabulary!$A$2:$E$4286,MATCH(B200,[1]Material_vocabulary!$E$2:$E$4286,FALSE),1),"")</f>
        <v>6133</v>
      </c>
    </row>
    <row r="201" spans="1:4" x14ac:dyDescent="0.45">
      <c r="A201">
        <v>6134</v>
      </c>
      <c r="B201" t="s">
        <v>287</v>
      </c>
      <c r="C201" t="s">
        <v>288</v>
      </c>
      <c r="D201">
        <f>IFERROR(INDEX([1]Material_vocabulary!$A$2:$E$4286,MATCH(B201,[1]Material_vocabulary!$E$2:$E$4286,FALSE),1),"")</f>
        <v>6134</v>
      </c>
    </row>
    <row r="202" spans="1:4" x14ac:dyDescent="0.45">
      <c r="A202">
        <v>6135</v>
      </c>
      <c r="B202" t="s">
        <v>1164</v>
      </c>
      <c r="C202" t="s">
        <v>298</v>
      </c>
      <c r="D202" t="str">
        <f>IFERROR(INDEX([1]Material_vocabulary!$A$2:$E$4286,MATCH(B202,[1]Material_vocabulary!$E$2:$E$4286,FALSE),1),"")</f>
        <v/>
      </c>
    </row>
    <row r="203" spans="1:4" x14ac:dyDescent="0.45">
      <c r="A203">
        <v>6136</v>
      </c>
      <c r="B203" t="s">
        <v>1165</v>
      </c>
      <c r="C203" t="s">
        <v>308</v>
      </c>
      <c r="D203" t="str">
        <f>IFERROR(INDEX([1]Material_vocabulary!$A$2:$E$4286,MATCH(B203,[1]Material_vocabulary!$E$2:$E$4286,FALSE),1),"")</f>
        <v/>
      </c>
    </row>
    <row r="204" spans="1:4" x14ac:dyDescent="0.45">
      <c r="A204">
        <v>6137</v>
      </c>
      <c r="B204" t="s">
        <v>1167</v>
      </c>
      <c r="C204" t="s">
        <v>318</v>
      </c>
      <c r="D204" t="str">
        <f>IFERROR(INDEX([1]Material_vocabulary!$A$2:$E$4286,MATCH(B204,[1]Material_vocabulary!$E$2:$E$4286,FALSE),1),"")</f>
        <v/>
      </c>
    </row>
    <row r="205" spans="1:4" x14ac:dyDescent="0.45">
      <c r="A205">
        <v>6138</v>
      </c>
      <c r="B205" t="s">
        <v>1168</v>
      </c>
      <c r="C205" t="s">
        <v>322</v>
      </c>
      <c r="D205" t="str">
        <f>IFERROR(INDEX([1]Material_vocabulary!$A$2:$E$4286,MATCH(B205,[1]Material_vocabulary!$E$2:$E$4286,FALSE),1),"")</f>
        <v/>
      </c>
    </row>
    <row r="206" spans="1:4" x14ac:dyDescent="0.45">
      <c r="A206">
        <v>6139</v>
      </c>
      <c r="B206" t="s">
        <v>1169</v>
      </c>
      <c r="C206" t="s">
        <v>326</v>
      </c>
      <c r="D206" t="str">
        <f>IFERROR(INDEX([1]Material_vocabulary!$A$2:$E$4286,MATCH(B206,[1]Material_vocabulary!$E$2:$E$4286,FALSE),1),"")</f>
        <v/>
      </c>
    </row>
    <row r="207" spans="1:4" x14ac:dyDescent="0.45">
      <c r="A207">
        <v>6140</v>
      </c>
      <c r="B207" t="s">
        <v>1170</v>
      </c>
      <c r="C207" t="s">
        <v>328</v>
      </c>
      <c r="D207">
        <f>IFERROR(INDEX([1]Material_vocabulary!$A$2:$E$4286,MATCH(B207,[1]Material_vocabulary!$E$2:$E$4286,FALSE),1),"")</f>
        <v>6140</v>
      </c>
    </row>
    <row r="208" spans="1:4" x14ac:dyDescent="0.45">
      <c r="A208">
        <v>6141</v>
      </c>
      <c r="B208" t="s">
        <v>1171</v>
      </c>
      <c r="C208" t="s">
        <v>332</v>
      </c>
      <c r="D208">
        <f>IFERROR(INDEX([1]Material_vocabulary!$A$2:$E$4286,MATCH(B208,[1]Material_vocabulary!$E$2:$E$4286,FALSE),1),"")</f>
        <v>6141</v>
      </c>
    </row>
    <row r="209" spans="1:4" x14ac:dyDescent="0.45">
      <c r="A209">
        <v>6142</v>
      </c>
      <c r="B209" t="s">
        <v>1100</v>
      </c>
      <c r="C209" t="s">
        <v>1101</v>
      </c>
      <c r="D209">
        <f>IFERROR(INDEX([1]Material_vocabulary!$A$2:$E$4286,MATCH(B209,[1]Material_vocabulary!$E$2:$E$4286,FALSE),1),"")</f>
        <v>6142</v>
      </c>
    </row>
    <row r="210" spans="1:4" x14ac:dyDescent="0.45">
      <c r="A210">
        <v>6143</v>
      </c>
      <c r="B210" t="s">
        <v>1172</v>
      </c>
      <c r="C210" t="s">
        <v>336</v>
      </c>
      <c r="D210">
        <f>IFERROR(INDEX([1]Material_vocabulary!$A$2:$E$4286,MATCH(B210,[1]Material_vocabulary!$E$2:$E$4286,FALSE),1),"")</f>
        <v>6143</v>
      </c>
    </row>
    <row r="211" spans="1:4" x14ac:dyDescent="0.45">
      <c r="A211">
        <v>6144</v>
      </c>
      <c r="B211" t="s">
        <v>1173</v>
      </c>
      <c r="C211" t="s">
        <v>340</v>
      </c>
      <c r="D211" t="str">
        <f>IFERROR(INDEX([1]Material_vocabulary!$A$2:$E$4286,MATCH(B211,[1]Material_vocabulary!$E$2:$E$4286,FALSE),1),"")</f>
        <v/>
      </c>
    </row>
    <row r="212" spans="1:4" x14ac:dyDescent="0.45">
      <c r="A212">
        <v>6145</v>
      </c>
      <c r="B212" t="s">
        <v>1174</v>
      </c>
      <c r="C212" t="s">
        <v>350</v>
      </c>
      <c r="D212">
        <f>IFERROR(INDEX([1]Material_vocabulary!$A$2:$E$4286,MATCH(B212,[1]Material_vocabulary!$E$2:$E$4286,FALSE),1),"")</f>
        <v>6145</v>
      </c>
    </row>
    <row r="213" spans="1:4" x14ac:dyDescent="0.45">
      <c r="A213">
        <v>6146</v>
      </c>
      <c r="B213" t="s">
        <v>1175</v>
      </c>
      <c r="C213" t="s">
        <v>354</v>
      </c>
      <c r="D213" t="str">
        <f>IFERROR(INDEX([1]Material_vocabulary!$A$2:$E$4286,MATCH(B213,[1]Material_vocabulary!$E$2:$E$4286,FALSE),1),"")</f>
        <v/>
      </c>
    </row>
    <row r="214" spans="1:4" x14ac:dyDescent="0.45">
      <c r="A214">
        <v>6147</v>
      </c>
      <c r="B214" t="s">
        <v>1176</v>
      </c>
      <c r="C214" t="s">
        <v>360</v>
      </c>
      <c r="D214" t="str">
        <f>IFERROR(INDEX([1]Material_vocabulary!$A$2:$E$4286,MATCH(B214,[1]Material_vocabulary!$E$2:$E$4286,FALSE),1),"")</f>
        <v/>
      </c>
    </row>
    <row r="215" spans="1:4" x14ac:dyDescent="0.45">
      <c r="A215">
        <v>6148</v>
      </c>
      <c r="B215" t="s">
        <v>1177</v>
      </c>
      <c r="C215" t="s">
        <v>362</v>
      </c>
      <c r="D215" t="str">
        <f>IFERROR(INDEX([1]Material_vocabulary!$A$2:$E$4286,MATCH(B215,[1]Material_vocabulary!$E$2:$E$4286,FALSE),1),"")</f>
        <v/>
      </c>
    </row>
    <row r="216" spans="1:4" x14ac:dyDescent="0.45">
      <c r="A216">
        <v>6149</v>
      </c>
      <c r="B216" t="s">
        <v>1178</v>
      </c>
      <c r="C216" t="s">
        <v>364</v>
      </c>
      <c r="D216" t="str">
        <f>IFERROR(INDEX([1]Material_vocabulary!$A$2:$E$4286,MATCH(B216,[1]Material_vocabulary!$E$2:$E$4286,FALSE),1),"")</f>
        <v/>
      </c>
    </row>
    <row r="217" spans="1:4" x14ac:dyDescent="0.45">
      <c r="A217">
        <v>6150</v>
      </c>
      <c r="B217" t="s">
        <v>1179</v>
      </c>
      <c r="C217" t="s">
        <v>366</v>
      </c>
      <c r="D217" t="str">
        <f>IFERROR(INDEX([1]Material_vocabulary!$A$2:$E$4286,MATCH(B217,[1]Material_vocabulary!$E$2:$E$4286,FALSE),1),"")</f>
        <v/>
      </c>
    </row>
    <row r="218" spans="1:4" x14ac:dyDescent="0.45">
      <c r="A218">
        <v>6151</v>
      </c>
      <c r="B218" t="s">
        <v>1180</v>
      </c>
      <c r="C218" t="s">
        <v>368</v>
      </c>
      <c r="D218">
        <f>IFERROR(INDEX([1]Material_vocabulary!$A$2:$E$4286,MATCH(B218,[1]Material_vocabulary!$E$2:$E$4286,FALSE),1),"")</f>
        <v>6151</v>
      </c>
    </row>
    <row r="219" spans="1:4" x14ac:dyDescent="0.45">
      <c r="A219">
        <v>6152</v>
      </c>
      <c r="B219" t="s">
        <v>375</v>
      </c>
      <c r="C219" t="s">
        <v>376</v>
      </c>
      <c r="D219">
        <f>IFERROR(INDEX([1]Material_vocabulary!$A$2:$E$4286,MATCH(B219,[1]Material_vocabulary!$E$2:$E$4286,FALSE),1),"")</f>
        <v>6152</v>
      </c>
    </row>
    <row r="220" spans="1:4" x14ac:dyDescent="0.45">
      <c r="A220">
        <v>6153</v>
      </c>
      <c r="B220" t="s">
        <v>205</v>
      </c>
      <c r="C220" t="s">
        <v>206</v>
      </c>
      <c r="D220">
        <f>IFERROR(INDEX([1]Material_vocabulary!$A$2:$E$4286,MATCH(B220,[1]Material_vocabulary!$E$2:$E$4286,FALSE),1),"")</f>
        <v>6153</v>
      </c>
    </row>
    <row r="221" spans="1:4" x14ac:dyDescent="0.45">
      <c r="A221">
        <v>6154</v>
      </c>
      <c r="B221" t="s">
        <v>385</v>
      </c>
      <c r="C221" t="s">
        <v>386</v>
      </c>
      <c r="D221">
        <f>IFERROR(INDEX([1]Material_vocabulary!$A$2:$E$4286,MATCH(B221,[1]Material_vocabulary!$E$2:$E$4286,FALSE),1),"")</f>
        <v>6154</v>
      </c>
    </row>
    <row r="222" spans="1:4" x14ac:dyDescent="0.45">
      <c r="A222">
        <v>6155</v>
      </c>
      <c r="B222" t="s">
        <v>387</v>
      </c>
      <c r="C222" t="s">
        <v>388</v>
      </c>
      <c r="D222">
        <f>IFERROR(INDEX([1]Material_vocabulary!$A$2:$E$4286,MATCH(B222,[1]Material_vocabulary!$E$2:$E$4286,FALSE),1),"")</f>
        <v>6155</v>
      </c>
    </row>
    <row r="223" spans="1:4" x14ac:dyDescent="0.45">
      <c r="A223">
        <v>6156</v>
      </c>
      <c r="B223" t="s">
        <v>1181</v>
      </c>
      <c r="C223" t="s">
        <v>390</v>
      </c>
      <c r="D223" t="str">
        <f>IFERROR(INDEX([1]Material_vocabulary!$A$2:$E$4286,MATCH(B223,[1]Material_vocabulary!$E$2:$E$4286,FALSE),1),"")</f>
        <v/>
      </c>
    </row>
    <row r="224" spans="1:4" x14ac:dyDescent="0.45">
      <c r="A224">
        <v>6157</v>
      </c>
      <c r="B224" t="s">
        <v>1182</v>
      </c>
      <c r="C224" t="s">
        <v>396</v>
      </c>
      <c r="D224" t="str">
        <f>IFERROR(INDEX([1]Material_vocabulary!$A$2:$E$4286,MATCH(B224,[1]Material_vocabulary!$E$2:$E$4286,FALSE),1),"")</f>
        <v/>
      </c>
    </row>
    <row r="225" spans="1:4" x14ac:dyDescent="0.45">
      <c r="A225">
        <v>6158</v>
      </c>
      <c r="B225" t="s">
        <v>1184</v>
      </c>
      <c r="C225" t="s">
        <v>408</v>
      </c>
      <c r="D225">
        <f>IFERROR(INDEX([1]Material_vocabulary!$A$2:$E$4286,MATCH(B225,[1]Material_vocabulary!$E$2:$E$4286,FALSE),1),"")</f>
        <v>6158</v>
      </c>
    </row>
    <row r="226" spans="1:4" x14ac:dyDescent="0.45">
      <c r="A226">
        <v>6159</v>
      </c>
      <c r="B226" t="s">
        <v>1185</v>
      </c>
      <c r="C226" t="s">
        <v>410</v>
      </c>
      <c r="D226" t="str">
        <f>IFERROR(INDEX([1]Material_vocabulary!$A$2:$E$4286,MATCH(B226,[1]Material_vocabulary!$E$2:$E$4286,FALSE),1),"")</f>
        <v/>
      </c>
    </row>
    <row r="227" spans="1:4" x14ac:dyDescent="0.45">
      <c r="A227">
        <v>6160</v>
      </c>
      <c r="B227" t="s">
        <v>1186</v>
      </c>
      <c r="C227" t="s">
        <v>412</v>
      </c>
      <c r="D227" t="str">
        <f>IFERROR(INDEX([1]Material_vocabulary!$A$2:$E$4286,MATCH(B227,[1]Material_vocabulary!$E$2:$E$4286,FALSE),1),"")</f>
        <v/>
      </c>
    </row>
    <row r="228" spans="1:4" x14ac:dyDescent="0.45">
      <c r="A228">
        <v>6161</v>
      </c>
      <c r="B228" t="s">
        <v>1187</v>
      </c>
      <c r="C228" t="s">
        <v>414</v>
      </c>
      <c r="D228" t="str">
        <f>IFERROR(INDEX([1]Material_vocabulary!$A$2:$E$4286,MATCH(B228,[1]Material_vocabulary!$E$2:$E$4286,FALSE),1),"")</f>
        <v/>
      </c>
    </row>
    <row r="229" spans="1:4" x14ac:dyDescent="0.45">
      <c r="A229">
        <v>6162</v>
      </c>
      <c r="B229" t="s">
        <v>1188</v>
      </c>
      <c r="C229" t="s">
        <v>416</v>
      </c>
      <c r="D229" t="str">
        <f>IFERROR(INDEX([1]Material_vocabulary!$A$2:$E$4286,MATCH(B229,[1]Material_vocabulary!$E$2:$E$4286,FALSE),1),"")</f>
        <v/>
      </c>
    </row>
    <row r="230" spans="1:4" x14ac:dyDescent="0.45">
      <c r="A230">
        <v>6163</v>
      </c>
      <c r="B230" t="s">
        <v>1189</v>
      </c>
      <c r="C230" t="s">
        <v>418</v>
      </c>
      <c r="D230" t="str">
        <f>IFERROR(INDEX([1]Material_vocabulary!$A$2:$E$4286,MATCH(B230,[1]Material_vocabulary!$E$2:$E$4286,FALSE),1),"")</f>
        <v/>
      </c>
    </row>
    <row r="231" spans="1:4" x14ac:dyDescent="0.45">
      <c r="A231">
        <v>6164</v>
      </c>
      <c r="B231" t="s">
        <v>419</v>
      </c>
      <c r="C231" t="s">
        <v>420</v>
      </c>
      <c r="D231">
        <f>IFERROR(INDEX([1]Material_vocabulary!$A$2:$E$4286,MATCH(B231,[1]Material_vocabulary!$E$2:$E$4286,FALSE),1),"")</f>
        <v>6164</v>
      </c>
    </row>
    <row r="232" spans="1:4" x14ac:dyDescent="0.45">
      <c r="A232">
        <v>6165</v>
      </c>
      <c r="B232" t="s">
        <v>1190</v>
      </c>
      <c r="C232" t="s">
        <v>422</v>
      </c>
      <c r="D232" t="str">
        <f>IFERROR(INDEX([1]Material_vocabulary!$A$2:$E$4286,MATCH(B232,[1]Material_vocabulary!$E$2:$E$4286,FALSE),1),"")</f>
        <v/>
      </c>
    </row>
    <row r="233" spans="1:4" x14ac:dyDescent="0.45">
      <c r="A233">
        <v>6166</v>
      </c>
      <c r="B233" t="s">
        <v>1192</v>
      </c>
      <c r="C233" t="s">
        <v>428</v>
      </c>
      <c r="D233">
        <f>IFERROR(INDEX([1]Material_vocabulary!$A$2:$E$4286,MATCH(B233,[1]Material_vocabulary!$E$2:$E$4286,FALSE),1),"")</f>
        <v>6166</v>
      </c>
    </row>
    <row r="234" spans="1:4" x14ac:dyDescent="0.45">
      <c r="A234">
        <v>6167</v>
      </c>
      <c r="B234" t="s">
        <v>1193</v>
      </c>
      <c r="C234" t="s">
        <v>440</v>
      </c>
      <c r="D234" t="str">
        <f>IFERROR(INDEX([1]Material_vocabulary!$A$2:$E$4286,MATCH(B234,[1]Material_vocabulary!$E$2:$E$4286,FALSE),1),"")</f>
        <v/>
      </c>
    </row>
    <row r="235" spans="1:4" x14ac:dyDescent="0.45">
      <c r="A235">
        <v>6168</v>
      </c>
      <c r="B235" t="s">
        <v>1194</v>
      </c>
      <c r="C235" t="s">
        <v>442</v>
      </c>
      <c r="D235" t="str">
        <f>IFERROR(INDEX([1]Material_vocabulary!$A$2:$E$4286,MATCH(B235,[1]Material_vocabulary!$E$2:$E$4286,FALSE),1),"")</f>
        <v/>
      </c>
    </row>
    <row r="236" spans="1:4" x14ac:dyDescent="0.45">
      <c r="A236">
        <v>6169</v>
      </c>
      <c r="B236" t="s">
        <v>1195</v>
      </c>
      <c r="C236" t="s">
        <v>454</v>
      </c>
      <c r="D236">
        <f>IFERROR(INDEX([1]Material_vocabulary!$A$2:$E$4286,MATCH(B236,[1]Material_vocabulary!$E$2:$E$4286,FALSE),1),"")</f>
        <v>6169</v>
      </c>
    </row>
    <row r="237" spans="1:4" x14ac:dyDescent="0.45">
      <c r="A237">
        <v>6170</v>
      </c>
      <c r="B237" t="s">
        <v>1197</v>
      </c>
      <c r="C237" t="s">
        <v>460</v>
      </c>
      <c r="D237" t="str">
        <f>IFERROR(INDEX([1]Material_vocabulary!$A$2:$E$4286,MATCH(B237,[1]Material_vocabulary!$E$2:$E$4286,FALSE),1),"")</f>
        <v/>
      </c>
    </row>
  </sheetData>
  <autoFilter ref="A1:D237" xr:uid="{CD125D71-D134-439B-9396-08CC6F60961C}">
    <sortState xmlns:xlrd2="http://schemas.microsoft.com/office/spreadsheetml/2017/richdata2" ref="A2:D237">
      <sortCondition ref="A2:A237"/>
    </sortState>
  </autoFilter>
  <sortState xmlns:xlrd2="http://schemas.microsoft.com/office/spreadsheetml/2017/richdata2" ref="A2:C237">
    <sortCondition ref="B2:B237"/>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7D081-C29B-484D-9B83-75ADA3444ACB}">
  <sheetPr filterMode="1"/>
  <dimension ref="A1:H429"/>
  <sheetViews>
    <sheetView tabSelected="1" workbookViewId="0">
      <pane ySplit="1" topLeftCell="A88" activePane="bottomLeft" state="frozen"/>
      <selection activeCell="C1" sqref="C1"/>
      <selection pane="bottomLeft" activeCell="F326" sqref="A88:F326"/>
    </sheetView>
  </sheetViews>
  <sheetFormatPr defaultRowHeight="14.25" x14ac:dyDescent="0.45"/>
  <cols>
    <col min="1" max="1" width="11.59765625" style="1" customWidth="1"/>
    <col min="2" max="2" width="22.33203125" style="1" customWidth="1"/>
    <col min="3" max="3" width="19.86328125" style="1" customWidth="1"/>
    <col min="4" max="4" width="55.19921875" style="1" customWidth="1"/>
    <col min="5" max="5" width="32.796875" style="1" customWidth="1"/>
    <col min="6" max="6" width="31.73046875" style="1" customWidth="1"/>
    <col min="7" max="7" width="22.33203125" style="1" customWidth="1"/>
    <col min="8" max="8" width="92.265625" style="1" customWidth="1"/>
    <col min="9" max="16384" width="9.06640625" style="1"/>
  </cols>
  <sheetData>
    <row r="1" spans="1:8" x14ac:dyDescent="0.45">
      <c r="A1" s="1" t="s">
        <v>1093</v>
      </c>
      <c r="B1" s="1" t="s">
        <v>1198</v>
      </c>
      <c r="C1" s="1" t="s">
        <v>0</v>
      </c>
      <c r="D1" s="1" t="s">
        <v>1092</v>
      </c>
      <c r="E1" s="1" t="s">
        <v>1094</v>
      </c>
      <c r="F1" s="1" t="s">
        <v>1091</v>
      </c>
      <c r="G1" s="1" t="s">
        <v>1095</v>
      </c>
      <c r="H1" s="1" t="s">
        <v>1096</v>
      </c>
    </row>
    <row r="2" spans="1:8" ht="28.5" hidden="1" x14ac:dyDescent="0.45">
      <c r="A2" s="1">
        <v>1</v>
      </c>
      <c r="B2" s="1">
        <v>4</v>
      </c>
      <c r="C2" s="1" t="s">
        <v>384</v>
      </c>
      <c r="D2" s="1" t="s">
        <v>778</v>
      </c>
      <c r="E2" s="1" t="s">
        <v>383</v>
      </c>
      <c r="G2" s="1" t="s">
        <v>305</v>
      </c>
    </row>
    <row r="3" spans="1:8" ht="228" hidden="1" x14ac:dyDescent="0.45">
      <c r="A3" s="1">
        <v>2</v>
      </c>
      <c r="B3" s="1">
        <v>4</v>
      </c>
      <c r="C3" s="1" t="s">
        <v>290</v>
      </c>
      <c r="D3" s="1" t="s">
        <v>781</v>
      </c>
      <c r="E3" s="1" t="s">
        <v>289</v>
      </c>
      <c r="G3" s="1" t="s">
        <v>305</v>
      </c>
    </row>
    <row r="4" spans="1:8" ht="28.5" hidden="1" x14ac:dyDescent="0.45">
      <c r="A4" s="1">
        <v>4</v>
      </c>
      <c r="B4" s="1">
        <v>3</v>
      </c>
      <c r="C4" s="1" t="s">
        <v>306</v>
      </c>
      <c r="D4" s="1" t="s">
        <v>769</v>
      </c>
      <c r="E4" s="1" t="s">
        <v>305</v>
      </c>
      <c r="G4" s="1" t="s">
        <v>767</v>
      </c>
    </row>
    <row r="5" spans="1:8" hidden="1" x14ac:dyDescent="0.45">
      <c r="A5" s="1">
        <v>3068</v>
      </c>
      <c r="B5" s="1">
        <v>6001</v>
      </c>
      <c r="C5" s="1" t="s">
        <v>168</v>
      </c>
      <c r="D5" s="1" t="s">
        <v>782</v>
      </c>
      <c r="E5" s="1" t="s">
        <v>167</v>
      </c>
      <c r="G5" s="1" t="s">
        <v>21</v>
      </c>
    </row>
    <row r="6" spans="1:8" ht="28.5" hidden="1" x14ac:dyDescent="0.45">
      <c r="A6" s="1">
        <v>4252</v>
      </c>
      <c r="B6" s="1">
        <v>3</v>
      </c>
      <c r="C6" s="1" t="s">
        <v>46</v>
      </c>
      <c r="D6" s="1" t="s">
        <v>772</v>
      </c>
      <c r="E6" s="1" t="s">
        <v>45</v>
      </c>
      <c r="G6" s="1" t="s">
        <v>767</v>
      </c>
    </row>
    <row r="7" spans="1:8" ht="142.5" hidden="1" x14ac:dyDescent="0.45">
      <c r="A7" s="1">
        <v>4256</v>
      </c>
      <c r="B7" s="1">
        <v>4</v>
      </c>
      <c r="C7" s="1" t="s">
        <v>426</v>
      </c>
      <c r="D7" s="1" t="s">
        <v>482</v>
      </c>
      <c r="E7" s="1" t="s">
        <v>425</v>
      </c>
      <c r="G7" s="1" t="s">
        <v>305</v>
      </c>
    </row>
    <row r="8" spans="1:8" ht="142.5" hidden="1" x14ac:dyDescent="0.45">
      <c r="A8" s="1">
        <v>4256</v>
      </c>
      <c r="B8" s="1">
        <v>6136</v>
      </c>
      <c r="C8" s="1" t="s">
        <v>426</v>
      </c>
      <c r="D8" s="1" t="s">
        <v>482</v>
      </c>
      <c r="E8" s="1" t="s">
        <v>425</v>
      </c>
      <c r="G8" s="1" t="s">
        <v>307</v>
      </c>
    </row>
    <row r="9" spans="1:8" ht="142.5" hidden="1" x14ac:dyDescent="0.45">
      <c r="A9" s="1">
        <v>4256</v>
      </c>
      <c r="B9" s="1">
        <v>6131</v>
      </c>
      <c r="C9" s="1" t="s">
        <v>426</v>
      </c>
      <c r="D9" s="1" t="s">
        <v>482</v>
      </c>
      <c r="E9" s="1" t="s">
        <v>425</v>
      </c>
      <c r="G9" s="1" t="s">
        <v>271</v>
      </c>
    </row>
    <row r="10" spans="1:8" ht="156.75" hidden="1" x14ac:dyDescent="0.45">
      <c r="A10" s="1">
        <v>4257</v>
      </c>
      <c r="B10" s="1">
        <v>6136</v>
      </c>
      <c r="C10" s="1" t="s">
        <v>400</v>
      </c>
      <c r="D10" s="1" t="s">
        <v>476</v>
      </c>
      <c r="E10" s="1" t="s">
        <v>399</v>
      </c>
      <c r="F10" s="1" t="s">
        <v>466</v>
      </c>
      <c r="G10" s="1" t="s">
        <v>307</v>
      </c>
    </row>
    <row r="11" spans="1:8" ht="156.75" hidden="1" x14ac:dyDescent="0.45">
      <c r="A11" s="1">
        <v>4257</v>
      </c>
      <c r="B11" s="1">
        <v>6136</v>
      </c>
      <c r="C11" s="1" t="s">
        <v>400</v>
      </c>
      <c r="D11" s="1" t="s">
        <v>475</v>
      </c>
      <c r="E11" s="1" t="s">
        <v>399</v>
      </c>
      <c r="F11" s="1" t="s">
        <v>466</v>
      </c>
      <c r="G11" s="1" t="s">
        <v>307</v>
      </c>
    </row>
    <row r="12" spans="1:8" ht="57" hidden="1" x14ac:dyDescent="0.45">
      <c r="A12" s="1">
        <v>4257</v>
      </c>
      <c r="B12" s="1">
        <v>6136</v>
      </c>
      <c r="C12" s="1" t="s">
        <v>400</v>
      </c>
      <c r="D12" s="1" t="s">
        <v>474</v>
      </c>
      <c r="E12" s="1" t="s">
        <v>399</v>
      </c>
      <c r="F12" s="1" t="s">
        <v>466</v>
      </c>
      <c r="G12" s="1" t="s">
        <v>307</v>
      </c>
    </row>
    <row r="13" spans="1:8" ht="156.75" hidden="1" x14ac:dyDescent="0.45">
      <c r="A13" s="1">
        <v>4257</v>
      </c>
      <c r="B13" s="1">
        <v>5202</v>
      </c>
      <c r="C13" s="1" t="s">
        <v>400</v>
      </c>
      <c r="D13" s="1" t="s">
        <v>476</v>
      </c>
      <c r="E13" s="1" t="s">
        <v>399</v>
      </c>
      <c r="F13" s="1" t="s">
        <v>466</v>
      </c>
      <c r="G13" s="1" t="s">
        <v>403</v>
      </c>
    </row>
    <row r="14" spans="1:8" ht="156.75" hidden="1" x14ac:dyDescent="0.45">
      <c r="A14" s="1">
        <v>4257</v>
      </c>
      <c r="B14" s="1">
        <v>5202</v>
      </c>
      <c r="C14" s="1" t="s">
        <v>400</v>
      </c>
      <c r="D14" s="1" t="s">
        <v>475</v>
      </c>
      <c r="E14" s="1" t="s">
        <v>399</v>
      </c>
      <c r="F14" s="1" t="s">
        <v>466</v>
      </c>
      <c r="G14" s="1" t="s">
        <v>403</v>
      </c>
    </row>
    <row r="15" spans="1:8" ht="57" hidden="1" x14ac:dyDescent="0.45">
      <c r="A15" s="1">
        <v>4257</v>
      </c>
      <c r="B15" s="1">
        <v>5202</v>
      </c>
      <c r="C15" s="1" t="s">
        <v>400</v>
      </c>
      <c r="D15" s="1" t="s">
        <v>474</v>
      </c>
      <c r="E15" s="1" t="s">
        <v>399</v>
      </c>
      <c r="F15" s="1" t="s">
        <v>466</v>
      </c>
      <c r="G15" s="1" t="s">
        <v>403</v>
      </c>
    </row>
    <row r="16" spans="1:8" ht="171" hidden="1" x14ac:dyDescent="0.45">
      <c r="A16" s="1">
        <v>4258</v>
      </c>
      <c r="B16" s="1">
        <v>4</v>
      </c>
      <c r="C16" s="1" t="s">
        <v>338</v>
      </c>
      <c r="D16" s="1" t="s">
        <v>779</v>
      </c>
      <c r="E16" s="1" t="s">
        <v>337</v>
      </c>
      <c r="G16" s="1" t="s">
        <v>305</v>
      </c>
    </row>
    <row r="17" spans="1:7" ht="28.5" hidden="1" x14ac:dyDescent="0.45">
      <c r="A17" s="1">
        <v>4262</v>
      </c>
      <c r="B17" s="1">
        <v>4252</v>
      </c>
      <c r="C17" s="1" t="s">
        <v>48</v>
      </c>
      <c r="D17" s="1" t="s">
        <v>512</v>
      </c>
      <c r="E17" s="1" t="s">
        <v>47</v>
      </c>
      <c r="G17" s="1" t="s">
        <v>45</v>
      </c>
    </row>
    <row r="18" spans="1:7" hidden="1" x14ac:dyDescent="0.45">
      <c r="A18" s="1">
        <v>4278</v>
      </c>
      <c r="B18" s="1">
        <v>5162</v>
      </c>
      <c r="C18" t="s">
        <v>1098</v>
      </c>
      <c r="D18" t="s">
        <v>1099</v>
      </c>
      <c r="E18" t="s">
        <v>1097</v>
      </c>
      <c r="G18" t="s">
        <v>323</v>
      </c>
    </row>
    <row r="19" spans="1:7" hidden="1" x14ac:dyDescent="0.45">
      <c r="A19" s="1">
        <v>5008</v>
      </c>
      <c r="B19" s="1">
        <v>3</v>
      </c>
      <c r="C19" s="1" t="s">
        <v>16</v>
      </c>
      <c r="D19" s="1" t="s">
        <v>774</v>
      </c>
      <c r="E19" s="1" t="s">
        <v>15</v>
      </c>
      <c r="G19" s="1" t="s">
        <v>767</v>
      </c>
    </row>
    <row r="20" spans="1:7" ht="28.5" hidden="1" x14ac:dyDescent="0.45">
      <c r="A20" s="1">
        <v>5031</v>
      </c>
      <c r="B20" s="1">
        <v>5138</v>
      </c>
      <c r="C20" s="1" t="s">
        <v>62</v>
      </c>
      <c r="D20" s="1" t="s">
        <v>921</v>
      </c>
      <c r="E20" s="1" t="s">
        <v>61</v>
      </c>
      <c r="F20" s="1" t="s">
        <v>480</v>
      </c>
      <c r="G20" s="1" t="s">
        <v>275</v>
      </c>
    </row>
    <row r="21" spans="1:7" ht="57" hidden="1" x14ac:dyDescent="0.45">
      <c r="A21" s="1">
        <v>5041</v>
      </c>
      <c r="B21" s="1">
        <v>5202</v>
      </c>
      <c r="C21" s="1" t="s">
        <v>82</v>
      </c>
      <c r="D21" s="1" t="s">
        <v>477</v>
      </c>
      <c r="E21" s="1" t="s">
        <v>81</v>
      </c>
      <c r="F21" s="1" t="s">
        <v>466</v>
      </c>
      <c r="G21" s="1" t="s">
        <v>403</v>
      </c>
    </row>
    <row r="22" spans="1:7" ht="71.25" hidden="1" x14ac:dyDescent="0.45">
      <c r="A22" s="1">
        <v>5047</v>
      </c>
      <c r="B22" s="1">
        <v>5202</v>
      </c>
      <c r="C22" s="1" t="s">
        <v>94</v>
      </c>
      <c r="D22" s="1" t="s">
        <v>471</v>
      </c>
      <c r="E22" s="1" t="s">
        <v>93</v>
      </c>
      <c r="F22" s="1" t="s">
        <v>470</v>
      </c>
      <c r="G22" s="1" t="s">
        <v>403</v>
      </c>
    </row>
    <row r="23" spans="1:7" ht="71.25" hidden="1" x14ac:dyDescent="0.45">
      <c r="A23" s="1">
        <v>5066</v>
      </c>
      <c r="B23" s="1">
        <v>5138</v>
      </c>
      <c r="C23" s="1" t="s">
        <v>132</v>
      </c>
      <c r="D23" s="1" t="s">
        <v>920</v>
      </c>
      <c r="E23" s="1" t="s">
        <v>131</v>
      </c>
      <c r="F23" s="1" t="s">
        <v>677</v>
      </c>
      <c r="G23" s="1" t="s">
        <v>275</v>
      </c>
    </row>
    <row r="24" spans="1:7" ht="57" hidden="1" x14ac:dyDescent="0.45">
      <c r="A24" s="1">
        <v>5067</v>
      </c>
      <c r="B24" s="1">
        <v>6019</v>
      </c>
      <c r="C24" s="1" t="s">
        <v>134</v>
      </c>
      <c r="D24" s="1" t="s">
        <v>1053</v>
      </c>
      <c r="E24" s="1" t="s">
        <v>133</v>
      </c>
      <c r="F24" s="1" t="s">
        <v>1052</v>
      </c>
      <c r="G24" s="1" t="s">
        <v>89</v>
      </c>
    </row>
    <row r="25" spans="1:7" ht="85.5" hidden="1" x14ac:dyDescent="0.45">
      <c r="A25" s="1">
        <v>5069</v>
      </c>
      <c r="B25" s="1">
        <v>5112</v>
      </c>
      <c r="C25" s="1" t="s">
        <v>138</v>
      </c>
      <c r="D25" s="1" t="s">
        <v>940</v>
      </c>
      <c r="E25" s="1" t="s">
        <v>137</v>
      </c>
      <c r="F25" s="1" t="s">
        <v>843</v>
      </c>
      <c r="G25" s="1" t="s">
        <v>223</v>
      </c>
    </row>
    <row r="26" spans="1:7" ht="57" hidden="1" x14ac:dyDescent="0.45">
      <c r="A26" s="1">
        <v>5071</v>
      </c>
      <c r="B26" s="1">
        <v>5191</v>
      </c>
      <c r="C26" s="1" t="s">
        <v>142</v>
      </c>
      <c r="D26" s="1" t="s">
        <v>508</v>
      </c>
      <c r="E26" s="1" t="s">
        <v>141</v>
      </c>
      <c r="F26" s="1" t="s">
        <v>507</v>
      </c>
      <c r="G26" s="1" t="s">
        <v>381</v>
      </c>
    </row>
    <row r="27" spans="1:7" ht="57" hidden="1" x14ac:dyDescent="0.45">
      <c r="A27" s="1">
        <v>5071</v>
      </c>
      <c r="B27" s="1">
        <v>5249</v>
      </c>
      <c r="C27" s="1" t="s">
        <v>142</v>
      </c>
      <c r="D27" s="1" t="s">
        <v>508</v>
      </c>
      <c r="E27" s="1" t="s">
        <v>141</v>
      </c>
      <c r="F27" s="1" t="s">
        <v>507</v>
      </c>
      <c r="G27" s="1" t="s">
        <v>101</v>
      </c>
    </row>
    <row r="28" spans="1:7" ht="42.75" hidden="1" x14ac:dyDescent="0.45">
      <c r="A28" s="1">
        <v>5072</v>
      </c>
      <c r="B28" s="1">
        <v>5228</v>
      </c>
      <c r="C28" s="1" t="s">
        <v>144</v>
      </c>
      <c r="D28" s="1" t="s">
        <v>576</v>
      </c>
      <c r="E28" s="1" t="s">
        <v>143</v>
      </c>
      <c r="F28" s="1" t="s">
        <v>575</v>
      </c>
      <c r="G28" s="1" t="s">
        <v>455</v>
      </c>
    </row>
    <row r="29" spans="1:7" ht="57" hidden="1" x14ac:dyDescent="0.45">
      <c r="A29" s="1">
        <v>5087</v>
      </c>
      <c r="B29" s="1">
        <v>5248</v>
      </c>
      <c r="C29" s="1" t="s">
        <v>174</v>
      </c>
      <c r="D29" s="1" t="s">
        <v>777</v>
      </c>
      <c r="E29" s="1" t="s">
        <v>173</v>
      </c>
      <c r="G29" s="1" t="s">
        <v>147</v>
      </c>
    </row>
    <row r="30" spans="1:7" ht="114" hidden="1" x14ac:dyDescent="0.45">
      <c r="A30" s="1">
        <v>5088</v>
      </c>
      <c r="B30" s="1">
        <v>6069</v>
      </c>
      <c r="C30" s="1" t="s">
        <v>176</v>
      </c>
      <c r="D30" s="1" t="s">
        <v>823</v>
      </c>
      <c r="E30" s="1" t="s">
        <v>175</v>
      </c>
      <c r="F30" s="1" t="s">
        <v>822</v>
      </c>
      <c r="G30" s="1" t="s">
        <v>405</v>
      </c>
    </row>
    <row r="31" spans="1:7" ht="85.5" hidden="1" x14ac:dyDescent="0.45">
      <c r="A31" s="1">
        <v>5092</v>
      </c>
      <c r="B31" s="1">
        <v>6111</v>
      </c>
      <c r="C31" s="1" t="s">
        <v>184</v>
      </c>
      <c r="D31" s="1" t="s">
        <v>689</v>
      </c>
      <c r="E31" s="1" t="s">
        <v>183</v>
      </c>
      <c r="F31" s="1" t="s">
        <v>478</v>
      </c>
      <c r="G31" s="1" t="s">
        <v>159</v>
      </c>
    </row>
    <row r="32" spans="1:7" ht="42.75" hidden="1" x14ac:dyDescent="0.45">
      <c r="A32" s="1">
        <v>5097</v>
      </c>
      <c r="B32" s="1">
        <v>5138</v>
      </c>
      <c r="C32" s="1" t="s">
        <v>194</v>
      </c>
      <c r="D32" s="1" t="s">
        <v>917</v>
      </c>
      <c r="E32" s="1" t="s">
        <v>193</v>
      </c>
      <c r="F32" s="1" t="s">
        <v>509</v>
      </c>
      <c r="G32" s="1" t="s">
        <v>275</v>
      </c>
    </row>
    <row r="33" spans="1:7" ht="114" hidden="1" x14ac:dyDescent="0.45">
      <c r="A33" s="1">
        <v>5098</v>
      </c>
      <c r="B33" s="1">
        <v>5138</v>
      </c>
      <c r="C33" s="1" t="s">
        <v>196</v>
      </c>
      <c r="D33" s="1" t="s">
        <v>916</v>
      </c>
      <c r="E33" s="1" t="s">
        <v>195</v>
      </c>
      <c r="F33" s="1" t="s">
        <v>915</v>
      </c>
      <c r="G33" s="1" t="s">
        <v>275</v>
      </c>
    </row>
    <row r="34" spans="1:7" ht="57" hidden="1" x14ac:dyDescent="0.45">
      <c r="A34" s="1">
        <v>5108</v>
      </c>
      <c r="B34" s="1">
        <v>6069</v>
      </c>
      <c r="C34" s="1" t="s">
        <v>216</v>
      </c>
      <c r="D34" s="1" t="s">
        <v>819</v>
      </c>
      <c r="E34" s="1" t="s">
        <v>215</v>
      </c>
      <c r="F34" s="1" t="s">
        <v>751</v>
      </c>
      <c r="G34" s="1" t="s">
        <v>405</v>
      </c>
    </row>
    <row r="35" spans="1:7" ht="28.5" hidden="1" x14ac:dyDescent="0.45">
      <c r="A35" s="1">
        <v>5109</v>
      </c>
      <c r="B35" s="1">
        <v>6051</v>
      </c>
      <c r="C35" s="1" t="s">
        <v>218</v>
      </c>
      <c r="D35" s="1" t="s">
        <v>900</v>
      </c>
      <c r="E35" s="1" t="s">
        <v>217</v>
      </c>
      <c r="F35" s="1" t="s">
        <v>899</v>
      </c>
      <c r="G35" s="1" t="s">
        <v>269</v>
      </c>
    </row>
    <row r="36" spans="1:7" ht="28.5" hidden="1" x14ac:dyDescent="0.45">
      <c r="A36" s="1">
        <v>5109</v>
      </c>
      <c r="B36" s="1">
        <v>5142</v>
      </c>
      <c r="C36" s="1" t="s">
        <v>218</v>
      </c>
      <c r="D36" s="1" t="s">
        <v>900</v>
      </c>
      <c r="E36" s="1" t="s">
        <v>217</v>
      </c>
      <c r="F36" s="1" t="s">
        <v>899</v>
      </c>
      <c r="G36" s="1" t="s">
        <v>283</v>
      </c>
    </row>
    <row r="37" spans="1:7" ht="57" hidden="1" x14ac:dyDescent="0.45">
      <c r="A37" s="1">
        <v>5110</v>
      </c>
      <c r="B37" s="1">
        <v>5112</v>
      </c>
      <c r="C37" s="1" t="s">
        <v>220</v>
      </c>
      <c r="D37" s="1" t="s">
        <v>936</v>
      </c>
      <c r="E37" s="1" t="s">
        <v>219</v>
      </c>
      <c r="F37" s="1" t="s">
        <v>480</v>
      </c>
      <c r="G37" s="1" t="s">
        <v>223</v>
      </c>
    </row>
    <row r="38" spans="1:7" ht="28.5" hidden="1" x14ac:dyDescent="0.45">
      <c r="A38" s="1">
        <v>5111</v>
      </c>
      <c r="B38" s="1">
        <v>1</v>
      </c>
      <c r="C38" s="1" t="s">
        <v>222</v>
      </c>
      <c r="D38" s="1" t="s">
        <v>758</v>
      </c>
      <c r="E38" s="1" t="s">
        <v>221</v>
      </c>
      <c r="F38" s="1" t="s">
        <v>480</v>
      </c>
      <c r="G38" s="1" t="s">
        <v>383</v>
      </c>
    </row>
    <row r="39" spans="1:7" ht="28.5" hidden="1" x14ac:dyDescent="0.45">
      <c r="A39" s="1">
        <v>5112</v>
      </c>
      <c r="B39" s="1">
        <v>5191</v>
      </c>
      <c r="C39" s="1" t="s">
        <v>224</v>
      </c>
      <c r="D39" s="1" t="s">
        <v>495</v>
      </c>
      <c r="E39" s="1" t="s">
        <v>223</v>
      </c>
      <c r="F39" s="1" t="s">
        <v>494</v>
      </c>
      <c r="G39" s="1" t="s">
        <v>381</v>
      </c>
    </row>
    <row r="40" spans="1:7" ht="28.5" hidden="1" x14ac:dyDescent="0.45">
      <c r="A40" s="1">
        <v>5112</v>
      </c>
      <c r="B40" s="1">
        <v>5111</v>
      </c>
      <c r="C40" s="1" t="s">
        <v>224</v>
      </c>
      <c r="D40" s="1" t="s">
        <v>495</v>
      </c>
      <c r="E40" s="1" t="s">
        <v>223</v>
      </c>
      <c r="F40" s="1" t="s">
        <v>494</v>
      </c>
      <c r="G40" s="1" t="s">
        <v>221</v>
      </c>
    </row>
    <row r="41" spans="1:7" ht="57" hidden="1" x14ac:dyDescent="0.45">
      <c r="A41" s="1">
        <v>5119</v>
      </c>
      <c r="B41" s="1">
        <v>5228</v>
      </c>
      <c r="C41" s="1" t="s">
        <v>238</v>
      </c>
      <c r="D41" s="1" t="s">
        <v>574</v>
      </c>
      <c r="E41" s="1" t="s">
        <v>237</v>
      </c>
      <c r="G41" s="1" t="s">
        <v>455</v>
      </c>
    </row>
    <row r="42" spans="1:7" ht="71.25" hidden="1" x14ac:dyDescent="0.45">
      <c r="A42" s="1">
        <v>5123</v>
      </c>
      <c r="B42" s="1">
        <v>6019</v>
      </c>
      <c r="C42" s="1" t="s">
        <v>246</v>
      </c>
      <c r="D42" s="1" t="s">
        <v>1051</v>
      </c>
      <c r="E42" s="1" t="s">
        <v>245</v>
      </c>
      <c r="F42" s="1" t="s">
        <v>466</v>
      </c>
      <c r="G42" s="1" t="s">
        <v>89</v>
      </c>
    </row>
    <row r="43" spans="1:7" ht="28.5" hidden="1" x14ac:dyDescent="0.45">
      <c r="A43" s="1">
        <v>5130</v>
      </c>
      <c r="B43" s="1">
        <v>5248</v>
      </c>
      <c r="C43" s="1" t="s">
        <v>260</v>
      </c>
      <c r="D43" s="1" t="s">
        <v>776</v>
      </c>
      <c r="E43" s="1" t="s">
        <v>259</v>
      </c>
      <c r="G43" s="1" t="s">
        <v>147</v>
      </c>
    </row>
    <row r="44" spans="1:7" ht="42.75" hidden="1" x14ac:dyDescent="0.45">
      <c r="A44" s="1">
        <v>5131</v>
      </c>
      <c r="B44" s="1">
        <v>5228</v>
      </c>
      <c r="C44" s="1" t="s">
        <v>262</v>
      </c>
      <c r="D44" s="1" t="s">
        <v>573</v>
      </c>
      <c r="E44" s="1" t="s">
        <v>261</v>
      </c>
      <c r="F44" s="1" t="s">
        <v>572</v>
      </c>
      <c r="G44" s="1" t="s">
        <v>455</v>
      </c>
    </row>
    <row r="45" spans="1:7" ht="42.75" hidden="1" x14ac:dyDescent="0.45">
      <c r="A45" s="1">
        <v>5132</v>
      </c>
      <c r="B45" s="1">
        <v>6019</v>
      </c>
      <c r="C45" s="1" t="s">
        <v>264</v>
      </c>
      <c r="D45" s="1" t="s">
        <v>1050</v>
      </c>
      <c r="E45" s="1" t="s">
        <v>263</v>
      </c>
      <c r="G45" s="1" t="s">
        <v>89</v>
      </c>
    </row>
    <row r="46" spans="1:7" ht="28.5" hidden="1" x14ac:dyDescent="0.45">
      <c r="A46" s="1">
        <v>5133</v>
      </c>
      <c r="B46" s="1">
        <v>5008</v>
      </c>
      <c r="C46" s="1" t="s">
        <v>266</v>
      </c>
      <c r="D46" s="1" t="s">
        <v>785</v>
      </c>
      <c r="E46" s="1" t="s">
        <v>265</v>
      </c>
      <c r="G46" s="1" t="s">
        <v>15</v>
      </c>
    </row>
    <row r="47" spans="1:7" ht="42.75" hidden="1" x14ac:dyDescent="0.45">
      <c r="A47" s="1">
        <v>5134</v>
      </c>
      <c r="B47" s="1">
        <v>5138</v>
      </c>
      <c r="C47" s="1" t="s">
        <v>268</v>
      </c>
      <c r="D47" s="1" t="s">
        <v>913</v>
      </c>
      <c r="E47" s="1" t="s">
        <v>267</v>
      </c>
      <c r="F47" s="1" t="s">
        <v>912</v>
      </c>
      <c r="G47" s="1" t="s">
        <v>275</v>
      </c>
    </row>
    <row r="48" spans="1:7" ht="42.75" hidden="1" x14ac:dyDescent="0.45">
      <c r="A48" s="1">
        <v>5138</v>
      </c>
      <c r="B48" s="1">
        <v>5191</v>
      </c>
      <c r="C48" s="1" t="s">
        <v>276</v>
      </c>
      <c r="D48" s="1" t="s">
        <v>503</v>
      </c>
      <c r="E48" s="1" t="s">
        <v>275</v>
      </c>
      <c r="F48" s="1" t="s">
        <v>502</v>
      </c>
      <c r="G48" s="1" t="s">
        <v>381</v>
      </c>
    </row>
    <row r="49" spans="1:7" ht="42.75" hidden="1" x14ac:dyDescent="0.45">
      <c r="A49" s="1">
        <v>5138</v>
      </c>
      <c r="B49" s="1">
        <v>6102</v>
      </c>
      <c r="C49" s="1" t="s">
        <v>276</v>
      </c>
      <c r="D49" s="1" t="s">
        <v>503</v>
      </c>
      <c r="E49" s="1" t="s">
        <v>275</v>
      </c>
      <c r="F49" s="1" t="s">
        <v>502</v>
      </c>
      <c r="G49" s="1" t="s">
        <v>103</v>
      </c>
    </row>
    <row r="50" spans="1:7" ht="28.5" hidden="1" x14ac:dyDescent="0.45">
      <c r="A50" s="1">
        <v>5139</v>
      </c>
      <c r="B50" s="1">
        <v>5138</v>
      </c>
      <c r="C50" s="1" t="s">
        <v>278</v>
      </c>
      <c r="D50" s="1" t="s">
        <v>911</v>
      </c>
      <c r="E50" s="1" t="s">
        <v>277</v>
      </c>
      <c r="G50" s="1" t="s">
        <v>275</v>
      </c>
    </row>
    <row r="51" spans="1:7" hidden="1" x14ac:dyDescent="0.45">
      <c r="A51" s="1">
        <v>5141</v>
      </c>
      <c r="B51" s="1">
        <v>5138</v>
      </c>
      <c r="C51" s="1" t="s">
        <v>282</v>
      </c>
      <c r="D51" s="1" t="s">
        <v>909</v>
      </c>
      <c r="E51" s="1" t="s">
        <v>281</v>
      </c>
      <c r="F51" s="1" t="s">
        <v>480</v>
      </c>
      <c r="G51" s="1" t="s">
        <v>275</v>
      </c>
    </row>
    <row r="52" spans="1:7" ht="42.75" hidden="1" x14ac:dyDescent="0.45">
      <c r="A52" s="1">
        <v>5142</v>
      </c>
      <c r="B52" s="1">
        <v>5191</v>
      </c>
      <c r="C52" s="1" t="s">
        <v>284</v>
      </c>
      <c r="D52" s="1" t="s">
        <v>499</v>
      </c>
      <c r="E52" s="1" t="s">
        <v>283</v>
      </c>
      <c r="F52" s="1" t="s">
        <v>480</v>
      </c>
      <c r="G52" s="1" t="s">
        <v>381</v>
      </c>
    </row>
    <row r="53" spans="1:7" ht="42.75" hidden="1" x14ac:dyDescent="0.45">
      <c r="A53" s="1">
        <v>5142</v>
      </c>
      <c r="B53" s="1">
        <v>6102</v>
      </c>
      <c r="C53" s="1" t="s">
        <v>284</v>
      </c>
      <c r="D53" s="1" t="s">
        <v>499</v>
      </c>
      <c r="E53" s="1" t="s">
        <v>283</v>
      </c>
      <c r="F53" s="1" t="s">
        <v>480</v>
      </c>
      <c r="G53" s="1" t="s">
        <v>103</v>
      </c>
    </row>
    <row r="54" spans="1:7" hidden="1" x14ac:dyDescent="0.45">
      <c r="A54" s="1">
        <v>5143</v>
      </c>
      <c r="B54" s="1">
        <v>5138</v>
      </c>
      <c r="C54" s="1" t="s">
        <v>286</v>
      </c>
      <c r="D54" s="1" t="s">
        <v>908</v>
      </c>
      <c r="E54" s="1" t="s">
        <v>285</v>
      </c>
      <c r="F54" s="1" t="s">
        <v>480</v>
      </c>
      <c r="G54" s="1" t="s">
        <v>275</v>
      </c>
    </row>
    <row r="55" spans="1:7" ht="57" hidden="1" x14ac:dyDescent="0.45">
      <c r="A55" s="1">
        <v>5156</v>
      </c>
      <c r="B55" s="1">
        <v>5202</v>
      </c>
      <c r="C55" s="1" t="s">
        <v>312</v>
      </c>
      <c r="D55" s="1" t="s">
        <v>469</v>
      </c>
      <c r="E55" s="1" t="s">
        <v>311</v>
      </c>
      <c r="F55" s="1" t="s">
        <v>466</v>
      </c>
      <c r="G55" s="1" t="s">
        <v>403</v>
      </c>
    </row>
    <row r="56" spans="1:7" ht="28.5" hidden="1" x14ac:dyDescent="0.45">
      <c r="A56" s="1">
        <v>5158</v>
      </c>
      <c r="B56" s="1">
        <v>5248</v>
      </c>
      <c r="C56" s="1" t="s">
        <v>316</v>
      </c>
      <c r="D56" s="1" t="s">
        <v>775</v>
      </c>
      <c r="E56" s="1" t="s">
        <v>315</v>
      </c>
      <c r="G56" s="1" t="s">
        <v>147</v>
      </c>
    </row>
    <row r="57" spans="1:7" ht="28.5" hidden="1" x14ac:dyDescent="0.45">
      <c r="A57" s="1">
        <v>5160</v>
      </c>
      <c r="B57" s="1">
        <v>1</v>
      </c>
      <c r="C57" s="1" t="s">
        <v>320</v>
      </c>
      <c r="D57" s="1" t="s">
        <v>757</v>
      </c>
      <c r="E57" s="1" t="s">
        <v>319</v>
      </c>
      <c r="G57" s="1" t="s">
        <v>383</v>
      </c>
    </row>
    <row r="58" spans="1:7" ht="71.25" hidden="1" x14ac:dyDescent="0.45">
      <c r="A58" s="1">
        <v>5162</v>
      </c>
      <c r="B58" s="1">
        <v>4252</v>
      </c>
      <c r="C58" s="1" t="s">
        <v>324</v>
      </c>
      <c r="D58" s="1" t="s">
        <v>511</v>
      </c>
      <c r="E58" s="1" t="s">
        <v>323</v>
      </c>
      <c r="G58" s="1" t="s">
        <v>45</v>
      </c>
    </row>
    <row r="59" spans="1:7" ht="85.5" hidden="1" x14ac:dyDescent="0.45">
      <c r="A59" s="1">
        <v>5176</v>
      </c>
      <c r="B59" s="1">
        <v>6069</v>
      </c>
      <c r="C59" s="1" t="s">
        <v>352</v>
      </c>
      <c r="D59" s="1" t="s">
        <v>615</v>
      </c>
      <c r="E59" s="1" t="s">
        <v>351</v>
      </c>
      <c r="F59" s="1" t="s">
        <v>614</v>
      </c>
      <c r="G59" s="1" t="s">
        <v>405</v>
      </c>
    </row>
    <row r="60" spans="1:7" ht="85.5" hidden="1" x14ac:dyDescent="0.45">
      <c r="A60" s="1">
        <v>5176</v>
      </c>
      <c r="B60" s="1">
        <v>6145</v>
      </c>
      <c r="C60" s="1" t="s">
        <v>352</v>
      </c>
      <c r="D60" s="1" t="s">
        <v>615</v>
      </c>
      <c r="E60" s="1" t="s">
        <v>351</v>
      </c>
      <c r="F60" s="1" t="s">
        <v>614</v>
      </c>
      <c r="G60" s="1" t="s">
        <v>349</v>
      </c>
    </row>
    <row r="61" spans="1:7" ht="57" hidden="1" x14ac:dyDescent="0.45">
      <c r="A61" s="1">
        <v>5178</v>
      </c>
      <c r="B61" s="1">
        <v>5112</v>
      </c>
      <c r="C61" s="1" t="s">
        <v>356</v>
      </c>
      <c r="D61" s="1" t="s">
        <v>935</v>
      </c>
      <c r="E61" s="1" t="s">
        <v>355</v>
      </c>
      <c r="F61" s="1" t="s">
        <v>478</v>
      </c>
      <c r="G61" s="1" t="s">
        <v>223</v>
      </c>
    </row>
    <row r="62" spans="1:7" ht="57" hidden="1" x14ac:dyDescent="0.45">
      <c r="A62" s="1">
        <v>5178</v>
      </c>
      <c r="B62" s="1">
        <v>5112</v>
      </c>
      <c r="C62" s="1" t="s">
        <v>356</v>
      </c>
      <c r="D62" s="1" t="s">
        <v>935</v>
      </c>
      <c r="E62" s="1" t="s">
        <v>355</v>
      </c>
      <c r="F62" s="1" t="s">
        <v>480</v>
      </c>
      <c r="G62" s="1" t="s">
        <v>223</v>
      </c>
    </row>
    <row r="63" spans="1:7" ht="85.5" hidden="1" x14ac:dyDescent="0.45">
      <c r="A63" s="1">
        <v>5178</v>
      </c>
      <c r="B63" s="1">
        <v>5112</v>
      </c>
      <c r="C63" s="1" t="s">
        <v>356</v>
      </c>
      <c r="D63" s="1" t="s">
        <v>934</v>
      </c>
      <c r="E63" s="1" t="s">
        <v>355</v>
      </c>
      <c r="F63" s="1" t="s">
        <v>478</v>
      </c>
      <c r="G63" s="1" t="s">
        <v>223</v>
      </c>
    </row>
    <row r="64" spans="1:7" ht="85.5" hidden="1" x14ac:dyDescent="0.45">
      <c r="A64" s="1">
        <v>5178</v>
      </c>
      <c r="B64" s="1">
        <v>5112</v>
      </c>
      <c r="C64" s="1" t="s">
        <v>356</v>
      </c>
      <c r="D64" s="1" t="s">
        <v>934</v>
      </c>
      <c r="E64" s="1" t="s">
        <v>355</v>
      </c>
      <c r="F64" s="1" t="s">
        <v>480</v>
      </c>
      <c r="G64" s="1" t="s">
        <v>223</v>
      </c>
    </row>
    <row r="65" spans="1:7" ht="71.25" hidden="1" x14ac:dyDescent="0.45">
      <c r="A65" s="1">
        <v>5191</v>
      </c>
      <c r="B65" s="1">
        <v>1</v>
      </c>
      <c r="C65" s="1" t="s">
        <v>382</v>
      </c>
      <c r="D65" s="1" t="s">
        <v>756</v>
      </c>
      <c r="E65" s="1" t="s">
        <v>381</v>
      </c>
      <c r="F65" s="1" t="s">
        <v>754</v>
      </c>
      <c r="G65" s="1" t="s">
        <v>383</v>
      </c>
    </row>
    <row r="66" spans="1:7" ht="114" hidden="1" x14ac:dyDescent="0.45">
      <c r="A66" s="1">
        <v>5191</v>
      </c>
      <c r="B66" s="1">
        <v>1</v>
      </c>
      <c r="C66" s="1" t="s">
        <v>382</v>
      </c>
      <c r="D66" s="1" t="s">
        <v>755</v>
      </c>
      <c r="E66" s="1" t="s">
        <v>381</v>
      </c>
      <c r="F66" s="1" t="s">
        <v>754</v>
      </c>
      <c r="G66" s="1" t="s">
        <v>383</v>
      </c>
    </row>
    <row r="67" spans="1:7" ht="71.25" hidden="1" x14ac:dyDescent="0.45">
      <c r="A67" s="1">
        <v>5199</v>
      </c>
      <c r="B67" s="1">
        <v>6111</v>
      </c>
      <c r="C67" s="1" t="s">
        <v>398</v>
      </c>
      <c r="D67" s="1" t="s">
        <v>685</v>
      </c>
      <c r="E67" s="1" t="s">
        <v>397</v>
      </c>
      <c r="F67" s="1" t="s">
        <v>684</v>
      </c>
      <c r="G67" s="1" t="s">
        <v>159</v>
      </c>
    </row>
    <row r="68" spans="1:7" ht="28.5" hidden="1" x14ac:dyDescent="0.45">
      <c r="A68" s="1">
        <v>5201</v>
      </c>
      <c r="B68" s="1">
        <v>6019</v>
      </c>
      <c r="C68" s="1" t="s">
        <v>402</v>
      </c>
      <c r="D68" s="1" t="s">
        <v>928</v>
      </c>
      <c r="E68" s="1" t="s">
        <v>401</v>
      </c>
      <c r="F68" s="1" t="s">
        <v>927</v>
      </c>
      <c r="G68" s="1" t="s">
        <v>89</v>
      </c>
    </row>
    <row r="69" spans="1:7" ht="28.5" hidden="1" x14ac:dyDescent="0.45">
      <c r="A69" s="1">
        <v>5201</v>
      </c>
      <c r="B69" s="1">
        <v>6051</v>
      </c>
      <c r="C69" s="1" t="s">
        <v>402</v>
      </c>
      <c r="D69" s="1" t="s">
        <v>928</v>
      </c>
      <c r="E69" s="1" t="s">
        <v>401</v>
      </c>
      <c r="F69" s="1" t="s">
        <v>927</v>
      </c>
      <c r="G69" s="1" t="s">
        <v>269</v>
      </c>
    </row>
    <row r="70" spans="1:7" ht="142.5" hidden="1" x14ac:dyDescent="0.45">
      <c r="A70" s="1">
        <v>5202</v>
      </c>
      <c r="B70" s="1">
        <v>1</v>
      </c>
      <c r="C70" s="1" t="s">
        <v>404</v>
      </c>
      <c r="D70" s="1" t="s">
        <v>753</v>
      </c>
      <c r="E70" s="1" t="s">
        <v>403</v>
      </c>
      <c r="F70" s="1" t="s">
        <v>466</v>
      </c>
      <c r="G70" s="1" t="s">
        <v>383</v>
      </c>
    </row>
    <row r="71" spans="1:7" ht="42.75" hidden="1" x14ac:dyDescent="0.45">
      <c r="A71" s="1">
        <v>5212</v>
      </c>
      <c r="B71" s="1">
        <v>6111</v>
      </c>
      <c r="C71" s="1" t="s">
        <v>424</v>
      </c>
      <c r="D71" s="1" t="s">
        <v>683</v>
      </c>
      <c r="E71" s="1" t="s">
        <v>423</v>
      </c>
      <c r="F71" s="1" t="s">
        <v>682</v>
      </c>
      <c r="G71" s="1" t="s">
        <v>159</v>
      </c>
    </row>
    <row r="72" spans="1:7" ht="71.25" hidden="1" x14ac:dyDescent="0.45">
      <c r="A72" s="1">
        <v>5216</v>
      </c>
      <c r="B72" s="1">
        <v>4257</v>
      </c>
      <c r="C72" s="1" t="s">
        <v>432</v>
      </c>
      <c r="D72" s="1" t="s">
        <v>606</v>
      </c>
      <c r="E72" s="1" t="s">
        <v>431</v>
      </c>
      <c r="F72" s="1" t="s">
        <v>605</v>
      </c>
      <c r="G72" s="1" t="s">
        <v>399</v>
      </c>
    </row>
    <row r="73" spans="1:7" ht="71.25" hidden="1" x14ac:dyDescent="0.45">
      <c r="A73" s="1">
        <v>5216</v>
      </c>
      <c r="B73" s="1">
        <v>6151</v>
      </c>
      <c r="C73" s="1" t="s">
        <v>432</v>
      </c>
      <c r="D73" s="1" t="s">
        <v>606</v>
      </c>
      <c r="E73" s="1" t="s">
        <v>431</v>
      </c>
      <c r="F73" s="1" t="s">
        <v>605</v>
      </c>
      <c r="G73" s="1" t="s">
        <v>367</v>
      </c>
    </row>
    <row r="74" spans="1:7" ht="71.25" hidden="1" x14ac:dyDescent="0.45">
      <c r="A74" s="1">
        <v>5222</v>
      </c>
      <c r="B74" s="1">
        <v>5191</v>
      </c>
      <c r="C74" s="1" t="s">
        <v>766</v>
      </c>
      <c r="D74" s="1" t="s">
        <v>762</v>
      </c>
      <c r="E74" s="1" t="s">
        <v>443</v>
      </c>
      <c r="F74" s="1" t="s">
        <v>761</v>
      </c>
      <c r="G74" s="1" t="s">
        <v>381</v>
      </c>
    </row>
    <row r="75" spans="1:7" ht="71.25" hidden="1" x14ac:dyDescent="0.45">
      <c r="A75" s="1">
        <v>5222</v>
      </c>
      <c r="B75" s="1">
        <v>5191</v>
      </c>
      <c r="C75" s="1" t="s">
        <v>444</v>
      </c>
      <c r="D75" s="1" t="s">
        <v>762</v>
      </c>
      <c r="E75" s="1" t="s">
        <v>443</v>
      </c>
      <c r="F75" s="1" t="s">
        <v>761</v>
      </c>
      <c r="G75" s="1" t="s">
        <v>381</v>
      </c>
    </row>
    <row r="76" spans="1:7" ht="42.75" hidden="1" x14ac:dyDescent="0.45">
      <c r="A76" s="1">
        <v>5225</v>
      </c>
      <c r="B76" s="1">
        <v>5178</v>
      </c>
      <c r="C76" s="1" t="s">
        <v>450</v>
      </c>
      <c r="D76" s="1" t="s">
        <v>857</v>
      </c>
      <c r="E76" s="1" t="s">
        <v>449</v>
      </c>
      <c r="G76" s="1" t="s">
        <v>355</v>
      </c>
    </row>
    <row r="77" spans="1:7" ht="28.5" hidden="1" x14ac:dyDescent="0.45">
      <c r="A77" s="1">
        <v>5226</v>
      </c>
      <c r="B77" s="1">
        <v>5228</v>
      </c>
      <c r="C77" s="1" t="s">
        <v>452</v>
      </c>
      <c r="D77" s="1" t="s">
        <v>570</v>
      </c>
      <c r="E77" s="1" t="s">
        <v>451</v>
      </c>
      <c r="G77" s="1" t="s">
        <v>455</v>
      </c>
    </row>
    <row r="78" spans="1:7" ht="28.5" hidden="1" x14ac:dyDescent="0.45">
      <c r="A78" s="1">
        <v>5228</v>
      </c>
      <c r="B78" s="1">
        <v>5111</v>
      </c>
      <c r="C78" s="1" t="s">
        <v>456</v>
      </c>
      <c r="D78" s="1" t="s">
        <v>493</v>
      </c>
      <c r="E78" s="1" t="s">
        <v>455</v>
      </c>
      <c r="G78" s="1" t="s">
        <v>221</v>
      </c>
    </row>
    <row r="79" spans="1:7" ht="28.5" hidden="1" x14ac:dyDescent="0.45">
      <c r="A79" s="1">
        <v>5229</v>
      </c>
      <c r="B79" s="1">
        <v>5112</v>
      </c>
      <c r="C79" s="1" t="s">
        <v>458</v>
      </c>
      <c r="D79" s="1" t="s">
        <v>569</v>
      </c>
      <c r="E79" s="1" t="s">
        <v>457</v>
      </c>
      <c r="G79" s="1" t="s">
        <v>223</v>
      </c>
    </row>
    <row r="80" spans="1:7" ht="28.5" hidden="1" x14ac:dyDescent="0.45">
      <c r="A80" s="1">
        <v>5229</v>
      </c>
      <c r="B80" s="1">
        <v>5228</v>
      </c>
      <c r="C80" s="1" t="s">
        <v>458</v>
      </c>
      <c r="D80" s="1" t="s">
        <v>569</v>
      </c>
      <c r="E80" s="1" t="s">
        <v>457</v>
      </c>
      <c r="G80" s="1" t="s">
        <v>455</v>
      </c>
    </row>
    <row r="81" spans="1:7" ht="28.5" hidden="1" x14ac:dyDescent="0.45">
      <c r="A81" s="1">
        <v>5231</v>
      </c>
      <c r="B81" s="1">
        <v>5178</v>
      </c>
      <c r="C81" s="1" t="s">
        <v>865</v>
      </c>
      <c r="D81" s="1" t="s">
        <v>864</v>
      </c>
      <c r="E81" s="1" t="s">
        <v>866</v>
      </c>
      <c r="G81" s="1" t="s">
        <v>355</v>
      </c>
    </row>
    <row r="82" spans="1:7" ht="42.75" hidden="1" x14ac:dyDescent="0.45">
      <c r="A82" s="1">
        <v>5232</v>
      </c>
      <c r="B82" s="1">
        <v>5178</v>
      </c>
      <c r="C82" s="1" t="s">
        <v>862</v>
      </c>
      <c r="D82" s="1" t="s">
        <v>861</v>
      </c>
      <c r="E82" s="1" t="s">
        <v>863</v>
      </c>
      <c r="G82" s="1" t="s">
        <v>355</v>
      </c>
    </row>
    <row r="83" spans="1:7" ht="42.75" hidden="1" x14ac:dyDescent="0.45">
      <c r="A83" s="1">
        <v>5233</v>
      </c>
      <c r="B83" s="1">
        <v>5178</v>
      </c>
      <c r="C83" s="1" t="s">
        <v>859</v>
      </c>
      <c r="D83" s="1" t="s">
        <v>858</v>
      </c>
      <c r="E83" s="1" t="s">
        <v>860</v>
      </c>
      <c r="G83" s="1" t="s">
        <v>355</v>
      </c>
    </row>
    <row r="84" spans="1:7" hidden="1" x14ac:dyDescent="0.45">
      <c r="A84" s="1">
        <v>5236</v>
      </c>
      <c r="B84" s="1">
        <v>5162</v>
      </c>
      <c r="C84" t="s">
        <v>1104</v>
      </c>
      <c r="D84" t="s">
        <v>1105</v>
      </c>
      <c r="E84" t="s">
        <v>1103</v>
      </c>
      <c r="G84" t="s">
        <v>323</v>
      </c>
    </row>
    <row r="85" spans="1:7" ht="71.25" hidden="1" x14ac:dyDescent="0.45">
      <c r="A85" s="1">
        <v>5248</v>
      </c>
      <c r="B85" s="1">
        <v>3</v>
      </c>
      <c r="C85" s="1" t="s">
        <v>148</v>
      </c>
      <c r="D85" s="1" t="s">
        <v>770</v>
      </c>
      <c r="E85" s="1" t="s">
        <v>147</v>
      </c>
      <c r="G85" s="1" t="s">
        <v>767</v>
      </c>
    </row>
    <row r="86" spans="1:7" ht="85.5" hidden="1" x14ac:dyDescent="0.45">
      <c r="A86" s="1">
        <v>5249</v>
      </c>
      <c r="B86" s="1">
        <v>1</v>
      </c>
      <c r="C86" s="1" t="s">
        <v>102</v>
      </c>
      <c r="D86" s="1" t="s">
        <v>759</v>
      </c>
      <c r="E86" s="1" t="s">
        <v>101</v>
      </c>
      <c r="F86" s="1" t="s">
        <v>509</v>
      </c>
      <c r="G86" s="1" t="s">
        <v>383</v>
      </c>
    </row>
    <row r="87" spans="1:7" ht="28.5" hidden="1" x14ac:dyDescent="0.45">
      <c r="A87" s="1">
        <v>5250</v>
      </c>
      <c r="B87" s="1">
        <v>5008</v>
      </c>
      <c r="C87" s="1" t="s">
        <v>292</v>
      </c>
      <c r="D87" s="1" t="s">
        <v>784</v>
      </c>
      <c r="E87" s="1" t="s">
        <v>291</v>
      </c>
      <c r="G87" s="1" t="s">
        <v>15</v>
      </c>
    </row>
    <row r="88" spans="1:7" ht="156.75" x14ac:dyDescent="0.45">
      <c r="A88" s="1">
        <v>6000</v>
      </c>
      <c r="B88" s="1">
        <v>5008</v>
      </c>
      <c r="C88" s="1" t="s">
        <v>18</v>
      </c>
      <c r="D88" s="1" t="s">
        <v>788</v>
      </c>
      <c r="E88" s="1" t="s">
        <v>17</v>
      </c>
      <c r="G88" s="1" t="s">
        <v>15</v>
      </c>
    </row>
    <row r="89" spans="1:7" ht="42.75" x14ac:dyDescent="0.45">
      <c r="A89" s="1">
        <v>6001</v>
      </c>
      <c r="B89" s="1">
        <v>3</v>
      </c>
      <c r="C89" s="1" t="s">
        <v>22</v>
      </c>
      <c r="D89" s="1" t="s">
        <v>773</v>
      </c>
      <c r="E89" s="1" t="s">
        <v>21</v>
      </c>
      <c r="G89" s="1" t="s">
        <v>767</v>
      </c>
    </row>
    <row r="90" spans="1:7" ht="85.5" x14ac:dyDescent="0.45">
      <c r="A90" s="1">
        <v>6002</v>
      </c>
      <c r="B90" s="1">
        <v>3</v>
      </c>
      <c r="C90" s="1" t="s">
        <v>118</v>
      </c>
      <c r="D90" s="1" t="s">
        <v>771</v>
      </c>
      <c r="E90" s="1" t="s">
        <v>117</v>
      </c>
      <c r="G90" s="1" t="s">
        <v>767</v>
      </c>
    </row>
    <row r="91" spans="1:7" ht="42.75" x14ac:dyDescent="0.45">
      <c r="A91" s="1">
        <v>6003</v>
      </c>
      <c r="B91" s="1">
        <v>4</v>
      </c>
      <c r="C91" s="1" t="s">
        <v>294</v>
      </c>
      <c r="D91" s="1" t="s">
        <v>780</v>
      </c>
      <c r="E91" s="1" t="s">
        <v>293</v>
      </c>
      <c r="G91" s="1" t="s">
        <v>305</v>
      </c>
    </row>
    <row r="92" spans="1:7" ht="57" x14ac:dyDescent="0.45">
      <c r="A92" s="1">
        <v>6004</v>
      </c>
      <c r="B92" s="1">
        <v>5008</v>
      </c>
      <c r="C92" s="1" t="s">
        <v>334</v>
      </c>
      <c r="D92" s="1" t="s">
        <v>783</v>
      </c>
      <c r="E92" s="1" t="s">
        <v>333</v>
      </c>
      <c r="G92" s="1" t="s">
        <v>15</v>
      </c>
    </row>
    <row r="93" spans="1:7" x14ac:dyDescent="0.45">
      <c r="A93" s="1">
        <v>6005</v>
      </c>
      <c r="B93" s="1">
        <v>5112</v>
      </c>
      <c r="C93" s="1" t="s">
        <v>4</v>
      </c>
      <c r="D93" s="1" t="s">
        <v>742</v>
      </c>
      <c r="E93" s="1" t="s">
        <v>3</v>
      </c>
      <c r="F93" s="1" t="s">
        <v>487</v>
      </c>
      <c r="G93" s="1" t="s">
        <v>223</v>
      </c>
    </row>
    <row r="94" spans="1:7" ht="28.5" x14ac:dyDescent="0.45">
      <c r="A94" s="1">
        <v>6005</v>
      </c>
      <c r="B94" s="1">
        <v>6076</v>
      </c>
      <c r="C94" s="1" t="s">
        <v>4</v>
      </c>
      <c r="D94" s="1" t="s">
        <v>742</v>
      </c>
      <c r="E94" s="1" t="s">
        <v>3</v>
      </c>
      <c r="F94" s="1" t="s">
        <v>487</v>
      </c>
      <c r="G94" s="1" t="s">
        <v>1</v>
      </c>
    </row>
    <row r="95" spans="1:7" ht="28.5" x14ac:dyDescent="0.45">
      <c r="A95" s="1">
        <v>6006</v>
      </c>
      <c r="B95" s="1">
        <v>6041</v>
      </c>
      <c r="C95" s="1" t="s">
        <v>6</v>
      </c>
      <c r="D95" s="1" t="s">
        <v>958</v>
      </c>
      <c r="E95" s="1" t="s">
        <v>5</v>
      </c>
      <c r="F95" s="1" t="s">
        <v>461</v>
      </c>
      <c r="G95" s="1" t="s">
        <v>189</v>
      </c>
    </row>
    <row r="96" spans="1:7" ht="185.25" x14ac:dyDescent="0.45">
      <c r="A96" s="1">
        <v>6007</v>
      </c>
      <c r="B96" s="1">
        <v>6028</v>
      </c>
      <c r="C96" s="1" t="s">
        <v>12</v>
      </c>
      <c r="D96" s="1" t="s">
        <v>929</v>
      </c>
      <c r="E96" s="1" t="s">
        <v>11</v>
      </c>
      <c r="F96" s="1" t="s">
        <v>487</v>
      </c>
      <c r="G96" s="1" t="s">
        <v>145</v>
      </c>
    </row>
    <row r="97" spans="1:7" ht="185.25" x14ac:dyDescent="0.45">
      <c r="A97" s="1">
        <v>6007</v>
      </c>
      <c r="B97" s="1">
        <v>6048</v>
      </c>
      <c r="C97" s="1" t="s">
        <v>12</v>
      </c>
      <c r="D97" s="1" t="s">
        <v>929</v>
      </c>
      <c r="E97" s="1" t="s">
        <v>11</v>
      </c>
      <c r="F97" s="1" t="s">
        <v>487</v>
      </c>
      <c r="G97" s="1" t="s">
        <v>241</v>
      </c>
    </row>
    <row r="98" spans="1:7" ht="28.5" x14ac:dyDescent="0.45">
      <c r="A98" s="1">
        <v>6008</v>
      </c>
      <c r="B98" s="1">
        <v>5178</v>
      </c>
      <c r="C98" s="1" t="s">
        <v>14</v>
      </c>
      <c r="D98" s="1" t="s">
        <v>856</v>
      </c>
      <c r="E98" s="1" t="s">
        <v>13</v>
      </c>
      <c r="F98" s="1" t="s">
        <v>854</v>
      </c>
      <c r="G98" s="1" t="s">
        <v>355</v>
      </c>
    </row>
    <row r="99" spans="1:7" ht="71.25" x14ac:dyDescent="0.45">
      <c r="A99" s="1">
        <v>6008</v>
      </c>
      <c r="B99" s="1">
        <v>5178</v>
      </c>
      <c r="C99" s="1" t="s">
        <v>14</v>
      </c>
      <c r="D99" s="1" t="s">
        <v>855</v>
      </c>
      <c r="E99" s="1" t="s">
        <v>13</v>
      </c>
      <c r="F99" s="1" t="s">
        <v>854</v>
      </c>
      <c r="G99" s="1" t="s">
        <v>355</v>
      </c>
    </row>
    <row r="100" spans="1:7" x14ac:dyDescent="0.45">
      <c r="A100" s="1">
        <v>6009</v>
      </c>
      <c r="B100" s="1">
        <v>5191</v>
      </c>
      <c r="C100" s="1" t="s">
        <v>24</v>
      </c>
      <c r="D100" s="1" t="s">
        <v>765</v>
      </c>
      <c r="E100" s="1" t="s">
        <v>23</v>
      </c>
      <c r="F100" s="1" t="s">
        <v>480</v>
      </c>
      <c r="G100" s="1" t="s">
        <v>381</v>
      </c>
    </row>
    <row r="101" spans="1:7" ht="57" x14ac:dyDescent="0.45">
      <c r="A101" s="1">
        <v>6010</v>
      </c>
      <c r="B101" s="1">
        <v>5178</v>
      </c>
      <c r="C101" s="1" t="s">
        <v>26</v>
      </c>
      <c r="D101" s="1" t="s">
        <v>853</v>
      </c>
      <c r="E101" s="1" t="s">
        <v>25</v>
      </c>
      <c r="F101" s="1" t="s">
        <v>478</v>
      </c>
      <c r="G101" s="1" t="s">
        <v>355</v>
      </c>
    </row>
    <row r="102" spans="1:7" ht="185.25" x14ac:dyDescent="0.45">
      <c r="A102" s="1">
        <v>6011</v>
      </c>
      <c r="B102" s="1">
        <v>6012</v>
      </c>
      <c r="C102" s="1" t="s">
        <v>38</v>
      </c>
      <c r="D102" s="1" t="s">
        <v>1027</v>
      </c>
      <c r="E102" s="1" t="s">
        <v>37</v>
      </c>
      <c r="F102" s="1" t="s">
        <v>487</v>
      </c>
      <c r="G102" s="1" t="s">
        <v>41</v>
      </c>
    </row>
    <row r="103" spans="1:7" ht="185.25" x14ac:dyDescent="0.45">
      <c r="A103" s="1">
        <v>6011</v>
      </c>
      <c r="B103" s="1">
        <v>6028</v>
      </c>
      <c r="C103" s="1" t="s">
        <v>38</v>
      </c>
      <c r="D103" s="1" t="s">
        <v>1027</v>
      </c>
      <c r="E103" s="1" t="s">
        <v>37</v>
      </c>
      <c r="F103" s="1" t="s">
        <v>487</v>
      </c>
      <c r="G103" s="1" t="s">
        <v>145</v>
      </c>
    </row>
    <row r="104" spans="1:7" ht="28.5" x14ac:dyDescent="0.45">
      <c r="A104" s="1">
        <v>6012</v>
      </c>
      <c r="B104" s="1">
        <v>5112</v>
      </c>
      <c r="C104" s="1" t="s">
        <v>42</v>
      </c>
      <c r="D104" s="1" t="s">
        <v>720</v>
      </c>
      <c r="E104" s="1" t="s">
        <v>41</v>
      </c>
      <c r="F104" s="1" t="s">
        <v>721</v>
      </c>
      <c r="G104" s="1" t="s">
        <v>223</v>
      </c>
    </row>
    <row r="105" spans="1:7" ht="28.5" x14ac:dyDescent="0.45">
      <c r="A105" s="1">
        <v>6012</v>
      </c>
      <c r="B105" s="1">
        <v>6085</v>
      </c>
      <c r="C105" s="1" t="s">
        <v>42</v>
      </c>
      <c r="D105" s="1" t="s">
        <v>720</v>
      </c>
      <c r="E105" s="1" t="s">
        <v>41</v>
      </c>
      <c r="F105" s="1" t="s">
        <v>721</v>
      </c>
      <c r="G105" s="1" t="s">
        <v>39</v>
      </c>
    </row>
    <row r="106" spans="1:7" ht="42.75" x14ac:dyDescent="0.45">
      <c r="A106" s="1">
        <v>6013</v>
      </c>
      <c r="B106" s="1">
        <v>4257</v>
      </c>
      <c r="C106" s="1" t="s">
        <v>50</v>
      </c>
      <c r="D106" s="1" t="s">
        <v>750</v>
      </c>
      <c r="E106" s="1" t="s">
        <v>49</v>
      </c>
      <c r="F106" s="1" t="s">
        <v>466</v>
      </c>
      <c r="G106" s="1" t="s">
        <v>399</v>
      </c>
    </row>
    <row r="107" spans="1:7" ht="185.25" x14ac:dyDescent="0.45">
      <c r="A107" s="1">
        <v>6014</v>
      </c>
      <c r="B107" s="1">
        <v>1</v>
      </c>
      <c r="C107" s="1" t="s">
        <v>58</v>
      </c>
      <c r="D107" s="1" t="s">
        <v>760</v>
      </c>
      <c r="E107" s="1" t="s">
        <v>57</v>
      </c>
      <c r="F107" s="1" t="s">
        <v>478</v>
      </c>
      <c r="G107" s="1" t="s">
        <v>383</v>
      </c>
    </row>
    <row r="108" spans="1:7" ht="57" x14ac:dyDescent="0.45">
      <c r="A108" s="1">
        <v>6015</v>
      </c>
      <c r="B108" s="1">
        <v>5071</v>
      </c>
      <c r="C108" s="1" t="s">
        <v>60</v>
      </c>
      <c r="D108" s="1" t="s">
        <v>1028</v>
      </c>
      <c r="E108" s="1" t="s">
        <v>59</v>
      </c>
      <c r="F108" s="1" t="s">
        <v>509</v>
      </c>
      <c r="G108" s="1" t="s">
        <v>141</v>
      </c>
    </row>
    <row r="109" spans="1:7" ht="57" x14ac:dyDescent="0.45">
      <c r="A109" s="1">
        <v>6016</v>
      </c>
      <c r="B109" s="1">
        <v>4257</v>
      </c>
      <c r="C109" s="1" t="s">
        <v>80</v>
      </c>
      <c r="D109" s="1" t="s">
        <v>714</v>
      </c>
      <c r="E109" s="1" t="s">
        <v>79</v>
      </c>
      <c r="F109" s="1" t="s">
        <v>466</v>
      </c>
      <c r="G109" s="1" t="s">
        <v>399</v>
      </c>
    </row>
    <row r="110" spans="1:7" ht="57" x14ac:dyDescent="0.45">
      <c r="A110" s="1">
        <v>6016</v>
      </c>
      <c r="B110" s="1">
        <v>5041</v>
      </c>
      <c r="C110" s="1" t="s">
        <v>80</v>
      </c>
      <c r="D110" s="1" t="s">
        <v>714</v>
      </c>
      <c r="E110" s="1" t="s">
        <v>79</v>
      </c>
      <c r="F110" s="1" t="s">
        <v>466</v>
      </c>
      <c r="G110" s="1" t="s">
        <v>81</v>
      </c>
    </row>
    <row r="111" spans="1:7" ht="42.75" x14ac:dyDescent="0.45">
      <c r="A111" s="1">
        <v>6017</v>
      </c>
      <c r="B111" s="1">
        <v>6069</v>
      </c>
      <c r="C111" s="1" t="s">
        <v>84</v>
      </c>
      <c r="D111" s="1" t="s">
        <v>713</v>
      </c>
      <c r="E111" s="1" t="s">
        <v>83</v>
      </c>
      <c r="F111" s="1" t="s">
        <v>466</v>
      </c>
      <c r="G111" s="1" t="s">
        <v>405</v>
      </c>
    </row>
    <row r="112" spans="1:7" ht="42.75" x14ac:dyDescent="0.45">
      <c r="A112" s="1">
        <v>6017</v>
      </c>
      <c r="B112" s="1">
        <v>5041</v>
      </c>
      <c r="C112" s="1" t="s">
        <v>84</v>
      </c>
      <c r="D112" s="1" t="s">
        <v>713</v>
      </c>
      <c r="E112" s="1" t="s">
        <v>83</v>
      </c>
      <c r="F112" s="1" t="s">
        <v>466</v>
      </c>
      <c r="G112" s="1" t="s">
        <v>81</v>
      </c>
    </row>
    <row r="113" spans="1:8" ht="85.5" x14ac:dyDescent="0.45">
      <c r="A113" s="1">
        <v>6018</v>
      </c>
      <c r="B113" s="1">
        <v>5071</v>
      </c>
      <c r="C113" s="1" t="s">
        <v>88</v>
      </c>
      <c r="D113" s="1" t="s">
        <v>501</v>
      </c>
      <c r="E113" s="1" t="s">
        <v>87</v>
      </c>
      <c r="F113" s="1" t="s">
        <v>500</v>
      </c>
      <c r="G113" s="1" t="s">
        <v>141</v>
      </c>
    </row>
    <row r="114" spans="1:8" ht="85.5" x14ac:dyDescent="0.45">
      <c r="A114" s="1">
        <v>6018</v>
      </c>
      <c r="B114" s="1">
        <v>6102</v>
      </c>
      <c r="C114" s="1" t="s">
        <v>88</v>
      </c>
      <c r="D114" s="1" t="s">
        <v>501</v>
      </c>
      <c r="E114" s="1" t="s">
        <v>87</v>
      </c>
      <c r="F114" s="1" t="s">
        <v>500</v>
      </c>
      <c r="G114" s="1" t="s">
        <v>103</v>
      </c>
    </row>
    <row r="115" spans="1:8" ht="99.75" x14ac:dyDescent="0.45">
      <c r="A115" s="1">
        <v>6019</v>
      </c>
      <c r="B115" s="1">
        <v>5202</v>
      </c>
      <c r="C115" s="1" t="s">
        <v>90</v>
      </c>
      <c r="D115" s="1" t="s">
        <v>472</v>
      </c>
      <c r="E115" s="1" t="s">
        <v>89</v>
      </c>
      <c r="F115" s="1" t="s">
        <v>466</v>
      </c>
      <c r="G115" s="1" t="s">
        <v>403</v>
      </c>
    </row>
    <row r="116" spans="1:8" ht="57" x14ac:dyDescent="0.45">
      <c r="A116" s="1">
        <v>6020</v>
      </c>
      <c r="B116" s="1">
        <v>4257</v>
      </c>
      <c r="C116" s="1" t="s">
        <v>92</v>
      </c>
      <c r="D116" s="1" t="s">
        <v>704</v>
      </c>
      <c r="E116" s="1" t="s">
        <v>91</v>
      </c>
      <c r="F116" s="1" t="s">
        <v>470</v>
      </c>
      <c r="G116" s="1" t="s">
        <v>399</v>
      </c>
    </row>
    <row r="117" spans="1:8" ht="57" x14ac:dyDescent="0.45">
      <c r="A117" s="1">
        <v>6020</v>
      </c>
      <c r="B117" s="1">
        <v>5047</v>
      </c>
      <c r="C117" s="1" t="s">
        <v>92</v>
      </c>
      <c r="D117" s="1" t="s">
        <v>704</v>
      </c>
      <c r="E117" s="1" t="s">
        <v>91</v>
      </c>
      <c r="F117" s="1" t="s">
        <v>470</v>
      </c>
      <c r="G117" s="1" t="s">
        <v>93</v>
      </c>
    </row>
    <row r="118" spans="1:8" ht="57" x14ac:dyDescent="0.45">
      <c r="A118" s="1">
        <v>6021</v>
      </c>
      <c r="B118" s="1">
        <v>6069</v>
      </c>
      <c r="C118" s="1" t="s">
        <v>96</v>
      </c>
      <c r="D118" s="1" t="s">
        <v>703</v>
      </c>
      <c r="E118" s="1" t="s">
        <v>95</v>
      </c>
      <c r="F118" s="1" t="s">
        <v>470</v>
      </c>
      <c r="G118" s="1" t="s">
        <v>405</v>
      </c>
    </row>
    <row r="119" spans="1:8" ht="57" x14ac:dyDescent="0.45">
      <c r="A119" s="1">
        <v>6021</v>
      </c>
      <c r="B119" s="1">
        <v>5047</v>
      </c>
      <c r="C119" s="1" t="s">
        <v>96</v>
      </c>
      <c r="D119" s="1" t="s">
        <v>703</v>
      </c>
      <c r="E119" s="1" t="s">
        <v>95</v>
      </c>
      <c r="F119" s="1" t="s">
        <v>470</v>
      </c>
      <c r="G119" s="1" t="s">
        <v>93</v>
      </c>
    </row>
    <row r="120" spans="1:8" ht="99.75" x14ac:dyDescent="0.45">
      <c r="A120" s="1">
        <v>6022</v>
      </c>
      <c r="B120" s="1">
        <v>6057</v>
      </c>
      <c r="C120" s="1" t="s">
        <v>869</v>
      </c>
      <c r="D120" s="1" t="s">
        <v>868</v>
      </c>
      <c r="E120" s="1" t="s">
        <v>99</v>
      </c>
      <c r="F120" s="1" t="s">
        <v>867</v>
      </c>
      <c r="G120" s="1" t="s">
        <v>329</v>
      </c>
    </row>
    <row r="121" spans="1:8" ht="99.75" x14ac:dyDescent="0.45">
      <c r="A121" s="1">
        <v>6022</v>
      </c>
      <c r="B121" s="1">
        <v>6057</v>
      </c>
      <c r="C121" s="1" t="s">
        <v>100</v>
      </c>
      <c r="D121" s="1" t="s">
        <v>868</v>
      </c>
      <c r="E121" s="1" t="s">
        <v>99</v>
      </c>
      <c r="F121" s="1" t="s">
        <v>867</v>
      </c>
      <c r="G121" s="1" t="s">
        <v>329</v>
      </c>
    </row>
    <row r="122" spans="1:8" ht="99.75" x14ac:dyDescent="0.45">
      <c r="A122" s="1">
        <v>6023</v>
      </c>
      <c r="B122" s="1">
        <v>6005</v>
      </c>
      <c r="C122" s="1" t="s">
        <v>110</v>
      </c>
      <c r="D122" s="1" t="s">
        <v>1026</v>
      </c>
      <c r="E122" s="1" t="s">
        <v>109</v>
      </c>
      <c r="F122" s="1" t="s">
        <v>461</v>
      </c>
      <c r="G122" s="1" t="s">
        <v>3</v>
      </c>
      <c r="H122" s="1" t="str">
        <f>E122  &amp;  " rdf:type skos:Concept ;  rdfs:label """&amp;C122 &amp; """@en ;  skos:broader "&amp;G122 &amp; " ;  skos:definition """&amp;D122 &amp;"""@en ;  skos:prefLabel """&amp;C122 &amp;"""@en ; dcterm:source """ &amp;F122 &amp; """; skos:notation """&amp;TEXT(A122,0) &amp;"""."</f>
        <v>rksd:Dacite rdf:type skos:Concept ;  rdfs:label "dacite"@en ;  skos:broader rksd:Acidic_Igneous_Rock ;  skos:definition "Fine grained or porphyritic crystalline rock that contains less than 90 percent mafic minerals, between 20 and 60 percent quartz in the QAPF fraction, and has a plagioclase to total feldspar ratio greater than 0.65. Includes rocks defined modally in QAPF fields 4 and 5 or chemically in TAS Field O3. Typically composed of quartz and sodic plagioclase with minor amounts of biotite and/or hornblende and/or pyroxene; fine-grained equivalent of granodiorite and tonalite."@en ;  skos:prefLabel "dacite"@en ; dcterm:source "LeMaitre et al. 2002"; skos:notation "6023".</v>
      </c>
    </row>
    <row r="123" spans="1:8" ht="99.75" x14ac:dyDescent="0.45">
      <c r="A123" s="1">
        <v>6023</v>
      </c>
      <c r="B123" s="1">
        <v>6028</v>
      </c>
      <c r="C123" s="1" t="s">
        <v>110</v>
      </c>
      <c r="D123" s="1" t="s">
        <v>1026</v>
      </c>
      <c r="E123" s="1" t="s">
        <v>109</v>
      </c>
      <c r="F123" s="1" t="s">
        <v>461</v>
      </c>
      <c r="G123" s="1" t="s">
        <v>145</v>
      </c>
    </row>
    <row r="124" spans="1:8" ht="114" x14ac:dyDescent="0.45">
      <c r="A124" s="1">
        <v>6024</v>
      </c>
      <c r="B124" s="1">
        <v>6021</v>
      </c>
      <c r="C124" s="1" t="s">
        <v>112</v>
      </c>
      <c r="D124" s="1" t="s">
        <v>1048</v>
      </c>
      <c r="E124" s="1" t="s">
        <v>111</v>
      </c>
      <c r="F124" s="1" t="s">
        <v>1047</v>
      </c>
      <c r="G124" s="1" t="s">
        <v>95</v>
      </c>
    </row>
    <row r="125" spans="1:8" ht="99.75" x14ac:dyDescent="0.45">
      <c r="A125" s="1">
        <v>6025</v>
      </c>
      <c r="B125" s="1">
        <v>6020</v>
      </c>
      <c r="C125" s="1" t="s">
        <v>114</v>
      </c>
      <c r="D125" s="1" t="s">
        <v>1049</v>
      </c>
      <c r="E125" s="1" t="s">
        <v>113</v>
      </c>
      <c r="F125" s="1" t="s">
        <v>1047</v>
      </c>
      <c r="G125" s="1" t="s">
        <v>91</v>
      </c>
    </row>
    <row r="126" spans="1:8" ht="99.75" x14ac:dyDescent="0.45">
      <c r="A126" s="1">
        <v>6026</v>
      </c>
      <c r="B126" s="1">
        <v>6048</v>
      </c>
      <c r="C126" s="1" t="s">
        <v>116</v>
      </c>
      <c r="D126" s="1" t="s">
        <v>852</v>
      </c>
      <c r="E126" s="1" t="s">
        <v>115</v>
      </c>
      <c r="F126" s="1" t="s">
        <v>461</v>
      </c>
      <c r="G126" s="1" t="s">
        <v>241</v>
      </c>
    </row>
    <row r="127" spans="1:8" ht="99.75" x14ac:dyDescent="0.45">
      <c r="A127" s="1">
        <v>6026</v>
      </c>
      <c r="B127" s="1">
        <v>5178</v>
      </c>
      <c r="C127" s="1" t="s">
        <v>116</v>
      </c>
      <c r="D127" s="1" t="s">
        <v>852</v>
      </c>
      <c r="E127" s="1" t="s">
        <v>115</v>
      </c>
      <c r="F127" s="1" t="s">
        <v>461</v>
      </c>
      <c r="G127" s="1" t="s">
        <v>355</v>
      </c>
    </row>
    <row r="128" spans="1:8" ht="71.25" x14ac:dyDescent="0.45">
      <c r="A128" s="1">
        <v>6027</v>
      </c>
      <c r="B128" s="1">
        <v>5112</v>
      </c>
      <c r="C128" s="1" t="s">
        <v>120</v>
      </c>
      <c r="D128" s="1" t="s">
        <v>941</v>
      </c>
      <c r="E128" s="1" t="s">
        <v>119</v>
      </c>
      <c r="F128" s="1" t="s">
        <v>721</v>
      </c>
      <c r="G128" s="1" t="s">
        <v>223</v>
      </c>
    </row>
    <row r="129" spans="1:7" ht="71.25" x14ac:dyDescent="0.45">
      <c r="A129" s="1">
        <v>6028</v>
      </c>
      <c r="B129" s="1">
        <v>5112</v>
      </c>
      <c r="C129" s="1" t="s">
        <v>146</v>
      </c>
      <c r="D129" s="1" t="s">
        <v>939</v>
      </c>
      <c r="E129" s="1" t="s">
        <v>145</v>
      </c>
      <c r="F129" s="1" t="s">
        <v>843</v>
      </c>
      <c r="G129" s="1" t="s">
        <v>223</v>
      </c>
    </row>
    <row r="130" spans="1:7" ht="85.5" x14ac:dyDescent="0.45">
      <c r="A130" s="1">
        <v>6029</v>
      </c>
      <c r="B130" s="1">
        <v>5178</v>
      </c>
      <c r="C130" s="1" t="s">
        <v>150</v>
      </c>
      <c r="D130" s="1" t="s">
        <v>851</v>
      </c>
      <c r="E130" s="1" t="s">
        <v>149</v>
      </c>
      <c r="F130" s="1" t="s">
        <v>461</v>
      </c>
      <c r="G130" s="1" t="s">
        <v>355</v>
      </c>
    </row>
    <row r="131" spans="1:7" ht="85.5" x14ac:dyDescent="0.45">
      <c r="A131" s="1">
        <v>6030</v>
      </c>
      <c r="B131" s="1">
        <v>5178</v>
      </c>
      <c r="C131" s="1" t="s">
        <v>152</v>
      </c>
      <c r="D131" s="1" t="s">
        <v>850</v>
      </c>
      <c r="E131" s="1" t="s">
        <v>151</v>
      </c>
      <c r="F131" s="1" t="s">
        <v>461</v>
      </c>
      <c r="G131" s="1" t="s">
        <v>355</v>
      </c>
    </row>
    <row r="132" spans="1:7" ht="57" x14ac:dyDescent="0.45">
      <c r="A132" s="1">
        <v>6031</v>
      </c>
      <c r="B132" s="1">
        <v>5178</v>
      </c>
      <c r="C132" s="1" t="s">
        <v>154</v>
      </c>
      <c r="D132" s="1" t="s">
        <v>849</v>
      </c>
      <c r="E132" s="1" t="s">
        <v>153</v>
      </c>
      <c r="F132" s="1" t="s">
        <v>461</v>
      </c>
      <c r="G132" s="1" t="s">
        <v>355</v>
      </c>
    </row>
    <row r="133" spans="1:7" ht="57" x14ac:dyDescent="0.45">
      <c r="A133" s="1">
        <v>6032</v>
      </c>
      <c r="B133" s="1">
        <v>6028</v>
      </c>
      <c r="C133" s="1" t="s">
        <v>156</v>
      </c>
      <c r="D133" s="1" t="s">
        <v>1025</v>
      </c>
      <c r="E133" s="1" t="s">
        <v>155</v>
      </c>
      <c r="F133" s="1" t="s">
        <v>461</v>
      </c>
      <c r="G133" s="1" t="s">
        <v>145</v>
      </c>
    </row>
    <row r="134" spans="1:7" ht="42.75" x14ac:dyDescent="0.45">
      <c r="A134" s="1">
        <v>6033</v>
      </c>
      <c r="B134" s="1">
        <v>5178</v>
      </c>
      <c r="C134" s="1" t="s">
        <v>158</v>
      </c>
      <c r="D134" s="1" t="s">
        <v>848</v>
      </c>
      <c r="E134" s="1" t="s">
        <v>157</v>
      </c>
      <c r="F134" s="1" t="s">
        <v>461</v>
      </c>
      <c r="G134" s="1" t="s">
        <v>355</v>
      </c>
    </row>
    <row r="135" spans="1:7" ht="71.25" x14ac:dyDescent="0.45">
      <c r="A135" s="1">
        <v>6034</v>
      </c>
      <c r="B135" s="1">
        <v>5112</v>
      </c>
      <c r="C135" s="1" t="s">
        <v>164</v>
      </c>
      <c r="D135" s="1" t="s">
        <v>681</v>
      </c>
      <c r="E135" s="1" t="s">
        <v>163</v>
      </c>
      <c r="F135" s="1" t="s">
        <v>480</v>
      </c>
      <c r="G135" s="1" t="s">
        <v>223</v>
      </c>
    </row>
    <row r="136" spans="1:7" ht="71.25" x14ac:dyDescent="0.45">
      <c r="A136" s="1">
        <v>6034</v>
      </c>
      <c r="B136" s="1">
        <v>6112</v>
      </c>
      <c r="C136" s="1" t="s">
        <v>164</v>
      </c>
      <c r="D136" s="1" t="s">
        <v>681</v>
      </c>
      <c r="E136" s="1" t="s">
        <v>163</v>
      </c>
      <c r="F136" s="1" t="s">
        <v>480</v>
      </c>
      <c r="G136" s="1" t="s">
        <v>161</v>
      </c>
    </row>
    <row r="137" spans="1:7" ht="71.25" x14ac:dyDescent="0.45">
      <c r="A137" s="1">
        <v>6035</v>
      </c>
      <c r="B137" s="1">
        <v>6012</v>
      </c>
      <c r="C137" s="1" t="s">
        <v>170</v>
      </c>
      <c r="D137" s="1" t="s">
        <v>980</v>
      </c>
      <c r="E137" s="1" t="s">
        <v>169</v>
      </c>
      <c r="F137" s="1" t="s">
        <v>461</v>
      </c>
      <c r="G137" s="1" t="s">
        <v>41</v>
      </c>
    </row>
    <row r="138" spans="1:7" ht="71.25" x14ac:dyDescent="0.45">
      <c r="A138" s="1">
        <v>6035</v>
      </c>
      <c r="B138" s="1">
        <v>6036</v>
      </c>
      <c r="C138" s="1" t="s">
        <v>170</v>
      </c>
      <c r="D138" s="1" t="s">
        <v>980</v>
      </c>
      <c r="E138" s="1" t="s">
        <v>169</v>
      </c>
      <c r="F138" s="1" t="s">
        <v>461</v>
      </c>
      <c r="G138" s="1" t="s">
        <v>171</v>
      </c>
    </row>
    <row r="139" spans="1:7" ht="85.5" x14ac:dyDescent="0.45">
      <c r="A139" s="1">
        <v>6036</v>
      </c>
      <c r="B139" s="1">
        <v>5178</v>
      </c>
      <c r="C139" s="1" t="s">
        <v>172</v>
      </c>
      <c r="D139" s="1" t="s">
        <v>847</v>
      </c>
      <c r="E139" s="1" t="s">
        <v>171</v>
      </c>
      <c r="F139" s="1" t="s">
        <v>461</v>
      </c>
      <c r="G139" s="1" t="s">
        <v>355</v>
      </c>
    </row>
    <row r="140" spans="1:7" ht="156.75" x14ac:dyDescent="0.45">
      <c r="A140" s="1">
        <v>6037</v>
      </c>
      <c r="B140" s="1">
        <v>6069</v>
      </c>
      <c r="C140" s="1" t="s">
        <v>178</v>
      </c>
      <c r="D140" s="1" t="s">
        <v>821</v>
      </c>
      <c r="E140" s="1" t="s">
        <v>177</v>
      </c>
      <c r="F140" s="1" t="s">
        <v>820</v>
      </c>
      <c r="G140" s="1" t="s">
        <v>405</v>
      </c>
    </row>
    <row r="141" spans="1:7" ht="114" x14ac:dyDescent="0.45">
      <c r="A141" s="1">
        <v>6038</v>
      </c>
      <c r="B141" s="1">
        <v>6069</v>
      </c>
      <c r="C141" s="1" t="s">
        <v>180</v>
      </c>
      <c r="D141" s="1" t="s">
        <v>825</v>
      </c>
      <c r="E141" s="1" t="s">
        <v>179</v>
      </c>
      <c r="F141" s="1" t="s">
        <v>824</v>
      </c>
      <c r="G141" s="1" t="s">
        <v>405</v>
      </c>
    </row>
    <row r="142" spans="1:7" ht="28.5" x14ac:dyDescent="0.45">
      <c r="A142" s="1">
        <v>6039</v>
      </c>
      <c r="B142" s="1">
        <v>5112</v>
      </c>
      <c r="C142" s="1" t="s">
        <v>182</v>
      </c>
      <c r="D142" s="1" t="s">
        <v>938</v>
      </c>
      <c r="E142" s="1" t="s">
        <v>181</v>
      </c>
      <c r="F142" s="1" t="s">
        <v>937</v>
      </c>
      <c r="G142" s="1" t="s">
        <v>223</v>
      </c>
    </row>
    <row r="143" spans="1:7" ht="42.75" x14ac:dyDescent="0.45">
      <c r="A143" s="1">
        <v>6040</v>
      </c>
      <c r="B143" s="1">
        <v>6041</v>
      </c>
      <c r="C143" s="1" t="s">
        <v>188</v>
      </c>
      <c r="D143" s="1" t="s">
        <v>957</v>
      </c>
      <c r="E143" s="1" t="s">
        <v>187</v>
      </c>
      <c r="F143" s="1" t="s">
        <v>461</v>
      </c>
      <c r="G143" s="1" t="s">
        <v>189</v>
      </c>
    </row>
    <row r="144" spans="1:7" ht="42.75" x14ac:dyDescent="0.45">
      <c r="A144" s="1">
        <v>6041</v>
      </c>
      <c r="B144" s="1">
        <v>6005</v>
      </c>
      <c r="C144" s="1" t="s">
        <v>190</v>
      </c>
      <c r="D144" s="1" t="s">
        <v>846</v>
      </c>
      <c r="E144" s="1" t="s">
        <v>189</v>
      </c>
      <c r="F144" s="1" t="s">
        <v>461</v>
      </c>
      <c r="G144" s="1" t="s">
        <v>3</v>
      </c>
    </row>
    <row r="145" spans="1:7" ht="42.75" x14ac:dyDescent="0.45">
      <c r="A145" s="1">
        <v>6041</v>
      </c>
      <c r="B145" s="1">
        <v>5178</v>
      </c>
      <c r="C145" s="1" t="s">
        <v>190</v>
      </c>
      <c r="D145" s="1" t="s">
        <v>846</v>
      </c>
      <c r="E145" s="1" t="s">
        <v>189</v>
      </c>
      <c r="F145" s="1" t="s">
        <v>461</v>
      </c>
      <c r="G145" s="1" t="s">
        <v>355</v>
      </c>
    </row>
    <row r="146" spans="1:7" ht="57" x14ac:dyDescent="0.45">
      <c r="A146" s="1">
        <v>6042</v>
      </c>
      <c r="B146" s="1">
        <v>6041</v>
      </c>
      <c r="C146" s="1" t="s">
        <v>192</v>
      </c>
      <c r="D146" s="1" t="s">
        <v>956</v>
      </c>
      <c r="E146" s="1" t="s">
        <v>191</v>
      </c>
      <c r="F146" s="1" t="s">
        <v>461</v>
      </c>
      <c r="G146" s="1" t="s">
        <v>189</v>
      </c>
    </row>
    <row r="147" spans="1:7" ht="114" x14ac:dyDescent="0.45">
      <c r="A147" s="1">
        <v>6043</v>
      </c>
      <c r="B147" s="1">
        <v>4257</v>
      </c>
      <c r="C147" s="1" t="s">
        <v>200</v>
      </c>
      <c r="D147" s="1" t="s">
        <v>749</v>
      </c>
      <c r="E147" s="1" t="s">
        <v>199</v>
      </c>
      <c r="F147" s="1" t="s">
        <v>748</v>
      </c>
      <c r="G147" s="1" t="s">
        <v>399</v>
      </c>
    </row>
    <row r="148" spans="1:7" ht="57" x14ac:dyDescent="0.45">
      <c r="A148" s="1">
        <v>6044</v>
      </c>
      <c r="B148" s="1">
        <v>6028</v>
      </c>
      <c r="C148" s="1" t="s">
        <v>208</v>
      </c>
      <c r="D148" s="1" t="s">
        <v>1024</v>
      </c>
      <c r="E148" s="1" t="s">
        <v>207</v>
      </c>
      <c r="F148" s="1" t="s">
        <v>461</v>
      </c>
      <c r="G148" s="1" t="s">
        <v>145</v>
      </c>
    </row>
    <row r="149" spans="1:7" ht="57" x14ac:dyDescent="0.45">
      <c r="A149" s="1">
        <v>6045</v>
      </c>
      <c r="B149" s="1">
        <v>6075</v>
      </c>
      <c r="C149" s="1" t="s">
        <v>210</v>
      </c>
      <c r="D149" s="1" t="s">
        <v>465</v>
      </c>
      <c r="E149" s="1" t="s">
        <v>209</v>
      </c>
      <c r="F149" s="1" t="s">
        <v>461</v>
      </c>
      <c r="G149" s="1" t="s">
        <v>447</v>
      </c>
    </row>
    <row r="150" spans="1:7" ht="57" x14ac:dyDescent="0.45">
      <c r="A150" s="1">
        <v>6045</v>
      </c>
      <c r="B150" s="1">
        <v>5225</v>
      </c>
      <c r="C150" s="1" t="s">
        <v>210</v>
      </c>
      <c r="D150" s="1" t="s">
        <v>465</v>
      </c>
      <c r="E150" s="1" t="s">
        <v>209</v>
      </c>
      <c r="F150" s="1" t="s">
        <v>461</v>
      </c>
      <c r="G150" s="1" t="s">
        <v>449</v>
      </c>
    </row>
    <row r="151" spans="1:7" ht="57" x14ac:dyDescent="0.45">
      <c r="A151" s="1">
        <v>6046</v>
      </c>
      <c r="B151" s="1">
        <v>4257</v>
      </c>
      <c r="C151" s="1" t="s">
        <v>214</v>
      </c>
      <c r="D151" s="1" t="s">
        <v>752</v>
      </c>
      <c r="E151" s="1" t="s">
        <v>213</v>
      </c>
      <c r="F151" s="1" t="s">
        <v>751</v>
      </c>
      <c r="G151" s="1" t="s">
        <v>399</v>
      </c>
    </row>
    <row r="152" spans="1:7" ht="57" x14ac:dyDescent="0.45">
      <c r="A152" s="1">
        <v>6047</v>
      </c>
      <c r="B152" s="1">
        <v>5191</v>
      </c>
      <c r="C152" s="1" t="s">
        <v>226</v>
      </c>
      <c r="D152" s="1" t="s">
        <v>506</v>
      </c>
      <c r="E152" s="1" t="s">
        <v>225</v>
      </c>
      <c r="F152" s="1" t="s">
        <v>505</v>
      </c>
      <c r="G152" s="1" t="s">
        <v>381</v>
      </c>
    </row>
    <row r="153" spans="1:7" ht="57" x14ac:dyDescent="0.45">
      <c r="A153" s="1">
        <v>6047</v>
      </c>
      <c r="B153" s="1">
        <v>5249</v>
      </c>
      <c r="C153" s="1" t="s">
        <v>226</v>
      </c>
      <c r="D153" s="1" t="s">
        <v>506</v>
      </c>
      <c r="E153" s="1" t="s">
        <v>225</v>
      </c>
      <c r="F153" s="1" t="s">
        <v>505</v>
      </c>
      <c r="G153" s="1" t="s">
        <v>101</v>
      </c>
    </row>
    <row r="154" spans="1:7" ht="42.75" x14ac:dyDescent="0.45">
      <c r="A154" s="1">
        <v>6048</v>
      </c>
      <c r="B154" s="1">
        <v>5112</v>
      </c>
      <c r="C154" s="1" t="s">
        <v>242</v>
      </c>
      <c r="D154" s="1" t="s">
        <v>671</v>
      </c>
      <c r="E154" s="1" t="s">
        <v>241</v>
      </c>
      <c r="F154" s="1" t="s">
        <v>487</v>
      </c>
      <c r="G154" s="1" t="s">
        <v>223</v>
      </c>
    </row>
    <row r="155" spans="1:7" ht="42.75" x14ac:dyDescent="0.45">
      <c r="A155" s="1">
        <v>6048</v>
      </c>
      <c r="B155" s="1">
        <v>6125</v>
      </c>
      <c r="C155" s="1" t="s">
        <v>242</v>
      </c>
      <c r="D155" s="1" t="s">
        <v>671</v>
      </c>
      <c r="E155" s="1" t="s">
        <v>241</v>
      </c>
      <c r="F155" s="1" t="s">
        <v>487</v>
      </c>
      <c r="G155" s="1" t="s">
        <v>239</v>
      </c>
    </row>
    <row r="156" spans="1:7" ht="57" x14ac:dyDescent="0.45">
      <c r="A156" s="1">
        <v>6049</v>
      </c>
      <c r="B156" s="1">
        <v>4257</v>
      </c>
      <c r="C156" s="1" t="s">
        <v>244</v>
      </c>
      <c r="D156" s="1" t="s">
        <v>486</v>
      </c>
      <c r="E156" s="1" t="s">
        <v>243</v>
      </c>
      <c r="F156" s="1" t="s">
        <v>466</v>
      </c>
      <c r="G156" s="1" t="s">
        <v>399</v>
      </c>
    </row>
    <row r="157" spans="1:7" ht="57" x14ac:dyDescent="0.45">
      <c r="A157" s="1">
        <v>6049</v>
      </c>
      <c r="B157" s="1">
        <v>5123</v>
      </c>
      <c r="C157" s="1" t="s">
        <v>244</v>
      </c>
      <c r="D157" s="1" t="s">
        <v>486</v>
      </c>
      <c r="E157" s="1" t="s">
        <v>243</v>
      </c>
      <c r="F157" s="1" t="s">
        <v>466</v>
      </c>
      <c r="G157" s="1" t="s">
        <v>245</v>
      </c>
    </row>
    <row r="158" spans="1:7" ht="57" x14ac:dyDescent="0.45">
      <c r="A158" s="1">
        <v>6050</v>
      </c>
      <c r="B158" s="1">
        <v>6069</v>
      </c>
      <c r="C158" s="1" t="s">
        <v>248</v>
      </c>
      <c r="D158" s="1" t="s">
        <v>485</v>
      </c>
      <c r="E158" s="1" t="s">
        <v>247</v>
      </c>
      <c r="F158" s="1" t="s">
        <v>484</v>
      </c>
      <c r="G158" s="1" t="s">
        <v>405</v>
      </c>
    </row>
    <row r="159" spans="1:7" ht="57" x14ac:dyDescent="0.45">
      <c r="A159" s="1">
        <v>6050</v>
      </c>
      <c r="B159" s="1">
        <v>5123</v>
      </c>
      <c r="C159" s="1" t="s">
        <v>248</v>
      </c>
      <c r="D159" s="1" t="s">
        <v>485</v>
      </c>
      <c r="E159" s="1" t="s">
        <v>247</v>
      </c>
      <c r="F159" s="1" t="s">
        <v>484</v>
      </c>
      <c r="G159" s="1" t="s">
        <v>245</v>
      </c>
    </row>
    <row r="160" spans="1:7" ht="42.75" x14ac:dyDescent="0.45">
      <c r="A160" s="1">
        <v>6051</v>
      </c>
      <c r="B160" s="1">
        <v>5191</v>
      </c>
      <c r="C160" s="1" t="s">
        <v>270</v>
      </c>
      <c r="D160" s="1" t="s">
        <v>764</v>
      </c>
      <c r="E160" s="1" t="s">
        <v>269</v>
      </c>
      <c r="F160" s="1" t="s">
        <v>763</v>
      </c>
      <c r="G160" s="1" t="s">
        <v>381</v>
      </c>
    </row>
    <row r="161" spans="1:7" ht="28.5" x14ac:dyDescent="0.45">
      <c r="A161" s="1">
        <v>6052</v>
      </c>
      <c r="B161" s="1">
        <v>6036</v>
      </c>
      <c r="C161" s="1" t="s">
        <v>296</v>
      </c>
      <c r="D161" s="1" t="s">
        <v>979</v>
      </c>
      <c r="E161" s="1" t="s">
        <v>295</v>
      </c>
      <c r="F161" s="1" t="s">
        <v>887</v>
      </c>
      <c r="G161" s="1" t="s">
        <v>171</v>
      </c>
    </row>
    <row r="162" spans="1:7" ht="128.25" x14ac:dyDescent="0.45">
      <c r="A162" s="1">
        <v>6053</v>
      </c>
      <c r="B162" s="1">
        <v>4257</v>
      </c>
      <c r="C162" s="1" t="s">
        <v>300</v>
      </c>
      <c r="D162" s="1" t="s">
        <v>747</v>
      </c>
      <c r="E162" s="1" t="s">
        <v>299</v>
      </c>
      <c r="F162" s="1" t="s">
        <v>745</v>
      </c>
      <c r="G162" s="1" t="s">
        <v>399</v>
      </c>
    </row>
    <row r="163" spans="1:7" ht="128.25" x14ac:dyDescent="0.45">
      <c r="A163" s="1">
        <v>6053</v>
      </c>
      <c r="B163" s="1">
        <v>4257</v>
      </c>
      <c r="C163" s="1" t="s">
        <v>300</v>
      </c>
      <c r="D163" s="1" t="s">
        <v>746</v>
      </c>
      <c r="E163" s="1" t="s">
        <v>299</v>
      </c>
      <c r="F163" s="1" t="s">
        <v>745</v>
      </c>
      <c r="G163" s="1" t="s">
        <v>399</v>
      </c>
    </row>
    <row r="164" spans="1:7" ht="57" x14ac:dyDescent="0.45">
      <c r="A164" s="1">
        <v>6054</v>
      </c>
      <c r="B164" s="1">
        <v>5071</v>
      </c>
      <c r="C164" s="1" t="s">
        <v>304</v>
      </c>
      <c r="D164" s="1" t="s">
        <v>688</v>
      </c>
      <c r="E164" s="1" t="s">
        <v>303</v>
      </c>
      <c r="F164" s="1" t="s">
        <v>687</v>
      </c>
      <c r="G164" s="1" t="s">
        <v>141</v>
      </c>
    </row>
    <row r="165" spans="1:7" ht="57" x14ac:dyDescent="0.45">
      <c r="A165" s="1">
        <v>6054</v>
      </c>
      <c r="B165" s="1">
        <v>6111</v>
      </c>
      <c r="C165" s="1" t="s">
        <v>304</v>
      </c>
      <c r="D165" s="1" t="s">
        <v>688</v>
      </c>
      <c r="E165" s="1" t="s">
        <v>303</v>
      </c>
      <c r="F165" s="1" t="s">
        <v>687</v>
      </c>
      <c r="G165" s="1" t="s">
        <v>159</v>
      </c>
    </row>
    <row r="166" spans="1:7" ht="57" x14ac:dyDescent="0.45">
      <c r="A166" s="1">
        <v>6055</v>
      </c>
      <c r="B166" s="1">
        <v>4257</v>
      </c>
      <c r="C166" s="1" t="s">
        <v>310</v>
      </c>
      <c r="D166" s="1" t="s">
        <v>626</v>
      </c>
      <c r="E166" s="1" t="s">
        <v>309</v>
      </c>
      <c r="F166" s="1" t="s">
        <v>625</v>
      </c>
      <c r="G166" s="1" t="s">
        <v>399</v>
      </c>
    </row>
    <row r="167" spans="1:7" ht="57" x14ac:dyDescent="0.45">
      <c r="A167" s="1">
        <v>6055</v>
      </c>
      <c r="B167" s="1">
        <v>5156</v>
      </c>
      <c r="C167" s="1" t="s">
        <v>310</v>
      </c>
      <c r="D167" s="1" t="s">
        <v>626</v>
      </c>
      <c r="E167" s="1" t="s">
        <v>309</v>
      </c>
      <c r="F167" s="1" t="s">
        <v>625</v>
      </c>
      <c r="G167" s="1" t="s">
        <v>311</v>
      </c>
    </row>
    <row r="168" spans="1:7" ht="71.25" x14ac:dyDescent="0.45">
      <c r="A168" s="1">
        <v>6056</v>
      </c>
      <c r="B168" s="1">
        <v>6069</v>
      </c>
      <c r="C168" s="1" t="s">
        <v>314</v>
      </c>
      <c r="D168" s="1" t="s">
        <v>624</v>
      </c>
      <c r="E168" s="1" t="s">
        <v>313</v>
      </c>
      <c r="F168" s="1" t="s">
        <v>623</v>
      </c>
      <c r="G168" s="1" t="s">
        <v>405</v>
      </c>
    </row>
    <row r="169" spans="1:7" ht="71.25" x14ac:dyDescent="0.45">
      <c r="A169" s="1">
        <v>6056</v>
      </c>
      <c r="B169" s="1">
        <v>5156</v>
      </c>
      <c r="C169" s="1" t="s">
        <v>314</v>
      </c>
      <c r="D169" s="1" t="s">
        <v>624</v>
      </c>
      <c r="E169" s="1" t="s">
        <v>313</v>
      </c>
      <c r="F169" s="1" t="s">
        <v>623</v>
      </c>
      <c r="G169" s="1" t="s">
        <v>311</v>
      </c>
    </row>
    <row r="170" spans="1:7" ht="42.75" x14ac:dyDescent="0.45">
      <c r="A170" s="1">
        <v>6057</v>
      </c>
      <c r="B170" s="1">
        <v>6069</v>
      </c>
      <c r="C170" s="1" t="s">
        <v>330</v>
      </c>
      <c r="D170" s="1" t="s">
        <v>617</v>
      </c>
      <c r="E170" s="1" t="s">
        <v>329</v>
      </c>
      <c r="F170" s="1" t="s">
        <v>466</v>
      </c>
      <c r="G170" s="1" t="s">
        <v>405</v>
      </c>
    </row>
    <row r="171" spans="1:7" ht="42.75" x14ac:dyDescent="0.45">
      <c r="A171" s="1">
        <v>6057</v>
      </c>
      <c r="B171" s="1">
        <v>6140</v>
      </c>
      <c r="C171" s="1" t="s">
        <v>330</v>
      </c>
      <c r="D171" s="1" t="s">
        <v>617</v>
      </c>
      <c r="E171" s="1" t="s">
        <v>329</v>
      </c>
      <c r="F171" s="1" t="s">
        <v>466</v>
      </c>
      <c r="G171" s="1" t="s">
        <v>327</v>
      </c>
    </row>
    <row r="172" spans="1:7" ht="71.25" x14ac:dyDescent="0.45">
      <c r="A172" s="1">
        <v>6058</v>
      </c>
      <c r="B172" s="1">
        <v>5178</v>
      </c>
      <c r="C172" s="1" t="s">
        <v>342</v>
      </c>
      <c r="D172" s="1" t="s">
        <v>845</v>
      </c>
      <c r="E172" s="1" t="s">
        <v>341</v>
      </c>
      <c r="F172" s="1" t="s">
        <v>478</v>
      </c>
      <c r="G172" s="1" t="s">
        <v>355</v>
      </c>
    </row>
    <row r="173" spans="1:7" ht="85.5" x14ac:dyDescent="0.45">
      <c r="A173" s="1">
        <v>6059</v>
      </c>
      <c r="B173" s="1">
        <v>6075</v>
      </c>
      <c r="C173" s="1" t="s">
        <v>344</v>
      </c>
      <c r="D173" s="1" t="s">
        <v>464</v>
      </c>
      <c r="E173" s="1" t="s">
        <v>343</v>
      </c>
      <c r="F173" s="1" t="s">
        <v>461</v>
      </c>
      <c r="G173" s="1" t="s">
        <v>447</v>
      </c>
    </row>
    <row r="174" spans="1:7" ht="85.5" x14ac:dyDescent="0.45">
      <c r="A174" s="1">
        <v>6059</v>
      </c>
      <c r="B174" s="1">
        <v>5225</v>
      </c>
      <c r="C174" s="1" t="s">
        <v>344</v>
      </c>
      <c r="D174" s="1" t="s">
        <v>464</v>
      </c>
      <c r="E174" s="1" t="s">
        <v>343</v>
      </c>
      <c r="F174" s="1" t="s">
        <v>461</v>
      </c>
      <c r="G174" s="1" t="s">
        <v>449</v>
      </c>
    </row>
    <row r="175" spans="1:7" ht="71.25" x14ac:dyDescent="0.45">
      <c r="A175" s="1">
        <v>6060</v>
      </c>
      <c r="B175" s="1">
        <v>6028</v>
      </c>
      <c r="C175" s="1" t="s">
        <v>346</v>
      </c>
      <c r="D175" s="1" t="s">
        <v>1023</v>
      </c>
      <c r="E175" s="1" t="s">
        <v>345</v>
      </c>
      <c r="F175" s="1" t="s">
        <v>461</v>
      </c>
      <c r="G175" s="1" t="s">
        <v>145</v>
      </c>
    </row>
    <row r="176" spans="1:7" ht="28.5" x14ac:dyDescent="0.45">
      <c r="A176" s="1">
        <v>6061</v>
      </c>
      <c r="B176" s="1">
        <v>4257</v>
      </c>
      <c r="C176" s="1" t="s">
        <v>348</v>
      </c>
      <c r="D176" s="1" t="s">
        <v>616</v>
      </c>
      <c r="E176" s="1" t="s">
        <v>347</v>
      </c>
      <c r="F176" s="1" t="s">
        <v>466</v>
      </c>
      <c r="G176" s="1" t="s">
        <v>399</v>
      </c>
    </row>
    <row r="177" spans="1:7" ht="28.5" x14ac:dyDescent="0.45">
      <c r="A177" s="1">
        <v>6061</v>
      </c>
      <c r="B177" s="1">
        <v>6145</v>
      </c>
      <c r="C177" s="1" t="s">
        <v>348</v>
      </c>
      <c r="D177" s="1" t="s">
        <v>616</v>
      </c>
      <c r="E177" s="1" t="s">
        <v>347</v>
      </c>
      <c r="F177" s="1" t="s">
        <v>466</v>
      </c>
      <c r="G177" s="1" t="s">
        <v>349</v>
      </c>
    </row>
    <row r="178" spans="1:7" ht="42.75" x14ac:dyDescent="0.45">
      <c r="A178" s="1">
        <v>6062</v>
      </c>
      <c r="B178" s="1">
        <v>5112</v>
      </c>
      <c r="C178" s="1" t="s">
        <v>358</v>
      </c>
      <c r="D178" s="1" t="s">
        <v>933</v>
      </c>
      <c r="E178" s="1" t="s">
        <v>357</v>
      </c>
      <c r="F178" s="1" t="s">
        <v>461</v>
      </c>
      <c r="G178" s="1" t="s">
        <v>223</v>
      </c>
    </row>
    <row r="179" spans="1:7" ht="71.25" x14ac:dyDescent="0.45">
      <c r="A179" s="1">
        <v>6063</v>
      </c>
      <c r="B179" s="1">
        <v>6034</v>
      </c>
      <c r="C179" s="1" t="s">
        <v>370</v>
      </c>
      <c r="D179" s="1" t="s">
        <v>604</v>
      </c>
      <c r="E179" s="1" t="s">
        <v>369</v>
      </c>
      <c r="F179" s="1" t="s">
        <v>603</v>
      </c>
      <c r="G179" s="1" t="s">
        <v>163</v>
      </c>
    </row>
    <row r="180" spans="1:7" ht="71.25" x14ac:dyDescent="0.45">
      <c r="A180" s="1">
        <v>6063</v>
      </c>
      <c r="B180" s="1">
        <v>5229</v>
      </c>
      <c r="C180" s="1" t="s">
        <v>370</v>
      </c>
      <c r="D180" s="1" t="s">
        <v>604</v>
      </c>
      <c r="E180" s="1" t="s">
        <v>369</v>
      </c>
      <c r="F180" s="1" t="s">
        <v>603</v>
      </c>
      <c r="G180" s="1" t="s">
        <v>457</v>
      </c>
    </row>
    <row r="181" spans="1:7" ht="71.25" x14ac:dyDescent="0.45">
      <c r="A181" s="1">
        <v>6063</v>
      </c>
      <c r="B181" s="1">
        <v>6151</v>
      </c>
      <c r="C181" s="1" t="s">
        <v>370</v>
      </c>
      <c r="D181" s="1" t="s">
        <v>604</v>
      </c>
      <c r="E181" s="1" t="s">
        <v>369</v>
      </c>
      <c r="F181" s="1" t="s">
        <v>603</v>
      </c>
      <c r="G181" s="1" t="s">
        <v>367</v>
      </c>
    </row>
    <row r="182" spans="1:7" ht="71.25" x14ac:dyDescent="0.45">
      <c r="A182" s="1">
        <v>6064</v>
      </c>
      <c r="B182" s="1">
        <v>6075</v>
      </c>
      <c r="C182" s="1" t="s">
        <v>372</v>
      </c>
      <c r="D182" s="1" t="s">
        <v>463</v>
      </c>
      <c r="E182" s="1" t="s">
        <v>371</v>
      </c>
      <c r="F182" s="1" t="s">
        <v>461</v>
      </c>
      <c r="G182" s="1" t="s">
        <v>447</v>
      </c>
    </row>
    <row r="183" spans="1:7" ht="71.25" x14ac:dyDescent="0.45">
      <c r="A183" s="1">
        <v>6064</v>
      </c>
      <c r="B183" s="1">
        <v>5225</v>
      </c>
      <c r="C183" s="1" t="s">
        <v>372</v>
      </c>
      <c r="D183" s="1" t="s">
        <v>463</v>
      </c>
      <c r="E183" s="1" t="s">
        <v>371</v>
      </c>
      <c r="F183" s="1" t="s">
        <v>461</v>
      </c>
      <c r="G183" s="1" t="s">
        <v>449</v>
      </c>
    </row>
    <row r="184" spans="1:7" ht="42.75" x14ac:dyDescent="0.45">
      <c r="A184" s="1">
        <v>6065</v>
      </c>
      <c r="B184" s="1">
        <v>6005</v>
      </c>
      <c r="C184" s="1" t="s">
        <v>374</v>
      </c>
      <c r="D184" s="1" t="s">
        <v>844</v>
      </c>
      <c r="E184" s="1" t="s">
        <v>373</v>
      </c>
      <c r="F184" s="1" t="s">
        <v>843</v>
      </c>
      <c r="G184" s="1" t="s">
        <v>3</v>
      </c>
    </row>
    <row r="185" spans="1:7" ht="42.75" x14ac:dyDescent="0.45">
      <c r="A185" s="1">
        <v>6065</v>
      </c>
      <c r="B185" s="1">
        <v>5178</v>
      </c>
      <c r="C185" s="1" t="s">
        <v>374</v>
      </c>
      <c r="D185" s="1" t="s">
        <v>844</v>
      </c>
      <c r="E185" s="1" t="s">
        <v>373</v>
      </c>
      <c r="F185" s="1" t="s">
        <v>843</v>
      </c>
      <c r="G185" s="1" t="s">
        <v>355</v>
      </c>
    </row>
    <row r="186" spans="1:7" ht="85.5" x14ac:dyDescent="0.45">
      <c r="A186" s="1">
        <v>6066</v>
      </c>
      <c r="B186" s="1">
        <v>5191</v>
      </c>
      <c r="C186" s="1" t="s">
        <v>378</v>
      </c>
      <c r="D186" s="1" t="s">
        <v>481</v>
      </c>
      <c r="E186" s="1" t="s">
        <v>377</v>
      </c>
      <c r="F186" s="1" t="s">
        <v>480</v>
      </c>
      <c r="G186" s="1" t="s">
        <v>381</v>
      </c>
    </row>
    <row r="187" spans="1:7" ht="85.5" x14ac:dyDescent="0.45">
      <c r="A187" s="1">
        <v>6066</v>
      </c>
      <c r="B187" s="1">
        <v>6131</v>
      </c>
      <c r="C187" s="1" t="s">
        <v>378</v>
      </c>
      <c r="D187" s="1" t="s">
        <v>481</v>
      </c>
      <c r="E187" s="1" t="s">
        <v>377</v>
      </c>
      <c r="F187" s="1" t="s">
        <v>480</v>
      </c>
      <c r="G187" s="1" t="s">
        <v>271</v>
      </c>
    </row>
    <row r="188" spans="1:7" ht="114" x14ac:dyDescent="0.45">
      <c r="A188" s="1">
        <v>6067</v>
      </c>
      <c r="B188" s="1">
        <v>6005</v>
      </c>
      <c r="C188" s="1" t="s">
        <v>380</v>
      </c>
      <c r="D188" s="1" t="s">
        <v>1022</v>
      </c>
      <c r="E188" s="1" t="s">
        <v>379</v>
      </c>
      <c r="F188" s="1" t="s">
        <v>461</v>
      </c>
      <c r="G188" s="1" t="s">
        <v>3</v>
      </c>
    </row>
    <row r="189" spans="1:7" ht="114" x14ac:dyDescent="0.45">
      <c r="A189" s="1">
        <v>6067</v>
      </c>
      <c r="B189" s="1">
        <v>6028</v>
      </c>
      <c r="C189" s="1" t="s">
        <v>380</v>
      </c>
      <c r="D189" s="1" t="s">
        <v>1022</v>
      </c>
      <c r="E189" s="1" t="s">
        <v>379</v>
      </c>
      <c r="F189" s="1" t="s">
        <v>461</v>
      </c>
      <c r="G189" s="1" t="s">
        <v>145</v>
      </c>
    </row>
    <row r="190" spans="1:7" ht="114" x14ac:dyDescent="0.45">
      <c r="A190" s="1">
        <v>6068</v>
      </c>
      <c r="B190" s="1">
        <v>4257</v>
      </c>
      <c r="C190" s="1" t="s">
        <v>392</v>
      </c>
      <c r="D190" s="1" t="s">
        <v>744</v>
      </c>
      <c r="E190" s="1" t="s">
        <v>391</v>
      </c>
      <c r="F190" s="1" t="s">
        <v>743</v>
      </c>
      <c r="G190" s="1" t="s">
        <v>399</v>
      </c>
    </row>
    <row r="191" spans="1:7" ht="71.25" x14ac:dyDescent="0.45">
      <c r="A191" s="1">
        <v>6069</v>
      </c>
      <c r="B191" s="1">
        <v>5191</v>
      </c>
      <c r="C191" s="1" t="s">
        <v>406</v>
      </c>
      <c r="D191" s="1" t="s">
        <v>473</v>
      </c>
      <c r="E191" s="1" t="s">
        <v>405</v>
      </c>
      <c r="F191" s="1" t="s">
        <v>466</v>
      </c>
      <c r="G191" s="1" t="s">
        <v>381</v>
      </c>
    </row>
    <row r="192" spans="1:7" ht="71.25" x14ac:dyDescent="0.45">
      <c r="A192" s="1">
        <v>6069</v>
      </c>
      <c r="B192" s="1">
        <v>5202</v>
      </c>
      <c r="C192" s="1" t="s">
        <v>406</v>
      </c>
      <c r="D192" s="1" t="s">
        <v>473</v>
      </c>
      <c r="E192" s="1" t="s">
        <v>405</v>
      </c>
      <c r="F192" s="1" t="s">
        <v>466</v>
      </c>
      <c r="G192" s="1" t="s">
        <v>403</v>
      </c>
    </row>
    <row r="193" spans="1:7" ht="99.75" x14ac:dyDescent="0.45">
      <c r="A193" s="1">
        <v>6070</v>
      </c>
      <c r="B193" s="1">
        <v>5178</v>
      </c>
      <c r="C193" s="1" t="s">
        <v>430</v>
      </c>
      <c r="D193" s="1" t="s">
        <v>842</v>
      </c>
      <c r="E193" s="1" t="s">
        <v>429</v>
      </c>
      <c r="F193" s="1" t="s">
        <v>461</v>
      </c>
      <c r="G193" s="1" t="s">
        <v>355</v>
      </c>
    </row>
    <row r="194" spans="1:7" ht="71.25" x14ac:dyDescent="0.45">
      <c r="A194" s="1">
        <v>6071</v>
      </c>
      <c r="B194" s="1">
        <v>6028</v>
      </c>
      <c r="C194" s="1" t="s">
        <v>434</v>
      </c>
      <c r="D194" s="1" t="s">
        <v>1021</v>
      </c>
      <c r="E194" s="1" t="s">
        <v>433</v>
      </c>
      <c r="F194" s="1" t="s">
        <v>461</v>
      </c>
      <c r="G194" s="1" t="s">
        <v>145</v>
      </c>
    </row>
    <row r="195" spans="1:7" ht="42.75" x14ac:dyDescent="0.45">
      <c r="A195" s="1">
        <v>6072</v>
      </c>
      <c r="B195" s="1">
        <v>6041</v>
      </c>
      <c r="C195" s="1" t="s">
        <v>436</v>
      </c>
      <c r="D195" s="1" t="s">
        <v>955</v>
      </c>
      <c r="E195" s="1" t="s">
        <v>435</v>
      </c>
      <c r="F195" s="1" t="s">
        <v>461</v>
      </c>
      <c r="G195" s="1" t="s">
        <v>189</v>
      </c>
    </row>
    <row r="196" spans="1:7" ht="99.75" x14ac:dyDescent="0.45">
      <c r="A196" s="1">
        <v>6073</v>
      </c>
      <c r="B196" s="1">
        <v>6028</v>
      </c>
      <c r="C196" s="1" t="s">
        <v>438</v>
      </c>
      <c r="D196" s="1" t="s">
        <v>1020</v>
      </c>
      <c r="E196" s="1" t="s">
        <v>437</v>
      </c>
      <c r="F196" s="1" t="s">
        <v>461</v>
      </c>
      <c r="G196" s="1" t="s">
        <v>145</v>
      </c>
    </row>
    <row r="197" spans="1:7" x14ac:dyDescent="0.45">
      <c r="A197" s="1">
        <v>6074</v>
      </c>
      <c r="B197" s="1">
        <v>5112</v>
      </c>
      <c r="C197" s="1" t="s">
        <v>446</v>
      </c>
      <c r="D197" s="1" t="s">
        <v>932</v>
      </c>
      <c r="E197" s="1" t="s">
        <v>445</v>
      </c>
      <c r="F197" s="1" t="s">
        <v>487</v>
      </c>
      <c r="G197" s="1" t="s">
        <v>223</v>
      </c>
    </row>
    <row r="198" spans="1:7" ht="28.5" x14ac:dyDescent="0.45">
      <c r="A198" s="1">
        <v>6075</v>
      </c>
      <c r="B198" s="1">
        <v>5112</v>
      </c>
      <c r="C198" s="1" t="s">
        <v>448</v>
      </c>
      <c r="D198" s="1" t="s">
        <v>931</v>
      </c>
      <c r="E198" s="1" t="s">
        <v>447</v>
      </c>
      <c r="F198" s="1" t="s">
        <v>930</v>
      </c>
      <c r="G198" s="1" t="s">
        <v>223</v>
      </c>
    </row>
    <row r="199" spans="1:7" x14ac:dyDescent="0.45">
      <c r="A199" s="1">
        <v>6076</v>
      </c>
      <c r="B199" s="1">
        <v>5111</v>
      </c>
      <c r="C199" s="1" t="s">
        <v>2</v>
      </c>
      <c r="D199" s="1" t="s">
        <v>492</v>
      </c>
      <c r="E199" s="1" t="s">
        <v>1</v>
      </c>
      <c r="F199" s="1" t="s">
        <v>487</v>
      </c>
      <c r="G199" s="1" t="s">
        <v>221</v>
      </c>
    </row>
    <row r="200" spans="1:7" ht="28.5" x14ac:dyDescent="0.45">
      <c r="A200" s="1">
        <v>6077</v>
      </c>
      <c r="B200" s="1">
        <v>5142</v>
      </c>
      <c r="C200" s="1" t="s">
        <v>8</v>
      </c>
      <c r="D200" s="1" t="s">
        <v>903</v>
      </c>
      <c r="E200" s="1" t="s">
        <v>7</v>
      </c>
      <c r="G200" s="1" t="s">
        <v>283</v>
      </c>
    </row>
    <row r="201" spans="1:7" ht="99.75" x14ac:dyDescent="0.45">
      <c r="A201" s="1">
        <v>6078</v>
      </c>
      <c r="B201" s="1">
        <v>5138</v>
      </c>
      <c r="C201" s="1" t="s">
        <v>10</v>
      </c>
      <c r="D201" s="1" t="s">
        <v>926</v>
      </c>
      <c r="E201" s="1" t="s">
        <v>9</v>
      </c>
      <c r="F201" s="1" t="s">
        <v>925</v>
      </c>
      <c r="G201" s="1" t="s">
        <v>275</v>
      </c>
    </row>
    <row r="202" spans="1:7" ht="28.5" x14ac:dyDescent="0.45">
      <c r="A202" s="1">
        <v>6079</v>
      </c>
      <c r="B202" s="1">
        <v>5008</v>
      </c>
      <c r="C202" s="1" t="s">
        <v>20</v>
      </c>
      <c r="D202" s="1" t="s">
        <v>578</v>
      </c>
      <c r="E202" s="1" t="s">
        <v>19</v>
      </c>
      <c r="F202" s="1" t="s">
        <v>480</v>
      </c>
      <c r="G202" s="1" t="s">
        <v>15</v>
      </c>
    </row>
    <row r="203" spans="1:7" ht="28.5" x14ac:dyDescent="0.45">
      <c r="A203" s="1">
        <v>6079</v>
      </c>
      <c r="B203" s="1">
        <v>6169</v>
      </c>
      <c r="C203" s="1" t="s">
        <v>20</v>
      </c>
      <c r="D203" s="1" t="s">
        <v>578</v>
      </c>
      <c r="E203" s="1" t="s">
        <v>19</v>
      </c>
      <c r="F203" s="1" t="s">
        <v>480</v>
      </c>
      <c r="G203" s="1" t="s">
        <v>453</v>
      </c>
    </row>
    <row r="204" spans="1:7" ht="42.75" x14ac:dyDescent="0.45">
      <c r="A204" s="1">
        <v>6080</v>
      </c>
      <c r="B204" s="1">
        <v>6100</v>
      </c>
      <c r="C204" s="1" t="s">
        <v>28</v>
      </c>
      <c r="D204" s="1" t="s">
        <v>707</v>
      </c>
      <c r="E204" s="1" t="s">
        <v>27</v>
      </c>
      <c r="F204" s="1" t="s">
        <v>705</v>
      </c>
      <c r="G204" s="1" t="s">
        <v>393</v>
      </c>
    </row>
    <row r="205" spans="1:7" ht="99.75" x14ac:dyDescent="0.45">
      <c r="A205" s="1">
        <v>6081</v>
      </c>
      <c r="B205" s="1">
        <v>5138</v>
      </c>
      <c r="C205" s="1" t="s">
        <v>30</v>
      </c>
      <c r="D205" s="1" t="s">
        <v>924</v>
      </c>
      <c r="E205" s="1" t="s">
        <v>29</v>
      </c>
      <c r="F205" s="1" t="s">
        <v>923</v>
      </c>
      <c r="G205" s="1" t="s">
        <v>275</v>
      </c>
    </row>
    <row r="206" spans="1:7" ht="28.5" x14ac:dyDescent="0.45">
      <c r="A206" s="1">
        <v>6082</v>
      </c>
      <c r="B206" s="1">
        <v>5216</v>
      </c>
      <c r="C206" s="1" t="s">
        <v>32</v>
      </c>
      <c r="D206" s="1" t="s">
        <v>812</v>
      </c>
      <c r="E206" s="1" t="s">
        <v>31</v>
      </c>
      <c r="F206" s="1" t="s">
        <v>810</v>
      </c>
      <c r="G206" s="1" t="s">
        <v>431</v>
      </c>
    </row>
    <row r="207" spans="1:7" ht="42.75" x14ac:dyDescent="0.45">
      <c r="A207" s="1">
        <v>6083</v>
      </c>
      <c r="B207" s="1">
        <v>5216</v>
      </c>
      <c r="C207" s="1" t="s">
        <v>34</v>
      </c>
      <c r="D207" s="1" t="s">
        <v>811</v>
      </c>
      <c r="E207" s="1" t="s">
        <v>33</v>
      </c>
      <c r="F207" s="1" t="s">
        <v>810</v>
      </c>
      <c r="G207" s="1" t="s">
        <v>431</v>
      </c>
    </row>
    <row r="208" spans="1:7" ht="42.75" x14ac:dyDescent="0.45">
      <c r="A208" s="1">
        <v>6084</v>
      </c>
      <c r="B208" s="1">
        <v>6063</v>
      </c>
      <c r="C208" s="1" t="s">
        <v>36</v>
      </c>
      <c r="D208" s="1" t="s">
        <v>835</v>
      </c>
      <c r="E208" s="1" t="s">
        <v>35</v>
      </c>
      <c r="F208" s="1" t="s">
        <v>810</v>
      </c>
      <c r="G208" s="1" t="s">
        <v>369</v>
      </c>
    </row>
    <row r="209" spans="1:7" x14ac:dyDescent="0.45">
      <c r="A209" s="1">
        <v>6085</v>
      </c>
      <c r="B209" s="1">
        <v>5111</v>
      </c>
      <c r="C209" s="1" t="s">
        <v>40</v>
      </c>
      <c r="D209" s="1" t="s">
        <v>491</v>
      </c>
      <c r="E209" s="1" t="s">
        <v>39</v>
      </c>
      <c r="F209" s="1" t="s">
        <v>487</v>
      </c>
      <c r="G209" s="1" t="s">
        <v>221</v>
      </c>
    </row>
    <row r="210" spans="1:7" ht="71.25" x14ac:dyDescent="0.45">
      <c r="A210" s="1">
        <v>6086</v>
      </c>
      <c r="B210" s="1">
        <v>6066</v>
      </c>
      <c r="C210" s="1" t="s">
        <v>44</v>
      </c>
      <c r="D210" s="1" t="s">
        <v>790</v>
      </c>
      <c r="E210" s="1" t="s">
        <v>43</v>
      </c>
      <c r="F210" s="1" t="s">
        <v>789</v>
      </c>
      <c r="G210" s="1" t="s">
        <v>377</v>
      </c>
    </row>
    <row r="211" spans="1:7" ht="71.25" x14ac:dyDescent="0.45">
      <c r="A211" s="1">
        <v>6087</v>
      </c>
      <c r="B211" s="1">
        <v>6056</v>
      </c>
      <c r="C211" s="1" t="s">
        <v>52</v>
      </c>
      <c r="D211" s="1" t="s">
        <v>871</v>
      </c>
      <c r="E211" s="1" t="s">
        <v>51</v>
      </c>
      <c r="F211" s="1" t="s">
        <v>870</v>
      </c>
      <c r="G211" s="1" t="s">
        <v>313</v>
      </c>
    </row>
    <row r="212" spans="1:7" ht="57" x14ac:dyDescent="0.45">
      <c r="A212" s="1">
        <v>6088</v>
      </c>
      <c r="B212" s="1">
        <v>6007</v>
      </c>
      <c r="C212" s="1" t="s">
        <v>56</v>
      </c>
      <c r="D212" s="1" t="s">
        <v>942</v>
      </c>
      <c r="E212" s="1" t="s">
        <v>55</v>
      </c>
      <c r="F212" s="1" t="s">
        <v>461</v>
      </c>
      <c r="G212" s="1" t="s">
        <v>11</v>
      </c>
    </row>
    <row r="213" spans="1:7" ht="57" x14ac:dyDescent="0.45">
      <c r="A213" s="1">
        <v>6088</v>
      </c>
      <c r="B213" s="1">
        <v>6044</v>
      </c>
      <c r="C213" s="1" t="s">
        <v>56</v>
      </c>
      <c r="D213" s="1" t="s">
        <v>942</v>
      </c>
      <c r="E213" s="1" t="s">
        <v>55</v>
      </c>
      <c r="F213" s="1" t="s">
        <v>461</v>
      </c>
      <c r="G213" s="1" t="s">
        <v>207</v>
      </c>
    </row>
    <row r="214" spans="1:7" ht="28.5" x14ac:dyDescent="0.45">
      <c r="A214" s="1">
        <v>6089</v>
      </c>
      <c r="B214" s="1">
        <v>6016</v>
      </c>
      <c r="C214" s="1" t="s">
        <v>64</v>
      </c>
      <c r="D214" s="1" t="s">
        <v>719</v>
      </c>
      <c r="E214" s="1" t="s">
        <v>63</v>
      </c>
      <c r="F214" s="1" t="s">
        <v>715</v>
      </c>
      <c r="G214" s="1" t="s">
        <v>79</v>
      </c>
    </row>
    <row r="215" spans="1:7" ht="28.5" x14ac:dyDescent="0.45">
      <c r="A215" s="1">
        <v>6089</v>
      </c>
      <c r="B215" s="1">
        <v>6090</v>
      </c>
      <c r="C215" s="1" t="s">
        <v>64</v>
      </c>
      <c r="D215" s="1" t="s">
        <v>719</v>
      </c>
      <c r="E215" s="1" t="s">
        <v>63</v>
      </c>
      <c r="F215" s="1" t="s">
        <v>715</v>
      </c>
      <c r="G215" s="1" t="s">
        <v>65</v>
      </c>
    </row>
    <row r="216" spans="1:7" ht="42.75" x14ac:dyDescent="0.45">
      <c r="A216" s="1">
        <v>6090</v>
      </c>
      <c r="B216" s="1">
        <v>5041</v>
      </c>
      <c r="C216" s="1" t="s">
        <v>66</v>
      </c>
      <c r="D216" s="1" t="s">
        <v>716</v>
      </c>
      <c r="E216" s="1" t="s">
        <v>65</v>
      </c>
      <c r="F216" s="1" t="s">
        <v>715</v>
      </c>
      <c r="G216" s="1" t="s">
        <v>81</v>
      </c>
    </row>
    <row r="217" spans="1:7" ht="42.75" x14ac:dyDescent="0.45">
      <c r="A217" s="1">
        <v>6091</v>
      </c>
      <c r="B217" s="1">
        <v>6017</v>
      </c>
      <c r="C217" s="1" t="s">
        <v>68</v>
      </c>
      <c r="D217" s="1" t="s">
        <v>718</v>
      </c>
      <c r="E217" s="1" t="s">
        <v>67</v>
      </c>
      <c r="F217" s="1" t="s">
        <v>717</v>
      </c>
      <c r="G217" s="1" t="s">
        <v>83</v>
      </c>
    </row>
    <row r="218" spans="1:7" ht="42.75" x14ac:dyDescent="0.45">
      <c r="A218" s="1">
        <v>6091</v>
      </c>
      <c r="B218" s="1">
        <v>6090</v>
      </c>
      <c r="C218" s="1" t="s">
        <v>68</v>
      </c>
      <c r="D218" s="1" t="s">
        <v>718</v>
      </c>
      <c r="E218" s="1" t="s">
        <v>67</v>
      </c>
      <c r="F218" s="1" t="s">
        <v>717</v>
      </c>
      <c r="G218" s="1" t="s">
        <v>65</v>
      </c>
    </row>
    <row r="219" spans="1:7" ht="42.75" x14ac:dyDescent="0.45">
      <c r="A219" s="1">
        <v>6092</v>
      </c>
      <c r="B219" s="1">
        <v>6016</v>
      </c>
      <c r="C219" s="1" t="s">
        <v>70</v>
      </c>
      <c r="D219" s="1" t="s">
        <v>883</v>
      </c>
      <c r="E219" s="1" t="s">
        <v>69</v>
      </c>
      <c r="F219" s="1" t="s">
        <v>882</v>
      </c>
      <c r="G219" s="1" t="s">
        <v>79</v>
      </c>
    </row>
    <row r="220" spans="1:7" ht="42.75" x14ac:dyDescent="0.45">
      <c r="A220" s="1">
        <v>6092</v>
      </c>
      <c r="B220" s="1">
        <v>6053</v>
      </c>
      <c r="C220" s="1" t="s">
        <v>70</v>
      </c>
      <c r="D220" s="1" t="s">
        <v>883</v>
      </c>
      <c r="E220" s="1" t="s">
        <v>69</v>
      </c>
      <c r="F220" s="1" t="s">
        <v>882</v>
      </c>
      <c r="G220" s="1" t="s">
        <v>299</v>
      </c>
    </row>
    <row r="221" spans="1:7" ht="28.5" x14ac:dyDescent="0.45">
      <c r="A221" s="1">
        <v>6093</v>
      </c>
      <c r="B221" s="1">
        <v>6017</v>
      </c>
      <c r="C221" s="1" t="s">
        <v>72</v>
      </c>
      <c r="D221" s="1" t="s">
        <v>976</v>
      </c>
      <c r="E221" s="1" t="s">
        <v>71</v>
      </c>
      <c r="F221" s="1" t="s">
        <v>480</v>
      </c>
      <c r="G221" s="1" t="s">
        <v>83</v>
      </c>
    </row>
    <row r="222" spans="1:7" ht="28.5" x14ac:dyDescent="0.45">
      <c r="A222" s="1">
        <v>6093</v>
      </c>
      <c r="B222" s="1">
        <v>6037</v>
      </c>
      <c r="C222" s="1" t="s">
        <v>72</v>
      </c>
      <c r="D222" s="1" t="s">
        <v>976</v>
      </c>
      <c r="E222" s="1" t="s">
        <v>71</v>
      </c>
      <c r="F222" s="1" t="s">
        <v>480</v>
      </c>
      <c r="G222" s="1" t="s">
        <v>177</v>
      </c>
    </row>
    <row r="223" spans="1:7" ht="28.5" x14ac:dyDescent="0.45">
      <c r="A223" s="1">
        <v>6094</v>
      </c>
      <c r="B223" s="1">
        <v>6092</v>
      </c>
      <c r="C223" s="1" t="s">
        <v>74</v>
      </c>
      <c r="D223" s="1" t="s">
        <v>622</v>
      </c>
      <c r="E223" s="1" t="s">
        <v>73</v>
      </c>
      <c r="F223" s="1" t="s">
        <v>480</v>
      </c>
      <c r="G223" s="1" t="s">
        <v>69</v>
      </c>
    </row>
    <row r="224" spans="1:7" ht="28.5" x14ac:dyDescent="0.45">
      <c r="A224" s="1">
        <v>6094</v>
      </c>
      <c r="B224" s="1">
        <v>6137</v>
      </c>
      <c r="C224" s="1" t="s">
        <v>74</v>
      </c>
      <c r="D224" s="1" t="s">
        <v>622</v>
      </c>
      <c r="E224" s="1" t="s">
        <v>73</v>
      </c>
      <c r="F224" s="1" t="s">
        <v>480</v>
      </c>
      <c r="G224" s="1" t="s">
        <v>317</v>
      </c>
    </row>
    <row r="225" spans="1:7" ht="42.75" x14ac:dyDescent="0.45">
      <c r="A225" s="1">
        <v>6095</v>
      </c>
      <c r="B225" s="1">
        <v>6053</v>
      </c>
      <c r="C225" s="1" t="s">
        <v>76</v>
      </c>
      <c r="D225" s="1" t="s">
        <v>881</v>
      </c>
      <c r="E225" s="1" t="s">
        <v>75</v>
      </c>
      <c r="F225" s="1" t="s">
        <v>480</v>
      </c>
      <c r="G225" s="1" t="s">
        <v>299</v>
      </c>
    </row>
    <row r="226" spans="1:7" ht="28.5" x14ac:dyDescent="0.45">
      <c r="A226" s="1">
        <v>6096</v>
      </c>
      <c r="B226" s="1">
        <v>6037</v>
      </c>
      <c r="C226" s="1" t="s">
        <v>78</v>
      </c>
      <c r="D226" s="1" t="s">
        <v>975</v>
      </c>
      <c r="E226" s="1" t="s">
        <v>77</v>
      </c>
      <c r="F226" s="1" t="s">
        <v>480</v>
      </c>
      <c r="G226" s="1" t="s">
        <v>177</v>
      </c>
    </row>
    <row r="227" spans="1:7" ht="28.5" x14ac:dyDescent="0.45">
      <c r="A227" s="1">
        <v>6097</v>
      </c>
      <c r="B227" s="1">
        <v>5069</v>
      </c>
      <c r="C227" s="1" t="s">
        <v>86</v>
      </c>
      <c r="D227" s="1" t="s">
        <v>1031</v>
      </c>
      <c r="E227" s="1" t="s">
        <v>85</v>
      </c>
      <c r="F227" s="1" t="s">
        <v>461</v>
      </c>
      <c r="G227" s="1" t="s">
        <v>137</v>
      </c>
    </row>
    <row r="228" spans="1:7" ht="114" x14ac:dyDescent="0.45">
      <c r="A228" s="1">
        <v>6098</v>
      </c>
      <c r="B228" s="1">
        <v>6021</v>
      </c>
      <c r="C228" s="1" t="s">
        <v>108</v>
      </c>
      <c r="D228" s="1" t="s">
        <v>978</v>
      </c>
      <c r="E228" s="1" t="s">
        <v>107</v>
      </c>
      <c r="F228" s="1" t="s">
        <v>977</v>
      </c>
      <c r="G228" s="1" t="s">
        <v>95</v>
      </c>
    </row>
    <row r="229" spans="1:7" ht="114" x14ac:dyDescent="0.45">
      <c r="A229" s="1">
        <v>6098</v>
      </c>
      <c r="B229" s="1">
        <v>5088</v>
      </c>
      <c r="C229" s="1" t="s">
        <v>108</v>
      </c>
      <c r="D229" s="1" t="s">
        <v>978</v>
      </c>
      <c r="E229" s="1" t="s">
        <v>107</v>
      </c>
      <c r="F229" s="1" t="s">
        <v>977</v>
      </c>
      <c r="G229" s="1" t="s">
        <v>175</v>
      </c>
    </row>
    <row r="230" spans="1:7" ht="28.5" x14ac:dyDescent="0.45">
      <c r="A230" s="1">
        <v>6099</v>
      </c>
      <c r="B230" s="1">
        <v>6021</v>
      </c>
      <c r="C230" s="1" t="s">
        <v>302</v>
      </c>
      <c r="D230" s="1" t="s">
        <v>974</v>
      </c>
      <c r="E230" s="1" t="s">
        <v>301</v>
      </c>
      <c r="F230" s="1" t="s">
        <v>973</v>
      </c>
      <c r="G230" s="1" t="s">
        <v>95</v>
      </c>
    </row>
    <row r="231" spans="1:7" ht="28.5" x14ac:dyDescent="0.45">
      <c r="A231" s="1">
        <v>6099</v>
      </c>
      <c r="B231" s="1">
        <v>6037</v>
      </c>
      <c r="C231" s="1" t="s">
        <v>302</v>
      </c>
      <c r="D231" s="1" t="s">
        <v>974</v>
      </c>
      <c r="E231" s="1" t="s">
        <v>301</v>
      </c>
      <c r="F231" s="1" t="s">
        <v>973</v>
      </c>
      <c r="G231" s="1" t="s">
        <v>177</v>
      </c>
    </row>
    <row r="232" spans="1:7" ht="42.75" x14ac:dyDescent="0.45">
      <c r="A232" s="1">
        <v>6100</v>
      </c>
      <c r="B232" s="1">
        <v>6021</v>
      </c>
      <c r="C232" s="1" t="s">
        <v>394</v>
      </c>
      <c r="D232" s="1" t="s">
        <v>969</v>
      </c>
      <c r="E232" s="1" t="s">
        <v>393</v>
      </c>
      <c r="F232" s="1" t="s">
        <v>968</v>
      </c>
      <c r="G232" s="1" t="s">
        <v>95</v>
      </c>
    </row>
    <row r="233" spans="1:7" ht="42.75" x14ac:dyDescent="0.45">
      <c r="A233" s="1">
        <v>6100</v>
      </c>
      <c r="B233" s="1">
        <v>6038</v>
      </c>
      <c r="C233" s="1" t="s">
        <v>394</v>
      </c>
      <c r="D233" s="1" t="s">
        <v>969</v>
      </c>
      <c r="E233" s="1" t="s">
        <v>393</v>
      </c>
      <c r="F233" s="1" t="s">
        <v>968</v>
      </c>
      <c r="G233" s="1" t="s">
        <v>179</v>
      </c>
    </row>
    <row r="234" spans="1:7" ht="28.5" x14ac:dyDescent="0.45">
      <c r="A234" s="1">
        <v>6101</v>
      </c>
      <c r="B234" s="1">
        <v>6099</v>
      </c>
      <c r="C234" s="1" t="s">
        <v>98</v>
      </c>
      <c r="D234" s="1" t="s">
        <v>711</v>
      </c>
      <c r="E234" s="1" t="s">
        <v>97</v>
      </c>
      <c r="F234" s="1" t="s">
        <v>480</v>
      </c>
      <c r="G234" s="1" t="s">
        <v>301</v>
      </c>
    </row>
    <row r="235" spans="1:7" ht="85.5" x14ac:dyDescent="0.45">
      <c r="A235" s="1">
        <v>6102</v>
      </c>
      <c r="B235" s="1">
        <v>5191</v>
      </c>
      <c r="C235" s="1" t="s">
        <v>104</v>
      </c>
      <c r="D235" s="1" t="s">
        <v>510</v>
      </c>
      <c r="E235" s="1" t="s">
        <v>103</v>
      </c>
      <c r="F235" s="1" t="s">
        <v>509</v>
      </c>
      <c r="G235" s="1" t="s">
        <v>381</v>
      </c>
    </row>
    <row r="236" spans="1:7" ht="85.5" x14ac:dyDescent="0.45">
      <c r="A236" s="1">
        <v>6102</v>
      </c>
      <c r="B236" s="1">
        <v>5249</v>
      </c>
      <c r="C236" s="1" t="s">
        <v>104</v>
      </c>
      <c r="D236" s="1" t="s">
        <v>510</v>
      </c>
      <c r="E236" s="1" t="s">
        <v>103</v>
      </c>
      <c r="F236" s="1" t="s">
        <v>509</v>
      </c>
      <c r="G236" s="1" t="s">
        <v>101</v>
      </c>
    </row>
    <row r="237" spans="1:7" ht="28.5" x14ac:dyDescent="0.45">
      <c r="A237" s="1">
        <v>6103</v>
      </c>
      <c r="B237" s="1">
        <v>5008</v>
      </c>
      <c r="C237" s="1" t="s">
        <v>106</v>
      </c>
      <c r="D237" s="1" t="s">
        <v>787</v>
      </c>
      <c r="E237" s="1" t="s">
        <v>105</v>
      </c>
      <c r="F237" s="1" t="s">
        <v>786</v>
      </c>
      <c r="G237" s="1" t="s">
        <v>15</v>
      </c>
    </row>
    <row r="238" spans="1:7" ht="57" x14ac:dyDescent="0.45">
      <c r="A238" s="1">
        <v>6104</v>
      </c>
      <c r="B238" s="1">
        <v>5041</v>
      </c>
      <c r="C238" s="1" t="s">
        <v>124</v>
      </c>
      <c r="D238" s="1" t="s">
        <v>712</v>
      </c>
      <c r="E238" s="1" t="s">
        <v>123</v>
      </c>
      <c r="F238" s="1" t="s">
        <v>690</v>
      </c>
      <c r="G238" s="1" t="s">
        <v>81</v>
      </c>
    </row>
    <row r="239" spans="1:7" ht="42.75" x14ac:dyDescent="0.45">
      <c r="A239" s="1">
        <v>6105</v>
      </c>
      <c r="B239" s="1">
        <v>6017</v>
      </c>
      <c r="C239" s="1" t="s">
        <v>126</v>
      </c>
      <c r="D239" s="1" t="s">
        <v>692</v>
      </c>
      <c r="E239" s="1" t="s">
        <v>125</v>
      </c>
      <c r="F239" s="1" t="s">
        <v>690</v>
      </c>
      <c r="G239" s="1" t="s">
        <v>83</v>
      </c>
    </row>
    <row r="240" spans="1:7" ht="42.75" x14ac:dyDescent="0.45">
      <c r="A240" s="1">
        <v>6105</v>
      </c>
      <c r="B240" s="1">
        <v>6104</v>
      </c>
      <c r="C240" s="1" t="s">
        <v>126</v>
      </c>
      <c r="D240" s="1" t="s">
        <v>692</v>
      </c>
      <c r="E240" s="1" t="s">
        <v>125</v>
      </c>
      <c r="F240" s="1" t="s">
        <v>690</v>
      </c>
      <c r="G240" s="1" t="s">
        <v>123</v>
      </c>
    </row>
    <row r="241" spans="1:7" ht="28.5" x14ac:dyDescent="0.45">
      <c r="A241" s="1">
        <v>6106</v>
      </c>
      <c r="B241" s="1">
        <v>6016</v>
      </c>
      <c r="C241" s="1" t="s">
        <v>128</v>
      </c>
      <c r="D241" s="1" t="s">
        <v>691</v>
      </c>
      <c r="E241" s="1" t="s">
        <v>127</v>
      </c>
      <c r="F241" s="1" t="s">
        <v>690</v>
      </c>
      <c r="G241" s="1" t="s">
        <v>79</v>
      </c>
    </row>
    <row r="242" spans="1:7" ht="28.5" x14ac:dyDescent="0.45">
      <c r="A242" s="1">
        <v>6106</v>
      </c>
      <c r="B242" s="1">
        <v>6104</v>
      </c>
      <c r="C242" s="1" t="s">
        <v>128</v>
      </c>
      <c r="D242" s="1" t="s">
        <v>691</v>
      </c>
      <c r="E242" s="1" t="s">
        <v>127</v>
      </c>
      <c r="F242" s="1" t="s">
        <v>690</v>
      </c>
      <c r="G242" s="1" t="s">
        <v>123</v>
      </c>
    </row>
    <row r="243" spans="1:7" ht="28.5" x14ac:dyDescent="0.45">
      <c r="A243" s="1">
        <v>6107</v>
      </c>
      <c r="B243" s="1">
        <v>6105</v>
      </c>
      <c r="C243" s="1" t="s">
        <v>122</v>
      </c>
      <c r="D243" s="1" t="s">
        <v>610</v>
      </c>
      <c r="E243" s="1" t="s">
        <v>121</v>
      </c>
      <c r="F243" s="1" t="s">
        <v>480</v>
      </c>
      <c r="G243" s="1" t="s">
        <v>125</v>
      </c>
    </row>
    <row r="244" spans="1:7" ht="28.5" x14ac:dyDescent="0.45">
      <c r="A244" s="1">
        <v>6107</v>
      </c>
      <c r="B244" s="1">
        <v>6149</v>
      </c>
      <c r="C244" s="1" t="s">
        <v>122</v>
      </c>
      <c r="D244" s="1" t="s">
        <v>610</v>
      </c>
      <c r="E244" s="1" t="s">
        <v>121</v>
      </c>
      <c r="F244" s="1" t="s">
        <v>480</v>
      </c>
      <c r="G244" s="1" t="s">
        <v>363</v>
      </c>
    </row>
    <row r="245" spans="1:7" ht="42.75" x14ac:dyDescent="0.45">
      <c r="A245" s="1">
        <v>6108</v>
      </c>
      <c r="B245" s="1">
        <v>6102</v>
      </c>
      <c r="C245" s="1" t="s">
        <v>130</v>
      </c>
      <c r="D245" s="1" t="s">
        <v>483</v>
      </c>
      <c r="E245" s="1" t="s">
        <v>129</v>
      </c>
      <c r="F245" s="1" t="s">
        <v>480</v>
      </c>
      <c r="G245" s="1" t="s">
        <v>103</v>
      </c>
    </row>
    <row r="246" spans="1:7" ht="42.75" x14ac:dyDescent="0.45">
      <c r="A246" s="1">
        <v>6108</v>
      </c>
      <c r="B246" s="1">
        <v>6131</v>
      </c>
      <c r="C246" s="1" t="s">
        <v>130</v>
      </c>
      <c r="D246" s="1" t="s">
        <v>483</v>
      </c>
      <c r="E246" s="1" t="s">
        <v>129</v>
      </c>
      <c r="F246" s="1" t="s">
        <v>480</v>
      </c>
      <c r="G246" s="1" t="s">
        <v>271</v>
      </c>
    </row>
    <row r="247" spans="1:7" ht="42.75" x14ac:dyDescent="0.45">
      <c r="A247" s="1">
        <v>6109</v>
      </c>
      <c r="B247" s="1">
        <v>5069</v>
      </c>
      <c r="C247" s="1" t="s">
        <v>136</v>
      </c>
      <c r="D247" s="1" t="s">
        <v>1030</v>
      </c>
      <c r="E247" s="1" t="s">
        <v>135</v>
      </c>
      <c r="F247" s="1" t="s">
        <v>603</v>
      </c>
      <c r="G247" s="1" t="s">
        <v>137</v>
      </c>
    </row>
    <row r="248" spans="1:7" ht="28.5" x14ac:dyDescent="0.45">
      <c r="A248" s="1">
        <v>6110</v>
      </c>
      <c r="B248" s="1">
        <v>5067</v>
      </c>
      <c r="C248" s="1" t="s">
        <v>140</v>
      </c>
      <c r="D248" s="1" t="s">
        <v>498</v>
      </c>
      <c r="E248" s="1" t="s">
        <v>139</v>
      </c>
      <c r="F248" s="1" t="s">
        <v>480</v>
      </c>
      <c r="G248" s="1" t="s">
        <v>133</v>
      </c>
    </row>
    <row r="249" spans="1:7" ht="42.75" x14ac:dyDescent="0.45">
      <c r="A249" s="1">
        <v>6111</v>
      </c>
      <c r="B249" s="1">
        <v>5138</v>
      </c>
      <c r="C249" s="1" t="s">
        <v>160</v>
      </c>
      <c r="D249" s="1" t="s">
        <v>919</v>
      </c>
      <c r="E249" s="1" t="s">
        <v>159</v>
      </c>
      <c r="F249" s="1" t="s">
        <v>918</v>
      </c>
      <c r="G249" s="1" t="s">
        <v>275</v>
      </c>
    </row>
    <row r="250" spans="1:7" ht="42.75" x14ac:dyDescent="0.45">
      <c r="A250" s="1">
        <v>6112</v>
      </c>
      <c r="B250" s="1">
        <v>5111</v>
      </c>
      <c r="C250" s="1" t="s">
        <v>162</v>
      </c>
      <c r="D250" s="1" t="s">
        <v>490</v>
      </c>
      <c r="E250" s="1" t="s">
        <v>161</v>
      </c>
      <c r="F250" s="1" t="s">
        <v>489</v>
      </c>
      <c r="G250" s="1" t="s">
        <v>221</v>
      </c>
    </row>
    <row r="251" spans="1:7" ht="42.75" x14ac:dyDescent="0.45">
      <c r="A251" s="1">
        <v>6113</v>
      </c>
      <c r="B251" s="1">
        <v>6017</v>
      </c>
      <c r="C251" s="1" t="s">
        <v>166</v>
      </c>
      <c r="D251" s="1" t="s">
        <v>1061</v>
      </c>
      <c r="E251" s="1" t="s">
        <v>165</v>
      </c>
      <c r="F251" s="1" t="s">
        <v>1060</v>
      </c>
      <c r="G251" s="1" t="s">
        <v>83</v>
      </c>
    </row>
    <row r="252" spans="1:7" ht="71.25" x14ac:dyDescent="0.45">
      <c r="A252" s="1">
        <v>6114</v>
      </c>
      <c r="B252" s="1">
        <v>5138</v>
      </c>
      <c r="C252" s="1" t="s">
        <v>54</v>
      </c>
      <c r="D252" s="1" t="s">
        <v>922</v>
      </c>
      <c r="E252" s="1" t="s">
        <v>53</v>
      </c>
      <c r="F252" s="1" t="s">
        <v>480</v>
      </c>
      <c r="G252" s="1" t="s">
        <v>275</v>
      </c>
    </row>
    <row r="253" spans="1:7" ht="85.5" x14ac:dyDescent="0.45">
      <c r="A253" s="1">
        <v>6115</v>
      </c>
      <c r="B253" s="1">
        <v>6017</v>
      </c>
      <c r="C253" s="1" t="s">
        <v>186</v>
      </c>
      <c r="D253" s="1" t="s">
        <v>1059</v>
      </c>
      <c r="E253" s="1" t="s">
        <v>185</v>
      </c>
      <c r="F253" s="1" t="s">
        <v>607</v>
      </c>
      <c r="G253" s="1" t="s">
        <v>83</v>
      </c>
    </row>
    <row r="254" spans="1:7" ht="114" x14ac:dyDescent="0.45">
      <c r="A254" s="1">
        <v>6116</v>
      </c>
      <c r="B254" s="1">
        <v>6020</v>
      </c>
      <c r="C254" s="1" t="s">
        <v>198</v>
      </c>
      <c r="D254" s="1" t="s">
        <v>948</v>
      </c>
      <c r="E254" s="1" t="s">
        <v>197</v>
      </c>
      <c r="F254" s="1" t="s">
        <v>947</v>
      </c>
      <c r="G254" s="1" t="s">
        <v>91</v>
      </c>
    </row>
    <row r="255" spans="1:7" ht="114" x14ac:dyDescent="0.45">
      <c r="A255" s="1">
        <v>6116</v>
      </c>
      <c r="B255" s="1">
        <v>6043</v>
      </c>
      <c r="C255" s="1" t="s">
        <v>198</v>
      </c>
      <c r="D255" s="1" t="s">
        <v>948</v>
      </c>
      <c r="E255" s="1" t="s">
        <v>197</v>
      </c>
      <c r="F255" s="1" t="s">
        <v>947</v>
      </c>
      <c r="G255" s="1" t="s">
        <v>199</v>
      </c>
    </row>
    <row r="256" spans="1:7" ht="42.75" x14ac:dyDescent="0.45">
      <c r="A256" s="1">
        <v>6117</v>
      </c>
      <c r="B256" s="1">
        <v>5138</v>
      </c>
      <c r="C256" s="1" t="s">
        <v>202</v>
      </c>
      <c r="D256" s="1" t="s">
        <v>914</v>
      </c>
      <c r="E256" s="1" t="s">
        <v>201</v>
      </c>
      <c r="F256" s="1" t="s">
        <v>480</v>
      </c>
      <c r="G256" s="1" t="s">
        <v>275</v>
      </c>
    </row>
    <row r="257" spans="1:7" ht="85.5" x14ac:dyDescent="0.45">
      <c r="A257" s="1">
        <v>6118</v>
      </c>
      <c r="B257" s="1">
        <v>5142</v>
      </c>
      <c r="C257" s="1" t="s">
        <v>204</v>
      </c>
      <c r="D257" s="1" t="s">
        <v>902</v>
      </c>
      <c r="E257" s="1" t="s">
        <v>203</v>
      </c>
      <c r="F257" s="1" t="s">
        <v>901</v>
      </c>
      <c r="G257" s="1" t="s">
        <v>283</v>
      </c>
    </row>
    <row r="258" spans="1:7" ht="57" x14ac:dyDescent="0.45">
      <c r="A258" s="1">
        <v>6119</v>
      </c>
      <c r="B258" s="1">
        <v>5097</v>
      </c>
      <c r="C258" s="1" t="s">
        <v>212</v>
      </c>
      <c r="D258" s="1" t="s">
        <v>678</v>
      </c>
      <c r="E258" s="1" t="s">
        <v>211</v>
      </c>
      <c r="F258" s="1" t="s">
        <v>677</v>
      </c>
      <c r="G258" s="1" t="s">
        <v>193</v>
      </c>
    </row>
    <row r="259" spans="1:7" ht="57" x14ac:dyDescent="0.45">
      <c r="A259" s="1">
        <v>6120</v>
      </c>
      <c r="B259" s="1">
        <v>6089</v>
      </c>
      <c r="C259" s="1" t="s">
        <v>228</v>
      </c>
      <c r="D259" s="1" t="s">
        <v>676</v>
      </c>
      <c r="E259" s="1" t="s">
        <v>227</v>
      </c>
      <c r="F259" s="1" t="s">
        <v>480</v>
      </c>
      <c r="G259" s="1" t="s">
        <v>63</v>
      </c>
    </row>
    <row r="260" spans="1:7" ht="57" x14ac:dyDescent="0.45">
      <c r="A260" s="1">
        <v>6120</v>
      </c>
      <c r="B260" s="1">
        <v>6016</v>
      </c>
      <c r="C260" s="1" t="s">
        <v>228</v>
      </c>
      <c r="D260" s="1" t="s">
        <v>676</v>
      </c>
      <c r="E260" s="1" t="s">
        <v>227</v>
      </c>
      <c r="F260" s="1" t="s">
        <v>480</v>
      </c>
      <c r="G260" s="1" t="s">
        <v>79</v>
      </c>
    </row>
    <row r="261" spans="1:7" ht="42.75" x14ac:dyDescent="0.45">
      <c r="A261" s="1">
        <v>6121</v>
      </c>
      <c r="B261" s="1">
        <v>6017</v>
      </c>
      <c r="C261" s="1" t="s">
        <v>230</v>
      </c>
      <c r="D261" s="1" t="s">
        <v>1058</v>
      </c>
      <c r="E261" s="1" t="s">
        <v>229</v>
      </c>
      <c r="F261" s="1" t="s">
        <v>480</v>
      </c>
      <c r="G261" s="1" t="s">
        <v>83</v>
      </c>
    </row>
    <row r="262" spans="1:7" ht="57" x14ac:dyDescent="0.45">
      <c r="A262" s="1">
        <v>6122</v>
      </c>
      <c r="B262" s="1">
        <v>6106</v>
      </c>
      <c r="C262" s="1" t="s">
        <v>234</v>
      </c>
      <c r="D262" s="1" t="s">
        <v>675</v>
      </c>
      <c r="E262" s="1" t="s">
        <v>233</v>
      </c>
      <c r="F262" s="1" t="s">
        <v>480</v>
      </c>
      <c r="G262" s="1" t="s">
        <v>127</v>
      </c>
    </row>
    <row r="263" spans="1:7" ht="57" x14ac:dyDescent="0.45">
      <c r="A263" s="1">
        <v>6122</v>
      </c>
      <c r="B263" s="1">
        <v>6016</v>
      </c>
      <c r="C263" s="1" t="s">
        <v>234</v>
      </c>
      <c r="D263" s="1" t="s">
        <v>675</v>
      </c>
      <c r="E263" s="1" t="s">
        <v>233</v>
      </c>
      <c r="F263" s="1" t="s">
        <v>480</v>
      </c>
      <c r="G263" s="1" t="s">
        <v>79</v>
      </c>
    </row>
    <row r="264" spans="1:7" ht="28.5" x14ac:dyDescent="0.45">
      <c r="A264" s="1">
        <v>6123</v>
      </c>
      <c r="B264" s="1">
        <v>6105</v>
      </c>
      <c r="C264" s="1" t="s">
        <v>232</v>
      </c>
      <c r="D264" s="1" t="s">
        <v>673</v>
      </c>
      <c r="E264" s="1" t="s">
        <v>231</v>
      </c>
      <c r="F264" s="1" t="s">
        <v>480</v>
      </c>
      <c r="G264" s="1" t="s">
        <v>125</v>
      </c>
    </row>
    <row r="265" spans="1:7" ht="28.5" x14ac:dyDescent="0.45">
      <c r="A265" s="1">
        <v>6123</v>
      </c>
      <c r="B265" s="1">
        <v>6121</v>
      </c>
      <c r="C265" s="1" t="s">
        <v>232</v>
      </c>
      <c r="D265" s="1" t="s">
        <v>673</v>
      </c>
      <c r="E265" s="1" t="s">
        <v>231</v>
      </c>
      <c r="F265" s="1" t="s">
        <v>480</v>
      </c>
      <c r="G265" s="1" t="s">
        <v>229</v>
      </c>
    </row>
    <row r="266" spans="1:7" ht="28.5" x14ac:dyDescent="0.45">
      <c r="A266" s="1">
        <v>6124</v>
      </c>
      <c r="B266" s="1">
        <v>6091</v>
      </c>
      <c r="C266" s="1" t="s">
        <v>236</v>
      </c>
      <c r="D266" s="1" t="s">
        <v>672</v>
      </c>
      <c r="E266" s="1" t="s">
        <v>235</v>
      </c>
      <c r="F266" s="1" t="s">
        <v>480</v>
      </c>
      <c r="G266" s="1" t="s">
        <v>67</v>
      </c>
    </row>
    <row r="267" spans="1:7" ht="28.5" x14ac:dyDescent="0.45">
      <c r="A267" s="1">
        <v>6124</v>
      </c>
      <c r="B267" s="1">
        <v>6121</v>
      </c>
      <c r="C267" s="1" t="s">
        <v>236</v>
      </c>
      <c r="D267" s="1" t="s">
        <v>672</v>
      </c>
      <c r="E267" s="1" t="s">
        <v>235</v>
      </c>
      <c r="F267" s="1" t="s">
        <v>480</v>
      </c>
      <c r="G267" s="1" t="s">
        <v>229</v>
      </c>
    </row>
    <row r="268" spans="1:7" ht="42.75" x14ac:dyDescent="0.45">
      <c r="A268" s="1">
        <v>6125</v>
      </c>
      <c r="B268" s="1">
        <v>5111</v>
      </c>
      <c r="C268" s="1" t="s">
        <v>240</v>
      </c>
      <c r="D268" s="1" t="s">
        <v>488</v>
      </c>
      <c r="E268" s="1" t="s">
        <v>239</v>
      </c>
      <c r="F268" s="1" t="s">
        <v>487</v>
      </c>
      <c r="G268" s="1" t="s">
        <v>221</v>
      </c>
    </row>
    <row r="269" spans="1:7" ht="42.75" x14ac:dyDescent="0.45">
      <c r="A269" s="1">
        <v>6126</v>
      </c>
      <c r="B269" s="1">
        <v>5069</v>
      </c>
      <c r="C269" s="1" t="s">
        <v>250</v>
      </c>
      <c r="D269" s="1" t="s">
        <v>1029</v>
      </c>
      <c r="E269" s="1" t="s">
        <v>249</v>
      </c>
      <c r="F269" s="1" t="s">
        <v>603</v>
      </c>
      <c r="G269" s="1" t="s">
        <v>137</v>
      </c>
    </row>
    <row r="270" spans="1:7" ht="42.75" x14ac:dyDescent="0.45">
      <c r="A270" s="1">
        <v>6127</v>
      </c>
      <c r="B270" s="1">
        <v>6044</v>
      </c>
      <c r="C270" s="1" t="s">
        <v>252</v>
      </c>
      <c r="D270" s="1" t="s">
        <v>462</v>
      </c>
      <c r="E270" s="1" t="s">
        <v>251</v>
      </c>
      <c r="F270" s="1" t="s">
        <v>461</v>
      </c>
      <c r="G270" s="1" t="s">
        <v>207</v>
      </c>
    </row>
    <row r="271" spans="1:7" ht="42.75" x14ac:dyDescent="0.45">
      <c r="A271" s="1">
        <v>6127</v>
      </c>
      <c r="B271" s="1">
        <v>6075</v>
      </c>
      <c r="C271" s="1" t="s">
        <v>252</v>
      </c>
      <c r="D271" s="1" t="s">
        <v>462</v>
      </c>
      <c r="E271" s="1" t="s">
        <v>251</v>
      </c>
      <c r="F271" s="1" t="s">
        <v>461</v>
      </c>
      <c r="G271" s="1" t="s">
        <v>447</v>
      </c>
    </row>
    <row r="272" spans="1:7" ht="42.75" x14ac:dyDescent="0.45">
      <c r="A272" s="1">
        <v>6127</v>
      </c>
      <c r="B272" s="1">
        <v>5226</v>
      </c>
      <c r="C272" s="1" t="s">
        <v>252</v>
      </c>
      <c r="D272" s="1" t="s">
        <v>462</v>
      </c>
      <c r="E272" s="1" t="s">
        <v>251</v>
      </c>
      <c r="F272" s="1" t="s">
        <v>461</v>
      </c>
      <c r="G272" s="1" t="s">
        <v>451</v>
      </c>
    </row>
    <row r="273" spans="1:7" x14ac:dyDescent="0.45">
      <c r="A273" s="1">
        <v>6128</v>
      </c>
      <c r="B273" s="1">
        <v>5229</v>
      </c>
      <c r="C273" s="1" t="s">
        <v>254</v>
      </c>
      <c r="D273" s="1" t="s">
        <v>791</v>
      </c>
      <c r="E273" s="1" t="s">
        <v>253</v>
      </c>
      <c r="G273" s="1" t="s">
        <v>457</v>
      </c>
    </row>
    <row r="274" spans="1:7" ht="156.75" x14ac:dyDescent="0.45">
      <c r="A274" s="1">
        <v>6129</v>
      </c>
      <c r="B274" s="1">
        <v>6022</v>
      </c>
      <c r="C274" s="1" t="s">
        <v>256</v>
      </c>
      <c r="D274" s="1" t="s">
        <v>1037</v>
      </c>
      <c r="E274" s="1" t="s">
        <v>255</v>
      </c>
      <c r="F274" s="1" t="s">
        <v>867</v>
      </c>
      <c r="G274" s="1" t="s">
        <v>99</v>
      </c>
    </row>
    <row r="275" spans="1:7" ht="42.75" x14ac:dyDescent="0.45">
      <c r="A275" s="1">
        <v>6130</v>
      </c>
      <c r="B275" s="1">
        <v>6091</v>
      </c>
      <c r="C275" s="1" t="s">
        <v>258</v>
      </c>
      <c r="D275" s="1" t="s">
        <v>609</v>
      </c>
      <c r="E275" s="1" t="s">
        <v>257</v>
      </c>
      <c r="F275" s="1" t="s">
        <v>480</v>
      </c>
      <c r="G275" s="1" t="s">
        <v>67</v>
      </c>
    </row>
    <row r="276" spans="1:7" ht="42.75" x14ac:dyDescent="0.45">
      <c r="A276" s="1">
        <v>6130</v>
      </c>
      <c r="B276" s="1">
        <v>6149</v>
      </c>
      <c r="C276" s="1" t="s">
        <v>258</v>
      </c>
      <c r="D276" s="1" t="s">
        <v>609</v>
      </c>
      <c r="E276" s="1" t="s">
        <v>257</v>
      </c>
      <c r="F276" s="1" t="s">
        <v>480</v>
      </c>
      <c r="G276" s="1" t="s">
        <v>363</v>
      </c>
    </row>
    <row r="277" spans="1:7" ht="57" x14ac:dyDescent="0.45">
      <c r="A277" s="1">
        <v>6131</v>
      </c>
      <c r="B277" s="1">
        <v>5249</v>
      </c>
      <c r="C277" s="1" t="s">
        <v>272</v>
      </c>
      <c r="D277" s="1" t="s">
        <v>504</v>
      </c>
      <c r="E277" s="1" t="s">
        <v>271</v>
      </c>
      <c r="F277" s="1" t="s">
        <v>480</v>
      </c>
      <c r="G277" s="1" t="s">
        <v>101</v>
      </c>
    </row>
    <row r="278" spans="1:7" ht="42.75" x14ac:dyDescent="0.45">
      <c r="A278" s="1">
        <v>6132</v>
      </c>
      <c r="B278" s="1">
        <v>5250</v>
      </c>
      <c r="C278" s="1" t="s">
        <v>274</v>
      </c>
      <c r="D278" s="1" t="s">
        <v>654</v>
      </c>
      <c r="E278" s="1" t="s">
        <v>273</v>
      </c>
      <c r="G278" s="1" t="s">
        <v>291</v>
      </c>
    </row>
    <row r="279" spans="1:7" x14ac:dyDescent="0.45">
      <c r="A279" s="1">
        <v>6133</v>
      </c>
      <c r="B279" s="1">
        <v>5138</v>
      </c>
      <c r="C279" s="1" t="s">
        <v>280</v>
      </c>
      <c r="D279" s="1" t="s">
        <v>910</v>
      </c>
      <c r="E279" s="1" t="s">
        <v>279</v>
      </c>
      <c r="F279" s="1" t="s">
        <v>480</v>
      </c>
      <c r="G279" s="1" t="s">
        <v>275</v>
      </c>
    </row>
    <row r="280" spans="1:7" ht="57" x14ac:dyDescent="0.45">
      <c r="A280" s="1">
        <v>6134</v>
      </c>
      <c r="B280" s="1">
        <v>5138</v>
      </c>
      <c r="C280" s="1" t="s">
        <v>288</v>
      </c>
      <c r="D280" s="1" t="s">
        <v>907</v>
      </c>
      <c r="E280" s="1" t="s">
        <v>287</v>
      </c>
      <c r="F280" s="1" t="s">
        <v>906</v>
      </c>
      <c r="G280" s="1" t="s">
        <v>275</v>
      </c>
    </row>
    <row r="281" spans="1:7" ht="128.25" x14ac:dyDescent="0.45">
      <c r="A281" s="1">
        <v>6135</v>
      </c>
      <c r="B281" s="1">
        <v>6020</v>
      </c>
      <c r="C281" s="1" t="s">
        <v>298</v>
      </c>
      <c r="D281" s="1" t="s">
        <v>880</v>
      </c>
      <c r="E281" s="1" t="s">
        <v>297</v>
      </c>
      <c r="F281" s="1" t="s">
        <v>879</v>
      </c>
      <c r="G281" s="1" t="s">
        <v>91</v>
      </c>
    </row>
    <row r="282" spans="1:7" ht="128.25" x14ac:dyDescent="0.45">
      <c r="A282" s="1">
        <v>6135</v>
      </c>
      <c r="B282" s="1">
        <v>6053</v>
      </c>
      <c r="C282" s="1" t="s">
        <v>298</v>
      </c>
      <c r="D282" s="1" t="s">
        <v>880</v>
      </c>
      <c r="E282" s="1" t="s">
        <v>297</v>
      </c>
      <c r="F282" s="1" t="s">
        <v>879</v>
      </c>
      <c r="G282" s="1" t="s">
        <v>299</v>
      </c>
    </row>
    <row r="283" spans="1:7" ht="28.5" x14ac:dyDescent="0.45">
      <c r="A283" s="1">
        <v>6136</v>
      </c>
      <c r="B283" s="1">
        <v>6169</v>
      </c>
      <c r="C283" s="1" t="s">
        <v>308</v>
      </c>
      <c r="D283" s="1" t="s">
        <v>577</v>
      </c>
      <c r="E283" s="1" t="s">
        <v>307</v>
      </c>
      <c r="F283" s="1" t="s">
        <v>480</v>
      </c>
      <c r="G283" s="1" t="s">
        <v>453</v>
      </c>
    </row>
    <row r="284" spans="1:7" ht="42.75" x14ac:dyDescent="0.45">
      <c r="A284" s="1">
        <v>6137</v>
      </c>
      <c r="B284" s="1">
        <v>6013</v>
      </c>
      <c r="C284" s="1" t="s">
        <v>318</v>
      </c>
      <c r="D284" s="1" t="s">
        <v>878</v>
      </c>
      <c r="E284" s="1" t="s">
        <v>317</v>
      </c>
      <c r="F284" s="1" t="s">
        <v>877</v>
      </c>
      <c r="G284" s="1" t="s">
        <v>49</v>
      </c>
    </row>
    <row r="285" spans="1:7" ht="42.75" x14ac:dyDescent="0.45">
      <c r="A285" s="1">
        <v>6137</v>
      </c>
      <c r="B285" s="1">
        <v>6053</v>
      </c>
      <c r="C285" s="1" t="s">
        <v>318</v>
      </c>
      <c r="D285" s="1" t="s">
        <v>878</v>
      </c>
      <c r="E285" s="1" t="s">
        <v>317</v>
      </c>
      <c r="F285" s="1" t="s">
        <v>877</v>
      </c>
      <c r="G285" s="1" t="s">
        <v>299</v>
      </c>
    </row>
    <row r="286" spans="1:7" ht="28.5" x14ac:dyDescent="0.45">
      <c r="A286" s="1">
        <v>6138</v>
      </c>
      <c r="B286" s="1">
        <v>6037</v>
      </c>
      <c r="C286" s="1" t="s">
        <v>322</v>
      </c>
      <c r="D286" s="1" t="s">
        <v>972</v>
      </c>
      <c r="E286" s="1" t="s">
        <v>321</v>
      </c>
      <c r="F286" s="1" t="s">
        <v>971</v>
      </c>
      <c r="G286" s="1" t="s">
        <v>177</v>
      </c>
    </row>
    <row r="287" spans="1:7" ht="42.75" x14ac:dyDescent="0.45">
      <c r="A287" s="1">
        <v>6139</v>
      </c>
      <c r="B287" s="1">
        <v>6013</v>
      </c>
      <c r="C287" s="1" t="s">
        <v>326</v>
      </c>
      <c r="D287" s="1" t="s">
        <v>618</v>
      </c>
      <c r="E287" s="1" t="s">
        <v>325</v>
      </c>
      <c r="F287" s="1" t="s">
        <v>466</v>
      </c>
      <c r="G287" s="1" t="s">
        <v>49</v>
      </c>
    </row>
    <row r="288" spans="1:7" ht="42.75" x14ac:dyDescent="0.45">
      <c r="A288" s="1">
        <v>6139</v>
      </c>
      <c r="B288" s="1">
        <v>6140</v>
      </c>
      <c r="C288" s="1" t="s">
        <v>326</v>
      </c>
      <c r="D288" s="1" t="s">
        <v>618</v>
      </c>
      <c r="E288" s="1" t="s">
        <v>325</v>
      </c>
      <c r="F288" s="1" t="s">
        <v>466</v>
      </c>
      <c r="G288" s="1" t="s">
        <v>327</v>
      </c>
    </row>
    <row r="289" spans="1:7" ht="28.5" x14ac:dyDescent="0.45">
      <c r="A289" s="1">
        <v>6140</v>
      </c>
      <c r="B289" s="1">
        <v>5202</v>
      </c>
      <c r="C289" s="1" t="s">
        <v>328</v>
      </c>
      <c r="D289" s="1" t="s">
        <v>468</v>
      </c>
      <c r="E289" s="1" t="s">
        <v>327</v>
      </c>
      <c r="F289" s="1" t="s">
        <v>466</v>
      </c>
      <c r="G289" s="1" t="s">
        <v>403</v>
      </c>
    </row>
    <row r="290" spans="1:7" ht="57" x14ac:dyDescent="0.45">
      <c r="A290" s="1">
        <v>6141</v>
      </c>
      <c r="B290" s="1">
        <v>5092</v>
      </c>
      <c r="C290" s="1" t="s">
        <v>332</v>
      </c>
      <c r="D290" s="1" t="s">
        <v>680</v>
      </c>
      <c r="E290" s="1" t="s">
        <v>331</v>
      </c>
      <c r="F290" s="1" t="s">
        <v>480</v>
      </c>
      <c r="G290" s="1" t="s">
        <v>183</v>
      </c>
    </row>
    <row r="291" spans="1:7" x14ac:dyDescent="0.45">
      <c r="A291" s="1">
        <v>6142</v>
      </c>
      <c r="B291" s="1">
        <v>5162</v>
      </c>
      <c r="C291" t="s">
        <v>1101</v>
      </c>
      <c r="D291" t="s">
        <v>1102</v>
      </c>
      <c r="E291" t="s">
        <v>1100</v>
      </c>
      <c r="G291" t="s">
        <v>323</v>
      </c>
    </row>
    <row r="292" spans="1:7" ht="71.25" x14ac:dyDescent="0.45">
      <c r="A292" s="1">
        <v>6143</v>
      </c>
      <c r="B292" s="1">
        <v>5092</v>
      </c>
      <c r="C292" s="1" t="s">
        <v>336</v>
      </c>
      <c r="D292" s="1" t="s">
        <v>679</v>
      </c>
      <c r="E292" s="1" t="s">
        <v>335</v>
      </c>
      <c r="F292" s="1" t="s">
        <v>480</v>
      </c>
      <c r="G292" s="1" t="s">
        <v>183</v>
      </c>
    </row>
    <row r="293" spans="1:7" ht="128.25" x14ac:dyDescent="0.45">
      <c r="A293" s="1">
        <v>6144</v>
      </c>
      <c r="B293" s="1">
        <v>6139</v>
      </c>
      <c r="C293" s="1" t="s">
        <v>340</v>
      </c>
      <c r="D293" s="1" t="s">
        <v>621</v>
      </c>
      <c r="E293" s="1" t="s">
        <v>339</v>
      </c>
      <c r="F293" s="1" t="s">
        <v>620</v>
      </c>
      <c r="G293" s="1" t="s">
        <v>325</v>
      </c>
    </row>
    <row r="294" spans="1:7" ht="28.5" x14ac:dyDescent="0.45">
      <c r="A294" s="1">
        <v>6145</v>
      </c>
      <c r="B294" s="1">
        <v>5202</v>
      </c>
      <c r="C294" s="1" t="s">
        <v>350</v>
      </c>
      <c r="D294" s="1" t="s">
        <v>467</v>
      </c>
      <c r="E294" s="1" t="s">
        <v>349</v>
      </c>
      <c r="F294" s="1" t="s">
        <v>466</v>
      </c>
      <c r="G294" s="1" t="s">
        <v>403</v>
      </c>
    </row>
    <row r="295" spans="1:7" ht="57" x14ac:dyDescent="0.45">
      <c r="A295" s="1">
        <v>6146</v>
      </c>
      <c r="B295" s="1">
        <v>6111</v>
      </c>
      <c r="C295" s="1" t="s">
        <v>354</v>
      </c>
      <c r="D295" s="1" t="s">
        <v>686</v>
      </c>
      <c r="E295" s="1" t="s">
        <v>353</v>
      </c>
      <c r="F295" s="1" t="s">
        <v>677</v>
      </c>
      <c r="G295" s="1" t="s">
        <v>159</v>
      </c>
    </row>
    <row r="296" spans="1:7" ht="57" x14ac:dyDescent="0.45">
      <c r="A296" s="1">
        <v>6147</v>
      </c>
      <c r="B296" s="1">
        <v>6089</v>
      </c>
      <c r="C296" s="1" t="s">
        <v>360</v>
      </c>
      <c r="D296" s="1" t="s">
        <v>613</v>
      </c>
      <c r="E296" s="1" t="s">
        <v>359</v>
      </c>
      <c r="F296" s="1" t="s">
        <v>480</v>
      </c>
      <c r="G296" s="1" t="s">
        <v>63</v>
      </c>
    </row>
    <row r="297" spans="1:7" ht="57" x14ac:dyDescent="0.45">
      <c r="A297" s="1">
        <v>6147</v>
      </c>
      <c r="B297" s="1">
        <v>6016</v>
      </c>
      <c r="C297" s="1" t="s">
        <v>360</v>
      </c>
      <c r="D297" s="1" t="s">
        <v>613</v>
      </c>
      <c r="E297" s="1" t="s">
        <v>359</v>
      </c>
      <c r="F297" s="1" t="s">
        <v>480</v>
      </c>
      <c r="G297" s="1" t="s">
        <v>79</v>
      </c>
    </row>
    <row r="298" spans="1:7" ht="71.25" x14ac:dyDescent="0.45">
      <c r="A298" s="1">
        <v>6148</v>
      </c>
      <c r="B298" s="1">
        <v>6037</v>
      </c>
      <c r="C298" s="1" t="s">
        <v>362</v>
      </c>
      <c r="D298" s="1" t="s">
        <v>608</v>
      </c>
      <c r="E298" s="1" t="s">
        <v>361</v>
      </c>
      <c r="F298" s="1" t="s">
        <v>607</v>
      </c>
      <c r="G298" s="1" t="s">
        <v>177</v>
      </c>
    </row>
    <row r="299" spans="1:7" ht="71.25" x14ac:dyDescent="0.45">
      <c r="A299" s="1">
        <v>6148</v>
      </c>
      <c r="B299" s="1">
        <v>6149</v>
      </c>
      <c r="C299" s="1" t="s">
        <v>362</v>
      </c>
      <c r="D299" s="1" t="s">
        <v>608</v>
      </c>
      <c r="E299" s="1" t="s">
        <v>361</v>
      </c>
      <c r="F299" s="1" t="s">
        <v>607</v>
      </c>
      <c r="G299" s="1" t="s">
        <v>363</v>
      </c>
    </row>
    <row r="300" spans="1:7" ht="28.5" x14ac:dyDescent="0.45">
      <c r="A300" s="1">
        <v>6149</v>
      </c>
      <c r="B300" s="1">
        <v>6017</v>
      </c>
      <c r="C300" s="1" t="s">
        <v>364</v>
      </c>
      <c r="D300" s="1" t="s">
        <v>1054</v>
      </c>
      <c r="E300" s="1" t="s">
        <v>363</v>
      </c>
      <c r="F300" s="1" t="s">
        <v>480</v>
      </c>
      <c r="G300" s="1" t="s">
        <v>83</v>
      </c>
    </row>
    <row r="301" spans="1:7" ht="57" x14ac:dyDescent="0.45">
      <c r="A301" s="1">
        <v>6150</v>
      </c>
      <c r="B301" s="1">
        <v>6106</v>
      </c>
      <c r="C301" s="1" t="s">
        <v>366</v>
      </c>
      <c r="D301" s="1" t="s">
        <v>612</v>
      </c>
      <c r="E301" s="1" t="s">
        <v>365</v>
      </c>
      <c r="F301" s="1" t="s">
        <v>480</v>
      </c>
      <c r="G301" s="1" t="s">
        <v>127</v>
      </c>
    </row>
    <row r="302" spans="1:7" ht="57" x14ac:dyDescent="0.45">
      <c r="A302" s="1">
        <v>6150</v>
      </c>
      <c r="B302" s="1">
        <v>6016</v>
      </c>
      <c r="C302" s="1" t="s">
        <v>366</v>
      </c>
      <c r="D302" s="1" t="s">
        <v>612</v>
      </c>
      <c r="E302" s="1" t="s">
        <v>365</v>
      </c>
      <c r="F302" s="1" t="s">
        <v>480</v>
      </c>
      <c r="G302" s="1" t="s">
        <v>79</v>
      </c>
    </row>
    <row r="303" spans="1:7" ht="28.5" x14ac:dyDescent="0.45">
      <c r="A303" s="1">
        <v>6151</v>
      </c>
      <c r="B303" s="1">
        <v>6112</v>
      </c>
      <c r="C303" s="1" t="s">
        <v>368</v>
      </c>
      <c r="D303" s="1" t="s">
        <v>571</v>
      </c>
      <c r="E303" s="1" t="s">
        <v>367</v>
      </c>
      <c r="F303" s="1" t="s">
        <v>461</v>
      </c>
      <c r="G303" s="1" t="s">
        <v>161</v>
      </c>
    </row>
    <row r="304" spans="1:7" ht="28.5" x14ac:dyDescent="0.45">
      <c r="A304" s="1">
        <v>6151</v>
      </c>
      <c r="B304" s="1">
        <v>5228</v>
      </c>
      <c r="C304" s="1" t="s">
        <v>368</v>
      </c>
      <c r="D304" s="1" t="s">
        <v>571</v>
      </c>
      <c r="E304" s="1" t="s">
        <v>367</v>
      </c>
      <c r="F304" s="1" t="s">
        <v>461</v>
      </c>
      <c r="G304" s="1" t="s">
        <v>455</v>
      </c>
    </row>
    <row r="305" spans="1:7" ht="28.5" x14ac:dyDescent="0.45">
      <c r="A305" s="1">
        <v>6152</v>
      </c>
      <c r="B305" s="1">
        <v>5138</v>
      </c>
      <c r="C305" s="1" t="s">
        <v>376</v>
      </c>
      <c r="D305" s="1" t="s">
        <v>905</v>
      </c>
      <c r="E305" s="1" t="s">
        <v>375</v>
      </c>
      <c r="F305" s="1" t="s">
        <v>904</v>
      </c>
      <c r="G305" s="1" t="s">
        <v>275</v>
      </c>
    </row>
    <row r="306" spans="1:7" x14ac:dyDescent="0.45">
      <c r="A306" s="1">
        <v>6153</v>
      </c>
      <c r="B306" s="1">
        <v>5067</v>
      </c>
      <c r="C306" s="1" t="s">
        <v>206</v>
      </c>
      <c r="D306" s="1" t="s">
        <v>497</v>
      </c>
      <c r="E306" s="1" t="s">
        <v>205</v>
      </c>
      <c r="F306" s="1" t="s">
        <v>480</v>
      </c>
      <c r="G306" s="1" t="s">
        <v>133</v>
      </c>
    </row>
    <row r="307" spans="1:7" x14ac:dyDescent="0.45">
      <c r="A307" s="1">
        <v>6154</v>
      </c>
      <c r="B307" s="1">
        <v>5067</v>
      </c>
      <c r="C307" s="1" t="s">
        <v>386</v>
      </c>
      <c r="D307" s="1" t="s">
        <v>496</v>
      </c>
      <c r="E307" s="1" t="s">
        <v>385</v>
      </c>
      <c r="F307" s="1" t="s">
        <v>480</v>
      </c>
      <c r="G307" s="1" t="s">
        <v>133</v>
      </c>
    </row>
    <row r="308" spans="1:7" ht="156.75" x14ac:dyDescent="0.45">
      <c r="A308" s="1">
        <v>6155</v>
      </c>
      <c r="B308" s="1">
        <v>5142</v>
      </c>
      <c r="C308" s="1" t="s">
        <v>388</v>
      </c>
      <c r="D308" s="1" t="s">
        <v>898</v>
      </c>
      <c r="E308" s="1" t="s">
        <v>387</v>
      </c>
      <c r="G308" s="1" t="s">
        <v>283</v>
      </c>
    </row>
    <row r="309" spans="1:7" ht="128.25" x14ac:dyDescent="0.45">
      <c r="A309" s="1">
        <v>6156</v>
      </c>
      <c r="B309" s="1">
        <v>6020</v>
      </c>
      <c r="C309" s="1" t="s">
        <v>390</v>
      </c>
      <c r="D309" s="1" t="s">
        <v>827</v>
      </c>
      <c r="E309" s="1" t="s">
        <v>389</v>
      </c>
      <c r="F309" s="1" t="s">
        <v>826</v>
      </c>
      <c r="G309" s="1" t="s">
        <v>91</v>
      </c>
    </row>
    <row r="310" spans="1:7" ht="128.25" x14ac:dyDescent="0.45">
      <c r="A310" s="1">
        <v>6156</v>
      </c>
      <c r="B310" s="1">
        <v>6068</v>
      </c>
      <c r="C310" s="1" t="s">
        <v>390</v>
      </c>
      <c r="D310" s="1" t="s">
        <v>827</v>
      </c>
      <c r="E310" s="1" t="s">
        <v>389</v>
      </c>
      <c r="F310" s="1" t="s">
        <v>826</v>
      </c>
      <c r="G310" s="1" t="s">
        <v>391</v>
      </c>
    </row>
    <row r="311" spans="1:7" ht="71.25" x14ac:dyDescent="0.45">
      <c r="A311" s="1">
        <v>6157</v>
      </c>
      <c r="B311" s="1">
        <v>6139</v>
      </c>
      <c r="C311" s="1" t="s">
        <v>396</v>
      </c>
      <c r="D311" s="1" t="s">
        <v>619</v>
      </c>
      <c r="E311" s="1" t="s">
        <v>395</v>
      </c>
      <c r="F311" s="1" t="s">
        <v>478</v>
      </c>
      <c r="G311" s="1" t="s">
        <v>325</v>
      </c>
    </row>
    <row r="312" spans="1:7" ht="57" x14ac:dyDescent="0.45">
      <c r="A312" s="1">
        <v>6158</v>
      </c>
      <c r="B312" s="1">
        <v>5139</v>
      </c>
      <c r="C312" s="1" t="s">
        <v>408</v>
      </c>
      <c r="D312" s="1" t="s">
        <v>479</v>
      </c>
      <c r="E312" s="1" t="s">
        <v>407</v>
      </c>
      <c r="F312" s="1" t="s">
        <v>478</v>
      </c>
      <c r="G312" s="1" t="s">
        <v>277</v>
      </c>
    </row>
    <row r="313" spans="1:7" ht="28.5" x14ac:dyDescent="0.45">
      <c r="A313" s="1">
        <v>6159</v>
      </c>
      <c r="B313" s="1">
        <v>6099</v>
      </c>
      <c r="C313" s="1" t="s">
        <v>410</v>
      </c>
      <c r="D313" s="1" t="s">
        <v>710</v>
      </c>
      <c r="E313" s="1" t="s">
        <v>409</v>
      </c>
      <c r="F313" s="1" t="s">
        <v>709</v>
      </c>
      <c r="G313" s="1" t="s">
        <v>301</v>
      </c>
    </row>
    <row r="314" spans="1:7" ht="28.5" x14ac:dyDescent="0.45">
      <c r="A314" s="1">
        <v>6160</v>
      </c>
      <c r="B314" s="1">
        <v>6053</v>
      </c>
      <c r="C314" s="1" t="s">
        <v>412</v>
      </c>
      <c r="D314" s="1" t="s">
        <v>876</v>
      </c>
      <c r="E314" s="1" t="s">
        <v>411</v>
      </c>
      <c r="F314" s="1" t="s">
        <v>480</v>
      </c>
      <c r="G314" s="1" t="s">
        <v>299</v>
      </c>
    </row>
    <row r="315" spans="1:7" x14ac:dyDescent="0.45">
      <c r="A315" s="1">
        <v>6161</v>
      </c>
      <c r="B315" s="1">
        <v>6037</v>
      </c>
      <c r="C315" s="1" t="s">
        <v>414</v>
      </c>
      <c r="D315" s="1" t="s">
        <v>970</v>
      </c>
      <c r="E315" s="1" t="s">
        <v>413</v>
      </c>
      <c r="F315" s="1" t="s">
        <v>480</v>
      </c>
      <c r="G315" s="1" t="s">
        <v>177</v>
      </c>
    </row>
    <row r="316" spans="1:7" x14ac:dyDescent="0.45">
      <c r="A316" s="1">
        <v>6162</v>
      </c>
      <c r="B316" s="1">
        <v>6137</v>
      </c>
      <c r="C316" s="1" t="s">
        <v>416</v>
      </c>
      <c r="D316" s="1" t="s">
        <v>599</v>
      </c>
      <c r="E316" s="1" t="s">
        <v>415</v>
      </c>
      <c r="F316" s="1" t="s">
        <v>480</v>
      </c>
      <c r="G316" s="1" t="s">
        <v>317</v>
      </c>
    </row>
    <row r="317" spans="1:7" x14ac:dyDescent="0.45">
      <c r="A317" s="1">
        <v>6162</v>
      </c>
      <c r="B317" s="1">
        <v>6160</v>
      </c>
      <c r="C317" s="1" t="s">
        <v>416</v>
      </c>
      <c r="D317" s="1" t="s">
        <v>599</v>
      </c>
      <c r="E317" s="1" t="s">
        <v>415</v>
      </c>
      <c r="F317" s="1" t="s">
        <v>480</v>
      </c>
      <c r="G317" s="1" t="s">
        <v>411</v>
      </c>
    </row>
    <row r="318" spans="1:7" x14ac:dyDescent="0.45">
      <c r="A318" s="1">
        <v>6163</v>
      </c>
      <c r="B318" s="1">
        <v>6099</v>
      </c>
      <c r="C318" s="1" t="s">
        <v>418</v>
      </c>
      <c r="D318" s="1" t="s">
        <v>708</v>
      </c>
      <c r="E318" s="1" t="s">
        <v>417</v>
      </c>
      <c r="F318" s="1" t="s">
        <v>480</v>
      </c>
      <c r="G318" s="1" t="s">
        <v>301</v>
      </c>
    </row>
    <row r="319" spans="1:7" ht="42.75" x14ac:dyDescent="0.45">
      <c r="A319" s="1">
        <v>6164</v>
      </c>
      <c r="B319" s="1">
        <v>5142</v>
      </c>
      <c r="C319" s="1" t="s">
        <v>420</v>
      </c>
      <c r="D319" s="1" t="s">
        <v>897</v>
      </c>
      <c r="E319" s="1" t="s">
        <v>419</v>
      </c>
      <c r="F319" s="1" t="s">
        <v>896</v>
      </c>
      <c r="G319" s="1" t="s">
        <v>283</v>
      </c>
    </row>
    <row r="320" spans="1:7" ht="28.5" x14ac:dyDescent="0.45">
      <c r="A320" s="1">
        <v>6165</v>
      </c>
      <c r="B320" s="1">
        <v>5250</v>
      </c>
      <c r="C320" s="1" t="s">
        <v>422</v>
      </c>
      <c r="E320" s="1" t="s">
        <v>421</v>
      </c>
      <c r="G320" s="1" t="s">
        <v>291</v>
      </c>
    </row>
    <row r="321" spans="1:7" ht="71.25" x14ac:dyDescent="0.45">
      <c r="A321" s="1">
        <v>6166</v>
      </c>
      <c r="B321" s="1">
        <v>5142</v>
      </c>
      <c r="C321" s="1" t="s">
        <v>428</v>
      </c>
      <c r="D321" s="1" t="s">
        <v>895</v>
      </c>
      <c r="E321" s="1" t="s">
        <v>427</v>
      </c>
      <c r="F321" s="1" t="s">
        <v>894</v>
      </c>
      <c r="G321" s="1" t="s">
        <v>283</v>
      </c>
    </row>
    <row r="322" spans="1:7" ht="99.75" x14ac:dyDescent="0.45">
      <c r="A322" s="1">
        <v>6167</v>
      </c>
      <c r="B322" s="1">
        <v>6019</v>
      </c>
      <c r="C322" s="1" t="s">
        <v>440</v>
      </c>
      <c r="D322" s="1" t="s">
        <v>660</v>
      </c>
      <c r="E322" s="1" t="s">
        <v>439</v>
      </c>
      <c r="F322" s="1" t="s">
        <v>659</v>
      </c>
      <c r="G322" s="1" t="s">
        <v>89</v>
      </c>
    </row>
    <row r="323" spans="1:7" ht="99.75" x14ac:dyDescent="0.45">
      <c r="A323" s="1">
        <v>6167</v>
      </c>
      <c r="B323" s="1">
        <v>6130</v>
      </c>
      <c r="C323" s="1" t="s">
        <v>440</v>
      </c>
      <c r="D323" s="1" t="s">
        <v>660</v>
      </c>
      <c r="E323" s="1" t="s">
        <v>439</v>
      </c>
      <c r="F323" s="1" t="s">
        <v>659</v>
      </c>
      <c r="G323" s="1" t="s">
        <v>257</v>
      </c>
    </row>
    <row r="324" spans="1:7" ht="42.75" x14ac:dyDescent="0.45">
      <c r="A324" s="1">
        <v>6168</v>
      </c>
      <c r="B324" s="1">
        <v>6063</v>
      </c>
      <c r="C324" s="1" t="s">
        <v>442</v>
      </c>
      <c r="D324" s="1" t="s">
        <v>834</v>
      </c>
      <c r="E324" s="1" t="s">
        <v>441</v>
      </c>
      <c r="F324" s="1" t="s">
        <v>810</v>
      </c>
      <c r="G324" s="1" t="s">
        <v>369</v>
      </c>
    </row>
    <row r="325" spans="1:7" ht="42.75" x14ac:dyDescent="0.45">
      <c r="A325" s="1">
        <v>6169</v>
      </c>
      <c r="B325" s="1">
        <v>3</v>
      </c>
      <c r="C325" s="1" t="s">
        <v>454</v>
      </c>
      <c r="D325" s="1" t="s">
        <v>768</v>
      </c>
      <c r="E325" s="1" t="s">
        <v>453</v>
      </c>
      <c r="F325" s="1" t="s">
        <v>480</v>
      </c>
      <c r="G325" s="1" t="s">
        <v>767</v>
      </c>
    </row>
    <row r="326" spans="1:7" ht="42.75" x14ac:dyDescent="0.45">
      <c r="A326" s="1">
        <v>6170</v>
      </c>
      <c r="B326" s="1">
        <v>6100</v>
      </c>
      <c r="C326" s="1" t="s">
        <v>460</v>
      </c>
      <c r="D326" s="1" t="s">
        <v>706</v>
      </c>
      <c r="E326" s="1" t="s">
        <v>459</v>
      </c>
      <c r="F326" s="1" t="s">
        <v>705</v>
      </c>
      <c r="G326" s="1" t="s">
        <v>393</v>
      </c>
    </row>
    <row r="327" spans="1:7" ht="28.5" hidden="1" x14ac:dyDescent="0.45">
      <c r="A327" s="1" t="s">
        <v>1199</v>
      </c>
      <c r="B327" s="1">
        <v>6008</v>
      </c>
      <c r="C327" s="1" t="s">
        <v>1089</v>
      </c>
      <c r="D327" s="1" t="s">
        <v>1088</v>
      </c>
      <c r="E327" s="1" t="s">
        <v>1090</v>
      </c>
      <c r="F327" s="1" t="s">
        <v>461</v>
      </c>
      <c r="G327" s="1" t="s">
        <v>13</v>
      </c>
    </row>
    <row r="328" spans="1:7" ht="42.75" hidden="1" x14ac:dyDescent="0.45">
      <c r="A328" s="1" t="s">
        <v>1199</v>
      </c>
      <c r="B328" s="1">
        <v>6008</v>
      </c>
      <c r="C328" s="1" t="s">
        <v>1086</v>
      </c>
      <c r="D328" s="1" t="s">
        <v>1085</v>
      </c>
      <c r="E328" s="1" t="s">
        <v>1087</v>
      </c>
      <c r="F328" s="1" t="s">
        <v>461</v>
      </c>
      <c r="G328" s="1" t="s">
        <v>13</v>
      </c>
    </row>
    <row r="329" spans="1:7" ht="28.5" hidden="1" x14ac:dyDescent="0.45">
      <c r="A329" s="1" t="s">
        <v>1199</v>
      </c>
      <c r="B329" s="1">
        <v>6008</v>
      </c>
      <c r="C329" s="1" t="s">
        <v>1083</v>
      </c>
      <c r="D329" s="1" t="s">
        <v>1082</v>
      </c>
      <c r="E329" s="1" t="s">
        <v>1084</v>
      </c>
      <c r="F329" s="1" t="s">
        <v>461</v>
      </c>
      <c r="G329" s="1" t="s">
        <v>13</v>
      </c>
    </row>
    <row r="330" spans="1:7" ht="99.75" hidden="1" x14ac:dyDescent="0.45">
      <c r="A330" s="1" t="s">
        <v>1199</v>
      </c>
      <c r="B330" s="1">
        <v>6011</v>
      </c>
      <c r="C330" s="1" t="s">
        <v>1080</v>
      </c>
      <c r="D330" s="1" t="s">
        <v>1079</v>
      </c>
      <c r="E330" s="1" t="s">
        <v>1081</v>
      </c>
      <c r="F330" s="1" t="s">
        <v>1075</v>
      </c>
      <c r="G330" s="1" t="s">
        <v>37</v>
      </c>
    </row>
    <row r="331" spans="1:7" ht="142.5" hidden="1" x14ac:dyDescent="0.45">
      <c r="A331" s="1" t="s">
        <v>1199</v>
      </c>
      <c r="B331" s="1">
        <v>6011</v>
      </c>
      <c r="C331" s="1" t="s">
        <v>1077</v>
      </c>
      <c r="D331" s="1" t="s">
        <v>1076</v>
      </c>
      <c r="E331" s="1" t="s">
        <v>1078</v>
      </c>
      <c r="F331" s="1" t="s">
        <v>1075</v>
      </c>
      <c r="G331" s="1" t="s">
        <v>37</v>
      </c>
    </row>
    <row r="332" spans="1:7" ht="42.75" hidden="1" x14ac:dyDescent="0.45">
      <c r="A332" s="1" t="s">
        <v>1199</v>
      </c>
      <c r="B332" s="1">
        <v>6016</v>
      </c>
      <c r="C332" s="1" t="s">
        <v>1074</v>
      </c>
      <c r="D332" s="1" t="s">
        <v>1073</v>
      </c>
      <c r="E332" s="1" t="s">
        <v>674</v>
      </c>
      <c r="F332" s="1" t="s">
        <v>480</v>
      </c>
      <c r="G332" s="1" t="s">
        <v>79</v>
      </c>
    </row>
    <row r="333" spans="1:7" ht="42.75" hidden="1" x14ac:dyDescent="0.45">
      <c r="A333" s="1" t="s">
        <v>1199</v>
      </c>
      <c r="B333" s="1">
        <v>6016</v>
      </c>
      <c r="C333" s="1" t="s">
        <v>1072</v>
      </c>
      <c r="D333" s="1" t="s">
        <v>1071</v>
      </c>
      <c r="E333" s="1" t="s">
        <v>611</v>
      </c>
      <c r="F333" s="1" t="s">
        <v>480</v>
      </c>
      <c r="G333" s="1" t="s">
        <v>79</v>
      </c>
    </row>
    <row r="334" spans="1:7" ht="57" hidden="1" x14ac:dyDescent="0.45">
      <c r="A334" s="1" t="s">
        <v>1199</v>
      </c>
      <c r="B334" s="1">
        <v>6017</v>
      </c>
      <c r="C334" s="1" t="s">
        <v>1069</v>
      </c>
      <c r="D334" s="1" t="s">
        <v>1068</v>
      </c>
      <c r="E334" s="1" t="s">
        <v>1070</v>
      </c>
      <c r="F334" s="1" t="s">
        <v>484</v>
      </c>
      <c r="G334" s="1" t="s">
        <v>83</v>
      </c>
    </row>
    <row r="335" spans="1:7" ht="71.25" hidden="1" x14ac:dyDescent="0.45">
      <c r="A335" s="1" t="s">
        <v>1199</v>
      </c>
      <c r="B335" s="1">
        <v>6017</v>
      </c>
      <c r="C335" s="1" t="s">
        <v>1066</v>
      </c>
      <c r="D335" s="1" t="s">
        <v>1065</v>
      </c>
      <c r="E335" s="1" t="s">
        <v>1067</v>
      </c>
      <c r="F335" s="1" t="s">
        <v>607</v>
      </c>
      <c r="G335" s="1" t="s">
        <v>83</v>
      </c>
    </row>
    <row r="336" spans="1:7" ht="28.5" hidden="1" x14ac:dyDescent="0.45">
      <c r="A336" s="1" t="s">
        <v>1199</v>
      </c>
      <c r="B336" s="1">
        <v>6017</v>
      </c>
      <c r="C336" s="1" t="s">
        <v>1063</v>
      </c>
      <c r="D336" s="1" t="s">
        <v>1062</v>
      </c>
      <c r="E336" s="1" t="s">
        <v>1064</v>
      </c>
      <c r="F336" s="1" t="s">
        <v>466</v>
      </c>
      <c r="G336" s="1" t="s">
        <v>83</v>
      </c>
    </row>
    <row r="337" spans="1:7" ht="57" hidden="1" x14ac:dyDescent="0.45">
      <c r="A337" s="1" t="s">
        <v>1199</v>
      </c>
      <c r="B337" s="1">
        <v>6017</v>
      </c>
      <c r="C337" s="1" t="s">
        <v>1056</v>
      </c>
      <c r="D337" s="1" t="s">
        <v>1055</v>
      </c>
      <c r="E337" s="1" t="s">
        <v>1057</v>
      </c>
      <c r="F337" s="1" t="s">
        <v>620</v>
      </c>
      <c r="G337" s="1" t="s">
        <v>83</v>
      </c>
    </row>
    <row r="338" spans="1:7" ht="142.5" hidden="1" x14ac:dyDescent="0.45">
      <c r="A338" s="1" t="s">
        <v>1199</v>
      </c>
      <c r="B338" s="1">
        <v>6022</v>
      </c>
      <c r="C338" s="1" t="s">
        <v>1046</v>
      </c>
      <c r="D338" s="1" t="s">
        <v>1043</v>
      </c>
      <c r="E338" s="1" t="s">
        <v>1045</v>
      </c>
      <c r="F338" s="1" t="s">
        <v>1042</v>
      </c>
      <c r="G338" s="1" t="s">
        <v>99</v>
      </c>
    </row>
    <row r="339" spans="1:7" ht="142.5" hidden="1" x14ac:dyDescent="0.45">
      <c r="A339" s="1" t="s">
        <v>1199</v>
      </c>
      <c r="B339" s="1">
        <v>6022</v>
      </c>
      <c r="C339" s="1" t="s">
        <v>1044</v>
      </c>
      <c r="D339" s="1" t="s">
        <v>1043</v>
      </c>
      <c r="E339" s="1" t="s">
        <v>1045</v>
      </c>
      <c r="F339" s="1" t="s">
        <v>1042</v>
      </c>
      <c r="G339" s="1" t="s">
        <v>99</v>
      </c>
    </row>
    <row r="340" spans="1:7" ht="128.25" hidden="1" x14ac:dyDescent="0.45">
      <c r="A340" s="1" t="s">
        <v>1199</v>
      </c>
      <c r="B340" s="1">
        <v>6022</v>
      </c>
      <c r="C340" s="1" t="s">
        <v>1040</v>
      </c>
      <c r="D340" s="1" t="s">
        <v>1039</v>
      </c>
      <c r="E340" s="1" t="s">
        <v>1041</v>
      </c>
      <c r="F340" s="1" t="s">
        <v>1038</v>
      </c>
      <c r="G340" s="1" t="s">
        <v>99</v>
      </c>
    </row>
    <row r="341" spans="1:7" ht="71.25" hidden="1" x14ac:dyDescent="0.45">
      <c r="A341" s="1" t="s">
        <v>1199</v>
      </c>
      <c r="B341" s="1">
        <v>6026</v>
      </c>
      <c r="C341" s="1" t="s">
        <v>1036</v>
      </c>
      <c r="D341" s="1" t="s">
        <v>1035</v>
      </c>
      <c r="E341" s="1" t="s">
        <v>693</v>
      </c>
      <c r="F341" s="1" t="s">
        <v>461</v>
      </c>
      <c r="G341" s="1" t="s">
        <v>115</v>
      </c>
    </row>
    <row r="342" spans="1:7" ht="99.75" hidden="1" x14ac:dyDescent="0.45">
      <c r="A342" s="1" t="s">
        <v>1199</v>
      </c>
      <c r="B342" s="1">
        <v>6026</v>
      </c>
      <c r="C342" s="1" t="s">
        <v>1034</v>
      </c>
      <c r="D342" s="1" t="s">
        <v>1033</v>
      </c>
      <c r="E342" s="1" t="s">
        <v>644</v>
      </c>
      <c r="F342" s="1" t="s">
        <v>1032</v>
      </c>
      <c r="G342" s="1" t="s">
        <v>115</v>
      </c>
    </row>
    <row r="343" spans="1:7" ht="28.5" hidden="1" x14ac:dyDescent="0.45">
      <c r="A343" s="1" t="s">
        <v>1199</v>
      </c>
      <c r="B343" s="1">
        <v>6029</v>
      </c>
      <c r="C343" s="1" t="s">
        <v>1018</v>
      </c>
      <c r="D343" s="1" t="s">
        <v>1017</v>
      </c>
      <c r="E343" s="1" t="s">
        <v>1019</v>
      </c>
      <c r="F343" s="1" t="s">
        <v>461</v>
      </c>
      <c r="G343" s="1" t="s">
        <v>149</v>
      </c>
    </row>
    <row r="344" spans="1:7" ht="28.5" hidden="1" x14ac:dyDescent="0.45">
      <c r="A344" s="1" t="s">
        <v>1199</v>
      </c>
      <c r="B344" s="1">
        <v>6029</v>
      </c>
      <c r="C344" s="1" t="s">
        <v>1015</v>
      </c>
      <c r="D344" s="1" t="s">
        <v>1014</v>
      </c>
      <c r="E344" s="1" t="s">
        <v>1016</v>
      </c>
      <c r="F344" s="1" t="s">
        <v>461</v>
      </c>
      <c r="G344" s="1" t="s">
        <v>149</v>
      </c>
    </row>
    <row r="345" spans="1:7" ht="28.5" hidden="1" x14ac:dyDescent="0.45">
      <c r="A345" s="1" t="s">
        <v>1199</v>
      </c>
      <c r="B345" s="1">
        <v>6030</v>
      </c>
      <c r="C345" s="1" t="s">
        <v>1012</v>
      </c>
      <c r="D345" s="1" t="s">
        <v>1011</v>
      </c>
      <c r="E345" s="1" t="s">
        <v>1013</v>
      </c>
      <c r="F345" s="1" t="s">
        <v>461</v>
      </c>
      <c r="G345" s="1" t="s">
        <v>151</v>
      </c>
    </row>
    <row r="346" spans="1:7" ht="28.5" hidden="1" x14ac:dyDescent="0.45">
      <c r="A346" s="1" t="s">
        <v>1199</v>
      </c>
      <c r="B346" s="1">
        <v>6030</v>
      </c>
      <c r="C346" s="1" t="s">
        <v>1009</v>
      </c>
      <c r="D346" s="1" t="s">
        <v>1008</v>
      </c>
      <c r="E346" s="1" t="s">
        <v>1010</v>
      </c>
      <c r="F346" s="1" t="s">
        <v>461</v>
      </c>
      <c r="G346" s="1" t="s">
        <v>151</v>
      </c>
    </row>
    <row r="347" spans="1:7" ht="42.75" hidden="1" x14ac:dyDescent="0.45">
      <c r="A347" s="1" t="s">
        <v>1199</v>
      </c>
      <c r="B347" s="1">
        <v>6031</v>
      </c>
      <c r="C347" s="1" t="s">
        <v>1006</v>
      </c>
      <c r="D347" s="1" t="s">
        <v>1005</v>
      </c>
      <c r="E347" s="1" t="s">
        <v>1007</v>
      </c>
      <c r="F347" s="1" t="s">
        <v>461</v>
      </c>
      <c r="G347" s="1" t="s">
        <v>153</v>
      </c>
    </row>
    <row r="348" spans="1:7" ht="28.5" hidden="1" x14ac:dyDescent="0.45">
      <c r="A348" s="1" t="s">
        <v>1199</v>
      </c>
      <c r="B348" s="1">
        <v>6031</v>
      </c>
      <c r="C348" s="1" t="s">
        <v>1003</v>
      </c>
      <c r="D348" s="1" t="s">
        <v>1002</v>
      </c>
      <c r="E348" s="1" t="s">
        <v>1004</v>
      </c>
      <c r="F348" s="1" t="s">
        <v>461</v>
      </c>
      <c r="G348" s="1" t="s">
        <v>153</v>
      </c>
    </row>
    <row r="349" spans="1:7" ht="42.75" hidden="1" x14ac:dyDescent="0.45">
      <c r="A349" s="1" t="s">
        <v>1199</v>
      </c>
      <c r="B349" s="1">
        <v>6032</v>
      </c>
      <c r="C349" s="1" t="s">
        <v>1000</v>
      </c>
      <c r="D349" s="1" t="s">
        <v>999</v>
      </c>
      <c r="E349" s="1" t="s">
        <v>1001</v>
      </c>
      <c r="F349" s="1" t="s">
        <v>461</v>
      </c>
      <c r="G349" s="1" t="s">
        <v>155</v>
      </c>
    </row>
    <row r="350" spans="1:7" ht="28.5" hidden="1" x14ac:dyDescent="0.45">
      <c r="A350" s="1" t="s">
        <v>1199</v>
      </c>
      <c r="B350" s="1">
        <v>6032</v>
      </c>
      <c r="C350" s="1" t="s">
        <v>997</v>
      </c>
      <c r="D350" s="1" t="s">
        <v>996</v>
      </c>
      <c r="E350" s="1" t="s">
        <v>998</v>
      </c>
      <c r="F350" s="1" t="s">
        <v>461</v>
      </c>
      <c r="G350" s="1" t="s">
        <v>155</v>
      </c>
    </row>
    <row r="351" spans="1:7" ht="42.75" hidden="1" x14ac:dyDescent="0.45">
      <c r="A351" s="1" t="s">
        <v>1199</v>
      </c>
      <c r="B351" s="1">
        <v>6032</v>
      </c>
      <c r="C351" s="1" t="s">
        <v>994</v>
      </c>
      <c r="D351" s="1" t="s">
        <v>993</v>
      </c>
      <c r="E351" s="1" t="s">
        <v>995</v>
      </c>
      <c r="F351" s="1" t="s">
        <v>461</v>
      </c>
      <c r="G351" s="1" t="s">
        <v>155</v>
      </c>
    </row>
    <row r="352" spans="1:7" ht="42.75" hidden="1" x14ac:dyDescent="0.45">
      <c r="A352" s="1" t="s">
        <v>1199</v>
      </c>
      <c r="B352" s="1">
        <v>6032</v>
      </c>
      <c r="C352" s="1" t="s">
        <v>991</v>
      </c>
      <c r="D352" s="1" t="s">
        <v>990</v>
      </c>
      <c r="E352" s="1" t="s">
        <v>992</v>
      </c>
      <c r="F352" s="1" t="s">
        <v>461</v>
      </c>
      <c r="G352" s="1" t="s">
        <v>155</v>
      </c>
    </row>
    <row r="353" spans="1:7" ht="28.5" hidden="1" x14ac:dyDescent="0.45">
      <c r="A353" s="1" t="s">
        <v>1199</v>
      </c>
      <c r="B353" s="1">
        <v>6035</v>
      </c>
      <c r="C353" s="1" t="s">
        <v>988</v>
      </c>
      <c r="D353" s="1" t="s">
        <v>987</v>
      </c>
      <c r="E353" s="1" t="s">
        <v>989</v>
      </c>
      <c r="F353" s="1" t="s">
        <v>461</v>
      </c>
      <c r="G353" s="1" t="s">
        <v>169</v>
      </c>
    </row>
    <row r="354" spans="1:7" ht="42.75" hidden="1" x14ac:dyDescent="0.45">
      <c r="A354" s="1" t="s">
        <v>1199</v>
      </c>
      <c r="B354" s="1">
        <v>6035</v>
      </c>
      <c r="C354" s="1" t="s">
        <v>985</v>
      </c>
      <c r="D354" s="1" t="s">
        <v>984</v>
      </c>
      <c r="E354" s="1" t="s">
        <v>986</v>
      </c>
      <c r="F354" s="1" t="s">
        <v>461</v>
      </c>
      <c r="G354" s="1" t="s">
        <v>169</v>
      </c>
    </row>
    <row r="355" spans="1:7" ht="28.5" hidden="1" x14ac:dyDescent="0.45">
      <c r="A355" s="1" t="s">
        <v>1199</v>
      </c>
      <c r="B355" s="1">
        <v>6035</v>
      </c>
      <c r="C355" s="1" t="s">
        <v>982</v>
      </c>
      <c r="D355" s="1" t="s">
        <v>981</v>
      </c>
      <c r="E355" s="1" t="s">
        <v>983</v>
      </c>
      <c r="F355" s="1" t="s">
        <v>461</v>
      </c>
      <c r="G355" s="1" t="s">
        <v>169</v>
      </c>
    </row>
    <row r="356" spans="1:7" ht="28.5" hidden="1" x14ac:dyDescent="0.45">
      <c r="A356" s="1" t="s">
        <v>1199</v>
      </c>
      <c r="B356" s="1">
        <v>6039</v>
      </c>
      <c r="C356" s="1" t="s">
        <v>966</v>
      </c>
      <c r="D356" s="1" t="s">
        <v>965</v>
      </c>
      <c r="E356" s="1" t="s">
        <v>967</v>
      </c>
      <c r="F356" s="1" t="s">
        <v>480</v>
      </c>
      <c r="G356" s="1" t="s">
        <v>181</v>
      </c>
    </row>
    <row r="357" spans="1:7" ht="28.5" hidden="1" x14ac:dyDescent="0.45">
      <c r="A357" s="1" t="s">
        <v>1199</v>
      </c>
      <c r="B357" s="1">
        <v>6040</v>
      </c>
      <c r="C357" s="1" t="s">
        <v>963</v>
      </c>
      <c r="D357" s="1" t="s">
        <v>962</v>
      </c>
      <c r="E357" s="1" t="s">
        <v>964</v>
      </c>
      <c r="F357" s="1" t="s">
        <v>461</v>
      </c>
      <c r="G357" s="1" t="s">
        <v>187</v>
      </c>
    </row>
    <row r="358" spans="1:7" ht="28.5" hidden="1" x14ac:dyDescent="0.45">
      <c r="A358" s="1" t="s">
        <v>1199</v>
      </c>
      <c r="B358" s="1">
        <v>6040</v>
      </c>
      <c r="C358" s="1" t="s">
        <v>960</v>
      </c>
      <c r="D358" s="1" t="s">
        <v>959</v>
      </c>
      <c r="E358" s="1" t="s">
        <v>961</v>
      </c>
      <c r="F358" s="1" t="s">
        <v>461</v>
      </c>
      <c r="G358" s="1" t="s">
        <v>187</v>
      </c>
    </row>
    <row r="359" spans="1:7" ht="28.5" hidden="1" x14ac:dyDescent="0.45">
      <c r="A359" s="1" t="s">
        <v>1199</v>
      </c>
      <c r="B359" s="1">
        <v>6043</v>
      </c>
      <c r="C359" s="1" t="s">
        <v>953</v>
      </c>
      <c r="D359" s="1" t="s">
        <v>952</v>
      </c>
      <c r="E359" s="1" t="s">
        <v>954</v>
      </c>
      <c r="F359" s="1" t="s">
        <v>943</v>
      </c>
      <c r="G359" s="1" t="s">
        <v>199</v>
      </c>
    </row>
    <row r="360" spans="1:7" ht="28.5" hidden="1" x14ac:dyDescent="0.45">
      <c r="A360" s="1" t="s">
        <v>1199</v>
      </c>
      <c r="B360" s="1">
        <v>6043</v>
      </c>
      <c r="C360" s="1" t="s">
        <v>950</v>
      </c>
      <c r="D360" s="1" t="s">
        <v>949</v>
      </c>
      <c r="E360" s="1" t="s">
        <v>951</v>
      </c>
      <c r="F360" s="1" t="s">
        <v>943</v>
      </c>
      <c r="G360" s="1" t="s">
        <v>199</v>
      </c>
    </row>
    <row r="361" spans="1:7" ht="28.5" hidden="1" x14ac:dyDescent="0.45">
      <c r="A361" s="1" t="s">
        <v>1199</v>
      </c>
      <c r="B361" s="1">
        <v>6043</v>
      </c>
      <c r="C361" s="1" t="s">
        <v>945</v>
      </c>
      <c r="D361" s="1" t="s">
        <v>944</v>
      </c>
      <c r="E361" s="1" t="s">
        <v>946</v>
      </c>
      <c r="F361" s="1" t="s">
        <v>943</v>
      </c>
      <c r="G361" s="1" t="s">
        <v>199</v>
      </c>
    </row>
    <row r="362" spans="1:7" ht="28.5" hidden="1" x14ac:dyDescent="0.45">
      <c r="A362" s="1" t="s">
        <v>1199</v>
      </c>
      <c r="B362" s="1">
        <v>6052</v>
      </c>
      <c r="C362" s="1" t="s">
        <v>892</v>
      </c>
      <c r="D362" s="1" t="s">
        <v>891</v>
      </c>
      <c r="E362" s="1" t="s">
        <v>893</v>
      </c>
      <c r="F362" s="1" t="s">
        <v>461</v>
      </c>
      <c r="G362" s="1" t="s">
        <v>295</v>
      </c>
    </row>
    <row r="363" spans="1:7" ht="42.75" hidden="1" x14ac:dyDescent="0.45">
      <c r="A363" s="1" t="s">
        <v>1199</v>
      </c>
      <c r="B363" s="1">
        <v>6052</v>
      </c>
      <c r="C363" s="1" t="s">
        <v>889</v>
      </c>
      <c r="D363" s="1" t="s">
        <v>888</v>
      </c>
      <c r="E363" s="1" t="s">
        <v>890</v>
      </c>
      <c r="F363" s="1" t="s">
        <v>887</v>
      </c>
      <c r="G363" s="1" t="s">
        <v>295</v>
      </c>
    </row>
    <row r="364" spans="1:7" ht="28.5" hidden="1" x14ac:dyDescent="0.45">
      <c r="A364" s="1" t="s">
        <v>1199</v>
      </c>
      <c r="B364" s="1">
        <v>6052</v>
      </c>
      <c r="C364" s="1" t="s">
        <v>885</v>
      </c>
      <c r="D364" s="1" t="s">
        <v>884</v>
      </c>
      <c r="E364" s="1" t="s">
        <v>886</v>
      </c>
      <c r="F364" s="1" t="s">
        <v>461</v>
      </c>
      <c r="G364" s="1" t="s">
        <v>295</v>
      </c>
    </row>
    <row r="365" spans="1:7" ht="71.25" hidden="1" x14ac:dyDescent="0.45">
      <c r="A365" s="1" t="s">
        <v>1199</v>
      </c>
      <c r="B365" s="1">
        <v>6054</v>
      </c>
      <c r="C365" s="1" t="s">
        <v>874</v>
      </c>
      <c r="D365" s="1" t="s">
        <v>873</v>
      </c>
      <c r="E365" s="1" t="s">
        <v>875</v>
      </c>
      <c r="F365" s="1" t="s">
        <v>872</v>
      </c>
      <c r="G365" s="1" t="s">
        <v>303</v>
      </c>
    </row>
    <row r="366" spans="1:7" ht="42.75" hidden="1" x14ac:dyDescent="0.45">
      <c r="A366" s="1" t="s">
        <v>1199</v>
      </c>
      <c r="B366" s="1">
        <v>6060</v>
      </c>
      <c r="C366" s="1" t="s">
        <v>840</v>
      </c>
      <c r="D366" s="1" t="s">
        <v>839</v>
      </c>
      <c r="E366" s="1" t="s">
        <v>841</v>
      </c>
      <c r="F366" s="1" t="s">
        <v>461</v>
      </c>
      <c r="G366" s="1" t="s">
        <v>345</v>
      </c>
    </row>
    <row r="367" spans="1:7" ht="28.5" hidden="1" x14ac:dyDescent="0.45">
      <c r="A367" s="1" t="s">
        <v>1199</v>
      </c>
      <c r="B367" s="1">
        <v>6060</v>
      </c>
      <c r="C367" s="1" t="s">
        <v>837</v>
      </c>
      <c r="D367" s="1" t="s">
        <v>836</v>
      </c>
      <c r="E367" s="1" t="s">
        <v>838</v>
      </c>
      <c r="F367" s="1" t="s">
        <v>461</v>
      </c>
      <c r="G367" s="1" t="s">
        <v>345</v>
      </c>
    </row>
    <row r="368" spans="1:7" ht="28.5" hidden="1" x14ac:dyDescent="0.45">
      <c r="A368" s="1" t="s">
        <v>1199</v>
      </c>
      <c r="B368" s="1">
        <v>6067</v>
      </c>
      <c r="C368" s="1" t="s">
        <v>832</v>
      </c>
      <c r="D368" s="1" t="s">
        <v>831</v>
      </c>
      <c r="E368" s="1" t="s">
        <v>833</v>
      </c>
      <c r="F368" s="1" t="s">
        <v>461</v>
      </c>
      <c r="G368" s="1" t="s">
        <v>379</v>
      </c>
    </row>
    <row r="369" spans="1:7" ht="28.5" hidden="1" x14ac:dyDescent="0.45">
      <c r="A369" s="1" t="s">
        <v>1199</v>
      </c>
      <c r="B369" s="1">
        <v>6067</v>
      </c>
      <c r="C369" s="1" t="s">
        <v>829</v>
      </c>
      <c r="D369" s="1" t="s">
        <v>828</v>
      </c>
      <c r="E369" s="1" t="s">
        <v>830</v>
      </c>
      <c r="F369" s="1" t="s">
        <v>461</v>
      </c>
      <c r="G369" s="1" t="s">
        <v>379</v>
      </c>
    </row>
    <row r="370" spans="1:7" ht="28.5" hidden="1" x14ac:dyDescent="0.45">
      <c r="A370" s="1" t="s">
        <v>1199</v>
      </c>
      <c r="B370" s="1">
        <v>6070</v>
      </c>
      <c r="C370" s="1" t="s">
        <v>818</v>
      </c>
      <c r="D370" s="1" t="s">
        <v>817</v>
      </c>
      <c r="E370" s="1" t="s">
        <v>732</v>
      </c>
      <c r="F370" s="1" t="s">
        <v>461</v>
      </c>
      <c r="G370" s="1" t="s">
        <v>429</v>
      </c>
    </row>
    <row r="371" spans="1:7" ht="28.5" hidden="1" x14ac:dyDescent="0.45">
      <c r="A371" s="1" t="s">
        <v>1199</v>
      </c>
      <c r="B371" s="1">
        <v>6070</v>
      </c>
      <c r="C371" s="1" t="s">
        <v>816</v>
      </c>
      <c r="D371" s="1" t="s">
        <v>815</v>
      </c>
      <c r="E371" s="1" t="s">
        <v>634</v>
      </c>
      <c r="F371" s="1" t="s">
        <v>461</v>
      </c>
      <c r="G371" s="1" t="s">
        <v>429</v>
      </c>
    </row>
    <row r="372" spans="1:7" ht="28.5" hidden="1" x14ac:dyDescent="0.45">
      <c r="A372" s="1" t="s">
        <v>1199</v>
      </c>
      <c r="B372" s="1">
        <v>6070</v>
      </c>
      <c r="C372" s="1" t="s">
        <v>814</v>
      </c>
      <c r="D372" s="1" t="s">
        <v>813</v>
      </c>
      <c r="E372" s="1" t="s">
        <v>589</v>
      </c>
      <c r="F372" s="1" t="s">
        <v>461</v>
      </c>
      <c r="G372" s="1" t="s">
        <v>429</v>
      </c>
    </row>
    <row r="373" spans="1:7" ht="28.5" hidden="1" x14ac:dyDescent="0.45">
      <c r="A373" s="1" t="s">
        <v>1199</v>
      </c>
      <c r="B373" s="1">
        <v>6071</v>
      </c>
      <c r="C373" s="1" t="s">
        <v>808</v>
      </c>
      <c r="D373" s="1" t="s">
        <v>807</v>
      </c>
      <c r="E373" s="1" t="s">
        <v>809</v>
      </c>
      <c r="F373" s="1" t="s">
        <v>461</v>
      </c>
      <c r="G373" s="1" t="s">
        <v>433</v>
      </c>
    </row>
    <row r="374" spans="1:7" ht="28.5" hidden="1" x14ac:dyDescent="0.45">
      <c r="A374" s="1" t="s">
        <v>1199</v>
      </c>
      <c r="B374" s="1">
        <v>6071</v>
      </c>
      <c r="C374" s="1" t="s">
        <v>805</v>
      </c>
      <c r="D374" s="1" t="s">
        <v>804</v>
      </c>
      <c r="E374" s="1" t="s">
        <v>806</v>
      </c>
      <c r="F374" s="1" t="s">
        <v>461</v>
      </c>
      <c r="G374" s="1" t="s">
        <v>433</v>
      </c>
    </row>
    <row r="375" spans="1:7" ht="28.5" hidden="1" x14ac:dyDescent="0.45">
      <c r="A375" s="1" t="s">
        <v>1199</v>
      </c>
      <c r="B375" s="1">
        <v>6071</v>
      </c>
      <c r="C375" s="1" t="s">
        <v>802</v>
      </c>
      <c r="D375" s="1" t="s">
        <v>801</v>
      </c>
      <c r="E375" s="1" t="s">
        <v>803</v>
      </c>
      <c r="F375" s="1" t="s">
        <v>461</v>
      </c>
      <c r="G375" s="1" t="s">
        <v>433</v>
      </c>
    </row>
    <row r="376" spans="1:7" ht="28.5" hidden="1" x14ac:dyDescent="0.45">
      <c r="A376" s="1" t="s">
        <v>1199</v>
      </c>
      <c r="B376" s="1">
        <v>6071</v>
      </c>
      <c r="C376" s="1" t="s">
        <v>799</v>
      </c>
      <c r="D376" s="1" t="s">
        <v>798</v>
      </c>
      <c r="E376" s="1" t="s">
        <v>800</v>
      </c>
      <c r="F376" s="1" t="s">
        <v>461</v>
      </c>
      <c r="G376" s="1" t="s">
        <v>433</v>
      </c>
    </row>
    <row r="377" spans="1:7" ht="28.5" hidden="1" x14ac:dyDescent="0.45">
      <c r="A377" s="1" t="s">
        <v>1199</v>
      </c>
      <c r="B377" s="1">
        <v>6073</v>
      </c>
      <c r="C377" s="1" t="s">
        <v>797</v>
      </c>
      <c r="D377" s="1" t="s">
        <v>796</v>
      </c>
      <c r="E377" s="1" t="s">
        <v>722</v>
      </c>
      <c r="F377" s="1" t="s">
        <v>461</v>
      </c>
      <c r="G377" s="1" t="s">
        <v>437</v>
      </c>
    </row>
    <row r="378" spans="1:7" ht="28.5" hidden="1" x14ac:dyDescent="0.45">
      <c r="A378" s="1" t="s">
        <v>1199</v>
      </c>
      <c r="B378" s="1">
        <v>6073</v>
      </c>
      <c r="C378" s="1" t="s">
        <v>795</v>
      </c>
      <c r="D378" s="1" t="s">
        <v>794</v>
      </c>
      <c r="E378" s="1" t="s">
        <v>661</v>
      </c>
      <c r="F378" s="1" t="s">
        <v>461</v>
      </c>
      <c r="G378" s="1" t="s">
        <v>437</v>
      </c>
    </row>
    <row r="379" spans="1:7" ht="28.5" hidden="1" x14ac:dyDescent="0.45">
      <c r="A379" s="1" t="s">
        <v>1199</v>
      </c>
      <c r="B379" s="1">
        <v>6073</v>
      </c>
      <c r="C379" s="1" t="s">
        <v>793</v>
      </c>
      <c r="D379" s="1" t="s">
        <v>792</v>
      </c>
      <c r="E379" s="1" t="s">
        <v>579</v>
      </c>
      <c r="F379" s="1" t="s">
        <v>461</v>
      </c>
      <c r="G379" s="1" t="s">
        <v>437</v>
      </c>
    </row>
    <row r="380" spans="1:7" ht="28.5" hidden="1" x14ac:dyDescent="0.45">
      <c r="A380" s="1" t="s">
        <v>1199</v>
      </c>
      <c r="B380" s="1">
        <v>6070</v>
      </c>
      <c r="C380" s="1" t="s">
        <v>740</v>
      </c>
      <c r="D380" s="1" t="s">
        <v>739</v>
      </c>
      <c r="E380" s="1" t="s">
        <v>741</v>
      </c>
      <c r="F380" s="1" t="s">
        <v>461</v>
      </c>
      <c r="G380" s="1" t="s">
        <v>429</v>
      </c>
    </row>
    <row r="381" spans="1:7" ht="28.5" hidden="1" x14ac:dyDescent="0.45">
      <c r="A381" s="1" t="s">
        <v>1199</v>
      </c>
      <c r="B381" s="1">
        <v>6070</v>
      </c>
      <c r="C381" s="1" t="s">
        <v>737</v>
      </c>
      <c r="D381" s="1" t="s">
        <v>736</v>
      </c>
      <c r="E381" s="1" t="s">
        <v>738</v>
      </c>
      <c r="F381" s="1" t="s">
        <v>461</v>
      </c>
      <c r="G381" s="1" t="s">
        <v>429</v>
      </c>
    </row>
    <row r="382" spans="1:7" ht="28.5" hidden="1" x14ac:dyDescent="0.45">
      <c r="A382" s="1" t="s">
        <v>1199</v>
      </c>
      <c r="B382" s="1">
        <v>6070</v>
      </c>
      <c r="C382" s="1" t="s">
        <v>734</v>
      </c>
      <c r="D382" s="1" t="s">
        <v>733</v>
      </c>
      <c r="E382" s="1" t="s">
        <v>735</v>
      </c>
      <c r="F382" s="1" t="s">
        <v>461</v>
      </c>
      <c r="G382" s="1" t="s">
        <v>429</v>
      </c>
    </row>
    <row r="383" spans="1:7" ht="42.75" hidden="1" x14ac:dyDescent="0.45">
      <c r="A383" s="1" t="s">
        <v>1199</v>
      </c>
      <c r="B383" s="1">
        <v>6073</v>
      </c>
      <c r="C383" s="1" t="s">
        <v>730</v>
      </c>
      <c r="D383" s="1" t="s">
        <v>729</v>
      </c>
      <c r="E383" s="1" t="s">
        <v>731</v>
      </c>
      <c r="F383" s="1" t="s">
        <v>461</v>
      </c>
      <c r="G383" s="1" t="s">
        <v>437</v>
      </c>
    </row>
    <row r="384" spans="1:7" ht="42.75" hidden="1" x14ac:dyDescent="0.45">
      <c r="A384" s="1" t="s">
        <v>1199</v>
      </c>
      <c r="B384" s="1">
        <v>6073</v>
      </c>
      <c r="C384" s="1" t="s">
        <v>727</v>
      </c>
      <c r="D384" s="1" t="s">
        <v>726</v>
      </c>
      <c r="E384" s="1" t="s">
        <v>728</v>
      </c>
      <c r="F384" s="1" t="s">
        <v>461</v>
      </c>
      <c r="G384" s="1" t="s">
        <v>437</v>
      </c>
    </row>
    <row r="385" spans="1:7" ht="28.5" hidden="1" x14ac:dyDescent="0.45">
      <c r="A385" s="1" t="s">
        <v>1199</v>
      </c>
      <c r="B385" s="1">
        <v>6073</v>
      </c>
      <c r="C385" s="1" t="s">
        <v>724</v>
      </c>
      <c r="D385" s="1" t="s">
        <v>723</v>
      </c>
      <c r="E385" s="1" t="s">
        <v>725</v>
      </c>
      <c r="F385" s="1" t="s">
        <v>461</v>
      </c>
      <c r="G385" s="1" t="s">
        <v>437</v>
      </c>
    </row>
    <row r="386" spans="1:7" ht="71.25" hidden="1" x14ac:dyDescent="0.45">
      <c r="A386" s="1" t="s">
        <v>1199</v>
      </c>
      <c r="B386" s="1">
        <v>6026</v>
      </c>
      <c r="C386" s="1" t="s">
        <v>701</v>
      </c>
      <c r="D386" s="1" t="s">
        <v>700</v>
      </c>
      <c r="E386" s="1" t="s">
        <v>702</v>
      </c>
      <c r="F386" s="1" t="s">
        <v>461</v>
      </c>
      <c r="G386" s="1" t="s">
        <v>115</v>
      </c>
    </row>
    <row r="387" spans="1:7" ht="28.5" hidden="1" x14ac:dyDescent="0.45">
      <c r="A387" s="1" t="s">
        <v>1199</v>
      </c>
      <c r="B387" s="1">
        <v>6026</v>
      </c>
      <c r="C387" s="1" t="s">
        <v>698</v>
      </c>
      <c r="D387" s="1" t="s">
        <v>697</v>
      </c>
      <c r="E387" s="1" t="s">
        <v>699</v>
      </c>
      <c r="F387" s="1" t="s">
        <v>461</v>
      </c>
      <c r="G387" s="1" t="s">
        <v>115</v>
      </c>
    </row>
    <row r="388" spans="1:7" ht="28.5" hidden="1" x14ac:dyDescent="0.45">
      <c r="A388" s="1" t="s">
        <v>1199</v>
      </c>
      <c r="B388" s="1">
        <v>6026</v>
      </c>
      <c r="C388" s="1" t="s">
        <v>695</v>
      </c>
      <c r="D388" s="1" t="s">
        <v>694</v>
      </c>
      <c r="E388" s="1" t="s">
        <v>696</v>
      </c>
      <c r="F388" s="1" t="s">
        <v>461</v>
      </c>
      <c r="G388" s="1" t="s">
        <v>115</v>
      </c>
    </row>
    <row r="389" spans="1:7" ht="28.5" hidden="1" x14ac:dyDescent="0.45">
      <c r="A389" s="1" t="s">
        <v>1199</v>
      </c>
      <c r="B389" s="1">
        <v>6073</v>
      </c>
      <c r="C389" s="1" t="s">
        <v>669</v>
      </c>
      <c r="D389" s="1" t="s">
        <v>668</v>
      </c>
      <c r="E389" s="1" t="s">
        <v>670</v>
      </c>
      <c r="F389" s="1" t="s">
        <v>461</v>
      </c>
      <c r="G389" s="1" t="s">
        <v>437</v>
      </c>
    </row>
    <row r="390" spans="1:7" ht="28.5" hidden="1" x14ac:dyDescent="0.45">
      <c r="A390" s="1" t="s">
        <v>1199</v>
      </c>
      <c r="B390" s="1">
        <v>6073</v>
      </c>
      <c r="C390" s="1" t="s">
        <v>666</v>
      </c>
      <c r="D390" s="1" t="s">
        <v>665</v>
      </c>
      <c r="E390" s="1" t="s">
        <v>667</v>
      </c>
      <c r="F390" s="1" t="s">
        <v>461</v>
      </c>
      <c r="G390" s="1" t="s">
        <v>437</v>
      </c>
    </row>
    <row r="391" spans="1:7" ht="28.5" hidden="1" x14ac:dyDescent="0.45">
      <c r="A391" s="1" t="s">
        <v>1199</v>
      </c>
      <c r="B391" s="1">
        <v>6073</v>
      </c>
      <c r="C391" s="1" t="s">
        <v>663</v>
      </c>
      <c r="D391" s="1" t="s">
        <v>662</v>
      </c>
      <c r="E391" s="1" t="s">
        <v>664</v>
      </c>
      <c r="F391" s="1" t="s">
        <v>461</v>
      </c>
      <c r="G391" s="1" t="s">
        <v>437</v>
      </c>
    </row>
    <row r="392" spans="1:7" ht="85.5" hidden="1" x14ac:dyDescent="0.45">
      <c r="A392" s="1" t="s">
        <v>1199</v>
      </c>
      <c r="B392" s="1">
        <v>6130</v>
      </c>
      <c r="C392" s="1" t="s">
        <v>657</v>
      </c>
      <c r="D392" s="1" t="s">
        <v>656</v>
      </c>
      <c r="E392" s="1" t="s">
        <v>658</v>
      </c>
      <c r="F392" s="1" t="s">
        <v>655</v>
      </c>
      <c r="G392" s="1" t="s">
        <v>257</v>
      </c>
    </row>
    <row r="393" spans="1:7" ht="28.5" hidden="1" x14ac:dyDescent="0.45">
      <c r="A393" s="1" t="s">
        <v>1199</v>
      </c>
      <c r="B393" s="1">
        <v>6026</v>
      </c>
      <c r="C393" s="1" t="s">
        <v>652</v>
      </c>
      <c r="D393" s="1" t="s">
        <v>651</v>
      </c>
      <c r="E393" s="1" t="s">
        <v>653</v>
      </c>
      <c r="F393" s="1" t="s">
        <v>461</v>
      </c>
      <c r="G393" s="1" t="s">
        <v>115</v>
      </c>
    </row>
    <row r="394" spans="1:7" ht="57" hidden="1" x14ac:dyDescent="0.45">
      <c r="A394" s="1" t="s">
        <v>1199</v>
      </c>
      <c r="B394" s="1">
        <v>6026</v>
      </c>
      <c r="C394" s="1" t="s">
        <v>649</v>
      </c>
      <c r="D394" s="1" t="s">
        <v>648</v>
      </c>
      <c r="E394" s="1" t="s">
        <v>650</v>
      </c>
      <c r="F394" s="1" t="s">
        <v>461</v>
      </c>
      <c r="G394" s="1" t="s">
        <v>115</v>
      </c>
    </row>
    <row r="395" spans="1:7" hidden="1" x14ac:dyDescent="0.45">
      <c r="A395" s="1" t="s">
        <v>1199</v>
      </c>
      <c r="B395" s="1">
        <v>6026</v>
      </c>
      <c r="C395" s="1" t="s">
        <v>646</v>
      </c>
      <c r="D395" s="1" t="s">
        <v>645</v>
      </c>
      <c r="E395" s="1" t="s">
        <v>647</v>
      </c>
      <c r="F395" s="1" t="s">
        <v>461</v>
      </c>
      <c r="G395" s="1" t="s">
        <v>115</v>
      </c>
    </row>
    <row r="396" spans="1:7" ht="42.75" hidden="1" x14ac:dyDescent="0.45">
      <c r="A396" s="1" t="s">
        <v>1199</v>
      </c>
      <c r="B396" s="1">
        <v>6070</v>
      </c>
      <c r="C396" s="1" t="s">
        <v>642</v>
      </c>
      <c r="D396" s="1" t="s">
        <v>641</v>
      </c>
      <c r="E396" s="1" t="s">
        <v>643</v>
      </c>
      <c r="F396" s="1" t="s">
        <v>461</v>
      </c>
      <c r="G396" s="1" t="s">
        <v>429</v>
      </c>
    </row>
    <row r="397" spans="1:7" ht="42.75" hidden="1" x14ac:dyDescent="0.45">
      <c r="A397" s="1" t="s">
        <v>1199</v>
      </c>
      <c r="B397" s="1">
        <v>6070</v>
      </c>
      <c r="C397" s="1" t="s">
        <v>639</v>
      </c>
      <c r="D397" s="1" t="s">
        <v>638</v>
      </c>
      <c r="E397" s="1" t="s">
        <v>640</v>
      </c>
      <c r="F397" s="1" t="s">
        <v>461</v>
      </c>
      <c r="G397" s="1" t="s">
        <v>429</v>
      </c>
    </row>
    <row r="398" spans="1:7" ht="28.5" hidden="1" x14ac:dyDescent="0.45">
      <c r="A398" s="1" t="s">
        <v>1199</v>
      </c>
      <c r="B398" s="1">
        <v>6070</v>
      </c>
      <c r="C398" s="1" t="s">
        <v>636</v>
      </c>
      <c r="D398" s="1" t="s">
        <v>635</v>
      </c>
      <c r="E398" s="1" t="s">
        <v>637</v>
      </c>
      <c r="F398" s="1" t="s">
        <v>461</v>
      </c>
      <c r="G398" s="1" t="s">
        <v>429</v>
      </c>
    </row>
    <row r="399" spans="1:7" ht="42.75" hidden="1" x14ac:dyDescent="0.45">
      <c r="A399" s="1" t="s">
        <v>1199</v>
      </c>
      <c r="B399" s="1">
        <v>6135</v>
      </c>
      <c r="C399" s="1" t="s">
        <v>632</v>
      </c>
      <c r="D399" s="1" t="s">
        <v>631</v>
      </c>
      <c r="E399" s="1" t="s">
        <v>633</v>
      </c>
      <c r="F399" s="1" t="s">
        <v>627</v>
      </c>
      <c r="G399" s="1" t="s">
        <v>297</v>
      </c>
    </row>
    <row r="400" spans="1:7" ht="42.75" hidden="1" x14ac:dyDescent="0.45">
      <c r="A400" s="1" t="s">
        <v>1199</v>
      </c>
      <c r="B400" s="1">
        <v>6135</v>
      </c>
      <c r="C400" s="1" t="s">
        <v>629</v>
      </c>
      <c r="D400" s="1" t="s">
        <v>628</v>
      </c>
      <c r="E400" s="1" t="s">
        <v>630</v>
      </c>
      <c r="F400" s="1" t="s">
        <v>627</v>
      </c>
      <c r="G400" s="1" t="s">
        <v>297</v>
      </c>
    </row>
    <row r="401" spans="1:7" ht="42.75" hidden="1" x14ac:dyDescent="0.45">
      <c r="A401" s="1" t="s">
        <v>1199</v>
      </c>
      <c r="B401" s="1">
        <v>5199</v>
      </c>
      <c r="C401" s="1" t="s">
        <v>601</v>
      </c>
      <c r="D401" s="1" t="s">
        <v>600</v>
      </c>
      <c r="E401" s="1" t="s">
        <v>602</v>
      </c>
      <c r="F401" s="1" t="s">
        <v>480</v>
      </c>
      <c r="G401" s="1" t="s">
        <v>397</v>
      </c>
    </row>
    <row r="402" spans="1:7" ht="42.75" hidden="1" x14ac:dyDescent="0.45">
      <c r="A402" s="1" t="s">
        <v>1199</v>
      </c>
      <c r="B402" s="1">
        <v>6070</v>
      </c>
      <c r="C402" s="1" t="s">
        <v>597</v>
      </c>
      <c r="D402" s="1" t="s">
        <v>596</v>
      </c>
      <c r="E402" s="1" t="s">
        <v>598</v>
      </c>
      <c r="F402" s="1" t="s">
        <v>461</v>
      </c>
      <c r="G402" s="1" t="s">
        <v>429</v>
      </c>
    </row>
    <row r="403" spans="1:7" ht="28.5" hidden="1" x14ac:dyDescent="0.45">
      <c r="A403" s="1" t="s">
        <v>1199</v>
      </c>
      <c r="B403" s="1">
        <v>6070</v>
      </c>
      <c r="C403" s="1" t="s">
        <v>594</v>
      </c>
      <c r="D403" s="1" t="s">
        <v>593</v>
      </c>
      <c r="E403" s="1" t="s">
        <v>595</v>
      </c>
      <c r="F403" s="1" t="s">
        <v>461</v>
      </c>
      <c r="G403" s="1" t="s">
        <v>429</v>
      </c>
    </row>
    <row r="404" spans="1:7" ht="42.75" hidden="1" x14ac:dyDescent="0.45">
      <c r="A404" s="1" t="s">
        <v>1199</v>
      </c>
      <c r="B404" s="1">
        <v>6070</v>
      </c>
      <c r="C404" s="1" t="s">
        <v>591</v>
      </c>
      <c r="D404" s="1" t="s">
        <v>590</v>
      </c>
      <c r="E404" s="1" t="s">
        <v>592</v>
      </c>
      <c r="F404" s="1" t="s">
        <v>461</v>
      </c>
      <c r="G404" s="1" t="s">
        <v>429</v>
      </c>
    </row>
    <row r="405" spans="1:7" ht="28.5" hidden="1" x14ac:dyDescent="0.45">
      <c r="A405" s="1" t="s">
        <v>1199</v>
      </c>
      <c r="B405" s="1">
        <v>6073</v>
      </c>
      <c r="C405" s="1" t="s">
        <v>587</v>
      </c>
      <c r="D405" s="1" t="s">
        <v>586</v>
      </c>
      <c r="E405" s="1" t="s">
        <v>588</v>
      </c>
      <c r="F405" s="1" t="s">
        <v>461</v>
      </c>
      <c r="G405" s="1" t="s">
        <v>437</v>
      </c>
    </row>
    <row r="406" spans="1:7" ht="28.5" hidden="1" x14ac:dyDescent="0.45">
      <c r="A406" s="1" t="s">
        <v>1199</v>
      </c>
      <c r="B406" s="1">
        <v>6073</v>
      </c>
      <c r="C406" s="1" t="s">
        <v>584</v>
      </c>
      <c r="D406" s="1" t="s">
        <v>583</v>
      </c>
      <c r="E406" s="1" t="s">
        <v>585</v>
      </c>
      <c r="F406" s="1" t="s">
        <v>461</v>
      </c>
      <c r="G406" s="1" t="s">
        <v>437</v>
      </c>
    </row>
    <row r="407" spans="1:7" ht="42.75" hidden="1" x14ac:dyDescent="0.45">
      <c r="A407" s="1" t="s">
        <v>1199</v>
      </c>
      <c r="B407" s="1">
        <v>6073</v>
      </c>
      <c r="C407" s="1" t="s">
        <v>581</v>
      </c>
      <c r="D407" s="1" t="s">
        <v>580</v>
      </c>
      <c r="E407" s="1" t="s">
        <v>582</v>
      </c>
      <c r="F407" s="1" t="s">
        <v>461</v>
      </c>
      <c r="G407" s="1" t="s">
        <v>437</v>
      </c>
    </row>
    <row r="408" spans="1:7" ht="285" hidden="1" x14ac:dyDescent="0.45">
      <c r="A408" s="1" t="s">
        <v>1199</v>
      </c>
      <c r="B408" s="1">
        <v>6077</v>
      </c>
      <c r="C408" s="1" t="s">
        <v>567</v>
      </c>
      <c r="D408" s="1" t="s">
        <v>566</v>
      </c>
      <c r="E408" s="1" t="s">
        <v>568</v>
      </c>
      <c r="F408" s="1" t="s">
        <v>565</v>
      </c>
      <c r="G408" s="1" t="s">
        <v>7</v>
      </c>
    </row>
    <row r="409" spans="1:7" ht="28.5" hidden="1" x14ac:dyDescent="0.45">
      <c r="A409" s="1" t="s">
        <v>1199</v>
      </c>
      <c r="B409" s="1">
        <v>6077</v>
      </c>
      <c r="C409" s="1" t="s">
        <v>563</v>
      </c>
      <c r="D409" s="1" t="s">
        <v>514</v>
      </c>
      <c r="E409" s="1" t="s">
        <v>564</v>
      </c>
      <c r="F409" s="1" t="s">
        <v>513</v>
      </c>
      <c r="G409" s="1" t="s">
        <v>7</v>
      </c>
    </row>
    <row r="410" spans="1:7" ht="28.5" hidden="1" x14ac:dyDescent="0.45">
      <c r="A410" s="1" t="s">
        <v>1199</v>
      </c>
      <c r="B410" s="1">
        <v>6077</v>
      </c>
      <c r="C410" s="1" t="s">
        <v>561</v>
      </c>
      <c r="D410" s="1" t="s">
        <v>514</v>
      </c>
      <c r="E410" s="1" t="s">
        <v>562</v>
      </c>
      <c r="F410" s="1" t="s">
        <v>513</v>
      </c>
      <c r="G410" s="1" t="s">
        <v>7</v>
      </c>
    </row>
    <row r="411" spans="1:7" ht="142.5" hidden="1" x14ac:dyDescent="0.45">
      <c r="A411" s="1" t="s">
        <v>1199</v>
      </c>
      <c r="B411" s="1">
        <v>6077</v>
      </c>
      <c r="C411" s="1" t="s">
        <v>559</v>
      </c>
      <c r="D411" s="1" t="s">
        <v>558</v>
      </c>
      <c r="E411" s="1" t="s">
        <v>560</v>
      </c>
      <c r="F411" s="1" t="s">
        <v>557</v>
      </c>
      <c r="G411" s="1" t="s">
        <v>7</v>
      </c>
    </row>
    <row r="412" spans="1:7" ht="28.5" hidden="1" x14ac:dyDescent="0.45">
      <c r="A412" s="1" t="s">
        <v>1199</v>
      </c>
      <c r="B412" s="1">
        <v>6077</v>
      </c>
      <c r="C412" s="1" t="s">
        <v>555</v>
      </c>
      <c r="D412" s="1" t="s">
        <v>514</v>
      </c>
      <c r="E412" s="1" t="s">
        <v>556</v>
      </c>
      <c r="F412" s="1" t="s">
        <v>513</v>
      </c>
      <c r="G412" s="1" t="s">
        <v>7</v>
      </c>
    </row>
    <row r="413" spans="1:7" ht="28.5" hidden="1" x14ac:dyDescent="0.45">
      <c r="A413" s="1" t="s">
        <v>1199</v>
      </c>
      <c r="B413" s="1">
        <v>6077</v>
      </c>
      <c r="C413" s="1" t="s">
        <v>553</v>
      </c>
      <c r="D413" s="1" t="s">
        <v>514</v>
      </c>
      <c r="E413" s="1" t="s">
        <v>554</v>
      </c>
      <c r="F413" s="1" t="s">
        <v>513</v>
      </c>
      <c r="G413" s="1" t="s">
        <v>7</v>
      </c>
    </row>
    <row r="414" spans="1:7" ht="28.5" hidden="1" x14ac:dyDescent="0.45">
      <c r="A414" s="1" t="s">
        <v>1199</v>
      </c>
      <c r="B414" s="1">
        <v>6077</v>
      </c>
      <c r="C414" s="1" t="s">
        <v>551</v>
      </c>
      <c r="D414" s="1" t="s">
        <v>514</v>
      </c>
      <c r="E414" s="1" t="s">
        <v>552</v>
      </c>
      <c r="F414" s="1" t="s">
        <v>513</v>
      </c>
      <c r="G414" s="1" t="s">
        <v>7</v>
      </c>
    </row>
    <row r="415" spans="1:7" ht="28.5" hidden="1" x14ac:dyDescent="0.45">
      <c r="A415" s="1" t="s">
        <v>1199</v>
      </c>
      <c r="B415" s="1">
        <v>6077</v>
      </c>
      <c r="C415" s="1" t="s">
        <v>549</v>
      </c>
      <c r="D415" s="1" t="s">
        <v>514</v>
      </c>
      <c r="E415" s="1" t="s">
        <v>550</v>
      </c>
      <c r="F415" s="1" t="s">
        <v>513</v>
      </c>
      <c r="G415" s="1" t="s">
        <v>7</v>
      </c>
    </row>
    <row r="416" spans="1:7" ht="28.5" hidden="1" x14ac:dyDescent="0.45">
      <c r="A416" s="1" t="s">
        <v>1199</v>
      </c>
      <c r="B416" s="1">
        <v>6077</v>
      </c>
      <c r="C416" s="1" t="s">
        <v>547</v>
      </c>
      <c r="D416" s="1" t="s">
        <v>514</v>
      </c>
      <c r="E416" s="1" t="s">
        <v>548</v>
      </c>
      <c r="F416" s="1" t="s">
        <v>513</v>
      </c>
      <c r="G416" s="1" t="s">
        <v>7</v>
      </c>
    </row>
    <row r="417" spans="1:7" ht="28.5" hidden="1" x14ac:dyDescent="0.45">
      <c r="A417" s="1" t="s">
        <v>1199</v>
      </c>
      <c r="B417" s="1">
        <v>6077</v>
      </c>
      <c r="C417" s="1" t="s">
        <v>545</v>
      </c>
      <c r="D417" s="1" t="s">
        <v>544</v>
      </c>
      <c r="E417" s="1" t="s">
        <v>546</v>
      </c>
      <c r="F417" s="1" t="s">
        <v>513</v>
      </c>
      <c r="G417" s="1" t="s">
        <v>7</v>
      </c>
    </row>
    <row r="418" spans="1:7" ht="28.5" hidden="1" x14ac:dyDescent="0.45">
      <c r="A418" s="1" t="s">
        <v>1199</v>
      </c>
      <c r="B418" s="1">
        <v>6077</v>
      </c>
      <c r="C418" s="1" t="s">
        <v>545</v>
      </c>
      <c r="D418" s="1" t="s">
        <v>544</v>
      </c>
      <c r="E418" s="1" t="s">
        <v>546</v>
      </c>
      <c r="F418" s="1" t="s">
        <v>543</v>
      </c>
      <c r="G418" s="1" t="s">
        <v>7</v>
      </c>
    </row>
    <row r="419" spans="1:7" ht="28.5" hidden="1" x14ac:dyDescent="0.45">
      <c r="A419" s="1" t="s">
        <v>1199</v>
      </c>
      <c r="B419" s="1">
        <v>6077</v>
      </c>
      <c r="C419" s="1" t="s">
        <v>541</v>
      </c>
      <c r="D419" s="1" t="s">
        <v>514</v>
      </c>
      <c r="E419" s="1" t="s">
        <v>542</v>
      </c>
      <c r="F419" s="1" t="s">
        <v>513</v>
      </c>
      <c r="G419" s="1" t="s">
        <v>7</v>
      </c>
    </row>
    <row r="420" spans="1:7" ht="57" hidden="1" x14ac:dyDescent="0.45">
      <c r="A420" s="1" t="s">
        <v>1199</v>
      </c>
      <c r="B420" s="1">
        <v>6077</v>
      </c>
      <c r="C420" s="1" t="s">
        <v>539</v>
      </c>
      <c r="D420" s="1" t="s">
        <v>538</v>
      </c>
      <c r="E420" s="1" t="s">
        <v>540</v>
      </c>
      <c r="F420" s="1" t="s">
        <v>537</v>
      </c>
      <c r="G420" s="1" t="s">
        <v>7</v>
      </c>
    </row>
    <row r="421" spans="1:7" ht="28.5" hidden="1" x14ac:dyDescent="0.45">
      <c r="A421" s="1" t="s">
        <v>1199</v>
      </c>
      <c r="B421" s="1">
        <v>6077</v>
      </c>
      <c r="C421" s="1" t="s">
        <v>535</v>
      </c>
      <c r="D421" s="1" t="s">
        <v>514</v>
      </c>
      <c r="E421" s="1" t="s">
        <v>536</v>
      </c>
      <c r="F421" s="1" t="s">
        <v>513</v>
      </c>
      <c r="G421" s="1" t="s">
        <v>7</v>
      </c>
    </row>
    <row r="422" spans="1:7" ht="28.5" hidden="1" x14ac:dyDescent="0.45">
      <c r="A422" s="1" t="s">
        <v>1199</v>
      </c>
      <c r="B422" s="1">
        <v>6077</v>
      </c>
      <c r="C422" s="1" t="s">
        <v>533</v>
      </c>
      <c r="D422" s="1" t="s">
        <v>514</v>
      </c>
      <c r="E422" s="1" t="s">
        <v>534</v>
      </c>
      <c r="F422" s="1" t="s">
        <v>513</v>
      </c>
      <c r="G422" s="1" t="s">
        <v>7</v>
      </c>
    </row>
    <row r="423" spans="1:7" ht="28.5" hidden="1" x14ac:dyDescent="0.45">
      <c r="A423" s="1" t="s">
        <v>1199</v>
      </c>
      <c r="B423" s="1">
        <v>6077</v>
      </c>
      <c r="C423" s="1" t="s">
        <v>531</v>
      </c>
      <c r="D423" s="1" t="s">
        <v>514</v>
      </c>
      <c r="E423" s="1" t="s">
        <v>532</v>
      </c>
      <c r="F423" s="1" t="s">
        <v>513</v>
      </c>
      <c r="G423" s="1" t="s">
        <v>7</v>
      </c>
    </row>
    <row r="424" spans="1:7" ht="171" hidden="1" x14ac:dyDescent="0.45">
      <c r="A424" s="1" t="s">
        <v>1199</v>
      </c>
      <c r="B424" s="1">
        <v>6077</v>
      </c>
      <c r="C424" s="1" t="s">
        <v>529</v>
      </c>
      <c r="D424" s="1" t="s">
        <v>528</v>
      </c>
      <c r="E424" s="1" t="s">
        <v>530</v>
      </c>
      <c r="F424" s="1" t="s">
        <v>527</v>
      </c>
      <c r="G424" s="1" t="s">
        <v>7</v>
      </c>
    </row>
    <row r="425" spans="1:7" ht="57" hidden="1" x14ac:dyDescent="0.45">
      <c r="A425" s="1" t="s">
        <v>1199</v>
      </c>
      <c r="B425" s="1">
        <v>6077</v>
      </c>
      <c r="C425" s="1" t="s">
        <v>525</v>
      </c>
      <c r="D425" s="1" t="s">
        <v>524</v>
      </c>
      <c r="E425" s="1" t="s">
        <v>526</v>
      </c>
      <c r="F425" s="1" t="s">
        <v>523</v>
      </c>
      <c r="G425" s="1" t="s">
        <v>7</v>
      </c>
    </row>
    <row r="426" spans="1:7" ht="28.5" hidden="1" x14ac:dyDescent="0.45">
      <c r="A426" s="1" t="s">
        <v>1199</v>
      </c>
      <c r="B426" s="1">
        <v>6077</v>
      </c>
      <c r="C426" s="1" t="s">
        <v>521</v>
      </c>
      <c r="D426" s="1" t="s">
        <v>514</v>
      </c>
      <c r="E426" s="1" t="s">
        <v>522</v>
      </c>
      <c r="F426" s="1" t="s">
        <v>513</v>
      </c>
      <c r="G426" s="1" t="s">
        <v>7</v>
      </c>
    </row>
    <row r="427" spans="1:7" ht="28.5" hidden="1" x14ac:dyDescent="0.45">
      <c r="A427" s="1" t="s">
        <v>1199</v>
      </c>
      <c r="B427" s="1">
        <v>6077</v>
      </c>
      <c r="C427" s="1" t="s">
        <v>519</v>
      </c>
      <c r="D427" s="1" t="s">
        <v>514</v>
      </c>
      <c r="E427" s="1" t="s">
        <v>520</v>
      </c>
      <c r="F427" s="1" t="s">
        <v>513</v>
      </c>
      <c r="G427" s="1" t="s">
        <v>7</v>
      </c>
    </row>
    <row r="428" spans="1:7" ht="28.5" hidden="1" x14ac:dyDescent="0.45">
      <c r="A428" s="1" t="s">
        <v>1199</v>
      </c>
      <c r="B428" s="1">
        <v>6077</v>
      </c>
      <c r="C428" s="1" t="s">
        <v>517</v>
      </c>
      <c r="D428" s="1" t="s">
        <v>514</v>
      </c>
      <c r="E428" s="1" t="s">
        <v>518</v>
      </c>
      <c r="F428" s="1" t="s">
        <v>513</v>
      </c>
      <c r="G428" s="1" t="s">
        <v>7</v>
      </c>
    </row>
    <row r="429" spans="1:7" ht="28.5" hidden="1" x14ac:dyDescent="0.45">
      <c r="A429" s="1" t="s">
        <v>1199</v>
      </c>
      <c r="B429" s="1">
        <v>6077</v>
      </c>
      <c r="C429" s="1" t="s">
        <v>515</v>
      </c>
      <c r="D429" s="1" t="s">
        <v>514</v>
      </c>
      <c r="E429" s="1" t="s">
        <v>516</v>
      </c>
      <c r="F429" s="1" t="s">
        <v>513</v>
      </c>
      <c r="G429" s="1" t="s">
        <v>7</v>
      </c>
    </row>
  </sheetData>
  <autoFilter ref="A1:D429" xr:uid="{9CE7D081-C29B-484D-9B83-75ADA3444ACB}">
    <filterColumn colId="0">
      <customFilters>
        <customFilter operator="greaterThan" val="5999"/>
      </customFilters>
    </filterColumn>
  </autoFilter>
  <sortState xmlns:xlrd2="http://schemas.microsoft.com/office/spreadsheetml/2017/richdata2" ref="A2:H429">
    <sortCondition ref="A2:A429"/>
  </sortState>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Sesar_materials_vocabulary-uniq</vt:lpstr>
      <vt:lpstr>Sesar_materials_vocabulary-all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Richard</dc:creator>
  <cp:lastModifiedBy>Stephen Richard</cp:lastModifiedBy>
  <dcterms:created xsi:type="dcterms:W3CDTF">2024-12-13T00:45:32Z</dcterms:created>
  <dcterms:modified xsi:type="dcterms:W3CDTF">2024-12-15T00:25:38Z</dcterms:modified>
</cp:coreProperties>
</file>