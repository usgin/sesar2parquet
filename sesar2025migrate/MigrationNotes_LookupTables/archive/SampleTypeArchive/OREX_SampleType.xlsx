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944a82e2ddcde9eb/Documents/GithubC/IEDA/sesar2/MigrationNotes_LookupTables/SampleType/"/>
    </mc:Choice>
  </mc:AlternateContent>
  <xr:revisionPtr revIDLastSave="4" documentId="13_ncr:1_{AA48187F-A21F-4A03-979C-6AD4DB795B87}" xr6:coauthVersionLast="47" xr6:coauthVersionMax="47" xr10:uidLastSave="{570AB9E0-C1E3-4D73-BBCB-890B9A339701}"/>
  <bookViews>
    <workbookView xWindow="270" yWindow="1455" windowWidth="26385" windowHeight="13845" xr2:uid="{05DA30BF-8CDD-4D53-B62B-A16696A45530}"/>
  </bookViews>
  <sheets>
    <sheet name="sampleTyp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 i="1" l="1"/>
  <c r="B19" i="1"/>
</calcChain>
</file>

<file path=xl/sharedStrings.xml><?xml version="1.0" encoding="utf-8"?>
<sst xmlns="http://schemas.openxmlformats.org/spreadsheetml/2006/main" count="226" uniqueCount="164">
  <si>
    <t xml:space="preserve"> </t>
  </si>
  <si>
    <t>dct:source(separator=",")</t>
  </si>
  <si>
    <t>dct:modified^^xsd:date</t>
  </si>
  <si>
    <t>dct:created^^xsd:date</t>
  </si>
  <si>
    <t>skos:editorialNote@en</t>
  </si>
  <si>
    <t>dct:contributor(separator=",")</t>
  </si>
  <si>
    <t>dct:creator(separator=",")</t>
  </si>
  <si>
    <t>owl:deprecated^^xsd:boolean</t>
  </si>
  <si>
    <t>skos:broaderTransitive</t>
  </si>
  <si>
    <t>skos:broadMatch(separator=",")</t>
  </si>
  <si>
    <t>skos:closeMatch(separator=",")</t>
  </si>
  <si>
    <t>skos:exactMatch(separator=",")</t>
  </si>
  <si>
    <t>skos:broader(separator=",")</t>
  </si>
  <si>
    <t>skos:altLabel(separator=",")</t>
  </si>
  <si>
    <t>skos:definition@en</t>
  </si>
  <si>
    <t>skos:prefLabel@en</t>
  </si>
  <si>
    <t>Identifier</t>
  </si>
  <si>
    <t>Identifier if poss.</t>
  </si>
  <si>
    <t>ISO 8601</t>
  </si>
  <si>
    <t>ORCID or identifier</t>
  </si>
  <si>
    <t>must be "True"  "False", or empty</t>
  </si>
  <si>
    <t>allows indirect inferencing of skos:broader relations</t>
  </si>
  <si>
    <t>hierarchical mapping between two concepts</t>
  </si>
  <si>
    <t>can be used interchangeably in some retrieval applications</t>
  </si>
  <si>
    <t>can be used across wide range of applications</t>
  </si>
  <si>
    <t xml:space="preserve">direct hierarchical non-transitive relationship </t>
  </si>
  <si>
    <t>synonyms</t>
  </si>
  <si>
    <t>A long definition</t>
  </si>
  <si>
    <t>A short label</t>
  </si>
  <si>
    <t>Provenance</t>
  </si>
  <si>
    <t>Mapping and Relations</t>
  </si>
  <si>
    <t>Definition of terms</t>
  </si>
  <si>
    <t>To use opaque identifiers (considered a best semantic process by many), change the calculation in column A to generate random numbers for the final fragment. (Warrning: Hard to use for inexperienced users.)</t>
  </si>
  <si>
    <t>In this spreadsheet, the identifier column gets filled out automatically from the skos:prefLabel column. You can choose to replace any of the auto-generated identifiers.</t>
  </si>
  <si>
    <t>Extend the equation in column A down to include all the rows that are filled out. Verify that any special characters in the prefLabel are replaced by hyphens or other IRI-compatible ASCII characters.</t>
  </si>
  <si>
    <t>Replace cells B1, B2 and C2, and B5 through B12; B11 and B12 should be updated with every modification). (As well as these comments, if desired.)</t>
  </si>
  <si>
    <t>Comments may be placed in this section of the spreadsheet, which can expand to fill more rows. The converter recognizes where the Identifier line starts.</t>
  </si>
  <si>
    <t>Comments re terms section</t>
  </si>
  <si>
    <t>Date when vocabulary was last updated. Can also use pav:updated. To automatically update when a Google sheet vocabulary is updated, the equation  "=TO_TEXT(SUBSTITUTE(SUBSTITUTE(NOW(); "."; "-");" ";"T")&amp;"+00:00")" may be used In Excel, use =TEXT(NOW(),"yyyy-mm-ddThh:MM:ss").  (may not be compatible with every country, and may also updtate when someone is just reading the vocabulary.)</t>
  </si>
  <si>
    <t>dct:modified^^xsd:datetime</t>
  </si>
  <si>
    <t>Date when vocabulary was initially created. (Can also use pav:modified. The timezone gives a geospatial hint of the source.</t>
  </si>
  <si>
    <t>2022-06-01T00:00:00+00:00</t>
  </si>
  <si>
    <t>dct:created^^xsd:datetime</t>
  </si>
  <si>
    <t>Vocabulary version string (semantic versioning is encouraged). Can also use pav:version.</t>
  </si>
  <si>
    <t>dct:hasVersion^^xsd:string</t>
  </si>
  <si>
    <t>License under which the vocabulary is provided</t>
  </si>
  <si>
    <t>https://spdx.org/licenses/CC0-1.0</t>
  </si>
  <si>
    <t>dct:rights</t>
  </si>
  <si>
    <t>An ORCID ID (or other persistent globally unique persistent resolvable identifier) of the vocabulary creator.  For multiple contributors, use multiple lines.</t>
  </si>
  <si>
    <t>dct:creator</t>
  </si>
  <si>
    <t>Home page of this vocabulary—it should point back to this vocabulary</t>
  </si>
  <si>
    <t>foaf:homepage</t>
  </si>
  <si>
    <t>Detailed description of the vocabulary. Saying something about the project, the funder, and the intended application is recommended.</t>
  </si>
  <si>
    <t>dct:description</t>
  </si>
  <si>
    <t>Title of the vocabulary. These are duplicate so that different systems can all know the title.</t>
  </si>
  <si>
    <t>skos:prefLabel</t>
  </si>
  <si>
    <t>Title of the vocabulary</t>
  </si>
  <si>
    <t>dct:title</t>
  </si>
  <si>
    <t>Metadata about vocabulary</t>
  </si>
  <si>
    <r>
      <t xml:space="preserve">Prefix for </t>
    </r>
    <r>
      <rPr>
        <b/>
        <i/>
        <sz val="12"/>
        <color rgb="FF000000"/>
        <rFont val="Helvetica Neue"/>
        <family val="2"/>
      </rPr>
      <t>Dublin Core (Terms) Ontology</t>
    </r>
    <r>
      <rPr>
        <i/>
        <sz val="12"/>
        <color rgb="FF000000"/>
        <rFont val="Helvetica Neue"/>
        <family val="2"/>
      </rPr>
      <t xml:space="preserve"> which provides properties such as </t>
    </r>
    <r>
      <rPr>
        <i/>
        <u/>
        <sz val="12"/>
        <color rgb="FF000000"/>
        <rFont val="Helvetica Neue"/>
        <family val="2"/>
      </rPr>
      <t>title</t>
    </r>
    <r>
      <rPr>
        <i/>
        <sz val="12"/>
        <color rgb="FF000000"/>
        <rFont val="Helvetica Neue"/>
        <family val="2"/>
      </rPr>
      <t xml:space="preserve">, </t>
    </r>
    <r>
      <rPr>
        <i/>
        <u/>
        <sz val="12"/>
        <color rgb="FF000000"/>
        <rFont val="Helvetica Neue"/>
        <family val="2"/>
      </rPr>
      <t>description</t>
    </r>
    <r>
      <rPr>
        <i/>
        <sz val="12"/>
        <color rgb="FF000000"/>
        <rFont val="Helvetica Neue"/>
        <family val="2"/>
      </rPr>
      <t xml:space="preserve">, </t>
    </r>
    <r>
      <rPr>
        <i/>
        <u/>
        <sz val="12"/>
        <color rgb="FF000000"/>
        <rFont val="Helvetica Neue"/>
        <family val="2"/>
      </rPr>
      <t>rights</t>
    </r>
    <r>
      <rPr>
        <i/>
        <sz val="12"/>
        <color rgb="FF000000"/>
        <rFont val="Helvetica Neue"/>
        <family val="2"/>
      </rPr>
      <t xml:space="preserve">, </t>
    </r>
    <r>
      <rPr>
        <i/>
        <u/>
        <sz val="12"/>
        <color rgb="FF000000"/>
        <rFont val="Helvetica Neue"/>
        <family val="2"/>
      </rPr>
      <t>source</t>
    </r>
    <r>
      <rPr>
        <i/>
        <sz val="12"/>
        <color rgb="FF000000"/>
        <rFont val="Helvetica Neue"/>
        <family val="2"/>
      </rPr>
      <t>, etc. we will use to describe our controlled vocabulary as well to define its terms</t>
    </r>
  </si>
  <si>
    <t>http://xmlns.com/foaf/0.1/</t>
  </si>
  <si>
    <t>foaf</t>
  </si>
  <si>
    <t>PREFIX</t>
  </si>
  <si>
    <t xml:space="preserve">http://purl.org/dc/terms/ </t>
  </si>
  <si>
    <t>dct</t>
  </si>
  <si>
    <r>
      <t xml:space="preserve">Prefix for </t>
    </r>
    <r>
      <rPr>
        <b/>
        <i/>
        <sz val="12"/>
        <color rgb="FF000000"/>
        <rFont val="Helvetica Neue"/>
        <family val="2"/>
      </rPr>
      <t>Provenance, Authoring and Versioning Onotlogy</t>
    </r>
    <r>
      <rPr>
        <i/>
        <sz val="12"/>
        <color rgb="FF000000"/>
        <rFont val="Helvetica Neue"/>
        <family val="2"/>
      </rPr>
      <t xml:space="preserve"> which provides properties such as </t>
    </r>
    <r>
      <rPr>
        <i/>
        <u/>
        <sz val="12"/>
        <color rgb="FF000000"/>
        <rFont val="Helvetica Neue"/>
        <family val="2"/>
      </rPr>
      <t>version</t>
    </r>
    <r>
      <rPr>
        <i/>
        <sz val="12"/>
        <color rgb="FF000000"/>
        <rFont val="Helvetica Neue"/>
        <family val="2"/>
      </rPr>
      <t xml:space="preserve"> and </t>
    </r>
    <r>
      <rPr>
        <i/>
        <u/>
        <sz val="12"/>
        <color rgb="FF000000"/>
        <rFont val="Helvetica Neue"/>
        <family val="2"/>
      </rPr>
      <t>createdOn</t>
    </r>
    <r>
      <rPr>
        <i/>
        <sz val="12"/>
        <color rgb="FF000000"/>
        <rFont val="Helvetica Neue"/>
        <family val="2"/>
      </rPr>
      <t xml:space="preserve"> we will use to describe our controlled vocabulary</t>
    </r>
  </si>
  <si>
    <t xml:space="preserve">http://purl.org/pav/ </t>
  </si>
  <si>
    <t>pav</t>
  </si>
  <si>
    <r>
      <t xml:space="preserve">Prefix for the </t>
    </r>
    <r>
      <rPr>
        <b/>
        <i/>
        <sz val="12"/>
        <color rgb="FF000000"/>
        <rFont val="Helvetica Neue"/>
        <family val="2"/>
      </rPr>
      <t>SKOS Ontology</t>
    </r>
    <r>
      <rPr>
        <i/>
        <sz val="12"/>
        <color rgb="FF000000"/>
        <rFont val="Helvetica Neue"/>
        <family val="2"/>
      </rPr>
      <t xml:space="preserve"> is which our base for definingour  SKOS-based controlled vocabulary</t>
    </r>
  </si>
  <si>
    <t>http://www.w3.org/2004/02/skos/core#</t>
  </si>
  <si>
    <t>skos</t>
  </si>
  <si>
    <t xml:space="preserve">This will be the namespace of the vocabulary—note that mimics the Main identifier but includes a '/' at the end so as to join the fragment gracefully.  </t>
  </si>
  <si>
    <t>Prefixes let us abbreviate these loing IRIs in the body of the document.</t>
  </si>
  <si>
    <t>Prefixes for controlled vocabularies, schema and ontologies</t>
  </si>
  <si>
    <t>Comments</t>
  </si>
  <si>
    <t>Main identifier that identifies this vocabulary. Preference is to use PURLs, W3IDs, or IRIs bespoke for this purpose, as they provide permanent resolvable identifiers.</t>
  </si>
  <si>
    <t>ConceptScheme URI</t>
  </si>
  <si>
    <t>Samples that have a polished surface suitable for various microanalysis techniques</t>
  </si>
  <si>
    <t>Samples that do not have a polished surface</t>
  </si>
  <si>
    <t>Non-polished sample type</t>
  </si>
  <si>
    <t>https://purl.org/orex/voc/sampletype</t>
  </si>
  <si>
    <t>samtyp</t>
  </si>
  <si>
    <t>samtyp:powder</t>
  </si>
  <si>
    <t>samtyp:aggregate</t>
  </si>
  <si>
    <t>samtyp:chip</t>
  </si>
  <si>
    <t>samtyp:particle</t>
  </si>
  <si>
    <t>samtyp:liquid</t>
  </si>
  <si>
    <t>samtyp:fibsection</t>
  </si>
  <si>
    <t>samtyp:atomprobetip</t>
  </si>
  <si>
    <t>samtyp:residue</t>
  </si>
  <si>
    <t>samtyp:nonpolishedsampletype</t>
  </si>
  <si>
    <t>samtyp:thinsection</t>
  </si>
  <si>
    <t>samtyp:thicksection</t>
  </si>
  <si>
    <t>samtyp:pottedbutt</t>
  </si>
  <si>
    <t>samtyp:pressedgrainsepoxy</t>
  </si>
  <si>
    <t>samtyp:pressedgrainsmetal</t>
  </si>
  <si>
    <t>FIB section</t>
  </si>
  <si>
    <t>Powder</t>
  </si>
  <si>
    <t>Chip</t>
  </si>
  <si>
    <t>Particle</t>
  </si>
  <si>
    <t>Liquid</t>
  </si>
  <si>
    <t>Atom probe tip</t>
  </si>
  <si>
    <t>Microtome slice</t>
  </si>
  <si>
    <t>Residue</t>
  </si>
  <si>
    <t>Thin section</t>
  </si>
  <si>
    <t>Thick section</t>
  </si>
  <si>
    <t>Potted butt</t>
  </si>
  <si>
    <t>Pressed grains in metal</t>
  </si>
  <si>
    <t>A chip is a piece intentionally broken off a particle or a piece that is observed and documented to have broken off a particle.</t>
  </si>
  <si>
    <t>Fines</t>
  </si>
  <si>
    <t>samtyp:fines</t>
  </si>
  <si>
    <t>Powders are samples that have been intentionally modified to reduce the average particle size. Powders can be generated by pulverizing particles, chips, and/or aggregate samples.</t>
  </si>
  <si>
    <t>A collections of particles that have not been intentionally modified. The particles in aggregate samples do not necessarily have any relationship to each other aside from being returned OSIRIS-REx material.</t>
  </si>
  <si>
    <t>samtyp:unmodifiedaggregate</t>
  </si>
  <si>
    <t>Unmodified aggregate</t>
  </si>
  <si>
    <t>Aggregate sample</t>
  </si>
  <si>
    <t>samples include numerous particles (a greater number than can feasibly be counted) that are not consolidated or competently adhering to each other.</t>
  </si>
  <si>
    <t>A collection of particles separated from an aggregate sample to concentrate fine-grained material.</t>
  </si>
  <si>
    <t>Polished potted butt</t>
  </si>
  <si>
    <t>A potted butt from which it is not possible to make a thin or thick section of any particle, so polished and used as the primary sample preparation and holder for in situ analyses.</t>
  </si>
  <si>
    <t>samtyp:polishedpottedbutt</t>
  </si>
  <si>
    <t>samtyp:polishedsample</t>
  </si>
  <si>
    <t>Polished sample</t>
  </si>
  <si>
    <t>samtyp:polishedsample, samtyp:pottedbutt</t>
  </si>
  <si>
    <t>Material sample</t>
  </si>
  <si>
    <t>samtyp:materialsample</t>
  </si>
  <si>
    <t>Samples mounted onto a glass slide and polished to a thickness of ~30 µm. Thin sections made at JSC are polished on both sides (the side adhered to the glass with epoxy and the exposed side).</t>
  </si>
  <si>
    <t>Samples may be polished on only one side. The sample thickness is greater than a standard thin section (~30 µm) – the desired thickness should be specified. Thick sections are typically mounted onto a glass slide when prepared at JSC thick sections on a glass slide are polished on both sides.</t>
  </si>
  <si>
    <t>One or more particles mounted in epoxy and polished on one exposed side.</t>
  </si>
  <si>
    <t>One or more particles mounted in metal and polished on one exposed side.</t>
  </si>
  <si>
    <t>A tiny piece of sample milled out of a polished sample with a focused ion beam (FIB).</t>
  </si>
  <si>
    <t>samtyp:temgrid</t>
  </si>
  <si>
    <t xml:space="preserve">FIB sections and microtome slices are commonly set onto small grids for handling, transport, and analysis of these delicate and ultra-thin samples in a transmission electron microscope (TEM). While the grids are not samples themselves, if one or more FIB section or microtome slices are attached to the same grid, the grid itself will be given a single sample identifier (similar to how there are multiple grains in a grain mount, but they are not given individual sample IDs). </t>
  </si>
  <si>
    <t>TEM grid mount</t>
  </si>
  <si>
    <t>samtyp:microtomeslice</t>
  </si>
  <si>
    <t>A microtome slice is a very thin slice of material prepared by cutting a particle embedded in an epoxy bullet into numerous slices with a ultramicrotome. Multiple slices are typically mounted onto a single TEM grid, and the grid will be given a single sample name. Individual slices are rarely assigned identifiers.</t>
  </si>
  <si>
    <t xml:space="preserve">One or more particles mounted in epoxy from which multiple thin or thick sections can be made. </t>
  </si>
  <si>
    <t>any material sample from the O-REx sample return collection. Top concept of sample type classification.</t>
  </si>
  <si>
    <t xml:space="preserve">A particle is a competent individual, non-polished or mounted sample of any size; an individual piece of rock, either broken or cut from a larger piece, or as recovered from the sample return. </t>
  </si>
  <si>
    <t>Solution that a solid sample has been extracted into.</t>
  </si>
  <si>
    <t>Wash liquid</t>
  </si>
  <si>
    <t>Eluate liquid</t>
  </si>
  <si>
    <t>samtyp:washliquid</t>
  </si>
  <si>
    <t>samtyp:eluateliquid</t>
  </si>
  <si>
    <t>The water portion resulting from cation-exchange purification of a liquid sample.</t>
  </si>
  <si>
    <t>The base portion resulting from cation-exchange purification of a liquid sample.</t>
  </si>
  <si>
    <t>Witness plate</t>
  </si>
  <si>
    <t>samtyp:witnessplate</t>
  </si>
  <si>
    <t>Pressed grains in epoxy</t>
  </si>
  <si>
    <t>Witness plates include aluminum metal and sapphire plates flown with the spacecraft on the TAGSAM head and inside the sample canister. In addition, witness plates include aluminum foils and silicon wafers deployed during assembly, testing and launch operations (ATLO), curation lab monitoring, and/or sample processing.</t>
  </si>
  <si>
    <t>Atom probe tips are needle-shaped samples milled out of samples with a focused ion beam (FIB).</t>
  </si>
  <si>
    <t>solid material leftover after dissolution of samples and subsequent chemical processing.</t>
  </si>
  <si>
    <t>https://osiris-rex.atlassian.net/wiki/spaces/OREXSAMPLE/pages/410288138</t>
  </si>
  <si>
    <t>&lt;https://w3id.org/isample/vocabulary/specimentype/0.9/othersolidobject&gt;</t>
  </si>
  <si>
    <t>&lt;https://w3id.org/isample/vocabulary/specimentype/0.9/liquidorgas&gt;</t>
  </si>
  <si>
    <t>&lt;https://w3id.org/isample/vocabulary/specimentype/0.9/analyticalpreparation&gt;</t>
  </si>
  <si>
    <t>&lt;https://w3id.org/isample/vocabulary/specimentype/0.9/physicalspecimen&gt;</t>
  </si>
  <si>
    <t>Sample type categories for OSIRIS-REx sample analysis</t>
  </si>
  <si>
    <t>Compiled from JSC-SAMIS Interface control document</t>
  </si>
  <si>
    <t>0.2.0</t>
  </si>
  <si>
    <t>https://orcid.org/0000-0001-6041-5302</t>
  </si>
  <si>
    <t>Mathilde Westermann</t>
  </si>
  <si>
    <t>Carina Bennett</t>
  </si>
  <si>
    <t>&lt;https://w3id.org/isample/vocabulary/specimentype/0.9/genericaggregation&gt;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</si>
</sst>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
    </font>
    <font>
      <sz val="12"/>
      <color theme="1"/>
      <name val="Helvetica"/>
      <family val="2"/>
    </font>
    <font>
      <u/>
      <sz val="12"/>
      <color rgb="FF0000FF"/>
      <name val="Helvetica"/>
      <family val="2"/>
    </font>
    <font>
      <b/>
      <sz val="12"/>
      <color theme="1"/>
      <name val="Helvetica Neue"/>
      <family val="2"/>
    </font>
    <font>
      <b/>
      <sz val="12"/>
      <color theme="1"/>
      <name val="Helvetica"/>
      <family val="2"/>
    </font>
    <font>
      <sz val="12"/>
      <color theme="1"/>
      <name val="Arial"/>
      <family val="2"/>
    </font>
    <font>
      <sz val="12"/>
      <color theme="1"/>
      <name val="Helvetica Neue"/>
      <family val="2"/>
    </font>
    <font>
      <b/>
      <sz val="14"/>
      <color theme="1"/>
      <name val="Helvetica Neue"/>
      <family val="2"/>
    </font>
    <font>
      <b/>
      <sz val="16"/>
      <color theme="1"/>
      <name val="Helvetica Neue"/>
      <family val="2"/>
    </font>
    <font>
      <i/>
      <sz val="12"/>
      <color rgb="FF000000"/>
      <name val="Helvetica Neue"/>
      <family val="2"/>
    </font>
    <font>
      <i/>
      <sz val="12"/>
      <color theme="1"/>
      <name val="Helvetica Neue"/>
      <family val="2"/>
    </font>
    <font>
      <u/>
      <sz val="12"/>
      <color theme="10"/>
      <name val="Arial"/>
      <family val="2"/>
    </font>
    <font>
      <b/>
      <i/>
      <sz val="12"/>
      <color rgb="FF000000"/>
      <name val="Helvetica Neue"/>
      <family val="2"/>
    </font>
    <font>
      <i/>
      <u/>
      <sz val="12"/>
      <color rgb="FF000000"/>
      <name val="Helvetica Neue"/>
      <family val="2"/>
    </font>
    <font>
      <sz val="13"/>
      <color rgb="FF000000"/>
      <name val="Roboto"/>
    </font>
    <font>
      <sz val="12"/>
      <color theme="1"/>
      <name val="Calibri"/>
      <family val="2"/>
    </font>
    <font>
      <b/>
      <i/>
      <sz val="12"/>
      <color theme="1"/>
      <name val="Helvetica"/>
      <family val="2"/>
    </font>
    <font>
      <sz val="12"/>
      <color theme="1"/>
      <name val="Helvetica"/>
    </font>
    <font>
      <sz val="12"/>
      <color theme="1"/>
      <name val="Helvetica Neue"/>
    </font>
    <font>
      <sz val="12"/>
      <color theme="10"/>
      <name val="Arial"/>
      <family val="2"/>
    </font>
  </fonts>
  <fills count="18">
    <fill>
      <patternFill patternType="none"/>
    </fill>
    <fill>
      <patternFill patternType="gray125"/>
    </fill>
    <fill>
      <patternFill patternType="solid">
        <fgColor rgb="FFF6DFDB"/>
        <bgColor indexed="64"/>
      </patternFill>
    </fill>
    <fill>
      <patternFill patternType="solid">
        <fgColor rgb="FFF6DFDB"/>
        <bgColor rgb="FFB6DDE8"/>
      </patternFill>
    </fill>
    <fill>
      <patternFill patternType="solid">
        <fgColor theme="9" tint="0.79998168889431442"/>
        <bgColor rgb="FFB6DDE8"/>
      </patternFill>
    </fill>
    <fill>
      <patternFill patternType="solid">
        <fgColor rgb="FFB6DDE8"/>
        <bgColor rgb="FFB6DDE8"/>
      </patternFill>
    </fill>
    <fill>
      <patternFill patternType="solid">
        <fgColor theme="7" tint="0.59999389629810485"/>
        <bgColor rgb="FFB6DDE8"/>
      </patternFill>
    </fill>
    <fill>
      <patternFill patternType="solid">
        <fgColor rgb="FFE8B789"/>
        <bgColor indexed="64"/>
      </patternFill>
    </fill>
    <fill>
      <patternFill patternType="solid">
        <fgColor rgb="FFE8B789"/>
        <bgColor rgb="FFC4BD97"/>
      </patternFill>
    </fill>
    <fill>
      <patternFill patternType="solid">
        <fgColor theme="9" tint="0.59999389629810485"/>
        <bgColor rgb="FFC4BD97"/>
      </patternFill>
    </fill>
    <fill>
      <patternFill patternType="solid">
        <fgColor theme="8" tint="0.39997558519241921"/>
        <bgColor rgb="FFB6DDE8"/>
      </patternFill>
    </fill>
    <fill>
      <patternFill patternType="solid">
        <fgColor rgb="FFF6DFDB"/>
        <bgColor rgb="FFFABF8F"/>
      </patternFill>
    </fill>
    <fill>
      <patternFill patternType="solid">
        <fgColor theme="9" tint="0.79998168889431442"/>
        <bgColor rgb="FFFABF8F"/>
      </patternFill>
    </fill>
    <fill>
      <patternFill patternType="solid">
        <fgColor rgb="FFB6DDE8"/>
        <bgColor rgb="FFFABF8F"/>
      </patternFill>
    </fill>
    <fill>
      <patternFill patternType="solid">
        <fgColor theme="7" tint="0.59999389629810485"/>
        <bgColor rgb="FFEAF1DD"/>
      </patternFill>
    </fill>
    <fill>
      <patternFill patternType="solid">
        <fgColor theme="2" tint="-0.14999847407452621"/>
        <bgColor indexed="64"/>
      </patternFill>
    </fill>
    <fill>
      <patternFill patternType="solid">
        <fgColor theme="7" tint="0.79998168889431442"/>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3">
    <xf numFmtId="0" fontId="0" fillId="0" borderId="0" xfId="0"/>
    <xf numFmtId="0" fontId="1" fillId="0" borderId="0" xfId="0" applyFont="1"/>
    <xf numFmtId="0" fontId="1" fillId="2" borderId="1" xfId="0" applyFont="1" applyFill="1" applyBorder="1"/>
    <xf numFmtId="0" fontId="1" fillId="3" borderId="1" xfId="0" applyFont="1" applyFill="1" applyBorder="1"/>
    <xf numFmtId="0" fontId="2" fillId="3" borderId="1" xfId="0" applyFont="1" applyFill="1" applyBorder="1" applyAlignment="1">
      <alignment vertical="top"/>
    </xf>
    <xf numFmtId="0" fontId="0" fillId="2" borderId="1" xfId="0" applyFill="1" applyBorder="1"/>
    <xf numFmtId="0" fontId="1" fillId="4" borderId="3" xfId="0" applyFont="1" applyFill="1" applyBorder="1" applyAlignment="1">
      <alignment vertical="top"/>
    </xf>
    <xf numFmtId="0" fontId="1" fillId="5" borderId="3" xfId="0" applyFont="1" applyFill="1" applyBorder="1"/>
    <xf numFmtId="0" fontId="1" fillId="5" borderId="3" xfId="0" applyFont="1" applyFill="1" applyBorder="1" applyAlignment="1">
      <alignment vertical="top"/>
    </xf>
    <xf numFmtId="0" fontId="1" fillId="4" borderId="2" xfId="0" applyFont="1" applyFill="1" applyBorder="1"/>
    <xf numFmtId="0" fontId="1" fillId="4" borderId="3" xfId="0" applyFont="1" applyFill="1" applyBorder="1"/>
    <xf numFmtId="0" fontId="1"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xf numFmtId="0" fontId="9" fillId="0" borderId="0" xfId="0" applyFont="1"/>
    <xf numFmtId="0" fontId="10" fillId="0" borderId="0" xfId="0" applyFont="1"/>
    <xf numFmtId="0" fontId="10" fillId="15" borderId="0" xfId="0" applyFont="1" applyFill="1"/>
    <xf numFmtId="0" fontId="6" fillId="16" borderId="0" xfId="0" applyFont="1" applyFill="1"/>
    <xf numFmtId="0" fontId="3" fillId="16" borderId="0" xfId="0" applyFont="1" applyFill="1"/>
    <xf numFmtId="0" fontId="11" fillId="16" borderId="0" xfId="1" applyFill="1" applyAlignment="1"/>
    <xf numFmtId="0" fontId="9" fillId="15" borderId="0" xfId="0" applyFont="1" applyFill="1"/>
    <xf numFmtId="0" fontId="1" fillId="16" borderId="0" xfId="0" applyFont="1" applyFill="1"/>
    <xf numFmtId="0" fontId="4" fillId="16" borderId="0" xfId="0" applyFont="1" applyFill="1"/>
    <xf numFmtId="0" fontId="11" fillId="17" borderId="0" xfId="1" applyFill="1" applyAlignment="1">
      <alignment wrapText="1"/>
    </xf>
    <xf numFmtId="0" fontId="6" fillId="17" borderId="0" xfId="0" applyFont="1" applyFill="1" applyAlignment="1">
      <alignment wrapText="1"/>
    </xf>
    <xf numFmtId="0" fontId="3" fillId="17" borderId="0" xfId="0" applyFont="1" applyFill="1" applyAlignment="1">
      <alignment wrapText="1"/>
    </xf>
    <xf numFmtId="0" fontId="14" fillId="15" borderId="0" xfId="0" applyFont="1" applyFill="1"/>
    <xf numFmtId="0" fontId="5" fillId="15" borderId="0" xfId="0" applyFont="1" applyFill="1"/>
    <xf numFmtId="0" fontId="0" fillId="0" borderId="0" xfId="0" applyAlignment="1">
      <alignment wrapText="1"/>
    </xf>
    <xf numFmtId="0" fontId="15" fillId="0" borderId="0" xfId="0" applyFont="1" applyAlignment="1">
      <alignment wrapText="1"/>
    </xf>
    <xf numFmtId="0" fontId="8" fillId="0" borderId="0" xfId="0" applyFont="1"/>
    <xf numFmtId="0" fontId="16" fillId="0" borderId="0" xfId="0" applyFont="1"/>
    <xf numFmtId="0" fontId="11" fillId="0" borderId="0" xfId="1" applyAlignment="1"/>
    <xf numFmtId="0" fontId="4" fillId="0" borderId="0" xfId="0" applyFont="1"/>
    <xf numFmtId="0" fontId="1" fillId="6" borderId="3" xfId="0" applyFont="1" applyFill="1" applyBorder="1" applyAlignment="1">
      <alignment vertical="top"/>
    </xf>
    <xf numFmtId="0" fontId="4" fillId="14" borderId="3" xfId="0" applyFont="1" applyFill="1" applyBorder="1" applyAlignment="1">
      <alignment horizontal="center" vertical="top" wrapText="1"/>
    </xf>
    <xf numFmtId="0" fontId="4" fillId="13" borderId="3" xfId="0" applyFont="1" applyFill="1" applyBorder="1" applyAlignment="1">
      <alignment horizontal="center" vertical="top" wrapText="1"/>
    </xf>
    <xf numFmtId="0" fontId="4" fillId="12" borderId="3" xfId="0" applyFont="1" applyFill="1" applyBorder="1" applyAlignment="1">
      <alignment horizontal="center" vertical="top" wrapText="1"/>
    </xf>
    <xf numFmtId="0" fontId="4" fillId="12" borderId="2" xfId="0" applyFont="1" applyFill="1" applyBorder="1" applyAlignment="1">
      <alignment horizontal="center" vertical="top" wrapText="1"/>
    </xf>
    <xf numFmtId="0" fontId="4" fillId="2" borderId="1" xfId="0" applyFont="1" applyFill="1" applyBorder="1" applyAlignment="1">
      <alignment vertical="top" wrapText="1"/>
    </xf>
    <xf numFmtId="0" fontId="4" fillId="11" borderId="1" xfId="0" applyFont="1" applyFill="1" applyBorder="1" applyAlignment="1">
      <alignment horizontal="center" vertical="top" wrapText="1"/>
    </xf>
    <xf numFmtId="0" fontId="3" fillId="2" borderId="1" xfId="0" applyFont="1" applyFill="1" applyBorder="1" applyAlignment="1">
      <alignment vertical="top" wrapText="1"/>
    </xf>
    <xf numFmtId="0" fontId="1" fillId="0" borderId="0" xfId="0" applyFont="1" applyAlignment="1">
      <alignment vertical="top" wrapText="1"/>
    </xf>
    <xf numFmtId="0" fontId="1" fillId="6" borderId="3" xfId="0" applyFont="1" applyFill="1" applyBorder="1" applyAlignment="1">
      <alignment vertical="top" wrapText="1"/>
    </xf>
    <xf numFmtId="0" fontId="1" fillId="10" borderId="3" xfId="0" applyFont="1" applyFill="1" applyBorder="1" applyAlignment="1">
      <alignment vertical="top" wrapText="1"/>
    </xf>
    <xf numFmtId="0" fontId="1" fillId="9" borderId="3" xfId="0" applyFont="1" applyFill="1" applyBorder="1" applyAlignment="1">
      <alignment vertical="top" wrapText="1"/>
    </xf>
    <xf numFmtId="0" fontId="1" fillId="9" borderId="2" xfId="0" applyFont="1" applyFill="1" applyBorder="1" applyAlignment="1">
      <alignment vertical="top" wrapText="1"/>
    </xf>
    <xf numFmtId="0" fontId="0" fillId="7" borderId="1" xfId="0" applyFill="1" applyBorder="1" applyAlignment="1">
      <alignment vertical="top" wrapText="1"/>
    </xf>
    <xf numFmtId="0" fontId="1" fillId="8" borderId="1" xfId="0" applyFont="1" applyFill="1" applyBorder="1" applyAlignment="1">
      <alignment vertical="top" wrapText="1"/>
    </xf>
    <xf numFmtId="0" fontId="1" fillId="7" borderId="1" xfId="0" applyFont="1" applyFill="1" applyBorder="1" applyAlignment="1">
      <alignment vertical="top" wrapText="1"/>
    </xf>
    <xf numFmtId="0" fontId="1" fillId="5" borderId="3" xfId="0" applyFont="1" applyFill="1" applyBorder="1" applyAlignment="1">
      <alignment vertical="top" wrapText="1"/>
    </xf>
    <xf numFmtId="0" fontId="1" fillId="4" borderId="3" xfId="0" applyFont="1" applyFill="1" applyBorder="1" applyAlignment="1">
      <alignment vertical="top" wrapText="1"/>
    </xf>
    <xf numFmtId="0" fontId="2" fillId="4" borderId="3" xfId="0" applyFont="1" applyFill="1" applyBorder="1" applyAlignment="1">
      <alignment vertical="top" wrapText="1"/>
    </xf>
    <xf numFmtId="0" fontId="2" fillId="4" borderId="2" xfId="0" applyFont="1" applyFill="1" applyBorder="1" applyAlignment="1">
      <alignment vertical="top" wrapText="1"/>
    </xf>
    <xf numFmtId="0" fontId="0" fillId="2" borderId="1" xfId="0" applyFill="1" applyBorder="1" applyAlignment="1">
      <alignment vertical="top" wrapText="1"/>
    </xf>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1" fillId="2" borderId="1" xfId="0" applyFont="1" applyFill="1" applyBorder="1" applyAlignment="1">
      <alignment vertical="top" wrapText="1"/>
    </xf>
    <xf numFmtId="0" fontId="1" fillId="4" borderId="2" xfId="0" applyFont="1" applyFill="1" applyBorder="1" applyAlignment="1">
      <alignment vertical="top" wrapText="1"/>
    </xf>
    <xf numFmtId="0" fontId="17" fillId="13" borderId="3" xfId="0" applyFont="1" applyFill="1" applyBorder="1" applyAlignment="1">
      <alignment horizontal="left" vertical="top" wrapText="1"/>
    </xf>
    <xf numFmtId="0" fontId="17" fillId="14" borderId="3" xfId="0" applyFont="1" applyFill="1" applyBorder="1" applyAlignment="1">
      <alignment horizontal="left" vertical="top" wrapText="1"/>
    </xf>
    <xf numFmtId="0" fontId="18" fillId="2" borderId="1" xfId="0" applyFont="1" applyFill="1" applyBorder="1" applyAlignment="1">
      <alignment vertical="top"/>
    </xf>
    <xf numFmtId="0" fontId="17" fillId="12" borderId="3" xfId="0" applyFont="1" applyFill="1" applyBorder="1" applyAlignment="1">
      <alignment horizontal="center" vertical="top" wrapText="1"/>
    </xf>
    <xf numFmtId="0" fontId="19" fillId="16" borderId="0" xfId="1" applyFont="1" applyFill="1" applyAlignment="1"/>
    <xf numFmtId="0" fontId="8" fillId="0" borderId="0" xfId="0" applyFont="1" applyAlignment="1">
      <alignment horizontal="center"/>
    </xf>
    <xf numFmtId="0" fontId="7" fillId="0" borderId="6" xfId="0" applyFont="1" applyBorder="1" applyAlignment="1">
      <alignment horizontal="center"/>
    </xf>
    <xf numFmtId="0" fontId="7" fillId="0" borderId="5" xfId="0" applyFont="1" applyBorder="1" applyAlignment="1">
      <alignment horizontal="center"/>
    </xf>
    <xf numFmtId="0" fontId="7" fillId="0" borderId="4" xfId="0" applyFont="1" applyBorder="1" applyAlignment="1">
      <alignment horizontal="center"/>
    </xf>
    <xf numFmtId="0" fontId="8" fillId="0" borderId="6" xfId="0" applyFont="1" applyBorder="1" applyAlignment="1">
      <alignment horizontal="center"/>
    </xf>
    <xf numFmtId="0" fontId="8" fillId="0" borderId="5" xfId="0" applyFont="1" applyBorder="1" applyAlignment="1">
      <alignment horizontal="center"/>
    </xf>
    <xf numFmtId="0" fontId="8" fillId="0" borderId="4" xfId="0" applyFont="1" applyBorder="1" applyAlignment="1">
      <alignment horizontal="center"/>
    </xf>
    <xf numFmtId="0" fontId="11" fillId="2" borderId="1" xfId="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rcid.org/0000-0001-6041-5302" TargetMode="External"/><Relationship Id="rId3" Type="http://schemas.openxmlformats.org/officeDocument/2006/relationships/hyperlink" Target="http://www.w3.org/2004/02/skos/core" TargetMode="External"/><Relationship Id="rId7" Type="http://schemas.openxmlformats.org/officeDocument/2006/relationships/hyperlink" Target="http://xmlns.com/foaf/0.1/" TargetMode="External"/><Relationship Id="rId2" Type="http://schemas.openxmlformats.org/officeDocument/2006/relationships/hyperlink" Target="http://purl.org/m4m20/subjects/" TargetMode="External"/><Relationship Id="rId1" Type="http://schemas.openxmlformats.org/officeDocument/2006/relationships/hyperlink" Target="https://purl.org/orex/voc/sampletype" TargetMode="External"/><Relationship Id="rId6" Type="http://schemas.openxmlformats.org/officeDocument/2006/relationships/hyperlink" Target="https://spdx.org/licenses/CC0-1.0" TargetMode="External"/><Relationship Id="rId5" Type="http://schemas.openxmlformats.org/officeDocument/2006/relationships/hyperlink" Target="http://purl.org/dc/terms/" TargetMode="External"/><Relationship Id="rId10" Type="http://schemas.openxmlformats.org/officeDocument/2006/relationships/printerSettings" Target="../printerSettings/printerSettings1.bin"/><Relationship Id="rId4" Type="http://schemas.openxmlformats.org/officeDocument/2006/relationships/hyperlink" Target="http://purl.org/pav/" TargetMode="External"/><Relationship Id="rId9" Type="http://schemas.openxmlformats.org/officeDocument/2006/relationships/hyperlink" Target="https://osiris-rex.atlassian.net/wiki/spaces/OREXSAMPLE/pages/4102881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6D3A8-9C79-44C1-BEF8-378ACD8696AC}">
  <sheetPr>
    <outlinePr summaryBelow="0" summaryRight="0"/>
  </sheetPr>
  <dimension ref="A1:Q53"/>
  <sheetViews>
    <sheetView tabSelected="1" topLeftCell="A46" zoomScale="125" zoomScaleNormal="125" workbookViewId="0">
      <selection activeCell="A51" sqref="A51:A52"/>
    </sheetView>
  </sheetViews>
  <sheetFormatPr defaultColWidth="11.33203125" defaultRowHeight="15" customHeight="1"/>
  <cols>
    <col min="1" max="1" width="25.6640625" style="1" customWidth="1"/>
    <col min="2" max="2" width="24" style="1" customWidth="1"/>
    <col min="3" max="3" width="61.6640625" style="1" customWidth="1"/>
    <col min="4" max="4" width="63.88671875" style="1" hidden="1" customWidth="1"/>
    <col min="5" max="5" width="27.5546875" style="1" customWidth="1"/>
    <col min="6" max="6" width="20.109375" style="1" customWidth="1"/>
    <col min="7" max="7" width="32.33203125" style="1" customWidth="1"/>
    <col min="8" max="8" width="18.44140625" style="1" customWidth="1"/>
    <col min="9" max="9" width="22.109375" style="1" customWidth="1"/>
    <col min="10" max="10" width="15.33203125" customWidth="1"/>
    <col min="11" max="11" width="16.109375" style="1" customWidth="1"/>
    <col min="12" max="12" width="15" style="1" customWidth="1"/>
    <col min="13" max="13" width="12.109375" style="1" customWidth="1"/>
    <col min="14" max="14" width="12.33203125" style="1" customWidth="1"/>
    <col min="15" max="16" width="12.6640625" style="1" customWidth="1"/>
    <col min="17" max="16384" width="11.33203125" style="1"/>
  </cols>
  <sheetData>
    <row r="1" spans="1:4" ht="15.75">
      <c r="A1" s="34" t="s">
        <v>76</v>
      </c>
      <c r="B1" s="33" t="s">
        <v>80</v>
      </c>
      <c r="C1" s="1" t="s">
        <v>75</v>
      </c>
      <c r="D1" s="32" t="s">
        <v>74</v>
      </c>
    </row>
    <row r="2" spans="1:4" ht="30" customHeight="1">
      <c r="A2" s="31" t="s">
        <v>73</v>
      </c>
      <c r="B2" s="30"/>
      <c r="C2" s="29"/>
      <c r="D2" s="28" t="s">
        <v>72</v>
      </c>
    </row>
    <row r="3" spans="1:4" ht="16.5">
      <c r="A3" s="26" t="s">
        <v>62</v>
      </c>
      <c r="B3" s="25" t="s">
        <v>81</v>
      </c>
      <c r="C3" s="24" t="str">
        <f>B1 &amp; "/"</f>
        <v>https://purl.org/orex/voc/sampletype/</v>
      </c>
      <c r="D3" s="27" t="s">
        <v>71</v>
      </c>
    </row>
    <row r="4" spans="1:4" ht="15.75">
      <c r="A4" s="26" t="s">
        <v>62</v>
      </c>
      <c r="B4" s="25" t="s">
        <v>70</v>
      </c>
      <c r="C4" s="24" t="s">
        <v>69</v>
      </c>
      <c r="D4" s="21" t="s">
        <v>68</v>
      </c>
    </row>
    <row r="5" spans="1:4" ht="15.75">
      <c r="A5" s="26" t="s">
        <v>62</v>
      </c>
      <c r="B5" s="25" t="s">
        <v>67</v>
      </c>
      <c r="C5" s="24" t="s">
        <v>66</v>
      </c>
      <c r="D5" s="21" t="s">
        <v>65</v>
      </c>
    </row>
    <row r="6" spans="1:4" ht="15.75">
      <c r="A6" s="26" t="s">
        <v>62</v>
      </c>
      <c r="B6" s="25" t="s">
        <v>64</v>
      </c>
      <c r="C6" s="24" t="s">
        <v>63</v>
      </c>
      <c r="D6" s="21" t="s">
        <v>59</v>
      </c>
    </row>
    <row r="7" spans="1:4" ht="15.75">
      <c r="A7" s="26" t="s">
        <v>62</v>
      </c>
      <c r="B7" s="25" t="s">
        <v>61</v>
      </c>
      <c r="C7" s="24" t="s">
        <v>60</v>
      </c>
      <c r="D7" s="21" t="s">
        <v>59</v>
      </c>
    </row>
    <row r="8" spans="1:4" ht="30.95" customHeight="1">
      <c r="A8" s="65" t="s">
        <v>58</v>
      </c>
      <c r="B8" s="65"/>
      <c r="C8" s="65"/>
      <c r="D8" s="21"/>
    </row>
    <row r="9" spans="1:4" ht="15.75">
      <c r="A9" s="19" t="s">
        <v>57</v>
      </c>
      <c r="B9" s="18" t="s">
        <v>157</v>
      </c>
      <c r="D9" s="17" t="s">
        <v>56</v>
      </c>
    </row>
    <row r="10" spans="1:4" ht="15.75">
      <c r="A10" s="23" t="s">
        <v>55</v>
      </c>
      <c r="B10" s="18" t="s">
        <v>157</v>
      </c>
      <c r="D10" s="21" t="s">
        <v>54</v>
      </c>
    </row>
    <row r="11" spans="1:4" ht="15.75">
      <c r="A11" s="23" t="s">
        <v>53</v>
      </c>
      <c r="B11" s="22" t="s">
        <v>158</v>
      </c>
      <c r="D11" s="21" t="s">
        <v>52</v>
      </c>
    </row>
    <row r="12" spans="1:4" ht="15.75">
      <c r="A12" s="19" t="s">
        <v>51</v>
      </c>
      <c r="B12" s="20"/>
      <c r="C12" s="16"/>
      <c r="D12" s="17" t="s">
        <v>50</v>
      </c>
    </row>
    <row r="13" spans="1:4" ht="15.75">
      <c r="A13" s="19" t="s">
        <v>49</v>
      </c>
      <c r="B13" s="20" t="s">
        <v>160</v>
      </c>
      <c r="D13" s="17" t="s">
        <v>48</v>
      </c>
    </row>
    <row r="14" spans="1:4" ht="15.75">
      <c r="A14" s="19" t="s">
        <v>49</v>
      </c>
      <c r="B14" s="64" t="s">
        <v>161</v>
      </c>
      <c r="D14" s="17"/>
    </row>
    <row r="15" spans="1:4" ht="15.75">
      <c r="A15" s="19" t="s">
        <v>49</v>
      </c>
      <c r="B15" s="64" t="s">
        <v>162</v>
      </c>
      <c r="D15" s="17"/>
    </row>
    <row r="16" spans="1:4" ht="15.75">
      <c r="A16" s="19" t="s">
        <v>47</v>
      </c>
      <c r="B16" s="20" t="s">
        <v>46</v>
      </c>
      <c r="C16" s="16"/>
      <c r="D16" s="17" t="s">
        <v>45</v>
      </c>
    </row>
    <row r="17" spans="1:17" ht="15.75">
      <c r="A17" s="19" t="s">
        <v>44</v>
      </c>
      <c r="B17" s="18" t="s">
        <v>159</v>
      </c>
      <c r="D17" s="17" t="s">
        <v>43</v>
      </c>
    </row>
    <row r="18" spans="1:17" ht="15.75">
      <c r="A18" s="19" t="s">
        <v>42</v>
      </c>
      <c r="B18" s="18" t="s">
        <v>41</v>
      </c>
      <c r="D18" s="17" t="s">
        <v>40</v>
      </c>
    </row>
    <row r="19" spans="1:17" ht="15.75">
      <c r="A19" s="19" t="s">
        <v>39</v>
      </c>
      <c r="B19" s="18" t="str">
        <f ca="1">TEXT(NOW(),"yyyy-mm-ddThh:MM:ss") &amp; "-07:00"</f>
        <v>2024-12-04T16:11:19-07:00</v>
      </c>
      <c r="D19" s="17" t="s">
        <v>38</v>
      </c>
    </row>
    <row r="20" spans="1:17" ht="30.95" customHeight="1">
      <c r="A20" s="65" t="s">
        <v>37</v>
      </c>
      <c r="B20" s="65"/>
      <c r="C20" s="65"/>
      <c r="D20" s="15"/>
    </row>
    <row r="21" spans="1:17">
      <c r="A21" s="1" t="s">
        <v>36</v>
      </c>
      <c r="B21" s="15"/>
      <c r="C21" s="15"/>
      <c r="D21" s="16"/>
    </row>
    <row r="22" spans="1:17">
      <c r="A22" s="1" t="s">
        <v>35</v>
      </c>
      <c r="B22" s="15"/>
      <c r="C22" s="15"/>
      <c r="D22" s="16"/>
    </row>
    <row r="23" spans="1:17" ht="15" customHeight="1">
      <c r="A23" s="1" t="s">
        <v>34</v>
      </c>
      <c r="B23" s="15"/>
      <c r="C23" s="15"/>
      <c r="D23" s="15"/>
    </row>
    <row r="24" spans="1:17">
      <c r="A24" s="1" t="s">
        <v>33</v>
      </c>
      <c r="B24" s="16"/>
      <c r="C24" s="16"/>
      <c r="D24" s="15"/>
    </row>
    <row r="25" spans="1:17">
      <c r="A25" s="1" t="s">
        <v>32</v>
      </c>
      <c r="B25" s="16"/>
      <c r="C25" s="16"/>
      <c r="D25" s="15"/>
    </row>
    <row r="26" spans="1:17">
      <c r="B26" s="16"/>
      <c r="C26" s="16"/>
      <c r="D26" s="15"/>
    </row>
    <row r="27" spans="1:17" ht="33.950000000000003" customHeight="1">
      <c r="A27" s="69" t="s">
        <v>31</v>
      </c>
      <c r="B27" s="70"/>
      <c r="C27" s="70"/>
      <c r="D27" s="71"/>
      <c r="E27" s="66" t="s">
        <v>30</v>
      </c>
      <c r="F27" s="67"/>
      <c r="G27" s="67"/>
      <c r="H27" s="67"/>
      <c r="I27" s="68"/>
      <c r="J27" s="66" t="s">
        <v>29</v>
      </c>
      <c r="K27" s="67"/>
      <c r="L27" s="67"/>
      <c r="M27" s="67"/>
      <c r="N27" s="67"/>
      <c r="O27" s="67"/>
      <c r="P27" s="68"/>
      <c r="Q27" s="14"/>
    </row>
    <row r="28" spans="1:17" s="11" customFormat="1" ht="36" customHeight="1">
      <c r="A28" s="13"/>
      <c r="B28" s="13" t="s">
        <v>28</v>
      </c>
      <c r="C28" s="13" t="s">
        <v>27</v>
      </c>
      <c r="D28" s="11" t="s">
        <v>26</v>
      </c>
      <c r="E28" s="11" t="s">
        <v>25</v>
      </c>
      <c r="F28" s="11" t="s">
        <v>24</v>
      </c>
      <c r="G28" s="11" t="s">
        <v>23</v>
      </c>
      <c r="H28" s="11" t="s">
        <v>22</v>
      </c>
      <c r="I28" s="11" t="s">
        <v>21</v>
      </c>
      <c r="J28" s="12" t="s">
        <v>20</v>
      </c>
      <c r="K28" s="11" t="s">
        <v>19</v>
      </c>
      <c r="L28" s="11" t="s">
        <v>19</v>
      </c>
      <c r="N28" s="11" t="s">
        <v>18</v>
      </c>
      <c r="O28" s="11" t="s">
        <v>18</v>
      </c>
      <c r="P28" s="11" t="s">
        <v>17</v>
      </c>
    </row>
    <row r="29" spans="1:17" ht="31.5">
      <c r="A29" s="36" t="s">
        <v>16</v>
      </c>
      <c r="B29" s="37" t="s">
        <v>15</v>
      </c>
      <c r="C29" s="37" t="s">
        <v>14</v>
      </c>
      <c r="D29" s="37" t="s">
        <v>13</v>
      </c>
      <c r="E29" s="38" t="s">
        <v>12</v>
      </c>
      <c r="F29" s="38" t="s">
        <v>11</v>
      </c>
      <c r="G29" s="38" t="s">
        <v>10</v>
      </c>
      <c r="H29" s="38" t="s">
        <v>9</v>
      </c>
      <c r="I29" s="39" t="s">
        <v>8</v>
      </c>
      <c r="J29" s="40" t="s">
        <v>7</v>
      </c>
      <c r="K29" s="41" t="s">
        <v>6</v>
      </c>
      <c r="L29" s="41" t="s">
        <v>5</v>
      </c>
      <c r="M29" s="41" t="s">
        <v>4</v>
      </c>
      <c r="N29" s="40" t="s">
        <v>3</v>
      </c>
      <c r="O29" s="40" t="s">
        <v>2</v>
      </c>
      <c r="P29" s="42" t="s">
        <v>1</v>
      </c>
      <c r="Q29" s="43"/>
    </row>
    <row r="30" spans="1:17" ht="60">
      <c r="A30" s="61" t="s">
        <v>125</v>
      </c>
      <c r="B30" s="60" t="s">
        <v>124</v>
      </c>
      <c r="C30" s="45" t="s">
        <v>137</v>
      </c>
      <c r="D30" s="37"/>
      <c r="E30" s="38"/>
      <c r="F30" s="52"/>
      <c r="G30" s="52"/>
      <c r="H30" s="63" t="s">
        <v>156</v>
      </c>
      <c r="I30" s="39"/>
      <c r="J30" s="40"/>
      <c r="K30" s="41"/>
      <c r="L30" s="41"/>
      <c r="M30" s="41"/>
      <c r="N30" s="40"/>
      <c r="O30" s="40"/>
      <c r="P30" s="72" t="s">
        <v>152</v>
      </c>
      <c r="Q30" s="43"/>
    </row>
    <row r="31" spans="1:17">
      <c r="A31" s="44" t="s">
        <v>90</v>
      </c>
      <c r="B31" s="45" t="s">
        <v>79</v>
      </c>
      <c r="C31" s="45" t="s">
        <v>78</v>
      </c>
      <c r="D31" s="45"/>
      <c r="E31" s="46" t="s">
        <v>125</v>
      </c>
      <c r="F31" s="52"/>
      <c r="G31" s="52"/>
      <c r="H31" s="46"/>
      <c r="I31" s="47"/>
      <c r="J31" s="48"/>
      <c r="K31" s="49"/>
      <c r="L31" s="49"/>
      <c r="M31" s="49"/>
      <c r="N31" s="50"/>
      <c r="O31" s="50"/>
      <c r="P31" s="62" t="s">
        <v>152</v>
      </c>
      <c r="Q31" s="43"/>
    </row>
    <row r="32" spans="1:17" ht="60">
      <c r="A32" s="44" t="s">
        <v>83</v>
      </c>
      <c r="B32" s="51" t="s">
        <v>115</v>
      </c>
      <c r="C32" s="51" t="s">
        <v>116</v>
      </c>
      <c r="D32" s="51"/>
      <c r="E32" s="52" t="s">
        <v>90</v>
      </c>
      <c r="F32" s="52" t="s">
        <v>163</v>
      </c>
      <c r="G32" s="52"/>
      <c r="H32" s="52"/>
      <c r="I32" s="59"/>
      <c r="J32" s="55"/>
      <c r="K32" s="56"/>
      <c r="L32" s="57"/>
      <c r="M32" s="57"/>
      <c r="N32" s="58"/>
      <c r="O32" s="58"/>
      <c r="P32" s="62" t="s">
        <v>152</v>
      </c>
      <c r="Q32" s="43"/>
    </row>
    <row r="33" spans="1:17" ht="45">
      <c r="A33" s="44" t="s">
        <v>82</v>
      </c>
      <c r="B33" s="51" t="s">
        <v>97</v>
      </c>
      <c r="C33" s="51" t="s">
        <v>111</v>
      </c>
      <c r="D33" s="51"/>
      <c r="E33" s="52" t="s">
        <v>83</v>
      </c>
      <c r="F33" s="52"/>
      <c r="G33" s="52"/>
      <c r="H33" s="53"/>
      <c r="I33" s="54"/>
      <c r="J33" s="55"/>
      <c r="K33" s="56"/>
      <c r="L33" s="57"/>
      <c r="M33" s="57"/>
      <c r="N33" s="58"/>
      <c r="O33" s="58"/>
      <c r="P33" s="62" t="s">
        <v>152</v>
      </c>
      <c r="Q33" s="43"/>
    </row>
    <row r="34" spans="1:17" ht="45">
      <c r="A34" s="44" t="s">
        <v>113</v>
      </c>
      <c r="B34" s="51" t="s">
        <v>114</v>
      </c>
      <c r="C34" s="51" t="s">
        <v>112</v>
      </c>
      <c r="D34" s="51"/>
      <c r="E34" s="52" t="s">
        <v>83</v>
      </c>
      <c r="F34" s="52"/>
      <c r="G34" s="52"/>
      <c r="H34" s="52"/>
      <c r="I34" s="59"/>
      <c r="J34" s="55"/>
      <c r="K34" s="56"/>
      <c r="L34" s="57"/>
      <c r="M34" s="57"/>
      <c r="N34" s="58"/>
      <c r="O34" s="58"/>
      <c r="P34" s="62" t="s">
        <v>152</v>
      </c>
      <c r="Q34" s="43"/>
    </row>
    <row r="35" spans="1:17" ht="30">
      <c r="A35" s="44" t="s">
        <v>110</v>
      </c>
      <c r="B35" s="51" t="s">
        <v>109</v>
      </c>
      <c r="C35" s="51" t="s">
        <v>117</v>
      </c>
      <c r="D35" s="51"/>
      <c r="E35" s="52" t="s">
        <v>83</v>
      </c>
      <c r="F35" s="52"/>
      <c r="G35" s="52"/>
      <c r="H35" s="52"/>
      <c r="I35" s="59"/>
      <c r="J35" s="55"/>
      <c r="K35" s="56"/>
      <c r="L35" s="57"/>
      <c r="M35" s="57"/>
      <c r="N35" s="58"/>
      <c r="O35" s="58"/>
      <c r="P35" s="62" t="s">
        <v>152</v>
      </c>
      <c r="Q35" s="43"/>
    </row>
    <row r="36" spans="1:17" ht="30">
      <c r="A36" s="44" t="s">
        <v>84</v>
      </c>
      <c r="B36" s="51" t="s">
        <v>98</v>
      </c>
      <c r="C36" s="51" t="s">
        <v>108</v>
      </c>
      <c r="D36" s="51"/>
      <c r="E36" s="52" t="s">
        <v>85</v>
      </c>
      <c r="F36" s="53"/>
      <c r="G36" s="53"/>
      <c r="H36" s="53"/>
      <c r="I36" s="54"/>
      <c r="J36" s="55"/>
      <c r="K36" s="56"/>
      <c r="L36" s="57"/>
      <c r="M36" s="57"/>
      <c r="N36" s="58"/>
      <c r="O36" s="58"/>
      <c r="P36" s="62" t="s">
        <v>152</v>
      </c>
      <c r="Q36" s="43"/>
    </row>
    <row r="37" spans="1:17" ht="60">
      <c r="A37" s="44" t="s">
        <v>85</v>
      </c>
      <c r="B37" s="51" t="s">
        <v>99</v>
      </c>
      <c r="C37" s="51" t="s">
        <v>138</v>
      </c>
      <c r="D37" s="51"/>
      <c r="E37" s="52" t="s">
        <v>90</v>
      </c>
      <c r="F37" s="52"/>
      <c r="G37" s="52"/>
      <c r="H37" s="52" t="s">
        <v>153</v>
      </c>
      <c r="I37" s="59"/>
      <c r="J37" s="55"/>
      <c r="K37" s="56"/>
      <c r="L37" s="57"/>
      <c r="M37" s="57"/>
      <c r="N37" s="58"/>
      <c r="O37" s="58"/>
      <c r="P37" s="62" t="s">
        <v>152</v>
      </c>
      <c r="Q37" s="43"/>
    </row>
    <row r="38" spans="1:17" ht="60">
      <c r="A38" s="44" t="s">
        <v>86</v>
      </c>
      <c r="B38" s="51" t="s">
        <v>100</v>
      </c>
      <c r="C38" s="51" t="s">
        <v>139</v>
      </c>
      <c r="D38" s="51"/>
      <c r="E38" s="52" t="s">
        <v>90</v>
      </c>
      <c r="F38" s="53"/>
      <c r="G38" s="53"/>
      <c r="H38" s="52" t="s">
        <v>154</v>
      </c>
      <c r="I38" s="54"/>
      <c r="J38" s="55"/>
      <c r="K38" s="56"/>
      <c r="L38" s="57"/>
      <c r="M38" s="57"/>
      <c r="N38" s="58"/>
      <c r="O38" s="58"/>
      <c r="P38" s="62" t="s">
        <v>152</v>
      </c>
      <c r="Q38" s="43"/>
    </row>
    <row r="39" spans="1:17" ht="30">
      <c r="A39" s="44" t="s">
        <v>142</v>
      </c>
      <c r="B39" s="51" t="s">
        <v>140</v>
      </c>
      <c r="C39" s="51" t="s">
        <v>144</v>
      </c>
      <c r="D39" s="51"/>
      <c r="E39" s="52" t="s">
        <v>86</v>
      </c>
      <c r="F39" s="53"/>
      <c r="G39" s="53"/>
      <c r="H39" s="53"/>
      <c r="I39" s="54"/>
      <c r="J39" s="55"/>
      <c r="K39" s="56"/>
      <c r="L39" s="57"/>
      <c r="M39" s="57"/>
      <c r="N39" s="58"/>
      <c r="O39" s="58"/>
      <c r="P39" s="62" t="s">
        <v>152</v>
      </c>
      <c r="Q39" s="43"/>
    </row>
    <row r="40" spans="1:17" ht="30">
      <c r="A40" s="44" t="s">
        <v>143</v>
      </c>
      <c r="B40" s="51" t="s">
        <v>141</v>
      </c>
      <c r="C40" s="51" t="s">
        <v>145</v>
      </c>
      <c r="D40" s="51"/>
      <c r="E40" s="52" t="s">
        <v>86</v>
      </c>
      <c r="F40" s="53"/>
      <c r="G40" s="53"/>
      <c r="H40" s="53"/>
      <c r="I40" s="54"/>
      <c r="J40" s="55"/>
      <c r="K40" s="56"/>
      <c r="L40" s="57"/>
      <c r="M40" s="57"/>
      <c r="N40" s="58"/>
      <c r="O40" s="58"/>
      <c r="P40" s="62" t="s">
        <v>152</v>
      </c>
      <c r="Q40" s="43"/>
    </row>
    <row r="41" spans="1:17" ht="60">
      <c r="A41" s="44" t="s">
        <v>87</v>
      </c>
      <c r="B41" s="51" t="s">
        <v>96</v>
      </c>
      <c r="C41" s="51" t="s">
        <v>130</v>
      </c>
      <c r="D41" s="51"/>
      <c r="E41" s="52" t="s">
        <v>85</v>
      </c>
      <c r="F41" s="52"/>
      <c r="G41" s="52"/>
      <c r="H41" s="46" t="s">
        <v>155</v>
      </c>
      <c r="I41" s="59"/>
      <c r="J41" s="55"/>
      <c r="K41" s="56"/>
      <c r="L41" s="57"/>
      <c r="M41" s="57"/>
      <c r="N41" s="58"/>
      <c r="O41" s="58"/>
      <c r="P41" s="62" t="s">
        <v>152</v>
      </c>
      <c r="Q41" s="43"/>
    </row>
    <row r="42" spans="1:17" ht="60">
      <c r="A42" s="44" t="s">
        <v>88</v>
      </c>
      <c r="B42" s="51" t="s">
        <v>101</v>
      </c>
      <c r="C42" s="51" t="s">
        <v>150</v>
      </c>
      <c r="D42" s="51"/>
      <c r="E42" s="52" t="s">
        <v>85</v>
      </c>
      <c r="F42" s="53"/>
      <c r="G42" s="53"/>
      <c r="H42" s="46" t="s">
        <v>155</v>
      </c>
      <c r="I42" s="54"/>
      <c r="J42" s="55"/>
      <c r="K42" s="56"/>
      <c r="L42" s="57"/>
      <c r="M42" s="57"/>
      <c r="N42" s="58"/>
      <c r="O42" s="58"/>
      <c r="P42" s="62" t="s">
        <v>152</v>
      </c>
      <c r="Q42" s="43"/>
    </row>
    <row r="43" spans="1:17" ht="105">
      <c r="A43" s="44" t="s">
        <v>131</v>
      </c>
      <c r="B43" s="51" t="s">
        <v>133</v>
      </c>
      <c r="C43" s="51" t="s">
        <v>132</v>
      </c>
      <c r="D43" s="51"/>
      <c r="E43" s="52" t="s">
        <v>90</v>
      </c>
      <c r="F43" s="53"/>
      <c r="G43" s="53"/>
      <c r="H43" s="46" t="s">
        <v>155</v>
      </c>
      <c r="I43" s="54"/>
      <c r="J43" s="55"/>
      <c r="K43" s="56"/>
      <c r="L43" s="57"/>
      <c r="M43" s="57"/>
      <c r="N43" s="58"/>
      <c r="O43" s="58"/>
      <c r="P43" s="62" t="s">
        <v>152</v>
      </c>
      <c r="Q43" s="43"/>
    </row>
    <row r="44" spans="1:17" ht="75">
      <c r="A44" s="44" t="s">
        <v>134</v>
      </c>
      <c r="B44" s="51" t="s">
        <v>102</v>
      </c>
      <c r="C44" s="51" t="s">
        <v>135</v>
      </c>
      <c r="D44" s="51"/>
      <c r="E44" s="52" t="s">
        <v>85</v>
      </c>
      <c r="F44" s="52"/>
      <c r="G44" s="52"/>
      <c r="H44" s="46" t="s">
        <v>155</v>
      </c>
      <c r="I44" s="59"/>
      <c r="J44" s="55"/>
      <c r="K44" s="56"/>
      <c r="L44" s="57"/>
      <c r="M44" s="57"/>
      <c r="N44" s="58"/>
      <c r="O44" s="58"/>
      <c r="P44" s="62" t="s">
        <v>152</v>
      </c>
      <c r="Q44" s="43"/>
    </row>
    <row r="45" spans="1:17" ht="60">
      <c r="A45" s="44" t="s">
        <v>89</v>
      </c>
      <c r="B45" s="51" t="s">
        <v>103</v>
      </c>
      <c r="C45" s="51" t="s">
        <v>151</v>
      </c>
      <c r="D45" s="51"/>
      <c r="E45" s="52" t="s">
        <v>90</v>
      </c>
      <c r="F45" s="53"/>
      <c r="G45" s="53"/>
      <c r="H45" s="46" t="s">
        <v>155</v>
      </c>
      <c r="I45" s="54"/>
      <c r="J45" s="55"/>
      <c r="K45" s="56"/>
      <c r="L45" s="57"/>
      <c r="M45" s="57"/>
      <c r="N45" s="58"/>
      <c r="O45" s="58"/>
      <c r="P45" s="62" t="s">
        <v>152</v>
      </c>
      <c r="Q45" s="43"/>
    </row>
    <row r="46" spans="1:17" ht="60">
      <c r="A46" s="44" t="s">
        <v>121</v>
      </c>
      <c r="B46" s="45" t="s">
        <v>122</v>
      </c>
      <c r="C46" s="45" t="s">
        <v>77</v>
      </c>
      <c r="D46" s="45"/>
      <c r="E46" s="46" t="s">
        <v>125</v>
      </c>
      <c r="F46" s="46" t="s">
        <v>0</v>
      </c>
      <c r="G46" s="46"/>
      <c r="H46" s="46" t="s">
        <v>155</v>
      </c>
      <c r="I46" s="47"/>
      <c r="J46" s="48"/>
      <c r="K46" s="49"/>
      <c r="L46" s="49"/>
      <c r="M46" s="49"/>
      <c r="N46" s="50"/>
      <c r="O46" s="50"/>
      <c r="P46" s="62" t="s">
        <v>152</v>
      </c>
      <c r="Q46" s="43"/>
    </row>
    <row r="47" spans="1:17" ht="45">
      <c r="A47" s="44" t="s">
        <v>91</v>
      </c>
      <c r="B47" s="51" t="s">
        <v>104</v>
      </c>
      <c r="C47" s="51" t="s">
        <v>126</v>
      </c>
      <c r="D47" s="51"/>
      <c r="E47" s="52" t="s">
        <v>121</v>
      </c>
      <c r="F47" s="52"/>
      <c r="G47" s="52"/>
      <c r="H47" s="52"/>
      <c r="I47" s="59"/>
      <c r="J47" s="55"/>
      <c r="K47" s="56"/>
      <c r="L47" s="57"/>
      <c r="M47" s="57"/>
      <c r="N47" s="58"/>
      <c r="O47" s="58"/>
      <c r="P47" s="62" t="s">
        <v>152</v>
      </c>
      <c r="Q47" s="43"/>
    </row>
    <row r="48" spans="1:17" ht="60">
      <c r="A48" s="44" t="s">
        <v>92</v>
      </c>
      <c r="B48" s="51" t="s">
        <v>105</v>
      </c>
      <c r="C48" s="51" t="s">
        <v>127</v>
      </c>
      <c r="D48" s="51"/>
      <c r="E48" s="52" t="s">
        <v>121</v>
      </c>
      <c r="F48" s="52"/>
      <c r="G48" s="52"/>
      <c r="H48" s="52"/>
      <c r="I48" s="59"/>
      <c r="J48" s="55"/>
      <c r="K48" s="56"/>
      <c r="L48" s="57"/>
      <c r="M48" s="57"/>
      <c r="N48" s="58"/>
      <c r="O48" s="58"/>
      <c r="P48" s="62" t="s">
        <v>152</v>
      </c>
      <c r="Q48" s="43"/>
    </row>
    <row r="49" spans="1:17" ht="45">
      <c r="A49" s="44" t="s">
        <v>120</v>
      </c>
      <c r="B49" s="51" t="s">
        <v>118</v>
      </c>
      <c r="C49" s="51" t="s">
        <v>119</v>
      </c>
      <c r="D49" s="51"/>
      <c r="E49" s="52" t="s">
        <v>123</v>
      </c>
      <c r="F49" s="52"/>
      <c r="G49" s="52"/>
      <c r="H49" s="52"/>
      <c r="I49" s="59"/>
      <c r="J49" s="55"/>
      <c r="K49" s="56"/>
      <c r="L49" s="57"/>
      <c r="M49" s="57"/>
      <c r="N49" s="58"/>
      <c r="O49" s="58"/>
      <c r="P49" s="62" t="s">
        <v>152</v>
      </c>
      <c r="Q49" s="43"/>
    </row>
    <row r="50" spans="1:17" ht="60">
      <c r="A50" s="44" t="s">
        <v>93</v>
      </c>
      <c r="B50" s="51" t="s">
        <v>106</v>
      </c>
      <c r="C50" s="51" t="s">
        <v>136</v>
      </c>
      <c r="D50" s="51"/>
      <c r="E50" s="52" t="s">
        <v>125</v>
      </c>
      <c r="F50" s="52"/>
      <c r="G50" s="52"/>
      <c r="H50" s="52" t="s">
        <v>153</v>
      </c>
      <c r="I50" s="59"/>
      <c r="J50" s="55"/>
      <c r="K50" s="56"/>
      <c r="L50" s="57"/>
      <c r="M50" s="57"/>
      <c r="N50" s="58"/>
      <c r="O50" s="58"/>
      <c r="P50" s="62" t="s">
        <v>152</v>
      </c>
      <c r="Q50" s="43"/>
    </row>
    <row r="51" spans="1:17">
      <c r="A51" s="44" t="s">
        <v>94</v>
      </c>
      <c r="B51" s="51" t="s">
        <v>148</v>
      </c>
      <c r="C51" s="51" t="s">
        <v>128</v>
      </c>
      <c r="D51" s="51"/>
      <c r="E51" s="52" t="s">
        <v>121</v>
      </c>
      <c r="F51" s="52"/>
      <c r="G51" s="52"/>
      <c r="H51" s="52"/>
      <c r="I51" s="59"/>
      <c r="J51" s="55"/>
      <c r="K51" s="56"/>
      <c r="L51" s="57"/>
      <c r="M51" s="57"/>
      <c r="N51" s="58"/>
      <c r="O51" s="58"/>
      <c r="P51" s="62" t="s">
        <v>152</v>
      </c>
      <c r="Q51" s="43"/>
    </row>
    <row r="52" spans="1:17">
      <c r="A52" s="44" t="s">
        <v>95</v>
      </c>
      <c r="B52" s="51" t="s">
        <v>107</v>
      </c>
      <c r="C52" s="51" t="s">
        <v>129</v>
      </c>
      <c r="D52" s="51"/>
      <c r="E52" s="52" t="s">
        <v>121</v>
      </c>
      <c r="F52" s="52"/>
      <c r="G52" s="52"/>
      <c r="H52" s="52"/>
      <c r="I52" s="59"/>
      <c r="J52" s="55"/>
      <c r="K52" s="56"/>
      <c r="L52" s="57"/>
      <c r="M52" s="57"/>
      <c r="N52" s="58"/>
      <c r="O52" s="58"/>
      <c r="P52" s="62" t="s">
        <v>152</v>
      </c>
      <c r="Q52" s="43"/>
    </row>
    <row r="53" spans="1:17" ht="75">
      <c r="A53" s="35" t="s">
        <v>147</v>
      </c>
      <c r="B53" s="8" t="s">
        <v>146</v>
      </c>
      <c r="C53" s="51" t="s">
        <v>149</v>
      </c>
      <c r="D53" s="7"/>
      <c r="E53" s="6" t="s">
        <v>125</v>
      </c>
      <c r="F53" s="10"/>
      <c r="G53" s="10"/>
      <c r="H53" s="52" t="s">
        <v>153</v>
      </c>
      <c r="I53" s="9"/>
      <c r="J53" s="5"/>
      <c r="K53" s="4"/>
      <c r="L53" s="3"/>
      <c r="M53" s="3"/>
      <c r="N53" s="2"/>
      <c r="O53" s="2"/>
      <c r="P53" s="62" t="s">
        <v>152</v>
      </c>
    </row>
  </sheetData>
  <mergeCells count="5">
    <mergeCell ref="A8:C8"/>
    <mergeCell ref="A20:C20"/>
    <mergeCell ref="E27:I27"/>
    <mergeCell ref="A27:D27"/>
    <mergeCell ref="J27:P27"/>
  </mergeCells>
  <hyperlinks>
    <hyperlink ref="B1" r:id="rId1" xr:uid="{E44329C2-3F43-4E6B-B96C-1D58E45313E2}"/>
    <hyperlink ref="C3" r:id="rId2" display="http://purl.org/m4m20/subjects/" xr:uid="{B38C986B-9D56-4EE3-A10A-DEFFEF1DBFE3}"/>
    <hyperlink ref="C4" r:id="rId3" display="http://www.w3.org/2004/02/skos/core" xr:uid="{3AB4E091-8C27-4F0C-BB01-A429E9A21452}"/>
    <hyperlink ref="C5" r:id="rId4" display="http://purl.org/pav/" xr:uid="{354E364E-9407-457A-93CB-06F62B222733}"/>
    <hyperlink ref="C6" r:id="rId5" display="http://purl.org/dc/terms/" xr:uid="{93D65946-7F61-4723-9E30-A1F06755F0A9}"/>
    <hyperlink ref="B16" r:id="rId6" xr:uid="{BBFE197A-BF1F-4B47-8CFB-C8E5A7C71184}"/>
    <hyperlink ref="C7" r:id="rId7" xr:uid="{C2802A17-8F68-471F-891A-8E848729610B}"/>
    <hyperlink ref="B13" r:id="rId8" xr:uid="{9E630C16-7EE8-4504-BDF0-EEF4F8B3BD64}"/>
    <hyperlink ref="P30" r:id="rId9" xr:uid="{E2297A8B-9A36-4B3D-858E-112FD9762402}"/>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2022-09-08T19:58:24Z</dcterms:created>
  <dcterms:modified xsi:type="dcterms:W3CDTF">2024-12-04T23:12:18Z</dcterms:modified>
</cp:coreProperties>
</file>