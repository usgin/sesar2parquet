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d.docs.live.net/944a82e2ddcde9eb/Documents/GithubC/IEDA/sesar2/MigrationNotes_LookupTables/DepthElevation/"/>
    </mc:Choice>
  </mc:AlternateContent>
  <xr:revisionPtr revIDLastSave="316" documentId="8_{DD451D8D-00DE-4A49-BA87-3FF08D6900AB}" xr6:coauthVersionLast="47" xr6:coauthVersionMax="47" xr10:uidLastSave="{CB7195CD-C8FB-4770-858A-7404392D2FC7}"/>
  <bookViews>
    <workbookView xWindow="240" yWindow="4875" windowWidth="24510" windowHeight="12405" activeTab="1" xr2:uid="{7D5FE363-DC43-421A-8787-E5619B2E5F11}"/>
  </bookViews>
  <sheets>
    <sheet name="vertical_ref_lookup" sheetId="1" r:id="rId1"/>
    <sheet name="sesar_spatial_ref_vocab" sheetId="2" r:id="rId2"/>
  </sheets>
  <definedNames>
    <definedName name="_xlnm._FilterDatabase" localSheetId="0" hidden="1">vertical_ref_lookup!$A$1:$D$81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9" i="1"/>
  <c r="D70" i="1"/>
  <c r="D71" i="1"/>
  <c r="D72" i="1"/>
  <c r="D73" i="1"/>
  <c r="D74" i="1"/>
  <c r="D75" i="1"/>
  <c r="D76" i="1"/>
  <c r="D77" i="1"/>
  <c r="D78" i="1"/>
  <c r="D79" i="1"/>
  <c r="D80" i="1"/>
  <c r="D81" i="1"/>
  <c r="D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Stephen Richard</author>
  </authors>
  <commentList>
    <comment ref="B1" authorId="0" shapeId="0" xr:uid="{0C46BE46-E1C2-460B-BCBD-25886E84DCE5}">
      <text>
        <r>
          <rPr>
            <b/>
            <sz val="9"/>
            <color indexed="81"/>
            <rFont val="Tahoma"/>
            <charset val="1"/>
          </rPr>
          <t>Stephen Richard:</t>
        </r>
        <r>
          <rPr>
            <sz val="9"/>
            <color indexed="81"/>
            <rFont val="Tahoma"/>
            <charset val="1"/>
          </rPr>
          <t xml:space="preserve">
=IFERROR(INDEX(sesar_spatial_ref_vocab!$A$2:$B$41,MATCH(D2,sesar_spatial_ref_vocab!$B$2:$B$41,FALSE),1),"")</t>
        </r>
      </text>
    </comment>
  </commentList>
</comments>
</file>

<file path=xl/sharedStrings.xml><?xml version="1.0" encoding="utf-8"?>
<sst xmlns="http://schemas.openxmlformats.org/spreadsheetml/2006/main" count="249" uniqueCount="140">
  <si>
    <t>NULL</t>
  </si>
  <si>
    <t>Unit in which the depth is provided, e.g., MBSF</t>
  </si>
  <si>
    <t>N/A</t>
  </si>
  <si>
    <t>mm</t>
  </si>
  <si>
    <t>millimeters</t>
  </si>
  <si>
    <t>metres above base of measured section</t>
  </si>
  <si>
    <t>metres (according to published stratigraphic column)</t>
  </si>
  <si>
    <t>meters from base of section</t>
  </si>
  <si>
    <t>meters down core</t>
  </si>
  <si>
    <t>meters composite depth (MCD)</t>
  </si>
  <si>
    <t>meters below surface</t>
  </si>
  <si>
    <t>meters below land surface</t>
  </si>
  <si>
    <t>Meters below lake floor</t>
  </si>
  <si>
    <t>Meters below ice surface</t>
  </si>
  <si>
    <t>meters below core top</t>
  </si>
  <si>
    <t>Meters</t>
  </si>
  <si>
    <t>meters</t>
  </si>
  <si>
    <t>meter</t>
  </si>
  <si>
    <t>MDF</t>
  </si>
  <si>
    <t>MD Feet</t>
  </si>
  <si>
    <t>MCD</t>
  </si>
  <si>
    <t>Mcd</t>
  </si>
  <si>
    <t>mcd</t>
  </si>
  <si>
    <t>mbsl</t>
  </si>
  <si>
    <t>MBSF; cm</t>
  </si>
  <si>
    <t>MBSF</t>
  </si>
  <si>
    <t>mbsf</t>
  </si>
  <si>
    <t>MBS</t>
  </si>
  <si>
    <t>mbs</t>
  </si>
  <si>
    <t>mbls</t>
  </si>
  <si>
    <t>MBGS; cm</t>
  </si>
  <si>
    <t>MBGS</t>
  </si>
  <si>
    <t>M</t>
  </si>
  <si>
    <t>m</t>
  </si>
  <si>
    <t>inches</t>
  </si>
  <si>
    <t>in</t>
  </si>
  <si>
    <t>Ft.</t>
  </si>
  <si>
    <t>ft Skeletonized</t>
  </si>
  <si>
    <t>ft below Kelly bushing</t>
  </si>
  <si>
    <t>Ft</t>
  </si>
  <si>
    <t>ft</t>
  </si>
  <si>
    <t>feet BLS</t>
  </si>
  <si>
    <t>feet below the surface</t>
  </si>
  <si>
    <t>feet below surface</t>
  </si>
  <si>
    <t>Feet</t>
  </si>
  <si>
    <t>feet</t>
  </si>
  <si>
    <t>FBDF (feet below derrick floor)</t>
  </si>
  <si>
    <t>CSF-B (m)</t>
  </si>
  <si>
    <t>CSF-A (m)</t>
  </si>
  <si>
    <t>CSF-A</t>
  </si>
  <si>
    <t>cmcd</t>
  </si>
  <si>
    <t>cmbsf</t>
  </si>
  <si>
    <t>CMBS</t>
  </si>
  <si>
    <t>cmbs</t>
  </si>
  <si>
    <t>cm depth from top of core</t>
  </si>
  <si>
    <t>cm below sediment-water interface</t>
  </si>
  <si>
    <t>cm below land surface</t>
  </si>
  <si>
    <t>cm bct</t>
  </si>
  <si>
    <t>cm above land surface</t>
  </si>
  <si>
    <t>cm</t>
  </si>
  <si>
    <t>Centimeters Below Surface</t>
  </si>
  <si>
    <t>centimeters below surface</t>
  </si>
  <si>
    <t>centimeters below land surface</t>
  </si>
  <si>
    <t xml:space="preserve">centimeters </t>
  </si>
  <si>
    <t>centimeters</t>
  </si>
  <si>
    <t>centimeter</t>
  </si>
  <si>
    <t>aa</t>
  </si>
  <si>
    <t>a</t>
  </si>
  <si>
    <t>below surface, meters</t>
  </si>
  <si>
    <t>below land surface, meters</t>
  </si>
  <si>
    <t>above base of published section, meters</t>
  </si>
  <si>
    <t>above base of stratigraphic section, meters</t>
  </si>
  <si>
    <t>below top of core, meters</t>
  </si>
  <si>
    <t>below lake floor, meters</t>
  </si>
  <si>
    <t>below sea floor, composite, meters</t>
  </si>
  <si>
    <t>below borehole collar, along well bore, feet</t>
  </si>
  <si>
    <t>below sea level,  meters</t>
  </si>
  <si>
    <t>below sea floor, centimeters</t>
  </si>
  <si>
    <t>below sea floor, meters</t>
  </si>
  <si>
    <t>below ground surface, meters</t>
  </si>
  <si>
    <t>below ground surface, centimeters</t>
  </si>
  <si>
    <t>below kelly bushing, feet</t>
  </si>
  <si>
    <t>below datum unknown, meters</t>
  </si>
  <si>
    <t>below datum unknown, inches</t>
  </si>
  <si>
    <t>below datum unknown, feet</t>
  </si>
  <si>
    <t>below land surface, feet</t>
  </si>
  <si>
    <t>below surface, feet</t>
  </si>
  <si>
    <t>below derrick floor, feet</t>
  </si>
  <si>
    <t>corrected composite depth, meters</t>
  </si>
  <si>
    <t>below surface, centimeters</t>
  </si>
  <si>
    <t>below top of core, centimeters</t>
  </si>
  <si>
    <t>below water bottom, centimeters</t>
  </si>
  <si>
    <t>below land surface, centimeters</t>
  </si>
  <si>
    <t>above land surface, centimeters</t>
  </si>
  <si>
    <t>below datum unknown, centimeters</t>
  </si>
  <si>
    <t xml:space="preserve">below sea floor, Core depth (CSF-A), assume meters </t>
  </si>
  <si>
    <t xml:space="preserve">below sea floor, Core depth (CSF-A), meters </t>
  </si>
  <si>
    <t>spatial ref missing</t>
  </si>
  <si>
    <t>description</t>
  </si>
  <si>
    <t>name</t>
  </si>
  <si>
    <t>below ice surface meters</t>
  </si>
  <si>
    <t xml:space="preserve">below sea floor, Core depth (CSF-B), meters </t>
  </si>
  <si>
    <t>below datum unknown, millimeters</t>
  </si>
  <si>
    <t>above datum unknown, meters</t>
  </si>
  <si>
    <t>above datum unknown, feet</t>
  </si>
  <si>
    <t>elevation; the horizontal datum not specified.  Positive up.</t>
  </si>
  <si>
    <t>relative to stratigraphic section, relation to horizontal datum unknown. Positive up.</t>
  </si>
  <si>
    <t>elevation, positive up. Used for samples of organic material lying on ground surface. Positive up.</t>
  </si>
  <si>
    <t>Measured depth (MD) is the distance measured in feet or meters along a well's path from a reference point to a survey point. Relationship to elevation depends on borehole geometry. Positive away from borehole collar.</t>
  </si>
  <si>
    <t>depth, positive down</t>
  </si>
  <si>
    <t>below datum unknown, bct, centimeters</t>
  </si>
  <si>
    <t>depth; can't tell what bct is. Assume positive down.</t>
  </si>
  <si>
    <t>depth; usage at https://pmc.ncbi.nlm.nih.gov/articles/PMC7673041. Positive down</t>
  </si>
  <si>
    <t>depth measurement used in ocean drilling, specifically indicating a standardized depth scale created by correlating data from multiple holes at a site, essentially aligning stratigraphic layers across different drill holes to create a unified depth record (http://publications.iodp.org/proceedings/303_306/102/102_5.htm). Positive down.</t>
  </si>
  <si>
    <t>Depth; Distance from sea floor to target within Recovered Core. Combines DSF (The length of all drill string components between sea floor and target) to top of Cored Interval with Curated Section length to target within cored material. This method allows overlap at Cored Interval and Section boundaries.  https://www.iodp.org/policies-and-guidelines/142-iodp-depth-scales-terminology-april-2011/file. Positive down.</t>
  </si>
  <si>
    <t>Depth; Distance from sea floor to target within recovered core. Combines DSF (The length of all drill string components between sea floor and target)  to top of cored interval with curated length to target within cored material. This method applies compression algorithm (i.e., scaling) if recovery is above 100%. Positive down.</t>
  </si>
  <si>
    <t>Depth, based on the length the drill string is advanced on a core-by-core basis and is often inaccurate because of ship heave (which is not compensated for in APC coring), tidal variations in sea level, and other sources of error. Positive down.</t>
  </si>
  <si>
    <t>Depth EPSG:5715. Positive down.</t>
  </si>
  <si>
    <t>Depth; usage at https://bsp.guam.gov/wp-bsp-content/uploads/2020/04/FC2020-0003-02072020-GWA-NGLA-Monitoring-System-Expansion-and-Rehab-Project.pdf. Positive Down.</t>
  </si>
  <si>
    <t>depth relative to core, elevation depends on core orientation, positive down</t>
  </si>
  <si>
    <t>depth. Water body might be river, stream, lake, or ocean, etc., positive down</t>
  </si>
  <si>
    <t>Depth; corrected meters composite depth,  produced by dividing mcd (meters composite depth) by GF (calculated by fitting a line to mbsf versus mcd) over a sufficiently long interval so that random variations in drill pipe advance due to ship heave, tides, and other factors are negligible. http://publications.iodp.org/proceedings/303_306/102/102_5.htm., positive down</t>
  </si>
  <si>
    <t>spatial_ref_id</t>
  </si>
  <si>
    <t>identifier</t>
  </si>
  <si>
    <t>above mean sea level, meters</t>
  </si>
  <si>
    <t>EPSG:5714 MSL height  meters</t>
  </si>
  <si>
    <t>https://epsg.io/5714</t>
  </si>
  <si>
    <t>https://epsg.io/5715</t>
  </si>
  <si>
    <t>North American Vertical Datum of 1988 (NAVD 88)</t>
  </si>
  <si>
    <t>https://epsg.io/6357</t>
  </si>
  <si>
    <t>Coordinate system: Vertical CS. Axis: depth (D). Orientation: down. UoM: meter.  NAVD88. Datum is height of the primary tidal bench mark, referenced to the new International Great Lakes Datum of 1985 local mean sea level height value, at Father Point/Rimouski, Quebec, Canada. North American Vertical Datum of 1988 (NAVD 88) consists of a leveling network on the North American Continent, ranging from Alaska, through Canada, across the United States, affixed to a single origin point on the continent. (https://www.ngs.noaa.gov/datums/vertical/north-american-vertical-datum-1988.shtml)</t>
  </si>
  <si>
    <t>vertical_spatial_ref</t>
  </si>
  <si>
    <t>uom</t>
  </si>
  <si>
    <t>millimeter</t>
  </si>
  <si>
    <t>inch</t>
  </si>
  <si>
    <t>foot</t>
  </si>
  <si>
    <t>label</t>
  </si>
  <si>
    <t>navd88</t>
  </si>
  <si>
    <t>MSL</t>
  </si>
  <si>
    <t>EPSG:5714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</si>
</sst>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9"/>
      <color indexed="81"/>
      <name val="Tahoma"/>
      <charset val="1"/>
    </font>
    <font>
      <b/>
      <sz val="9"/>
      <color indexed="81"/>
      <name val="Tahoma"/>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hyperlink" Target="https://epsg.io/5715" TargetMode="External"/><Relationship Id="rId1" Type="http://schemas.openxmlformats.org/officeDocument/2006/relationships/hyperlink" Target="https://epsg.io/571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1E74B-B245-4598-903F-AC2CEA45229B}">
  <dimension ref="A1:E84"/>
  <sheetViews>
    <sheetView topLeftCell="A71" workbookViewId="0">
      <selection activeCell="A87" sqref="A87"/>
    </sheetView>
  </sheetViews>
  <sheetFormatPr defaultColWidth="9" defaultRowHeight="15" x14ac:dyDescent="0.25"/>
  <cols>
    <col min="1" max="3" width="26.140625" style="2" customWidth="1"/>
    <col min="4" max="4" width="36.28515625" style="2" customWidth="1"/>
    <col min="5" max="5" width="58" style="2" customWidth="1"/>
    <col min="6" max="16384" width="9" style="2"/>
  </cols>
  <sheetData>
    <row r="1" spans="1:4" x14ac:dyDescent="0.25">
      <c r="A1" s="2" t="s">
        <v>131</v>
      </c>
      <c r="B1" s="2" t="s">
        <v>122</v>
      </c>
      <c r="C1" s="2" t="s">
        <v>132</v>
      </c>
      <c r="D1" s="2" t="s">
        <v>136</v>
      </c>
    </row>
    <row r="2" spans="1:4" x14ac:dyDescent="0.25">
      <c r="A2" s="2" t="s">
        <v>0</v>
      </c>
      <c r="B2" s="2">
        <v>-9999</v>
      </c>
      <c r="C2" s="2" t="s">
        <v>0</v>
      </c>
      <c r="D2" s="2" t="str">
        <f>IFERROR(INDEX(sesar_spatial_ref_vocab!$A$2:$B$41,MATCH(B2,sesar_spatial_ref_vocab!$A$2:$A$41,FALSE),2),"")</f>
        <v>spatial ref missing</v>
      </c>
    </row>
    <row r="3" spans="1:4" ht="30" x14ac:dyDescent="0.25">
      <c r="A3" s="2" t="s">
        <v>1</v>
      </c>
      <c r="B3" s="2">
        <v>-9999</v>
      </c>
      <c r="C3" s="2" t="s">
        <v>0</v>
      </c>
      <c r="D3" s="2" t="str">
        <f>IFERROR(INDEX(sesar_spatial_ref_vocab!$A$2:$B$41,MATCH(B3,sesar_spatial_ref_vocab!$A$2:$A$41,FALSE),2),"")</f>
        <v>spatial ref missing</v>
      </c>
    </row>
    <row r="4" spans="1:4" x14ac:dyDescent="0.25">
      <c r="A4" s="2" t="s">
        <v>2</v>
      </c>
      <c r="B4" s="2">
        <v>-9999</v>
      </c>
      <c r="C4" s="2" t="s">
        <v>0</v>
      </c>
      <c r="D4" s="2" t="str">
        <f>IFERROR(INDEX(sesar_spatial_ref_vocab!$A$2:$B$41,MATCH(B4,sesar_spatial_ref_vocab!$A$2:$A$41,FALSE),2),"")</f>
        <v>spatial ref missing</v>
      </c>
    </row>
    <row r="5" spans="1:4" x14ac:dyDescent="0.25">
      <c r="A5" s="2" t="s">
        <v>3</v>
      </c>
      <c r="B5" s="2">
        <v>10</v>
      </c>
      <c r="C5" s="2" t="s">
        <v>133</v>
      </c>
      <c r="D5" s="2" t="str">
        <f>IFERROR(INDEX(sesar_spatial_ref_vocab!$A$2:$B$41,MATCH(B5,sesar_spatial_ref_vocab!$A$2:$A$41,FALSE),2),"")</f>
        <v>below datum unknown, millimeters</v>
      </c>
    </row>
    <row r="6" spans="1:4" x14ac:dyDescent="0.25">
      <c r="A6" s="2" t="s">
        <v>4</v>
      </c>
      <c r="B6" s="2">
        <v>10</v>
      </c>
      <c r="C6" s="2" t="s">
        <v>133</v>
      </c>
      <c r="D6" s="2" t="str">
        <f>IFERROR(INDEX(sesar_spatial_ref_vocab!$A$2:$B$41,MATCH(B6,sesar_spatial_ref_vocab!$A$2:$A$41,FALSE),2),"")</f>
        <v>below datum unknown, millimeters</v>
      </c>
    </row>
    <row r="7" spans="1:4" ht="30" x14ac:dyDescent="0.25">
      <c r="A7" s="2" t="s">
        <v>5</v>
      </c>
      <c r="B7" s="2">
        <v>2</v>
      </c>
      <c r="C7" s="2" t="s">
        <v>17</v>
      </c>
      <c r="D7" s="2" t="str">
        <f>IFERROR(INDEX(sesar_spatial_ref_vocab!$A$2:$B$41,MATCH(B7,sesar_spatial_ref_vocab!$A$2:$A$41,FALSE),2),"")</f>
        <v>above base of stratigraphic section, meters</v>
      </c>
    </row>
    <row r="8" spans="1:4" ht="45" x14ac:dyDescent="0.25">
      <c r="A8" s="2" t="s">
        <v>6</v>
      </c>
      <c r="B8" s="2">
        <v>1</v>
      </c>
      <c r="C8" s="2" t="s">
        <v>17</v>
      </c>
      <c r="D8" s="2" t="str">
        <f>IFERROR(INDEX(sesar_spatial_ref_vocab!$A$2:$B$41,MATCH(B8,sesar_spatial_ref_vocab!$A$2:$A$41,FALSE),2),"")</f>
        <v>above base of published section, meters</v>
      </c>
    </row>
    <row r="9" spans="1:4" x14ac:dyDescent="0.25">
      <c r="A9" s="2" t="s">
        <v>7</v>
      </c>
      <c r="B9" s="2">
        <v>2</v>
      </c>
      <c r="C9" s="2" t="s">
        <v>17</v>
      </c>
      <c r="D9" s="2" t="str">
        <f>IFERROR(INDEX(sesar_spatial_ref_vocab!$A$2:$B$41,MATCH(B9,sesar_spatial_ref_vocab!$A$2:$A$41,FALSE),2),"")</f>
        <v>above base of stratigraphic section, meters</v>
      </c>
    </row>
    <row r="10" spans="1:4" x14ac:dyDescent="0.25">
      <c r="A10" s="2" t="s">
        <v>8</v>
      </c>
      <c r="B10" s="2">
        <v>33</v>
      </c>
      <c r="C10" s="2" t="s">
        <v>17</v>
      </c>
      <c r="D10" s="2" t="str">
        <f>IFERROR(INDEX(sesar_spatial_ref_vocab!$A$2:$B$41,MATCH(B10,sesar_spatial_ref_vocab!$A$2:$A$41,FALSE),2),"")</f>
        <v>below top of core, meters</v>
      </c>
    </row>
    <row r="11" spans="1:4" ht="30" x14ac:dyDescent="0.25">
      <c r="A11" s="2" t="s">
        <v>9</v>
      </c>
      <c r="B11" s="2">
        <v>22</v>
      </c>
      <c r="C11" s="2" t="s">
        <v>17</v>
      </c>
      <c r="D11" s="2" t="str">
        <f>IFERROR(INDEX(sesar_spatial_ref_vocab!$A$2:$B$41,MATCH(B11,sesar_spatial_ref_vocab!$A$2:$A$41,FALSE),2),"")</f>
        <v>below sea floor, composite, meters</v>
      </c>
    </row>
    <row r="12" spans="1:4" x14ac:dyDescent="0.25">
      <c r="A12" s="2" t="s">
        <v>10</v>
      </c>
      <c r="B12" s="2">
        <v>31</v>
      </c>
      <c r="C12" s="2" t="s">
        <v>17</v>
      </c>
      <c r="D12" s="2" t="str">
        <f>IFERROR(INDEX(sesar_spatial_ref_vocab!$A$2:$B$41,MATCH(B12,sesar_spatial_ref_vocab!$A$2:$A$41,FALSE),2),"")</f>
        <v>below surface, meters</v>
      </c>
    </row>
    <row r="13" spans="1:4" x14ac:dyDescent="0.25">
      <c r="A13" s="2" t="s">
        <v>11</v>
      </c>
      <c r="B13" s="2">
        <v>20</v>
      </c>
      <c r="C13" s="2" t="s">
        <v>17</v>
      </c>
      <c r="D13" s="2" t="str">
        <f>IFERROR(INDEX(sesar_spatial_ref_vocab!$A$2:$B$41,MATCH(B13,sesar_spatial_ref_vocab!$A$2:$A$41,FALSE),2),"")</f>
        <v>below land surface, meters</v>
      </c>
    </row>
    <row r="14" spans="1:4" x14ac:dyDescent="0.25">
      <c r="A14" s="2" t="s">
        <v>12</v>
      </c>
      <c r="B14" s="2">
        <v>17</v>
      </c>
      <c r="C14" s="2" t="s">
        <v>17</v>
      </c>
      <c r="D14" s="2" t="str">
        <f>IFERROR(INDEX(sesar_spatial_ref_vocab!$A$2:$B$41,MATCH(B14,sesar_spatial_ref_vocab!$A$2:$A$41,FALSE),2),"")</f>
        <v>below lake floor, meters</v>
      </c>
    </row>
    <row r="15" spans="1:4" x14ac:dyDescent="0.25">
      <c r="A15" s="2" t="s">
        <v>13</v>
      </c>
      <c r="B15" s="2">
        <v>15</v>
      </c>
      <c r="C15" s="2" t="s">
        <v>17</v>
      </c>
      <c r="D15" s="2" t="str">
        <f>IFERROR(INDEX(sesar_spatial_ref_vocab!$A$2:$B$41,MATCH(B15,sesar_spatial_ref_vocab!$A$2:$A$41,FALSE),2),"")</f>
        <v>below ice surface meters</v>
      </c>
    </row>
    <row r="16" spans="1:4" x14ac:dyDescent="0.25">
      <c r="A16" s="2" t="s">
        <v>14</v>
      </c>
      <c r="B16" s="2">
        <v>33</v>
      </c>
      <c r="C16" s="2" t="s">
        <v>17</v>
      </c>
      <c r="D16" s="2" t="str">
        <f>IFERROR(INDEX(sesar_spatial_ref_vocab!$A$2:$B$41,MATCH(B16,sesar_spatial_ref_vocab!$A$2:$A$41,FALSE),2),"")</f>
        <v>below top of core, meters</v>
      </c>
    </row>
    <row r="17" spans="1:4" x14ac:dyDescent="0.25">
      <c r="A17" s="2" t="s">
        <v>15</v>
      </c>
      <c r="B17" s="2">
        <v>8</v>
      </c>
      <c r="C17" s="2" t="s">
        <v>17</v>
      </c>
      <c r="D17" s="2" t="str">
        <f>IFERROR(INDEX(sesar_spatial_ref_vocab!$A$2:$B$41,MATCH(B17,sesar_spatial_ref_vocab!$A$2:$A$41,FALSE),2),"")</f>
        <v>below datum unknown, meters</v>
      </c>
    </row>
    <row r="18" spans="1:4" x14ac:dyDescent="0.25">
      <c r="A18" s="2" t="s">
        <v>16</v>
      </c>
      <c r="B18" s="2">
        <v>8</v>
      </c>
      <c r="C18" s="2" t="s">
        <v>17</v>
      </c>
      <c r="D18" s="2" t="str">
        <f>IFERROR(INDEX(sesar_spatial_ref_vocab!$A$2:$B$41,MATCH(B18,sesar_spatial_ref_vocab!$A$2:$A$41,FALSE),2),"")</f>
        <v>below datum unknown, meters</v>
      </c>
    </row>
    <row r="19" spans="1:4" x14ac:dyDescent="0.25">
      <c r="A19" s="2" t="s">
        <v>17</v>
      </c>
      <c r="B19" s="2">
        <v>8</v>
      </c>
      <c r="C19" s="2" t="s">
        <v>17</v>
      </c>
      <c r="D19" s="2" t="str">
        <f>IFERROR(INDEX(sesar_spatial_ref_vocab!$A$2:$B$41,MATCH(B19,sesar_spatial_ref_vocab!$A$2:$A$41,FALSE),2),"")</f>
        <v>below datum unknown, meters</v>
      </c>
    </row>
    <row r="20" spans="1:4" x14ac:dyDescent="0.25">
      <c r="A20" s="2" t="s">
        <v>18</v>
      </c>
      <c r="B20" s="2">
        <v>4</v>
      </c>
      <c r="C20" s="2" t="s">
        <v>135</v>
      </c>
      <c r="D20" s="2" t="str">
        <f>IFERROR(INDEX(sesar_spatial_ref_vocab!$A$2:$B$41,MATCH(B20,sesar_spatial_ref_vocab!$A$2:$A$41,FALSE),2),"")</f>
        <v>below borehole collar, along well bore, feet</v>
      </c>
    </row>
    <row r="21" spans="1:4" x14ac:dyDescent="0.25">
      <c r="A21" s="2" t="s">
        <v>19</v>
      </c>
      <c r="B21" s="2">
        <v>4</v>
      </c>
      <c r="C21" s="2" t="s">
        <v>135</v>
      </c>
      <c r="D21" s="2" t="str">
        <f>IFERROR(INDEX(sesar_spatial_ref_vocab!$A$2:$B$41,MATCH(B21,sesar_spatial_ref_vocab!$A$2:$A$41,FALSE),2),"")</f>
        <v>below borehole collar, along well bore, feet</v>
      </c>
    </row>
    <row r="22" spans="1:4" x14ac:dyDescent="0.25">
      <c r="A22" s="2" t="s">
        <v>20</v>
      </c>
      <c r="B22" s="2">
        <v>22</v>
      </c>
      <c r="C22" s="2" t="s">
        <v>17</v>
      </c>
      <c r="D22" s="2" t="str">
        <f>IFERROR(INDEX(sesar_spatial_ref_vocab!$A$2:$B$41,MATCH(B22,sesar_spatial_ref_vocab!$A$2:$A$41,FALSE),2),"")</f>
        <v>below sea floor, composite, meters</v>
      </c>
    </row>
    <row r="23" spans="1:4" x14ac:dyDescent="0.25">
      <c r="A23" s="2" t="s">
        <v>21</v>
      </c>
      <c r="B23" s="2">
        <v>22</v>
      </c>
      <c r="C23" s="2" t="s">
        <v>17</v>
      </c>
      <c r="D23" s="2" t="str">
        <f>IFERROR(INDEX(sesar_spatial_ref_vocab!$A$2:$B$41,MATCH(B23,sesar_spatial_ref_vocab!$A$2:$A$41,FALSE),2),"")</f>
        <v>below sea floor, composite, meters</v>
      </c>
    </row>
    <row r="24" spans="1:4" x14ac:dyDescent="0.25">
      <c r="A24" s="2" t="s">
        <v>22</v>
      </c>
      <c r="B24" s="2">
        <v>22</v>
      </c>
      <c r="C24" s="2" t="s">
        <v>17</v>
      </c>
      <c r="D24" s="2" t="str">
        <f>IFERROR(INDEX(sesar_spatial_ref_vocab!$A$2:$B$41,MATCH(B24,sesar_spatial_ref_vocab!$A$2:$A$41,FALSE),2),"")</f>
        <v>below sea floor, composite, meters</v>
      </c>
    </row>
    <row r="25" spans="1:4" x14ac:dyDescent="0.25">
      <c r="A25" s="2" t="s">
        <v>23</v>
      </c>
      <c r="B25" s="2">
        <v>27</v>
      </c>
      <c r="C25" s="2" t="s">
        <v>17</v>
      </c>
      <c r="D25" s="2" t="str">
        <f>IFERROR(INDEX(sesar_spatial_ref_vocab!$A$2:$B$41,MATCH(B25,sesar_spatial_ref_vocab!$A$2:$A$41,FALSE),2),"")</f>
        <v>below sea level,  meters</v>
      </c>
    </row>
    <row r="26" spans="1:4" x14ac:dyDescent="0.25">
      <c r="A26" s="2" t="s">
        <v>24</v>
      </c>
      <c r="B26" s="2">
        <v>21</v>
      </c>
      <c r="C26" s="2" t="s">
        <v>65</v>
      </c>
      <c r="D26" s="2" t="str">
        <f>IFERROR(INDEX(sesar_spatial_ref_vocab!$A$2:$B$41,MATCH(B26,sesar_spatial_ref_vocab!$A$2:$A$41,FALSE),2),"")</f>
        <v>below sea floor, centimeters</v>
      </c>
    </row>
    <row r="27" spans="1:4" x14ac:dyDescent="0.25">
      <c r="A27" s="2" t="s">
        <v>25</v>
      </c>
      <c r="B27" s="2">
        <v>26</v>
      </c>
      <c r="C27" s="2" t="s">
        <v>17</v>
      </c>
      <c r="D27" s="2" t="str">
        <f>IFERROR(INDEX(sesar_spatial_ref_vocab!$A$2:$B$41,MATCH(B27,sesar_spatial_ref_vocab!$A$2:$A$41,FALSE),2),"")</f>
        <v>below sea floor, meters</v>
      </c>
    </row>
    <row r="28" spans="1:4" x14ac:dyDescent="0.25">
      <c r="A28" s="2" t="s">
        <v>26</v>
      </c>
      <c r="B28" s="2">
        <v>26</v>
      </c>
      <c r="C28" s="2" t="s">
        <v>17</v>
      </c>
      <c r="D28" s="2" t="str">
        <f>IFERROR(INDEX(sesar_spatial_ref_vocab!$A$2:$B$41,MATCH(B28,sesar_spatial_ref_vocab!$A$2:$A$41,FALSE),2),"")</f>
        <v>below sea floor, meters</v>
      </c>
    </row>
    <row r="29" spans="1:4" x14ac:dyDescent="0.25">
      <c r="A29" s="2" t="s">
        <v>27</v>
      </c>
      <c r="B29" s="2">
        <v>31</v>
      </c>
      <c r="C29" s="2" t="s">
        <v>17</v>
      </c>
      <c r="D29" s="2" t="str">
        <f>IFERROR(INDEX(sesar_spatial_ref_vocab!$A$2:$B$41,MATCH(B29,sesar_spatial_ref_vocab!$A$2:$A$41,FALSE),2),"")</f>
        <v>below surface, meters</v>
      </c>
    </row>
    <row r="30" spans="1:4" x14ac:dyDescent="0.25">
      <c r="A30" s="2" t="s">
        <v>28</v>
      </c>
      <c r="B30" s="2">
        <v>31</v>
      </c>
      <c r="C30" s="2" t="s">
        <v>17</v>
      </c>
      <c r="D30" s="2" t="str">
        <f>IFERROR(INDEX(sesar_spatial_ref_vocab!$A$2:$B$41,MATCH(B30,sesar_spatial_ref_vocab!$A$2:$A$41,FALSE),2),"")</f>
        <v>below surface, meters</v>
      </c>
    </row>
    <row r="31" spans="1:4" x14ac:dyDescent="0.25">
      <c r="A31" s="2" t="s">
        <v>29</v>
      </c>
      <c r="B31" s="2">
        <v>20</v>
      </c>
      <c r="C31" s="2" t="s">
        <v>17</v>
      </c>
      <c r="D31" s="2" t="str">
        <f>IFERROR(INDEX(sesar_spatial_ref_vocab!$A$2:$B$41,MATCH(B31,sesar_spatial_ref_vocab!$A$2:$A$41,FALSE),2),"")</f>
        <v>below land surface, meters</v>
      </c>
    </row>
    <row r="32" spans="1:4" x14ac:dyDescent="0.25">
      <c r="A32" s="2" t="s">
        <v>30</v>
      </c>
      <c r="B32" s="2">
        <v>13</v>
      </c>
      <c r="C32" s="2" t="s">
        <v>65</v>
      </c>
      <c r="D32" s="2" t="str">
        <f>IFERROR(INDEX(sesar_spatial_ref_vocab!$A$2:$B$41,MATCH(B32,sesar_spatial_ref_vocab!$A$2:$A$41,FALSE),2),"")</f>
        <v>below ground surface, centimeters</v>
      </c>
    </row>
    <row r="33" spans="1:4" x14ac:dyDescent="0.25">
      <c r="A33" s="2" t="s">
        <v>31</v>
      </c>
      <c r="B33" s="2">
        <v>14</v>
      </c>
      <c r="C33" s="2" t="s">
        <v>17</v>
      </c>
      <c r="D33" s="2" t="str">
        <f>IFERROR(INDEX(sesar_spatial_ref_vocab!$A$2:$B$41,MATCH(B33,sesar_spatial_ref_vocab!$A$2:$A$41,FALSE),2),"")</f>
        <v>below ground surface, meters</v>
      </c>
    </row>
    <row r="34" spans="1:4" x14ac:dyDescent="0.25">
      <c r="A34" s="2" t="s">
        <v>32</v>
      </c>
      <c r="B34" s="2">
        <v>8</v>
      </c>
      <c r="C34" s="2" t="s">
        <v>17</v>
      </c>
      <c r="D34" s="2" t="str">
        <f>IFERROR(INDEX(sesar_spatial_ref_vocab!$A$2:$B$41,MATCH(B34,sesar_spatial_ref_vocab!$A$2:$A$41,FALSE),2),"")</f>
        <v>below datum unknown, meters</v>
      </c>
    </row>
    <row r="35" spans="1:4" x14ac:dyDescent="0.25">
      <c r="A35" s="2" t="s">
        <v>33</v>
      </c>
      <c r="B35" s="2">
        <v>8</v>
      </c>
      <c r="C35" s="2" t="s">
        <v>17</v>
      </c>
      <c r="D35" s="2" t="str">
        <f>IFERROR(INDEX(sesar_spatial_ref_vocab!$A$2:$B$41,MATCH(B35,sesar_spatial_ref_vocab!$A$2:$A$41,FALSE),2),"")</f>
        <v>below datum unknown, meters</v>
      </c>
    </row>
    <row r="36" spans="1:4" x14ac:dyDescent="0.25">
      <c r="A36" s="2" t="s">
        <v>34</v>
      </c>
      <c r="B36" s="2">
        <v>7</v>
      </c>
      <c r="C36" s="2" t="s">
        <v>134</v>
      </c>
      <c r="D36" s="2" t="str">
        <f>IFERROR(INDEX(sesar_spatial_ref_vocab!$A$2:$B$41,MATCH(B36,sesar_spatial_ref_vocab!$A$2:$A$41,FALSE),2),"")</f>
        <v>below datum unknown, inches</v>
      </c>
    </row>
    <row r="37" spans="1:4" x14ac:dyDescent="0.25">
      <c r="A37" s="2" t="s">
        <v>35</v>
      </c>
      <c r="B37" s="2">
        <v>7</v>
      </c>
      <c r="C37" s="2" t="s">
        <v>134</v>
      </c>
      <c r="D37" s="2" t="str">
        <f>IFERROR(INDEX(sesar_spatial_ref_vocab!$A$2:$B$41,MATCH(B37,sesar_spatial_ref_vocab!$A$2:$A$41,FALSE),2),"")</f>
        <v>below datum unknown, inches</v>
      </c>
    </row>
    <row r="38" spans="1:4" x14ac:dyDescent="0.25">
      <c r="A38" s="2" t="s">
        <v>36</v>
      </c>
      <c r="B38" s="2">
        <v>6</v>
      </c>
      <c r="C38" s="2" t="s">
        <v>135</v>
      </c>
      <c r="D38" s="2" t="str">
        <f>IFERROR(INDEX(sesar_spatial_ref_vocab!$A$2:$B$41,MATCH(B38,sesar_spatial_ref_vocab!$A$2:$A$41,FALSE),2),"")</f>
        <v>below datum unknown, feet</v>
      </c>
    </row>
    <row r="39" spans="1:4" x14ac:dyDescent="0.25">
      <c r="A39" s="2" t="s">
        <v>37</v>
      </c>
      <c r="B39" s="2">
        <v>6</v>
      </c>
      <c r="C39" s="2" t="s">
        <v>135</v>
      </c>
      <c r="D39" s="2" t="str">
        <f>IFERROR(INDEX(sesar_spatial_ref_vocab!$A$2:$B$41,MATCH(B39,sesar_spatial_ref_vocab!$A$2:$A$41,FALSE),2),"")</f>
        <v>below datum unknown, feet</v>
      </c>
    </row>
    <row r="40" spans="1:4" x14ac:dyDescent="0.25">
      <c r="A40" s="2" t="s">
        <v>38</v>
      </c>
      <c r="B40" s="2">
        <v>16</v>
      </c>
      <c r="C40" s="2" t="s">
        <v>135</v>
      </c>
      <c r="D40" s="2" t="str">
        <f>IFERROR(INDEX(sesar_spatial_ref_vocab!$A$2:$B$41,MATCH(B40,sesar_spatial_ref_vocab!$A$2:$A$41,FALSE),2),"")</f>
        <v>below kelly bushing, feet</v>
      </c>
    </row>
    <row r="41" spans="1:4" x14ac:dyDescent="0.25">
      <c r="A41" s="2" t="s">
        <v>39</v>
      </c>
      <c r="B41" s="2">
        <v>6</v>
      </c>
      <c r="C41" s="2" t="s">
        <v>135</v>
      </c>
      <c r="D41" s="2" t="str">
        <f>IFERROR(INDEX(sesar_spatial_ref_vocab!$A$2:$B$41,MATCH(B41,sesar_spatial_ref_vocab!$A$2:$A$41,FALSE),2),"")</f>
        <v>below datum unknown, feet</v>
      </c>
    </row>
    <row r="42" spans="1:4" x14ac:dyDescent="0.25">
      <c r="A42" s="2" t="s">
        <v>40</v>
      </c>
      <c r="B42" s="2">
        <v>6</v>
      </c>
      <c r="C42" s="2" t="s">
        <v>135</v>
      </c>
      <c r="D42" s="2" t="str">
        <f>IFERROR(INDEX(sesar_spatial_ref_vocab!$A$2:$B$41,MATCH(B42,sesar_spatial_ref_vocab!$A$2:$A$41,FALSE),2),"")</f>
        <v>below datum unknown, feet</v>
      </c>
    </row>
    <row r="43" spans="1:4" x14ac:dyDescent="0.25">
      <c r="A43" s="2" t="s">
        <v>41</v>
      </c>
      <c r="B43" s="2">
        <v>19</v>
      </c>
      <c r="C43" s="2" t="s">
        <v>135</v>
      </c>
      <c r="D43" s="2" t="str">
        <f>IFERROR(INDEX(sesar_spatial_ref_vocab!$A$2:$B$41,MATCH(B43,sesar_spatial_ref_vocab!$A$2:$A$41,FALSE),2),"")</f>
        <v>below land surface, feet</v>
      </c>
    </row>
    <row r="44" spans="1:4" x14ac:dyDescent="0.25">
      <c r="A44" s="2" t="s">
        <v>42</v>
      </c>
      <c r="B44" s="2">
        <v>30</v>
      </c>
      <c r="C44" s="2" t="s">
        <v>135</v>
      </c>
      <c r="D44" s="2" t="str">
        <f>IFERROR(INDEX(sesar_spatial_ref_vocab!$A$2:$B$41,MATCH(B44,sesar_spatial_ref_vocab!$A$2:$A$41,FALSE),2),"")</f>
        <v>below surface, feet</v>
      </c>
    </row>
    <row r="45" spans="1:4" x14ac:dyDescent="0.25">
      <c r="A45" s="2" t="s">
        <v>43</v>
      </c>
      <c r="B45" s="2">
        <v>30</v>
      </c>
      <c r="C45" s="2" t="s">
        <v>135</v>
      </c>
      <c r="D45" s="2" t="str">
        <f>IFERROR(INDEX(sesar_spatial_ref_vocab!$A$2:$B$41,MATCH(B45,sesar_spatial_ref_vocab!$A$2:$A$41,FALSE),2),"")</f>
        <v>below surface, feet</v>
      </c>
    </row>
    <row r="46" spans="1:4" x14ac:dyDescent="0.25">
      <c r="A46" s="2" t="s">
        <v>44</v>
      </c>
      <c r="B46" s="2">
        <v>6</v>
      </c>
      <c r="C46" s="2" t="s">
        <v>135</v>
      </c>
      <c r="D46" s="2" t="str">
        <f>IFERROR(INDEX(sesar_spatial_ref_vocab!$A$2:$B$41,MATCH(B46,sesar_spatial_ref_vocab!$A$2:$A$41,FALSE),2),"")</f>
        <v>below datum unknown, feet</v>
      </c>
    </row>
    <row r="47" spans="1:4" x14ac:dyDescent="0.25">
      <c r="A47" s="2" t="s">
        <v>45</v>
      </c>
      <c r="B47" s="2">
        <v>6</v>
      </c>
      <c r="C47" s="2" t="s">
        <v>135</v>
      </c>
      <c r="D47" s="2" t="str">
        <f>IFERROR(INDEX(sesar_spatial_ref_vocab!$A$2:$B$41,MATCH(B47,sesar_spatial_ref_vocab!$A$2:$A$41,FALSE),2),"")</f>
        <v>below datum unknown, feet</v>
      </c>
    </row>
    <row r="48" spans="1:4" ht="30" x14ac:dyDescent="0.25">
      <c r="A48" s="2" t="s">
        <v>46</v>
      </c>
      <c r="B48" s="2">
        <v>12</v>
      </c>
      <c r="C48" s="2" t="s">
        <v>135</v>
      </c>
      <c r="D48" s="2" t="str">
        <f>IFERROR(INDEX(sesar_spatial_ref_vocab!$A$2:$B$41,MATCH(B48,sesar_spatial_ref_vocab!$A$2:$A$41,FALSE),2),"")</f>
        <v>below derrick floor, feet</v>
      </c>
    </row>
    <row r="49" spans="1:5" x14ac:dyDescent="0.25">
      <c r="A49" s="2" t="s">
        <v>47</v>
      </c>
      <c r="B49" s="2">
        <v>25</v>
      </c>
      <c r="C49" s="2" t="s">
        <v>17</v>
      </c>
      <c r="D49" s="2" t="str">
        <f>IFERROR(INDEX(sesar_spatial_ref_vocab!$A$2:$B$41,MATCH(B49,sesar_spatial_ref_vocab!$A$2:$A$41,FALSE),2),"")</f>
        <v xml:space="preserve">below sea floor, Core depth (CSF-B), meters </v>
      </c>
    </row>
    <row r="50" spans="1:5" x14ac:dyDescent="0.25">
      <c r="A50" s="2" t="s">
        <v>48</v>
      </c>
      <c r="B50" s="2">
        <v>24</v>
      </c>
      <c r="C50" s="2" t="s">
        <v>17</v>
      </c>
      <c r="D50" s="2" t="str">
        <f>IFERROR(INDEX(sesar_spatial_ref_vocab!$A$2:$B$41,MATCH(B50,sesar_spatial_ref_vocab!$A$2:$A$41,FALSE),2),"")</f>
        <v xml:space="preserve">below sea floor, Core depth (CSF-A), meters </v>
      </c>
    </row>
    <row r="51" spans="1:5" x14ac:dyDescent="0.25">
      <c r="A51" s="2" t="s">
        <v>49</v>
      </c>
      <c r="B51" s="2">
        <v>23</v>
      </c>
      <c r="C51" s="2" t="s">
        <v>17</v>
      </c>
      <c r="D51" s="2" t="str">
        <f>IFERROR(INDEX(sesar_spatial_ref_vocab!$A$2:$B$41,MATCH(B51,sesar_spatial_ref_vocab!$A$2:$A$41,FALSE),2),"")</f>
        <v xml:space="preserve">below sea floor, Core depth (CSF-A), assume meters </v>
      </c>
    </row>
    <row r="52" spans="1:5" x14ac:dyDescent="0.25">
      <c r="A52" s="2" t="s">
        <v>50</v>
      </c>
      <c r="B52" s="2">
        <v>35</v>
      </c>
      <c r="C52" s="2" t="s">
        <v>17</v>
      </c>
      <c r="D52" s="2" t="str">
        <f>IFERROR(INDEX(sesar_spatial_ref_vocab!$A$2:$B$41,MATCH(B52,sesar_spatial_ref_vocab!$A$2:$A$41,FALSE),2),"")</f>
        <v>corrected composite depth, meters</v>
      </c>
      <c r="E52" s="3"/>
    </row>
    <row r="53" spans="1:5" x14ac:dyDescent="0.25">
      <c r="A53" s="2" t="s">
        <v>51</v>
      </c>
      <c r="B53" s="2">
        <v>21</v>
      </c>
      <c r="C53" s="2" t="s">
        <v>65</v>
      </c>
      <c r="D53" s="2" t="str">
        <f>IFERROR(INDEX(sesar_spatial_ref_vocab!$A$2:$B$41,MATCH(B53,sesar_spatial_ref_vocab!$A$2:$A$41,FALSE),2),"")</f>
        <v>below sea floor, centimeters</v>
      </c>
    </row>
    <row r="54" spans="1:5" x14ac:dyDescent="0.25">
      <c r="A54" s="2" t="s">
        <v>52</v>
      </c>
      <c r="B54" s="2">
        <v>28</v>
      </c>
      <c r="C54" s="2" t="s">
        <v>65</v>
      </c>
      <c r="D54" s="2" t="str">
        <f>IFERROR(INDEX(sesar_spatial_ref_vocab!$A$2:$B$41,MATCH(B54,sesar_spatial_ref_vocab!$A$2:$A$41,FALSE),2),"")</f>
        <v>below surface, centimeters</v>
      </c>
    </row>
    <row r="55" spans="1:5" x14ac:dyDescent="0.25">
      <c r="A55" s="2" t="s">
        <v>53</v>
      </c>
      <c r="B55" s="2">
        <v>28</v>
      </c>
      <c r="C55" s="2" t="s">
        <v>65</v>
      </c>
      <c r="D55" s="2" t="str">
        <f>IFERROR(INDEX(sesar_spatial_ref_vocab!$A$2:$B$41,MATCH(B55,sesar_spatial_ref_vocab!$A$2:$A$41,FALSE),2),"")</f>
        <v>below surface, centimeters</v>
      </c>
    </row>
    <row r="56" spans="1:5" x14ac:dyDescent="0.25">
      <c r="A56" s="2" t="s">
        <v>54</v>
      </c>
      <c r="B56" s="2">
        <v>32</v>
      </c>
      <c r="C56" s="2" t="s">
        <v>65</v>
      </c>
      <c r="D56" s="2" t="str">
        <f>IFERROR(INDEX(sesar_spatial_ref_vocab!$A$2:$B$41,MATCH(B56,sesar_spatial_ref_vocab!$A$2:$A$41,FALSE),2),"")</f>
        <v>below top of core, centimeters</v>
      </c>
    </row>
    <row r="57" spans="1:5" ht="30" x14ac:dyDescent="0.25">
      <c r="A57" s="2" t="s">
        <v>55</v>
      </c>
      <c r="B57" s="2">
        <v>34</v>
      </c>
      <c r="C57" s="2" t="s">
        <v>65</v>
      </c>
      <c r="D57" s="2" t="str">
        <f>IFERROR(INDEX(sesar_spatial_ref_vocab!$A$2:$B$41,MATCH(B57,sesar_spatial_ref_vocab!$A$2:$A$41,FALSE),2),"")</f>
        <v>below water bottom, centimeters</v>
      </c>
    </row>
    <row r="58" spans="1:5" x14ac:dyDescent="0.25">
      <c r="A58" s="2" t="s">
        <v>56</v>
      </c>
      <c r="B58" s="2">
        <v>18</v>
      </c>
      <c r="C58" s="2" t="s">
        <v>65</v>
      </c>
      <c r="D58" s="2" t="str">
        <f>IFERROR(INDEX(sesar_spatial_ref_vocab!$A$2:$B$41,MATCH(B58,sesar_spatial_ref_vocab!$A$2:$A$41,FALSE),2),"")</f>
        <v>below land surface, centimeters</v>
      </c>
    </row>
    <row r="59" spans="1:5" x14ac:dyDescent="0.25">
      <c r="A59" s="2" t="s">
        <v>57</v>
      </c>
      <c r="B59" s="2">
        <v>5</v>
      </c>
      <c r="C59" s="2" t="s">
        <v>65</v>
      </c>
      <c r="D59" s="2" t="str">
        <f>IFERROR(INDEX(sesar_spatial_ref_vocab!$A$2:$B$41,MATCH(B59,sesar_spatial_ref_vocab!$A$2:$A$41,FALSE),2),"")</f>
        <v>below datum unknown, centimeters</v>
      </c>
    </row>
    <row r="60" spans="1:5" x14ac:dyDescent="0.25">
      <c r="A60" s="2" t="s">
        <v>58</v>
      </c>
      <c r="B60" s="2">
        <v>3</v>
      </c>
      <c r="C60" s="2" t="s">
        <v>65</v>
      </c>
      <c r="D60" s="2" t="str">
        <f>IFERROR(INDEX(sesar_spatial_ref_vocab!$A$2:$B$41,MATCH(B60,sesar_spatial_ref_vocab!$A$2:$A$41,FALSE),2),"")</f>
        <v>above land surface, centimeters</v>
      </c>
    </row>
    <row r="61" spans="1:5" x14ac:dyDescent="0.25">
      <c r="A61" s="2" t="s">
        <v>59</v>
      </c>
      <c r="B61" s="2">
        <v>5</v>
      </c>
      <c r="C61" s="2" t="s">
        <v>65</v>
      </c>
      <c r="D61" s="2" t="str">
        <f>IFERROR(INDEX(sesar_spatial_ref_vocab!$A$2:$B$41,MATCH(B61,sesar_spatial_ref_vocab!$A$2:$A$41,FALSE),2),"")</f>
        <v>below datum unknown, centimeters</v>
      </c>
    </row>
    <row r="62" spans="1:5" x14ac:dyDescent="0.25">
      <c r="A62" s="2" t="s">
        <v>60</v>
      </c>
      <c r="B62" s="2">
        <v>28</v>
      </c>
      <c r="C62" s="2" t="s">
        <v>65</v>
      </c>
      <c r="D62" s="2" t="str">
        <f>IFERROR(INDEX(sesar_spatial_ref_vocab!$A$2:$B$41,MATCH(B62,sesar_spatial_ref_vocab!$A$2:$A$41,FALSE),2),"")</f>
        <v>below surface, centimeters</v>
      </c>
    </row>
    <row r="63" spans="1:5" x14ac:dyDescent="0.25">
      <c r="A63" s="2" t="s">
        <v>61</v>
      </c>
      <c r="B63" s="2">
        <v>28</v>
      </c>
      <c r="C63" s="2" t="s">
        <v>65</v>
      </c>
      <c r="D63" s="2" t="str">
        <f>IFERROR(INDEX(sesar_spatial_ref_vocab!$A$2:$B$41,MATCH(B63,sesar_spatial_ref_vocab!$A$2:$A$41,FALSE),2),"")</f>
        <v>below surface, centimeters</v>
      </c>
    </row>
    <row r="64" spans="1:5" ht="30" x14ac:dyDescent="0.25">
      <c r="A64" s="2" t="s">
        <v>62</v>
      </c>
      <c r="B64" s="2">
        <v>18</v>
      </c>
      <c r="C64" s="2" t="s">
        <v>65</v>
      </c>
      <c r="D64" s="2" t="str">
        <f>IFERROR(INDEX(sesar_spatial_ref_vocab!$A$2:$B$41,MATCH(B64,sesar_spatial_ref_vocab!$A$2:$A$41,FALSE),2),"")</f>
        <v>below land surface, centimeters</v>
      </c>
    </row>
    <row r="65" spans="1:4" x14ac:dyDescent="0.25">
      <c r="A65" s="2" t="s">
        <v>63</v>
      </c>
      <c r="B65" s="2">
        <v>5</v>
      </c>
      <c r="C65" s="2" t="s">
        <v>65</v>
      </c>
      <c r="D65" s="2" t="str">
        <f>IFERROR(INDEX(sesar_spatial_ref_vocab!$A$2:$B$41,MATCH(B65,sesar_spatial_ref_vocab!$A$2:$A$41,FALSE),2),"")</f>
        <v>below datum unknown, centimeters</v>
      </c>
    </row>
    <row r="66" spans="1:4" x14ac:dyDescent="0.25">
      <c r="A66" s="2" t="s">
        <v>64</v>
      </c>
      <c r="B66" s="2">
        <v>5</v>
      </c>
      <c r="C66" s="2" t="s">
        <v>65</v>
      </c>
      <c r="D66" s="2" t="str">
        <f>IFERROR(INDEX(sesar_spatial_ref_vocab!$A$2:$B$41,MATCH(B66,sesar_spatial_ref_vocab!$A$2:$A$41,FALSE),2),"")</f>
        <v>below datum unknown, centimeters</v>
      </c>
    </row>
    <row r="67" spans="1:4" x14ac:dyDescent="0.25">
      <c r="A67" s="2" t="s">
        <v>65</v>
      </c>
      <c r="B67" s="2">
        <v>5</v>
      </c>
      <c r="C67" s="2" t="s">
        <v>65</v>
      </c>
      <c r="D67" s="2" t="str">
        <f>IFERROR(INDEX(sesar_spatial_ref_vocab!$A$2:$B$41,MATCH(B67,sesar_spatial_ref_vocab!$A$2:$A$41,FALSE),2),"")</f>
        <v>below datum unknown, centimeters</v>
      </c>
    </row>
    <row r="68" spans="1:4" x14ac:dyDescent="0.25">
      <c r="A68" s="2" t="s">
        <v>137</v>
      </c>
      <c r="B68" s="2">
        <v>40</v>
      </c>
      <c r="C68" s="2" t="s">
        <v>17</v>
      </c>
      <c r="D68" t="s">
        <v>128</v>
      </c>
    </row>
    <row r="69" spans="1:4" x14ac:dyDescent="0.25">
      <c r="A69" s="2" t="s">
        <v>66</v>
      </c>
      <c r="B69" s="2">
        <v>-9999</v>
      </c>
      <c r="C69" s="2" t="s">
        <v>0</v>
      </c>
      <c r="D69" s="2" t="str">
        <f>IFERROR(INDEX(sesar_spatial_ref_vocab!$A$2:$B$41,MATCH(B69,sesar_spatial_ref_vocab!$A$2:$A$41,FALSE),2),"")</f>
        <v>spatial ref missing</v>
      </c>
    </row>
    <row r="70" spans="1:4" x14ac:dyDescent="0.25">
      <c r="A70" s="2" t="s">
        <v>67</v>
      </c>
      <c r="B70" s="2">
        <v>-9999</v>
      </c>
      <c r="C70" s="2" t="s">
        <v>0</v>
      </c>
      <c r="D70" s="2" t="str">
        <f>IFERROR(INDEX(sesar_spatial_ref_vocab!$A$2:$B$41,MATCH(B70,sesar_spatial_ref_vocab!$A$2:$A$41,FALSE),2),"")</f>
        <v>spatial ref missing</v>
      </c>
    </row>
    <row r="71" spans="1:4" x14ac:dyDescent="0.25">
      <c r="A71" s="2">
        <v>9045</v>
      </c>
      <c r="B71" s="2">
        <v>-9999</v>
      </c>
      <c r="C71" s="2" t="s">
        <v>0</v>
      </c>
      <c r="D71" s="2" t="str">
        <f>IFERROR(INDEX(sesar_spatial_ref_vocab!$A$2:$B$41,MATCH(B71,sesar_spatial_ref_vocab!$A$2:$A$41,FALSE),2),"")</f>
        <v>spatial ref missing</v>
      </c>
    </row>
    <row r="72" spans="1:4" x14ac:dyDescent="0.25">
      <c r="A72" s="2">
        <v>81.400000000000006</v>
      </c>
      <c r="B72" s="2">
        <v>-9999</v>
      </c>
      <c r="C72" s="2" t="s">
        <v>0</v>
      </c>
      <c r="D72" s="2" t="str">
        <f>IFERROR(INDEX(sesar_spatial_ref_vocab!$A$2:$B$41,MATCH(B72,sesar_spatial_ref_vocab!$A$2:$A$41,FALSE),2),"")</f>
        <v>spatial ref missing</v>
      </c>
    </row>
    <row r="73" spans="1:4" x14ac:dyDescent="0.25">
      <c r="A73" s="2">
        <v>74.099999999999994</v>
      </c>
      <c r="B73" s="2">
        <v>-9999</v>
      </c>
      <c r="C73" s="2" t="s">
        <v>0</v>
      </c>
      <c r="D73" s="2" t="str">
        <f>IFERROR(INDEX(sesar_spatial_ref_vocab!$A$2:$B$41,MATCH(B73,sesar_spatial_ref_vocab!$A$2:$A$41,FALSE),2),"")</f>
        <v>spatial ref missing</v>
      </c>
    </row>
    <row r="74" spans="1:4" x14ac:dyDescent="0.25">
      <c r="A74" s="2">
        <v>27</v>
      </c>
      <c r="B74" s="2">
        <v>-9999</v>
      </c>
      <c r="C74" s="2" t="s">
        <v>0</v>
      </c>
      <c r="D74" s="2" t="str">
        <f>IFERROR(INDEX(sesar_spatial_ref_vocab!$A$2:$B$41,MATCH(B74,sesar_spatial_ref_vocab!$A$2:$A$41,FALSE),2),"")</f>
        <v>spatial ref missing</v>
      </c>
    </row>
    <row r="75" spans="1:4" x14ac:dyDescent="0.25">
      <c r="A75" s="2">
        <v>147.5</v>
      </c>
      <c r="B75" s="2">
        <v>-9999</v>
      </c>
      <c r="C75" s="2" t="s">
        <v>0</v>
      </c>
      <c r="D75" s="2" t="str">
        <f>IFERROR(INDEX(sesar_spatial_ref_vocab!$A$2:$B$41,MATCH(B75,sesar_spatial_ref_vocab!$A$2:$A$41,FALSE),2),"")</f>
        <v>spatial ref missing</v>
      </c>
    </row>
    <row r="76" spans="1:4" x14ac:dyDescent="0.25">
      <c r="A76" s="2">
        <v>126.2</v>
      </c>
      <c r="B76" s="2">
        <v>-9999</v>
      </c>
      <c r="C76" s="2" t="s">
        <v>0</v>
      </c>
      <c r="D76" s="2" t="str">
        <f>IFERROR(INDEX(sesar_spatial_ref_vocab!$A$2:$B$41,MATCH(B76,sesar_spatial_ref_vocab!$A$2:$A$41,FALSE),2),"")</f>
        <v>spatial ref missing</v>
      </c>
    </row>
    <row r="77" spans="1:4" x14ac:dyDescent="0.25">
      <c r="A77" s="2">
        <v>125.6</v>
      </c>
      <c r="B77" s="2">
        <v>-9999</v>
      </c>
      <c r="C77" s="2" t="s">
        <v>0</v>
      </c>
      <c r="D77" s="2" t="str">
        <f>IFERROR(INDEX(sesar_spatial_ref_vocab!$A$2:$B$41,MATCH(B77,sesar_spatial_ref_vocab!$A$2:$A$41,FALSE),2),"")</f>
        <v>spatial ref missing</v>
      </c>
    </row>
    <row r="78" spans="1:4" x14ac:dyDescent="0.25">
      <c r="A78" s="2">
        <v>123.4</v>
      </c>
      <c r="B78" s="2">
        <v>-9999</v>
      </c>
      <c r="C78" s="2" t="s">
        <v>0</v>
      </c>
      <c r="D78" s="2" t="str">
        <f>IFERROR(INDEX(sesar_spatial_ref_vocab!$A$2:$B$41,MATCH(B78,sesar_spatial_ref_vocab!$A$2:$A$41,FALSE),2),"")</f>
        <v>spatial ref missing</v>
      </c>
    </row>
    <row r="79" spans="1:4" x14ac:dyDescent="0.25">
      <c r="A79" s="2">
        <v>12.4</v>
      </c>
      <c r="B79" s="2">
        <v>-9999</v>
      </c>
      <c r="C79" s="2" t="s">
        <v>0</v>
      </c>
      <c r="D79" s="2" t="str">
        <f>IFERROR(INDEX(sesar_spatial_ref_vocab!$A$2:$B$41,MATCH(B79,sesar_spatial_ref_vocab!$A$2:$A$41,FALSE),2),"")</f>
        <v>spatial ref missing</v>
      </c>
    </row>
    <row r="80" spans="1:4" x14ac:dyDescent="0.25">
      <c r="A80" s="2">
        <v>113.4</v>
      </c>
      <c r="B80" s="2">
        <v>-9999</v>
      </c>
      <c r="C80" s="2" t="s">
        <v>0</v>
      </c>
      <c r="D80" s="2" t="str">
        <f>IFERROR(INDEX(sesar_spatial_ref_vocab!$A$2:$B$41,MATCH(B80,sesar_spatial_ref_vocab!$A$2:$A$41,FALSE),2),"")</f>
        <v>spatial ref missing</v>
      </c>
    </row>
    <row r="81" spans="1:4" x14ac:dyDescent="0.25">
      <c r="A81" s="2">
        <v>105.2</v>
      </c>
      <c r="B81" s="2">
        <v>-9999</v>
      </c>
      <c r="C81" s="2" t="s">
        <v>0</v>
      </c>
      <c r="D81" s="2" t="str">
        <f>IFERROR(INDEX(sesar_spatial_ref_vocab!$A$2:$B$41,MATCH(B81,sesar_spatial_ref_vocab!$A$2:$A$41,FALSE),2),"")</f>
        <v>spatial ref missing</v>
      </c>
    </row>
    <row r="82" spans="1:4" ht="30" x14ac:dyDescent="0.25">
      <c r="A82" s="2" t="s">
        <v>125</v>
      </c>
      <c r="B82" s="2">
        <v>39</v>
      </c>
      <c r="C82" s="2" t="s">
        <v>17</v>
      </c>
      <c r="D82" s="2" t="s">
        <v>125</v>
      </c>
    </row>
    <row r="83" spans="1:4" x14ac:dyDescent="0.25">
      <c r="A83" s="2" t="s">
        <v>139</v>
      </c>
      <c r="B83" s="2">
        <v>39</v>
      </c>
      <c r="C83" s="2" t="s">
        <v>17</v>
      </c>
      <c r="D83" s="2" t="s">
        <v>125</v>
      </c>
    </row>
    <row r="84" spans="1:4" x14ac:dyDescent="0.25">
      <c r="A84" s="2" t="s">
        <v>138</v>
      </c>
      <c r="B84" s="2">
        <v>39</v>
      </c>
      <c r="C84" s="2" t="s">
        <v>17</v>
      </c>
      <c r="D84" s="2" t="s">
        <v>125</v>
      </c>
    </row>
  </sheetData>
  <autoFilter ref="A1:D81" xr:uid="{E201E74B-B245-4598-903F-AC2CEA45229B}"/>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17D70-B16A-417A-82B9-C3BF7AAF05D7}">
  <dimension ref="A1:D41"/>
  <sheetViews>
    <sheetView tabSelected="1" workbookViewId="0"/>
  </sheetViews>
  <sheetFormatPr defaultRowHeight="15" x14ac:dyDescent="0.25"/>
  <cols>
    <col min="1" max="1" width="31.28515625" customWidth="1"/>
    <col min="2" max="3" width="42.28515625" customWidth="1"/>
    <col min="4" max="4" width="18.85546875" bestFit="1" customWidth="1"/>
  </cols>
  <sheetData>
    <row r="1" spans="1:4" x14ac:dyDescent="0.25">
      <c r="A1" t="s">
        <v>122</v>
      </c>
      <c r="B1" s="2" t="s">
        <v>99</v>
      </c>
      <c r="C1" s="2" t="s">
        <v>98</v>
      </c>
      <c r="D1" t="s">
        <v>123</v>
      </c>
    </row>
    <row r="2" spans="1:4" ht="30" x14ac:dyDescent="0.25">
      <c r="A2" s="1">
        <v>1</v>
      </c>
      <c r="B2" s="2" t="s">
        <v>70</v>
      </c>
      <c r="C2" s="2" t="s">
        <v>106</v>
      </c>
    </row>
    <row r="3" spans="1:4" ht="30" x14ac:dyDescent="0.25">
      <c r="A3" s="1">
        <v>2</v>
      </c>
      <c r="B3" s="2" t="s">
        <v>71</v>
      </c>
      <c r="C3" s="2" t="s">
        <v>106</v>
      </c>
    </row>
    <row r="4" spans="1:4" ht="45" x14ac:dyDescent="0.25">
      <c r="A4" s="1">
        <v>3</v>
      </c>
      <c r="B4" s="2" t="s">
        <v>93</v>
      </c>
      <c r="C4" s="2" t="s">
        <v>107</v>
      </c>
    </row>
    <row r="5" spans="1:4" ht="90" x14ac:dyDescent="0.25">
      <c r="A5" s="1">
        <v>4</v>
      </c>
      <c r="B5" s="2" t="s">
        <v>75</v>
      </c>
      <c r="C5" s="2" t="s">
        <v>108</v>
      </c>
    </row>
    <row r="6" spans="1:4" x14ac:dyDescent="0.25">
      <c r="A6" s="1">
        <v>5</v>
      </c>
      <c r="B6" s="2" t="s">
        <v>94</v>
      </c>
      <c r="C6" s="2" t="s">
        <v>109</v>
      </c>
    </row>
    <row r="7" spans="1:4" x14ac:dyDescent="0.25">
      <c r="A7" s="1">
        <v>6</v>
      </c>
      <c r="B7" s="2" t="s">
        <v>84</v>
      </c>
      <c r="C7" s="2" t="s">
        <v>109</v>
      </c>
    </row>
    <row r="8" spans="1:4" x14ac:dyDescent="0.25">
      <c r="A8" s="1">
        <v>7</v>
      </c>
      <c r="B8" s="2" t="s">
        <v>83</v>
      </c>
      <c r="C8" s="2" t="s">
        <v>109</v>
      </c>
    </row>
    <row r="9" spans="1:4" x14ac:dyDescent="0.25">
      <c r="A9" s="1">
        <v>8</v>
      </c>
      <c r="B9" s="2" t="s">
        <v>82</v>
      </c>
      <c r="C9" s="2" t="s">
        <v>109</v>
      </c>
    </row>
    <row r="10" spans="1:4" x14ac:dyDescent="0.25">
      <c r="A10" s="1">
        <v>9</v>
      </c>
      <c r="B10" s="2" t="s">
        <v>82</v>
      </c>
      <c r="C10" s="2" t="s">
        <v>109</v>
      </c>
    </row>
    <row r="11" spans="1:4" x14ac:dyDescent="0.25">
      <c r="A11" s="1">
        <v>10</v>
      </c>
      <c r="B11" s="2" t="s">
        <v>102</v>
      </c>
      <c r="C11" s="2" t="s">
        <v>109</v>
      </c>
    </row>
    <row r="12" spans="1:4" ht="30" x14ac:dyDescent="0.25">
      <c r="A12" s="1">
        <v>11</v>
      </c>
      <c r="B12" s="2" t="s">
        <v>110</v>
      </c>
      <c r="C12" s="2" t="s">
        <v>111</v>
      </c>
    </row>
    <row r="13" spans="1:4" x14ac:dyDescent="0.25">
      <c r="A13" s="1">
        <v>12</v>
      </c>
      <c r="B13" s="2" t="s">
        <v>87</v>
      </c>
      <c r="C13" s="2" t="s">
        <v>109</v>
      </c>
    </row>
    <row r="14" spans="1:4" x14ac:dyDescent="0.25">
      <c r="A14" s="1">
        <v>13</v>
      </c>
      <c r="B14" s="2" t="s">
        <v>80</v>
      </c>
      <c r="C14" s="2" t="s">
        <v>109</v>
      </c>
    </row>
    <row r="15" spans="1:4" x14ac:dyDescent="0.25">
      <c r="A15" s="1">
        <v>14</v>
      </c>
      <c r="B15" s="2" t="s">
        <v>79</v>
      </c>
      <c r="C15" s="2" t="s">
        <v>109</v>
      </c>
    </row>
    <row r="16" spans="1:4" x14ac:dyDescent="0.25">
      <c r="A16" s="1">
        <v>15</v>
      </c>
      <c r="B16" s="2" t="s">
        <v>100</v>
      </c>
      <c r="C16" s="2" t="s">
        <v>109</v>
      </c>
    </row>
    <row r="17" spans="1:4" x14ac:dyDescent="0.25">
      <c r="A17" s="1">
        <v>16</v>
      </c>
      <c r="B17" s="2" t="s">
        <v>81</v>
      </c>
      <c r="C17" s="2" t="s">
        <v>109</v>
      </c>
    </row>
    <row r="18" spans="1:4" x14ac:dyDescent="0.25">
      <c r="A18" s="1">
        <v>17</v>
      </c>
      <c r="B18" s="2" t="s">
        <v>73</v>
      </c>
      <c r="C18" s="2" t="s">
        <v>109</v>
      </c>
    </row>
    <row r="19" spans="1:4" x14ac:dyDescent="0.25">
      <c r="A19" s="1">
        <v>18</v>
      </c>
      <c r="B19" s="2" t="s">
        <v>92</v>
      </c>
      <c r="C19" s="2" t="s">
        <v>109</v>
      </c>
    </row>
    <row r="20" spans="1:4" x14ac:dyDescent="0.25">
      <c r="A20" s="1">
        <v>19</v>
      </c>
      <c r="B20" s="2" t="s">
        <v>85</v>
      </c>
      <c r="C20" s="2" t="s">
        <v>109</v>
      </c>
    </row>
    <row r="21" spans="1:4" x14ac:dyDescent="0.25">
      <c r="A21" s="1">
        <v>20</v>
      </c>
      <c r="B21" s="2" t="s">
        <v>69</v>
      </c>
      <c r="C21" s="2" t="s">
        <v>109</v>
      </c>
    </row>
    <row r="22" spans="1:4" ht="45" x14ac:dyDescent="0.25">
      <c r="A22" s="1">
        <v>21</v>
      </c>
      <c r="B22" s="2" t="s">
        <v>77</v>
      </c>
      <c r="C22" s="2" t="s">
        <v>112</v>
      </c>
    </row>
    <row r="23" spans="1:4" ht="120" x14ac:dyDescent="0.25">
      <c r="A23" s="1">
        <v>22</v>
      </c>
      <c r="B23" s="2" t="s">
        <v>74</v>
      </c>
      <c r="C23" s="2" t="s">
        <v>113</v>
      </c>
    </row>
    <row r="24" spans="1:4" ht="150" x14ac:dyDescent="0.25">
      <c r="A24" s="1">
        <v>23</v>
      </c>
      <c r="B24" s="2" t="s">
        <v>95</v>
      </c>
      <c r="C24" s="2" t="s">
        <v>114</v>
      </c>
    </row>
    <row r="25" spans="1:4" ht="150" x14ac:dyDescent="0.25">
      <c r="A25" s="1">
        <v>24</v>
      </c>
      <c r="B25" s="2" t="s">
        <v>96</v>
      </c>
      <c r="C25" s="2" t="s">
        <v>114</v>
      </c>
    </row>
    <row r="26" spans="1:4" ht="120" x14ac:dyDescent="0.25">
      <c r="A26" s="1">
        <v>25</v>
      </c>
      <c r="B26" s="2" t="s">
        <v>101</v>
      </c>
      <c r="C26" s="2" t="s">
        <v>115</v>
      </c>
    </row>
    <row r="27" spans="1:4" ht="90" x14ac:dyDescent="0.25">
      <c r="A27" s="1">
        <v>26</v>
      </c>
      <c r="B27" s="2" t="s">
        <v>78</v>
      </c>
      <c r="C27" s="2" t="s">
        <v>116</v>
      </c>
    </row>
    <row r="28" spans="1:4" x14ac:dyDescent="0.25">
      <c r="A28" s="1">
        <v>27</v>
      </c>
      <c r="B28" s="2" t="s">
        <v>76</v>
      </c>
      <c r="C28" s="2" t="s">
        <v>117</v>
      </c>
      <c r="D28" s="4" t="s">
        <v>127</v>
      </c>
    </row>
    <row r="29" spans="1:4" ht="75" x14ac:dyDescent="0.25">
      <c r="A29" s="1">
        <v>28</v>
      </c>
      <c r="B29" s="2" t="s">
        <v>89</v>
      </c>
      <c r="C29" s="2" t="s">
        <v>118</v>
      </c>
    </row>
    <row r="30" spans="1:4" x14ac:dyDescent="0.25">
      <c r="A30" s="1">
        <v>29</v>
      </c>
      <c r="B30" s="2" t="s">
        <v>89</v>
      </c>
      <c r="C30" s="2" t="s">
        <v>109</v>
      </c>
    </row>
    <row r="31" spans="1:4" x14ac:dyDescent="0.25">
      <c r="A31" s="1">
        <v>30</v>
      </c>
      <c r="B31" s="2" t="s">
        <v>86</v>
      </c>
      <c r="C31" s="2" t="s">
        <v>109</v>
      </c>
    </row>
    <row r="32" spans="1:4" x14ac:dyDescent="0.25">
      <c r="A32" s="1">
        <v>31</v>
      </c>
      <c r="B32" s="2" t="s">
        <v>68</v>
      </c>
      <c r="C32" s="2" t="s">
        <v>109</v>
      </c>
    </row>
    <row r="33" spans="1:4" ht="30" x14ac:dyDescent="0.25">
      <c r="A33" s="1">
        <v>32</v>
      </c>
      <c r="B33" s="2" t="s">
        <v>90</v>
      </c>
      <c r="C33" s="2" t="s">
        <v>119</v>
      </c>
    </row>
    <row r="34" spans="1:4" ht="30" x14ac:dyDescent="0.25">
      <c r="A34" s="1">
        <v>33</v>
      </c>
      <c r="B34" s="2" t="s">
        <v>72</v>
      </c>
      <c r="C34" s="2" t="s">
        <v>119</v>
      </c>
    </row>
    <row r="35" spans="1:4" ht="30" x14ac:dyDescent="0.25">
      <c r="A35" s="1">
        <v>34</v>
      </c>
      <c r="B35" s="2" t="s">
        <v>91</v>
      </c>
      <c r="C35" s="2" t="s">
        <v>120</v>
      </c>
    </row>
    <row r="36" spans="1:4" ht="135" x14ac:dyDescent="0.25">
      <c r="A36" s="1">
        <v>35</v>
      </c>
      <c r="B36" s="2" t="s">
        <v>88</v>
      </c>
      <c r="C36" s="2" t="s">
        <v>121</v>
      </c>
    </row>
    <row r="37" spans="1:4" x14ac:dyDescent="0.25">
      <c r="A37" s="1">
        <v>-9999</v>
      </c>
      <c r="B37" s="2" t="s">
        <v>97</v>
      </c>
      <c r="C37" s="2"/>
    </row>
    <row r="38" spans="1:4" x14ac:dyDescent="0.25">
      <c r="A38" s="1">
        <v>37</v>
      </c>
      <c r="B38" s="2" t="s">
        <v>103</v>
      </c>
      <c r="C38" t="s">
        <v>105</v>
      </c>
    </row>
    <row r="39" spans="1:4" x14ac:dyDescent="0.25">
      <c r="A39" s="1">
        <v>38</v>
      </c>
      <c r="B39" s="2" t="s">
        <v>104</v>
      </c>
      <c r="C39" t="s">
        <v>105</v>
      </c>
    </row>
    <row r="40" spans="1:4" x14ac:dyDescent="0.25">
      <c r="A40" s="1">
        <v>39</v>
      </c>
      <c r="B40" s="2" t="s">
        <v>124</v>
      </c>
      <c r="C40" s="2" t="s">
        <v>125</v>
      </c>
      <c r="D40" s="4" t="s">
        <v>126</v>
      </c>
    </row>
    <row r="41" spans="1:4" x14ac:dyDescent="0.25">
      <c r="A41" s="1">
        <v>40</v>
      </c>
      <c r="B41" t="s">
        <v>128</v>
      </c>
      <c r="C41" t="s">
        <v>130</v>
      </c>
      <c r="D41" t="s">
        <v>129</v>
      </c>
    </row>
  </sheetData>
  <sortState xmlns:xlrd2="http://schemas.microsoft.com/office/spreadsheetml/2017/richdata2" ref="B2:C37">
    <sortCondition ref="B2:B37"/>
  </sortState>
  <hyperlinks>
    <hyperlink ref="D40" r:id="rId1" xr:uid="{67CDD02C-63B0-4B42-9D19-2ECF4D6B0A6C}"/>
    <hyperlink ref="D28" r:id="rId2" xr:uid="{CD7112E9-C0D6-45A7-9356-9C1843CBBCB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vertical_ref_lookup</vt:lpstr>
      <vt:lpstr>sesar_spatial_ref_vocab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Richard</cp:lastModifiedBy>
  <dcterms:created xsi:type="dcterms:W3CDTF">2025-01-22T02:50:11Z</dcterms:created>
  <dcterms:modified xsi:type="dcterms:W3CDTF">2025-01-27T02:52:31Z</dcterms:modified>
</cp:coreProperties>
</file>