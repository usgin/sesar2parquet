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DepthElevation/"/>
    </mc:Choice>
  </mc:AlternateContent>
  <xr:revisionPtr revIDLastSave="98" documentId="8_{04948678-49CE-42EF-8755-32858C8F66AE}" xr6:coauthVersionLast="47" xr6:coauthVersionMax="47" xr10:uidLastSave="{4EDEE665-702B-4463-9228-B9B6E7582579}"/>
  <bookViews>
    <workbookView xWindow="4642" yWindow="285" windowWidth="14513" windowHeight="8925" activeTab="1" xr2:uid="{ED0B2AAE-89F3-4BC3-8F01-DD68D53BA816}"/>
  </bookViews>
  <sheets>
    <sheet name="DepthElevationCombosUnique" sheetId="1" r:id="rId1"/>
    <sheet name="Sheet1" sheetId="2" r:id="rId2"/>
  </sheets>
  <definedNames>
    <definedName name="_xlnm._FilterDatabase" localSheetId="0" hidden="1">DepthElevationCombosUnique!$A$1:$K$62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1" l="1"/>
  <c r="K31" i="1"/>
  <c r="K28" i="1"/>
  <c r="M37" i="1"/>
  <c r="M60" i="1"/>
  <c r="M31" i="1"/>
  <c r="M20" i="1"/>
  <c r="M18" i="1"/>
  <c r="M17" i="1"/>
  <c r="M19" i="1"/>
  <c r="M16" i="1"/>
  <c r="M34" i="1"/>
  <c r="M33" i="1"/>
  <c r="M42" i="1"/>
  <c r="M12" i="1"/>
  <c r="M13" i="1"/>
  <c r="M35" i="1"/>
  <c r="L27" i="1"/>
  <c r="L3" i="1"/>
  <c r="L10" i="1"/>
  <c r="L32" i="1"/>
  <c r="L37" i="1"/>
  <c r="L60" i="1"/>
  <c r="L38" i="1"/>
  <c r="L31" i="1"/>
  <c r="L20" i="1"/>
  <c r="L18" i="1"/>
  <c r="L21" i="1"/>
  <c r="L17" i="1"/>
  <c r="L19" i="1"/>
  <c r="L16" i="1"/>
  <c r="L30" i="1"/>
  <c r="L34" i="1"/>
  <c r="L33" i="1"/>
  <c r="L36" i="1"/>
  <c r="L39" i="1"/>
  <c r="L23" i="1"/>
  <c r="L22" i="1"/>
  <c r="L29" i="1"/>
  <c r="L54" i="1"/>
  <c r="L35" i="1"/>
  <c r="L50" i="1"/>
  <c r="L28" i="1"/>
  <c r="K60" i="1"/>
  <c r="K20" i="1"/>
  <c r="K18" i="1"/>
  <c r="K17" i="1"/>
  <c r="K19" i="1"/>
  <c r="K16" i="1"/>
  <c r="K34" i="1"/>
  <c r="K33" i="1"/>
  <c r="K35" i="1"/>
  <c r="K3" i="1"/>
  <c r="K38" i="1"/>
  <c r="K21" i="1"/>
  <c r="K30" i="1"/>
  <c r="K36" i="1"/>
  <c r="K39" i="1"/>
  <c r="K23" i="1"/>
  <c r="K22" i="1"/>
  <c r="K54" i="1"/>
  <c r="K10" i="1"/>
  <c r="K32" i="1"/>
  <c r="K27" i="1"/>
  <c r="K29" i="1"/>
  <c r="K50" i="1"/>
</calcChain>
</file>

<file path=xl/sharedStrings.xml><?xml version="1.0" encoding="utf-8"?>
<sst xmlns="http://schemas.openxmlformats.org/spreadsheetml/2006/main" count="461" uniqueCount="159">
  <si>
    <t>sample_type_id</t>
  </si>
  <si>
    <t>depth_min</t>
  </si>
  <si>
    <t>depth_max</t>
  </si>
  <si>
    <t>depth_scale</t>
  </si>
  <si>
    <t>elevation</t>
  </si>
  <si>
    <t>elevation_end</t>
  </si>
  <si>
    <t>vertical_datum</t>
  </si>
  <si>
    <t>NULL</t>
  </si>
  <si>
    <t>NAVD88</t>
  </si>
  <si>
    <t>MSL</t>
  </si>
  <si>
    <t>cm</t>
  </si>
  <si>
    <t>MCD</t>
  </si>
  <si>
    <t>61.81999999999999</t>
  </si>
  <si>
    <t>m</t>
  </si>
  <si>
    <t>feet</t>
  </si>
  <si>
    <t>meters</t>
  </si>
  <si>
    <t>Feet</t>
  </si>
  <si>
    <t>mbsf</t>
  </si>
  <si>
    <t>Meters</t>
  </si>
  <si>
    <t>ft below Kelly bushing</t>
  </si>
  <si>
    <t>grab sample sampling elevation</t>
  </si>
  <si>
    <t>Sample_type =1  AND Elevation &lt; 0 AND all others NULL</t>
  </si>
  <si>
    <t>sample_type_id = 2, 3, elevation &lt; 0 others null</t>
  </si>
  <si>
    <t>sample_type_id 4 to 11, elevation &gt;0 check vertical datum</t>
  </si>
  <si>
    <t>sample_type_id 4 to 11, elevation &lt; 0, others null check vertical datum</t>
  </si>
  <si>
    <t>sample type id = 12, elevation &lt; 0, others null</t>
  </si>
  <si>
    <t>sample type id 14, elevation not null, others null</t>
  </si>
  <si>
    <t>sample type id = 15, elevation not null, others null</t>
  </si>
  <si>
    <t xml:space="preserve">sample type id 16, elevation not null, &lt; 0, </t>
  </si>
  <si>
    <t>sample type  ID= 17, elevation &lt; 0, treat as depth</t>
  </si>
  <si>
    <t xml:space="preserve">sample type id 28,30,  32, 35, elevation not null, others null, </t>
  </si>
  <si>
    <t>sample type id 36, elevation &lt;0  others null</t>
  </si>
  <si>
    <t>sample type id 36, elevation &gt;0  others null</t>
  </si>
  <si>
    <t>sampling depth</t>
  </si>
  <si>
    <t>depth_min &gt; 0, depth max null, depth scale, vertical datum, elevation&amp;elev_end null</t>
  </si>
  <si>
    <t>depth min &gt; 0, depth max null, elev &amp; elev end null</t>
  </si>
  <si>
    <t>sample depth</t>
  </si>
  <si>
    <t>sampling elevation</t>
  </si>
  <si>
    <t>depth_min, max NULL, elevation not null, elev end null</t>
  </si>
  <si>
    <t>notes</t>
  </si>
  <si>
    <t>dredge, repot in location desc, depth min and max, make positive</t>
  </si>
  <si>
    <t>sample_type12 dredge, depth_min, max NULL, elev, elev_end not NULL (&lt; AND &gt; 0…)</t>
  </si>
  <si>
    <t>sample type id = 12, elev= elev_end,&lt; and &gt; 0</t>
  </si>
  <si>
    <t xml:space="preserve">dredge, make sampling depth, </t>
  </si>
  <si>
    <t xml:space="preserve">depth_min, max NULL, elev = elev_end not null,  </t>
  </si>
  <si>
    <t>make sampling elevation</t>
  </si>
  <si>
    <t>sam type 2, elev!=elvend, elev&lt;0, depths NULL</t>
  </si>
  <si>
    <t>report depth range, get min and max correct</t>
  </si>
  <si>
    <t>report depth range</t>
  </si>
  <si>
    <t>elv and elev end &lt;0, depths null</t>
  </si>
  <si>
    <t>report as depth min and max, check order</t>
  </si>
  <si>
    <t>elev&gt;0, elev=elev_end, depths null</t>
  </si>
  <si>
    <t>report as sampling elev.</t>
  </si>
  <si>
    <t>borehole report depth range</t>
  </si>
  <si>
    <t>sam type 2, elev!=elvend, elev&gt;0, elev_end &gt;0, depths NULL</t>
  </si>
  <si>
    <t>sam type 2, elv&gt;0, elv end&lt;0, depths null</t>
  </si>
  <si>
    <t>borehole report elvation as collar elev, TD in depth max, note in loc description</t>
  </si>
  <si>
    <t xml:space="preserve">consider as boreholes, elev as collar, report elev end and depth max, </t>
  </si>
  <si>
    <t>sam type 3,8,15, elev&gt;0, elve_end&lt;0, depths null</t>
  </si>
  <si>
    <t>report elev and note in loc description</t>
  </si>
  <si>
    <t>core, treat as depths</t>
  </si>
  <si>
    <t>sam type14,depths null, elev&lt;elev_e nd, both &gt;0</t>
  </si>
  <si>
    <t>report as depths</t>
  </si>
  <si>
    <t>sam type 5, 13, 15, 21, 23, 28, 30; depths null, elev and elvEnd &gt;0,small interval</t>
  </si>
  <si>
    <t>report elev as max of elev,elev end, note elv and elev end in notes</t>
  </si>
  <si>
    <t>sam type 5,depths Not Null, elev elv_end not null; elevs &lt;0, vdatum MSL</t>
  </si>
  <si>
    <t>depth min and max are apparently for a borehole, and elev's are sample intervals in the borehole, probably repored as depths in borehole; says MSL, so probably these are elevation? Report max(elv, elev_end) as elevation; summarize in loc description</t>
  </si>
  <si>
    <t>sam type 9, depth_min =elevation, vdatum MSL</t>
  </si>
  <si>
    <t>report elevation, leave out depths, loc description for sample interval (elev-elev_end)</t>
  </si>
  <si>
    <t>action</t>
  </si>
  <si>
    <t>elevDiff</t>
  </si>
  <si>
    <t>depth diff</t>
  </si>
  <si>
    <t>elevEQ</t>
  </si>
  <si>
    <t>depths not null, elevation not null</t>
  </si>
  <si>
    <t>report elevation as collar elev, and depths</t>
  </si>
  <si>
    <t>type 2, all null except elev _end, ele v end &lt;0</t>
  </si>
  <si>
    <t>make elev end max depth, positive</t>
  </si>
  <si>
    <t>sam type 4, elev, elev &gt;0 end &lt;0, depths null</t>
  </si>
  <si>
    <t>elev is elev of borehole collar, depths are depth below that</t>
  </si>
  <si>
    <t>probabl typos</t>
  </si>
  <si>
    <t>sam type 4, elev, elev end &lt;0, depths not null, diff depths ~= diff elev</t>
  </si>
  <si>
    <t>sam type 4, elev = -1*elev_end, depths null</t>
  </si>
  <si>
    <t>sam type 4, elev, elev end  not null, depths not null, diff depths ~= diff elev</t>
  </si>
  <si>
    <t>sam type 4, elev, elev end  not null, depths not null, diff depths != diff elev</t>
  </si>
  <si>
    <t>sampled depths are interfal in borehole, report elev interval, elv is max elev,elv_end, report depths</t>
  </si>
  <si>
    <t>samp type 4,all null, elev end &lt;0</t>
  </si>
  <si>
    <t>make max depth, positive</t>
  </si>
  <si>
    <t>sam type 2 (hole), elev, elv_end both &gt;0,others null, vdatum msl</t>
  </si>
  <si>
    <t>report max as elevation, note in loc description</t>
  </si>
  <si>
    <t>can't make sense</t>
  </si>
  <si>
    <t>sample_type =1  elev both &gt;0, depth units cm</t>
  </si>
  <si>
    <t>max elev is elev of top sampled interval,depth are cm below that…?</t>
  </si>
  <si>
    <t>sam type 12, allnull but elev_end</t>
  </si>
  <si>
    <t>report as elev</t>
  </si>
  <si>
    <t>all null but elev _end</t>
  </si>
  <si>
    <t>report As elev</t>
  </si>
  <si>
    <t>depth min and max, elevs null</t>
  </si>
  <si>
    <t>report depths</t>
  </si>
  <si>
    <t>report depths and elev</t>
  </si>
  <si>
    <t>elev=elev_end, depths not null</t>
  </si>
  <si>
    <t>report elev and depths</t>
  </si>
  <si>
    <t>elevs and depths not null</t>
  </si>
  <si>
    <t>report max elev, and depths, note in loc description</t>
  </si>
  <si>
    <t>depth min null, max not null, elev not null, elev_end NULL</t>
  </si>
  <si>
    <t>report elev and depth max</t>
  </si>
  <si>
    <t>depth max not null, others NULL</t>
  </si>
  <si>
    <t>report depth_max</t>
  </si>
  <si>
    <t>all null</t>
  </si>
  <si>
    <t>skip</t>
  </si>
  <si>
    <t>only depth_min and elevation</t>
  </si>
  <si>
    <t>report depth min and elev</t>
  </si>
  <si>
    <t>only depth min</t>
  </si>
  <si>
    <t>report depth min</t>
  </si>
  <si>
    <t>report depth_min and elevation</t>
  </si>
  <si>
    <t>only depth Min</t>
  </si>
  <si>
    <t>only depth units</t>
  </si>
  <si>
    <t>not much use, but report units</t>
  </si>
  <si>
    <t>only vertical units</t>
  </si>
  <si>
    <t>units</t>
  </si>
  <si>
    <t xml:space="preserve">elevations --&gt; depth </t>
  </si>
  <si>
    <t>elevation and depth</t>
  </si>
  <si>
    <t>max(elevations) and depths, add note</t>
  </si>
  <si>
    <t>elevation--&gt; depth</t>
  </si>
  <si>
    <t>sample_type_id = 2, 3, elevation &gt; 0, others null, check vertical datum</t>
  </si>
  <si>
    <t>elevation, elev_end--&gt;depth</t>
  </si>
  <si>
    <t>max(elevations), add note, round</t>
  </si>
  <si>
    <t>Units only</t>
  </si>
  <si>
    <t>Elevation --&gt; min depth</t>
  </si>
  <si>
    <t>Elevation --&gt; min_ depth</t>
  </si>
  <si>
    <t>location note</t>
  </si>
  <si>
    <t>elevation, depth</t>
  </si>
  <si>
    <t>elevation, depths, location note</t>
  </si>
  <si>
    <t>elevation-end --&gt; depth</t>
  </si>
  <si>
    <t>elevations --&gt; depths, location note</t>
  </si>
  <si>
    <t>special case</t>
  </si>
  <si>
    <t>report elevation, depths</t>
  </si>
  <si>
    <t>elevation_end --&gt; min depth</t>
  </si>
  <si>
    <t>report elevation.</t>
  </si>
  <si>
    <t>report elevation</t>
  </si>
  <si>
    <t>sam type 16, elev!=elvend, depths NULL, , elv or elv_end is greater…</t>
  </si>
  <si>
    <t>sam type 15, elev!=elvend, depths NULL, , elv or elv_end is greater…</t>
  </si>
  <si>
    <t>elevations --&gt; depth</t>
  </si>
  <si>
    <t>report elevation, add note</t>
  </si>
  <si>
    <t>elevation --&gt; depth min</t>
  </si>
  <si>
    <t>sample type  ID= 21, elevation not null, treat as elevation</t>
  </si>
  <si>
    <t>sample type  ID= 23, elevation not null, treat as elevation</t>
  </si>
  <si>
    <t>elevation -- &gt; depth</t>
  </si>
  <si>
    <t>actionredux</t>
  </si>
  <si>
    <t>elevations -- &gt; depth</t>
  </si>
  <si>
    <t>max(elevations),  max_depth = elevation_end-elevation, add note</t>
  </si>
  <si>
    <t>depth min</t>
  </si>
  <si>
    <t>depth max</t>
  </si>
  <si>
    <t xml:space="preserve">elev </t>
  </si>
  <si>
    <t>elev end</t>
  </si>
  <si>
    <t>no condition</t>
  </si>
  <si>
    <t>or Not NULL</t>
  </si>
  <si>
    <t>Null</t>
  </si>
  <si>
    <t>not null</t>
  </si>
  <si>
    <t>or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</si>
</sst>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 quotePrefix="1" applyAlignment="1">
      <alignment vertical="top" wrapText="1"/>
    </xf>
    <xf numFmtId="0" fontId="18" fillId="33" borderId="0" xfId="0" applyFont="1" applyFill="1" applyAlignment="1">
      <alignment vertical="top" wrapText="1"/>
    </xf>
    <xf numFmtId="0" fontId="0" fillId="33" borderId="0" xfId="0" applyFill="1" applyAlignment="1">
      <alignment vertical="top" wrapText="1"/>
    </xf>
    <xf numFmtId="2" fontId="0" fillId="33" borderId="0" xfId="0" applyNumberFormat="1" applyFill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9ACB-9C78-4AD6-BDAC-65567883E310}">
  <sheetPr filterMode="1"/>
  <dimension ref="A1:M62"/>
  <sheetViews>
    <sheetView zoomScale="90" zoomScaleNormal="90" workbookViewId="0">
      <pane ySplit="1" topLeftCell="A31" activePane="bottomLeft" state="frozen"/>
      <selection activeCell="C1" sqref="C1"/>
      <selection pane="bottomLeft" activeCell="L9" sqref="L9"/>
    </sheetView>
  </sheetViews>
  <sheetFormatPr defaultRowHeight="14.25" x14ac:dyDescent="0.45"/>
  <cols>
    <col min="1" max="1" width="6.1328125" style="1" customWidth="1"/>
    <col min="2" max="2" width="7.86328125" style="1" customWidth="1"/>
    <col min="3" max="3" width="9.6640625" style="1" customWidth="1"/>
    <col min="4" max="4" width="7.86328125" style="1" customWidth="1"/>
    <col min="5" max="5" width="8.1328125" style="2" customWidth="1"/>
    <col min="6" max="6" width="8.796875" style="1" customWidth="1"/>
    <col min="7" max="7" width="6.9296875" style="1" customWidth="1"/>
    <col min="8" max="8" width="46.19921875" style="1" customWidth="1"/>
    <col min="9" max="10" width="24.6640625" style="1" customWidth="1"/>
    <col min="11" max="16384" width="9.06640625" style="1"/>
  </cols>
  <sheetData>
    <row r="1" spans="1:13" ht="13.9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39</v>
      </c>
      <c r="I1" s="1" t="s">
        <v>69</v>
      </c>
      <c r="J1" s="1" t="s">
        <v>147</v>
      </c>
      <c r="K1" s="1" t="s">
        <v>72</v>
      </c>
      <c r="L1" s="1" t="s">
        <v>70</v>
      </c>
      <c r="M1" s="1" t="s">
        <v>71</v>
      </c>
    </row>
    <row r="2" spans="1:13" hidden="1" x14ac:dyDescent="0.45">
      <c r="A2" s="5">
        <v>36</v>
      </c>
      <c r="B2" s="5" t="s">
        <v>7</v>
      </c>
      <c r="C2" s="5" t="s">
        <v>7</v>
      </c>
      <c r="D2" s="5" t="s">
        <v>7</v>
      </c>
      <c r="E2" s="5">
        <v>-5500</v>
      </c>
      <c r="F2" s="5" t="s">
        <v>7</v>
      </c>
      <c r="G2" s="5" t="s">
        <v>7</v>
      </c>
      <c r="H2" s="5" t="s">
        <v>31</v>
      </c>
      <c r="I2" s="5"/>
      <c r="J2" s="5" t="s">
        <v>146</v>
      </c>
    </row>
    <row r="3" spans="1:13" hidden="1" x14ac:dyDescent="0.45">
      <c r="A3" s="1">
        <v>14</v>
      </c>
      <c r="B3" s="1" t="s">
        <v>7</v>
      </c>
      <c r="C3" s="1" t="s">
        <v>7</v>
      </c>
      <c r="D3" s="1" t="s">
        <v>7</v>
      </c>
      <c r="E3" s="1">
        <v>100</v>
      </c>
      <c r="F3" s="1">
        <v>20000</v>
      </c>
      <c r="G3" s="1" t="s">
        <v>9</v>
      </c>
      <c r="H3" s="1" t="s">
        <v>61</v>
      </c>
      <c r="I3" s="1" t="s">
        <v>62</v>
      </c>
      <c r="J3" s="1" t="s">
        <v>148</v>
      </c>
      <c r="K3" s="1" t="b">
        <f>E3=F3</f>
        <v>0</v>
      </c>
      <c r="L3" s="2">
        <f>ABS(E3-F3)</f>
        <v>19900</v>
      </c>
    </row>
    <row r="4" spans="1:13" hidden="1" x14ac:dyDescent="0.45">
      <c r="A4" s="5">
        <v>36</v>
      </c>
      <c r="B4" s="5" t="s">
        <v>7</v>
      </c>
      <c r="C4" s="5" t="s">
        <v>7</v>
      </c>
      <c r="D4" s="5" t="s">
        <v>7</v>
      </c>
      <c r="E4" s="5">
        <v>158</v>
      </c>
      <c r="F4" s="5" t="s">
        <v>7</v>
      </c>
      <c r="G4" s="5" t="s">
        <v>7</v>
      </c>
      <c r="H4" s="5" t="s">
        <v>32</v>
      </c>
      <c r="I4" s="5"/>
      <c r="J4" s="5" t="s">
        <v>146</v>
      </c>
    </row>
    <row r="5" spans="1:13" hidden="1" x14ac:dyDescent="0.45">
      <c r="A5" s="5">
        <v>16</v>
      </c>
      <c r="B5" s="5" t="s">
        <v>7</v>
      </c>
      <c r="C5" s="5" t="s">
        <v>7</v>
      </c>
      <c r="D5" s="5" t="s">
        <v>7</v>
      </c>
      <c r="E5" s="5">
        <v>-5722</v>
      </c>
      <c r="F5" s="5" t="s">
        <v>7</v>
      </c>
      <c r="G5" s="5" t="s">
        <v>7</v>
      </c>
      <c r="H5" s="5" t="s">
        <v>28</v>
      </c>
      <c r="I5" s="5"/>
      <c r="J5" s="5" t="s">
        <v>143</v>
      </c>
    </row>
    <row r="6" spans="1:13" hidden="1" x14ac:dyDescent="0.45">
      <c r="A6" s="5">
        <v>17</v>
      </c>
      <c r="B6" s="5" t="s">
        <v>7</v>
      </c>
      <c r="C6" s="5" t="s">
        <v>7</v>
      </c>
      <c r="D6" s="5" t="s">
        <v>7</v>
      </c>
      <c r="E6" s="6">
        <v>-1791</v>
      </c>
      <c r="F6" s="5" t="s">
        <v>7</v>
      </c>
      <c r="G6" s="5" t="s">
        <v>7</v>
      </c>
      <c r="H6" s="5" t="s">
        <v>29</v>
      </c>
      <c r="I6" s="5"/>
      <c r="J6" s="5" t="s">
        <v>143</v>
      </c>
    </row>
    <row r="7" spans="1:13" hidden="1" x14ac:dyDescent="0.45">
      <c r="A7" s="5">
        <v>21</v>
      </c>
      <c r="B7" s="5" t="s">
        <v>7</v>
      </c>
      <c r="C7" s="5" t="s">
        <v>7</v>
      </c>
      <c r="D7" s="5" t="s">
        <v>7</v>
      </c>
      <c r="E7" s="6">
        <v>-1.7</v>
      </c>
      <c r="F7" s="5" t="s">
        <v>7</v>
      </c>
      <c r="G7" s="5" t="s">
        <v>7</v>
      </c>
      <c r="H7" s="5" t="s">
        <v>144</v>
      </c>
      <c r="I7" s="5"/>
      <c r="J7" s="5" t="s">
        <v>143</v>
      </c>
    </row>
    <row r="8" spans="1:13" ht="28.5" hidden="1" x14ac:dyDescent="0.45">
      <c r="A8" s="5">
        <v>4</v>
      </c>
      <c r="B8" s="5" t="s">
        <v>7</v>
      </c>
      <c r="C8" s="5" t="s">
        <v>7</v>
      </c>
      <c r="D8" s="5" t="s">
        <v>7</v>
      </c>
      <c r="E8" s="5">
        <v>-8732</v>
      </c>
      <c r="F8" s="5" t="s">
        <v>7</v>
      </c>
      <c r="G8" s="5" t="s">
        <v>7</v>
      </c>
      <c r="H8" s="5" t="s">
        <v>24</v>
      </c>
      <c r="I8" s="5"/>
      <c r="J8" s="5" t="s">
        <v>127</v>
      </c>
    </row>
    <row r="9" spans="1:13" hidden="1" x14ac:dyDescent="0.45">
      <c r="A9" s="5">
        <v>12</v>
      </c>
      <c r="B9" s="5" t="s">
        <v>7</v>
      </c>
      <c r="C9" s="5" t="s">
        <v>7</v>
      </c>
      <c r="D9" s="5" t="s">
        <v>7</v>
      </c>
      <c r="E9" s="5">
        <v>-8140</v>
      </c>
      <c r="F9" s="5" t="s">
        <v>7</v>
      </c>
      <c r="G9" s="5" t="s">
        <v>7</v>
      </c>
      <c r="H9" s="5" t="s">
        <v>25</v>
      </c>
      <c r="I9" s="5"/>
      <c r="J9" s="5" t="s">
        <v>127</v>
      </c>
    </row>
    <row r="10" spans="1:13" hidden="1" x14ac:dyDescent="0.45">
      <c r="A10" s="1">
        <v>12</v>
      </c>
      <c r="B10" s="1" t="s">
        <v>7</v>
      </c>
      <c r="C10" s="1" t="s">
        <v>7</v>
      </c>
      <c r="D10" s="1" t="s">
        <v>7</v>
      </c>
      <c r="E10" s="1">
        <v>-7750</v>
      </c>
      <c r="F10" s="1">
        <v>-7750</v>
      </c>
      <c r="G10" s="1" t="s">
        <v>7</v>
      </c>
      <c r="H10" s="1" t="s">
        <v>42</v>
      </c>
      <c r="I10" s="1" t="s">
        <v>43</v>
      </c>
      <c r="J10" s="1" t="s">
        <v>127</v>
      </c>
      <c r="K10" s="1" t="b">
        <f>E10=F10</f>
        <v>1</v>
      </c>
      <c r="L10" s="2">
        <f>ABS(E10-F10)</f>
        <v>0</v>
      </c>
    </row>
    <row r="11" spans="1:13" ht="28.5" hidden="1" x14ac:dyDescent="0.45">
      <c r="A11" s="1">
        <v>2</v>
      </c>
      <c r="B11" s="1" t="s">
        <v>7</v>
      </c>
      <c r="C11" s="1" t="s">
        <v>7</v>
      </c>
      <c r="D11" s="1" t="s">
        <v>7</v>
      </c>
      <c r="E11" s="1" t="s">
        <v>7</v>
      </c>
      <c r="F11" s="1">
        <v>-21315</v>
      </c>
      <c r="G11" s="1" t="s">
        <v>7</v>
      </c>
      <c r="H11" s="1" t="s">
        <v>75</v>
      </c>
      <c r="I11" s="1" t="s">
        <v>76</v>
      </c>
      <c r="J11" s="1" t="s">
        <v>128</v>
      </c>
    </row>
    <row r="12" spans="1:13" hidden="1" x14ac:dyDescent="0.45">
      <c r="A12" s="1">
        <v>1</v>
      </c>
      <c r="B12" s="1">
        <v>190</v>
      </c>
      <c r="C12" s="1">
        <v>200</v>
      </c>
      <c r="D12" s="1" t="s">
        <v>10</v>
      </c>
      <c r="E12" s="1">
        <v>153</v>
      </c>
      <c r="F12" s="1" t="s">
        <v>7</v>
      </c>
      <c r="G12" s="1" t="s">
        <v>7</v>
      </c>
      <c r="H12" s="1" t="s">
        <v>73</v>
      </c>
      <c r="I12" s="1" t="s">
        <v>98</v>
      </c>
      <c r="J12" s="1" t="s">
        <v>120</v>
      </c>
      <c r="M12" s="1">
        <f>ABS(B12-C12)</f>
        <v>10</v>
      </c>
    </row>
    <row r="13" spans="1:13" ht="28.5" hidden="1" x14ac:dyDescent="0.45">
      <c r="A13" s="1">
        <v>1</v>
      </c>
      <c r="B13" s="1">
        <v>250</v>
      </c>
      <c r="C13" s="1">
        <v>270</v>
      </c>
      <c r="D13" s="1" t="s">
        <v>10</v>
      </c>
      <c r="E13" s="1">
        <v>153</v>
      </c>
      <c r="F13" s="1" t="s">
        <v>7</v>
      </c>
      <c r="G13" s="1" t="s">
        <v>7</v>
      </c>
      <c r="H13" s="1" t="s">
        <v>73</v>
      </c>
      <c r="I13" s="1" t="s">
        <v>74</v>
      </c>
      <c r="J13" s="1" t="s">
        <v>120</v>
      </c>
      <c r="M13" s="1">
        <f>ABS(B13-C13)</f>
        <v>20</v>
      </c>
    </row>
    <row r="14" spans="1:13" hidden="1" x14ac:dyDescent="0.45">
      <c r="A14" s="1">
        <v>1</v>
      </c>
      <c r="B14" s="1" t="s">
        <v>7</v>
      </c>
      <c r="C14" s="1">
        <v>5</v>
      </c>
      <c r="D14" s="1" t="s">
        <v>10</v>
      </c>
      <c r="E14" s="1">
        <v>3</v>
      </c>
      <c r="F14" s="1" t="s">
        <v>7</v>
      </c>
      <c r="G14" s="1" t="s">
        <v>7</v>
      </c>
      <c r="H14" s="1" t="s">
        <v>103</v>
      </c>
      <c r="I14" s="1" t="s">
        <v>104</v>
      </c>
      <c r="J14" s="1" t="s">
        <v>120</v>
      </c>
    </row>
    <row r="15" spans="1:13" ht="28.5" hidden="1" x14ac:dyDescent="0.45">
      <c r="A15" s="1">
        <v>4</v>
      </c>
      <c r="B15" s="1">
        <v>2.6</v>
      </c>
      <c r="C15" s="1" t="s">
        <v>7</v>
      </c>
      <c r="D15" s="1" t="s">
        <v>13</v>
      </c>
      <c r="E15" s="1">
        <v>5</v>
      </c>
      <c r="F15" s="1" t="s">
        <v>7</v>
      </c>
      <c r="G15" s="1" t="s">
        <v>7</v>
      </c>
      <c r="H15" s="1" t="s">
        <v>109</v>
      </c>
      <c r="I15" s="1" t="s">
        <v>113</v>
      </c>
      <c r="J15" s="1" t="s">
        <v>130</v>
      </c>
    </row>
    <row r="16" spans="1:13" x14ac:dyDescent="0.45">
      <c r="A16" s="1">
        <v>4</v>
      </c>
      <c r="B16" s="1">
        <v>15</v>
      </c>
      <c r="C16" s="1">
        <v>30</v>
      </c>
      <c r="D16" s="1" t="s">
        <v>10</v>
      </c>
      <c r="E16" s="1">
        <v>219</v>
      </c>
      <c r="F16" s="1">
        <v>219</v>
      </c>
      <c r="G16" s="1" t="s">
        <v>7</v>
      </c>
      <c r="H16" s="1" t="s">
        <v>99</v>
      </c>
      <c r="I16" s="1" t="s">
        <v>100</v>
      </c>
      <c r="J16" s="1" t="s">
        <v>130</v>
      </c>
      <c r="K16" s="1" t="b">
        <f>E16=F16</f>
        <v>1</v>
      </c>
      <c r="L16" s="2">
        <f>ABS(E16-F16)</f>
        <v>0</v>
      </c>
      <c r="M16" s="1">
        <f>ABS(B16-C16)</f>
        <v>15</v>
      </c>
    </row>
    <row r="17" spans="1:13" ht="28.5" x14ac:dyDescent="0.45">
      <c r="A17" s="1">
        <v>4</v>
      </c>
      <c r="B17" s="1">
        <v>9</v>
      </c>
      <c r="C17" s="1">
        <v>688</v>
      </c>
      <c r="D17" s="1" t="s">
        <v>16</v>
      </c>
      <c r="E17" s="1">
        <v>505</v>
      </c>
      <c r="F17" s="1">
        <v>546</v>
      </c>
      <c r="G17" s="1" t="s">
        <v>7</v>
      </c>
      <c r="H17" s="1" t="s">
        <v>79</v>
      </c>
      <c r="J17" s="1" t="s">
        <v>131</v>
      </c>
      <c r="K17" s="1" t="b">
        <f>E17=F17</f>
        <v>0</v>
      </c>
      <c r="L17" s="2">
        <f>ABS(E17-F17)</f>
        <v>41</v>
      </c>
      <c r="M17" s="1">
        <f>ABS(B17-C17)</f>
        <v>679</v>
      </c>
    </row>
    <row r="18" spans="1:13" ht="28.5" x14ac:dyDescent="0.45">
      <c r="A18" s="1">
        <v>4</v>
      </c>
      <c r="B18" s="1">
        <v>9</v>
      </c>
      <c r="C18" s="1">
        <v>106.1</v>
      </c>
      <c r="D18" s="1" t="s">
        <v>16</v>
      </c>
      <c r="E18" s="1">
        <v>772</v>
      </c>
      <c r="F18" s="1">
        <v>665.9</v>
      </c>
      <c r="G18" s="1" t="s">
        <v>7</v>
      </c>
      <c r="H18" s="1" t="s">
        <v>82</v>
      </c>
      <c r="J18" s="1" t="s">
        <v>131</v>
      </c>
      <c r="K18" s="1" t="b">
        <f>E18=F18</f>
        <v>0</v>
      </c>
      <c r="L18" s="2">
        <f>ABS(E18-F18)</f>
        <v>106.10000000000002</v>
      </c>
      <c r="M18" s="1">
        <f>ABS(B18-C18)</f>
        <v>97.1</v>
      </c>
    </row>
    <row r="19" spans="1:13" ht="28.5" x14ac:dyDescent="0.45">
      <c r="A19" s="1">
        <v>4</v>
      </c>
      <c r="B19" s="1">
        <v>42</v>
      </c>
      <c r="C19" s="1">
        <v>2152</v>
      </c>
      <c r="D19" s="1" t="s">
        <v>14</v>
      </c>
      <c r="E19" s="1">
        <v>318</v>
      </c>
      <c r="F19" s="1">
        <v>-1792</v>
      </c>
      <c r="G19" s="1" t="s">
        <v>7</v>
      </c>
      <c r="H19" s="1" t="s">
        <v>80</v>
      </c>
      <c r="I19" s="1" t="s">
        <v>78</v>
      </c>
      <c r="J19" s="1" t="s">
        <v>131</v>
      </c>
      <c r="K19" s="1" t="b">
        <f>E19=F19</f>
        <v>0</v>
      </c>
      <c r="L19" s="2">
        <f>ABS(E19-F19)</f>
        <v>2110</v>
      </c>
      <c r="M19" s="1">
        <f>ABS(B19-C19)</f>
        <v>2110</v>
      </c>
    </row>
    <row r="20" spans="1:13" ht="57" x14ac:dyDescent="0.45">
      <c r="A20" s="1">
        <v>4</v>
      </c>
      <c r="B20" s="1">
        <v>945</v>
      </c>
      <c r="C20" s="1">
        <v>1468</v>
      </c>
      <c r="D20" s="1" t="s">
        <v>16</v>
      </c>
      <c r="E20" s="1">
        <v>852</v>
      </c>
      <c r="F20" s="1">
        <v>-606</v>
      </c>
      <c r="G20" s="1" t="s">
        <v>7</v>
      </c>
      <c r="H20" s="1" t="s">
        <v>83</v>
      </c>
      <c r="I20" s="1" t="s">
        <v>84</v>
      </c>
      <c r="J20" s="1" t="s">
        <v>131</v>
      </c>
      <c r="K20" s="1" t="b">
        <f>E20=F20</f>
        <v>0</v>
      </c>
      <c r="L20" s="2">
        <f>ABS(E20-F20)</f>
        <v>1458</v>
      </c>
      <c r="M20" s="1">
        <f>ABS(B20-C20)</f>
        <v>523</v>
      </c>
    </row>
    <row r="21" spans="1:13" ht="28.5" hidden="1" x14ac:dyDescent="0.45">
      <c r="A21" s="1">
        <v>4</v>
      </c>
      <c r="B21" s="1" t="s">
        <v>7</v>
      </c>
      <c r="C21" s="1" t="s">
        <v>7</v>
      </c>
      <c r="D21" s="1" t="s">
        <v>7</v>
      </c>
      <c r="E21" s="1">
        <v>596</v>
      </c>
      <c r="F21" s="1">
        <v>-596</v>
      </c>
      <c r="G21" s="1" t="s">
        <v>7</v>
      </c>
      <c r="H21" s="1" t="s">
        <v>81</v>
      </c>
      <c r="I21" s="1" t="s">
        <v>59</v>
      </c>
      <c r="J21" s="1" t="s">
        <v>131</v>
      </c>
      <c r="K21" s="1" t="b">
        <f>E21=F21</f>
        <v>0</v>
      </c>
      <c r="L21" s="2">
        <f>ABS(E21-F21)</f>
        <v>1192</v>
      </c>
    </row>
    <row r="22" spans="1:13" ht="28.5" hidden="1" x14ac:dyDescent="0.45">
      <c r="A22" s="1">
        <v>2</v>
      </c>
      <c r="B22" s="1" t="s">
        <v>7</v>
      </c>
      <c r="C22" s="1" t="s">
        <v>7</v>
      </c>
      <c r="D22" s="1" t="s">
        <v>7</v>
      </c>
      <c r="E22" s="1">
        <v>0.3</v>
      </c>
      <c r="F22" s="1">
        <v>5419.34</v>
      </c>
      <c r="G22" s="1" t="s">
        <v>7</v>
      </c>
      <c r="H22" s="1" t="s">
        <v>54</v>
      </c>
      <c r="I22" s="1" t="s">
        <v>53</v>
      </c>
      <c r="J22" s="1" t="s">
        <v>124</v>
      </c>
      <c r="K22" s="1" t="b">
        <f>E22=F22</f>
        <v>0</v>
      </c>
      <c r="L22" s="2">
        <f>ABS(E22-F22)</f>
        <v>5419.04</v>
      </c>
    </row>
    <row r="23" spans="1:13" ht="42.75" hidden="1" x14ac:dyDescent="0.45">
      <c r="A23" s="1">
        <v>2</v>
      </c>
      <c r="B23" s="1" t="s">
        <v>7</v>
      </c>
      <c r="C23" s="1" t="s">
        <v>7</v>
      </c>
      <c r="D23" s="1" t="s">
        <v>7</v>
      </c>
      <c r="E23" s="1">
        <v>3</v>
      </c>
      <c r="F23" s="1">
        <v>-18242</v>
      </c>
      <c r="G23" s="1" t="s">
        <v>7</v>
      </c>
      <c r="H23" s="1" t="s">
        <v>55</v>
      </c>
      <c r="I23" s="1" t="s">
        <v>56</v>
      </c>
      <c r="J23" s="1" t="s">
        <v>124</v>
      </c>
      <c r="K23" s="1" t="b">
        <f>E23=F23</f>
        <v>0</v>
      </c>
      <c r="L23" s="2">
        <f>ABS(E23-F23)</f>
        <v>18245</v>
      </c>
    </row>
    <row r="24" spans="1:13" hidden="1" x14ac:dyDescent="0.45">
      <c r="A24" s="1">
        <v>12</v>
      </c>
      <c r="B24" s="1" t="s">
        <v>7</v>
      </c>
      <c r="C24" s="1" t="s">
        <v>7</v>
      </c>
      <c r="D24" s="1" t="s">
        <v>7</v>
      </c>
      <c r="E24" s="1" t="s">
        <v>7</v>
      </c>
      <c r="F24" s="1">
        <v>-4435</v>
      </c>
      <c r="G24" s="1" t="s">
        <v>7</v>
      </c>
      <c r="H24" s="1" t="s">
        <v>92</v>
      </c>
      <c r="I24" s="1" t="s">
        <v>93</v>
      </c>
      <c r="J24" s="1" t="s">
        <v>136</v>
      </c>
    </row>
    <row r="25" spans="1:13" hidden="1" x14ac:dyDescent="0.45">
      <c r="A25" s="5">
        <v>2</v>
      </c>
      <c r="B25" s="5" t="s">
        <v>7</v>
      </c>
      <c r="C25" s="5" t="s">
        <v>7</v>
      </c>
      <c r="D25" s="5" t="s">
        <v>7</v>
      </c>
      <c r="E25" s="5">
        <v>-7034</v>
      </c>
      <c r="F25" s="5" t="s">
        <v>7</v>
      </c>
      <c r="G25" s="5" t="s">
        <v>7</v>
      </c>
      <c r="H25" s="5" t="s">
        <v>22</v>
      </c>
      <c r="I25" s="5"/>
      <c r="J25" s="5" t="s">
        <v>122</v>
      </c>
    </row>
    <row r="26" spans="1:13" hidden="1" x14ac:dyDescent="0.45">
      <c r="A26" s="1">
        <v>4</v>
      </c>
      <c r="B26" s="1" t="s">
        <v>7</v>
      </c>
      <c r="C26" s="1" t="s">
        <v>7</v>
      </c>
      <c r="D26" s="1" t="s">
        <v>7</v>
      </c>
      <c r="E26" s="1" t="s">
        <v>7</v>
      </c>
      <c r="F26" s="1">
        <v>-1442</v>
      </c>
      <c r="G26" s="1" t="s">
        <v>7</v>
      </c>
      <c r="H26" s="1" t="s">
        <v>85</v>
      </c>
      <c r="I26" s="1" t="s">
        <v>86</v>
      </c>
      <c r="J26" s="1" t="s">
        <v>132</v>
      </c>
    </row>
    <row r="27" spans="1:13" ht="28.5" hidden="1" x14ac:dyDescent="0.45">
      <c r="A27" s="1">
        <v>16</v>
      </c>
      <c r="B27" s="1" t="s">
        <v>7</v>
      </c>
      <c r="C27" s="1" t="s">
        <v>7</v>
      </c>
      <c r="D27" s="1" t="s">
        <v>7</v>
      </c>
      <c r="E27" s="1">
        <v>-3800</v>
      </c>
      <c r="F27" s="1">
        <v>-3507</v>
      </c>
      <c r="G27" s="1" t="s">
        <v>7</v>
      </c>
      <c r="H27" s="1" t="s">
        <v>139</v>
      </c>
      <c r="I27" s="1" t="s">
        <v>47</v>
      </c>
      <c r="J27" s="1" t="s">
        <v>141</v>
      </c>
      <c r="K27" s="1" t="b">
        <f>E27=F27</f>
        <v>0</v>
      </c>
      <c r="L27" s="2">
        <f>ABS(E27-F27)</f>
        <v>293</v>
      </c>
    </row>
    <row r="28" spans="1:13" ht="28.5" hidden="1" x14ac:dyDescent="0.45">
      <c r="A28" s="1">
        <v>1</v>
      </c>
      <c r="B28" s="1" t="s">
        <v>7</v>
      </c>
      <c r="C28" s="1" t="s">
        <v>7</v>
      </c>
      <c r="D28" s="1" t="s">
        <v>7</v>
      </c>
      <c r="E28" s="1">
        <v>-4330</v>
      </c>
      <c r="F28" s="1">
        <v>-4404</v>
      </c>
      <c r="G28" s="1" t="s">
        <v>7</v>
      </c>
      <c r="H28" s="1" t="s">
        <v>49</v>
      </c>
      <c r="I28" s="1" t="s">
        <v>50</v>
      </c>
      <c r="J28" s="1" t="s">
        <v>119</v>
      </c>
      <c r="K28" s="1" t="b">
        <f>E28=F28</f>
        <v>0</v>
      </c>
      <c r="L28" s="2">
        <f>ABS(E28-F28)</f>
        <v>74</v>
      </c>
    </row>
    <row r="29" spans="1:13" hidden="1" x14ac:dyDescent="0.45">
      <c r="A29" s="1">
        <v>2</v>
      </c>
      <c r="B29" s="1" t="s">
        <v>7</v>
      </c>
      <c r="C29" s="1" t="s">
        <v>7</v>
      </c>
      <c r="D29" s="1" t="s">
        <v>7</v>
      </c>
      <c r="E29" s="1">
        <v>-13.5</v>
      </c>
      <c r="F29" s="1">
        <v>-31.5</v>
      </c>
      <c r="G29" s="1" t="s">
        <v>7</v>
      </c>
      <c r="H29" s="1" t="s">
        <v>46</v>
      </c>
      <c r="I29" s="1" t="s">
        <v>48</v>
      </c>
      <c r="J29" s="1" t="s">
        <v>119</v>
      </c>
      <c r="K29" s="1" t="b">
        <f>E29=F29</f>
        <v>0</v>
      </c>
      <c r="L29" s="2">
        <f>ABS(E29-F29)</f>
        <v>18</v>
      </c>
    </row>
    <row r="30" spans="1:13" hidden="1" x14ac:dyDescent="0.45">
      <c r="A30" s="1">
        <v>4</v>
      </c>
      <c r="B30" s="1" t="s">
        <v>7</v>
      </c>
      <c r="C30" s="1" t="s">
        <v>7</v>
      </c>
      <c r="D30" s="1" t="s">
        <v>7</v>
      </c>
      <c r="E30" s="1">
        <v>133</v>
      </c>
      <c r="F30" s="1">
        <v>95</v>
      </c>
      <c r="G30" s="1" t="s">
        <v>7</v>
      </c>
      <c r="H30" s="1" t="s">
        <v>77</v>
      </c>
      <c r="I30" s="1" t="s">
        <v>60</v>
      </c>
      <c r="J30" s="1" t="s">
        <v>119</v>
      </c>
      <c r="K30" s="1" t="b">
        <f>E30=F30</f>
        <v>0</v>
      </c>
      <c r="L30" s="2">
        <f>ABS(E30-F30)</f>
        <v>38</v>
      </c>
    </row>
    <row r="31" spans="1:13" ht="128.25" x14ac:dyDescent="0.45">
      <c r="A31" s="1">
        <v>5</v>
      </c>
      <c r="B31" s="1">
        <v>-4.88</v>
      </c>
      <c r="C31" s="1">
        <v>-504.14</v>
      </c>
      <c r="D31" s="1" t="s">
        <v>13</v>
      </c>
      <c r="E31" s="1">
        <v>-503.52960000000002</v>
      </c>
      <c r="F31" s="1">
        <v>-504.13920000000002</v>
      </c>
      <c r="G31" s="1" t="s">
        <v>9</v>
      </c>
      <c r="H31" s="1" t="s">
        <v>65</v>
      </c>
      <c r="I31" s="1" t="s">
        <v>66</v>
      </c>
      <c r="J31" s="1" t="s">
        <v>133</v>
      </c>
      <c r="K31" s="1" t="b">
        <f>E31=F31</f>
        <v>0</v>
      </c>
      <c r="L31" s="2">
        <f>ABS(E31-F31)</f>
        <v>0.60960000000000036</v>
      </c>
      <c r="M31" s="1">
        <f>ABS(B31-C31)</f>
        <v>499.26</v>
      </c>
    </row>
    <row r="32" spans="1:13" ht="42.75" hidden="1" x14ac:dyDescent="0.45">
      <c r="A32" s="1">
        <v>12</v>
      </c>
      <c r="B32" s="1" t="s">
        <v>7</v>
      </c>
      <c r="C32" s="1" t="s">
        <v>7</v>
      </c>
      <c r="D32" s="1" t="s">
        <v>7</v>
      </c>
      <c r="E32" s="1">
        <v>-10415</v>
      </c>
      <c r="F32" s="1">
        <v>-10105</v>
      </c>
      <c r="G32" s="1" t="s">
        <v>7</v>
      </c>
      <c r="H32" s="1" t="s">
        <v>41</v>
      </c>
      <c r="I32" s="1" t="s">
        <v>40</v>
      </c>
      <c r="J32" s="1" t="s">
        <v>133</v>
      </c>
      <c r="K32" s="1" t="b">
        <f>E32=F32</f>
        <v>0</v>
      </c>
      <c r="L32" s="2">
        <f>ABS(E32-F32)</f>
        <v>310</v>
      </c>
    </row>
    <row r="33" spans="1:13" x14ac:dyDescent="0.45">
      <c r="A33" s="1">
        <v>4</v>
      </c>
      <c r="B33" s="1">
        <v>100</v>
      </c>
      <c r="C33" s="1">
        <v>200</v>
      </c>
      <c r="D33" s="1" t="s">
        <v>7</v>
      </c>
      <c r="E33" s="1">
        <v>55</v>
      </c>
      <c r="F33" s="1">
        <v>65</v>
      </c>
      <c r="G33" s="1" t="s">
        <v>7</v>
      </c>
      <c r="H33" s="1" t="s">
        <v>89</v>
      </c>
      <c r="J33" s="1" t="s">
        <v>129</v>
      </c>
      <c r="K33" s="1" t="b">
        <f>E33=F33</f>
        <v>0</v>
      </c>
      <c r="L33" s="2">
        <f>ABS(E33-F33)</f>
        <v>10</v>
      </c>
      <c r="M33" s="1">
        <f>ABS(B33-C33)</f>
        <v>100</v>
      </c>
    </row>
    <row r="34" spans="1:13" x14ac:dyDescent="0.45">
      <c r="A34" s="1">
        <v>4</v>
      </c>
      <c r="B34" s="1">
        <v>100</v>
      </c>
      <c r="C34" s="1">
        <v>200</v>
      </c>
      <c r="D34" s="1" t="s">
        <v>18</v>
      </c>
      <c r="E34" s="1">
        <v>55</v>
      </c>
      <c r="F34" s="1">
        <v>65</v>
      </c>
      <c r="G34" s="1" t="s">
        <v>7</v>
      </c>
      <c r="H34" s="1" t="s">
        <v>89</v>
      </c>
      <c r="J34" s="1" t="s">
        <v>129</v>
      </c>
      <c r="K34" s="1" t="b">
        <f>E34=F34</f>
        <v>0</v>
      </c>
      <c r="L34" s="2">
        <f>ABS(E34-F34)</f>
        <v>10</v>
      </c>
      <c r="M34" s="1">
        <f>ABS(B34-C34)</f>
        <v>100</v>
      </c>
    </row>
    <row r="35" spans="1:13" ht="42.75" x14ac:dyDescent="0.45">
      <c r="A35" s="1">
        <v>1</v>
      </c>
      <c r="B35" s="1">
        <v>167</v>
      </c>
      <c r="C35" s="1">
        <v>220</v>
      </c>
      <c r="D35" s="1" t="s">
        <v>10</v>
      </c>
      <c r="E35" s="1">
        <v>146.33000000000001</v>
      </c>
      <c r="F35" s="1">
        <v>145.80000000000001</v>
      </c>
      <c r="G35" s="1" t="s">
        <v>7</v>
      </c>
      <c r="H35" s="1" t="s">
        <v>90</v>
      </c>
      <c r="I35" s="1" t="s">
        <v>91</v>
      </c>
      <c r="J35" s="1" t="s">
        <v>121</v>
      </c>
      <c r="K35" s="1" t="b">
        <f>E35=F35</f>
        <v>0</v>
      </c>
      <c r="L35" s="2">
        <f>ABS(E35-F35)</f>
        <v>0.53000000000000114</v>
      </c>
      <c r="M35" s="1">
        <f>ABS(B35-C35)</f>
        <v>53</v>
      </c>
    </row>
    <row r="36" spans="1:13" ht="42.75" hidden="1" x14ac:dyDescent="0.45">
      <c r="A36" s="1">
        <v>3</v>
      </c>
      <c r="B36" s="1" t="s">
        <v>7</v>
      </c>
      <c r="C36" s="1" t="s">
        <v>7</v>
      </c>
      <c r="D36" s="1" t="s">
        <v>7</v>
      </c>
      <c r="E36" s="1">
        <v>507</v>
      </c>
      <c r="F36" s="1">
        <v>-18468</v>
      </c>
      <c r="G36" s="1" t="s">
        <v>9</v>
      </c>
      <c r="H36" s="1" t="s">
        <v>58</v>
      </c>
      <c r="I36" s="1" t="s">
        <v>57</v>
      </c>
      <c r="J36" s="1" t="s">
        <v>149</v>
      </c>
      <c r="K36" s="1" t="b">
        <f>E36=F36</f>
        <v>0</v>
      </c>
      <c r="L36" s="2">
        <f>ABS(E36-F36)</f>
        <v>18975</v>
      </c>
    </row>
    <row r="37" spans="1:13" ht="57" x14ac:dyDescent="0.45">
      <c r="A37" s="1">
        <v>9</v>
      </c>
      <c r="B37" s="1">
        <v>-760.38</v>
      </c>
      <c r="C37" s="1">
        <v>-760.49</v>
      </c>
      <c r="D37" s="1" t="s">
        <v>15</v>
      </c>
      <c r="E37" s="1">
        <v>-760.38</v>
      </c>
      <c r="F37" s="1">
        <v>-760.49</v>
      </c>
      <c r="G37" s="1" t="s">
        <v>9</v>
      </c>
      <c r="H37" s="1" t="s">
        <v>67</v>
      </c>
      <c r="I37" s="1" t="s">
        <v>68</v>
      </c>
      <c r="J37" s="1" t="s">
        <v>125</v>
      </c>
      <c r="K37" s="1" t="b">
        <f>E37=F37</f>
        <v>0</v>
      </c>
      <c r="L37" s="2">
        <f>ABS(E37-F37)</f>
        <v>0.11000000000001364</v>
      </c>
      <c r="M37" s="1">
        <f>ABS(B37-C37)</f>
        <v>0.11000000000001364</v>
      </c>
    </row>
    <row r="38" spans="1:13" ht="42.75" hidden="1" x14ac:dyDescent="0.45">
      <c r="A38" s="1">
        <v>5</v>
      </c>
      <c r="B38" s="1" t="s">
        <v>7</v>
      </c>
      <c r="C38" s="1" t="s">
        <v>7</v>
      </c>
      <c r="D38" s="1" t="s">
        <v>7</v>
      </c>
      <c r="E38" s="1">
        <v>28.71</v>
      </c>
      <c r="F38" s="1">
        <v>22.71</v>
      </c>
      <c r="G38" s="1" t="s">
        <v>8</v>
      </c>
      <c r="H38" s="1" t="s">
        <v>63</v>
      </c>
      <c r="I38" s="1" t="s">
        <v>64</v>
      </c>
      <c r="J38" s="1" t="s">
        <v>125</v>
      </c>
      <c r="K38" s="1" t="b">
        <f>E38=F38</f>
        <v>0</v>
      </c>
      <c r="L38" s="2">
        <f>ABS(E38-F38)</f>
        <v>6</v>
      </c>
    </row>
    <row r="39" spans="1:13" ht="42.75" hidden="1" x14ac:dyDescent="0.45">
      <c r="A39" s="1">
        <v>2</v>
      </c>
      <c r="B39" s="1" t="s">
        <v>7</v>
      </c>
      <c r="C39" s="1" t="s">
        <v>7</v>
      </c>
      <c r="D39" s="1" t="s">
        <v>7</v>
      </c>
      <c r="E39" s="1">
        <v>141.82</v>
      </c>
      <c r="F39" s="3" t="s">
        <v>12</v>
      </c>
      <c r="G39" s="1" t="s">
        <v>9</v>
      </c>
      <c r="H39" s="1" t="s">
        <v>87</v>
      </c>
      <c r="I39" s="1" t="s">
        <v>88</v>
      </c>
      <c r="J39" s="1" t="s">
        <v>125</v>
      </c>
      <c r="K39" s="1" t="b">
        <f>E39=F39</f>
        <v>0</v>
      </c>
      <c r="L39" s="2">
        <f>ABS(E39-F39)</f>
        <v>80.000000000000085</v>
      </c>
    </row>
    <row r="40" spans="1:13" hidden="1" x14ac:dyDescent="0.45">
      <c r="A40" s="4">
        <v>11</v>
      </c>
      <c r="B40" s="4">
        <v>-1262.4100000000001</v>
      </c>
      <c r="C40" s="4" t="s">
        <v>7</v>
      </c>
      <c r="D40" s="4" t="s">
        <v>17</v>
      </c>
      <c r="E40" s="4" t="s">
        <v>7</v>
      </c>
      <c r="F40" s="4" t="s">
        <v>7</v>
      </c>
      <c r="G40" s="4" t="s">
        <v>7</v>
      </c>
      <c r="H40" s="4" t="s">
        <v>114</v>
      </c>
      <c r="I40" s="4" t="s">
        <v>112</v>
      </c>
      <c r="J40" s="4" t="s">
        <v>97</v>
      </c>
    </row>
    <row r="41" spans="1:13" hidden="1" x14ac:dyDescent="0.45">
      <c r="A41" s="4">
        <v>13</v>
      </c>
      <c r="B41" s="4">
        <v>-6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  <c r="H41" s="4" t="s">
        <v>111</v>
      </c>
      <c r="I41" s="4" t="s">
        <v>112</v>
      </c>
      <c r="J41" s="4" t="s">
        <v>97</v>
      </c>
    </row>
    <row r="42" spans="1:13" hidden="1" x14ac:dyDescent="0.45">
      <c r="A42" s="4">
        <v>1</v>
      </c>
      <c r="B42" s="4">
        <v>0</v>
      </c>
      <c r="C42" s="4">
        <v>15</v>
      </c>
      <c r="D42" s="4" t="s">
        <v>11</v>
      </c>
      <c r="E42" s="4" t="s">
        <v>7</v>
      </c>
      <c r="F42" s="4" t="s">
        <v>7</v>
      </c>
      <c r="G42" s="4" t="s">
        <v>7</v>
      </c>
      <c r="H42" s="4" t="s">
        <v>96</v>
      </c>
      <c r="I42" s="4" t="s">
        <v>97</v>
      </c>
      <c r="J42" s="4" t="s">
        <v>97</v>
      </c>
      <c r="M42" s="1">
        <f>ABS(B42-C42)</f>
        <v>15</v>
      </c>
    </row>
    <row r="43" spans="1:13" ht="42.75" hidden="1" x14ac:dyDescent="0.45">
      <c r="A43" s="4">
        <v>10</v>
      </c>
      <c r="B43" s="4">
        <v>6693.4</v>
      </c>
      <c r="C43" s="4" t="s">
        <v>7</v>
      </c>
      <c r="D43" s="4" t="s">
        <v>19</v>
      </c>
      <c r="E43" s="4" t="s">
        <v>7</v>
      </c>
      <c r="F43" s="4" t="s">
        <v>7</v>
      </c>
      <c r="G43" s="4" t="s">
        <v>9</v>
      </c>
      <c r="H43" s="4" t="s">
        <v>34</v>
      </c>
      <c r="I43" s="4" t="s">
        <v>33</v>
      </c>
      <c r="J43" s="4" t="s">
        <v>97</v>
      </c>
    </row>
    <row r="44" spans="1:13" hidden="1" x14ac:dyDescent="0.45">
      <c r="A44" s="4">
        <v>3</v>
      </c>
      <c r="B44" s="4">
        <v>12630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  <c r="H44" s="4" t="s">
        <v>35</v>
      </c>
      <c r="I44" s="4" t="s">
        <v>36</v>
      </c>
      <c r="J44" s="4" t="s">
        <v>97</v>
      </c>
    </row>
    <row r="45" spans="1:13" hidden="1" x14ac:dyDescent="0.45">
      <c r="A45" s="4">
        <v>1</v>
      </c>
      <c r="B45" s="4" t="s">
        <v>7</v>
      </c>
      <c r="C45" s="4">
        <v>15.24</v>
      </c>
      <c r="D45" s="4" t="s">
        <v>7</v>
      </c>
      <c r="E45" s="4" t="s">
        <v>7</v>
      </c>
      <c r="F45" s="4" t="s">
        <v>7</v>
      </c>
      <c r="G45" s="4" t="s">
        <v>7</v>
      </c>
      <c r="H45" s="4" t="s">
        <v>105</v>
      </c>
      <c r="I45" s="4" t="s">
        <v>106</v>
      </c>
      <c r="J45" s="4" t="s">
        <v>97</v>
      </c>
    </row>
    <row r="46" spans="1:13" hidden="1" x14ac:dyDescent="0.45">
      <c r="A46" s="5">
        <v>15</v>
      </c>
      <c r="B46" s="5" t="s">
        <v>7</v>
      </c>
      <c r="C46" s="5" t="s">
        <v>7</v>
      </c>
      <c r="D46" s="5" t="s">
        <v>7</v>
      </c>
      <c r="E46" s="5">
        <v>-22264</v>
      </c>
      <c r="F46" s="5" t="s">
        <v>7</v>
      </c>
      <c r="G46" s="5" t="s">
        <v>7</v>
      </c>
      <c r="H46" s="5" t="s">
        <v>27</v>
      </c>
      <c r="I46" s="5"/>
      <c r="J46" s="5" t="s">
        <v>138</v>
      </c>
    </row>
    <row r="47" spans="1:13" ht="28.5" hidden="1" x14ac:dyDescent="0.45">
      <c r="A47" s="5">
        <v>1</v>
      </c>
      <c r="B47" s="5" t="s">
        <v>7</v>
      </c>
      <c r="C47" s="5" t="s">
        <v>7</v>
      </c>
      <c r="D47" s="5" t="s">
        <v>7</v>
      </c>
      <c r="E47" s="5">
        <v>-7281</v>
      </c>
      <c r="F47" s="5" t="s">
        <v>7</v>
      </c>
      <c r="G47" s="5" t="s">
        <v>7</v>
      </c>
      <c r="H47" s="5" t="s">
        <v>21</v>
      </c>
      <c r="I47" s="5" t="s">
        <v>20</v>
      </c>
      <c r="J47" s="5" t="s">
        <v>138</v>
      </c>
    </row>
    <row r="48" spans="1:13" hidden="1" x14ac:dyDescent="0.45">
      <c r="A48" s="5">
        <v>23</v>
      </c>
      <c r="B48" s="5" t="s">
        <v>7</v>
      </c>
      <c r="C48" s="5" t="s">
        <v>7</v>
      </c>
      <c r="D48" s="5" t="s">
        <v>7</v>
      </c>
      <c r="E48" s="6">
        <v>-6790</v>
      </c>
      <c r="F48" s="5" t="s">
        <v>7</v>
      </c>
      <c r="G48" s="5" t="s">
        <v>7</v>
      </c>
      <c r="H48" s="5" t="s">
        <v>145</v>
      </c>
      <c r="I48" s="5"/>
      <c r="J48" s="5" t="s">
        <v>138</v>
      </c>
    </row>
    <row r="49" spans="1:13" hidden="1" x14ac:dyDescent="0.45">
      <c r="A49" s="5">
        <v>1</v>
      </c>
      <c r="B49" s="5" t="s">
        <v>7</v>
      </c>
      <c r="C49" s="5" t="s">
        <v>7</v>
      </c>
      <c r="D49" s="5" t="s">
        <v>7</v>
      </c>
      <c r="E49" s="5">
        <v>-1700</v>
      </c>
      <c r="F49" s="5" t="s">
        <v>7</v>
      </c>
      <c r="G49" s="5" t="s">
        <v>9</v>
      </c>
      <c r="H49" s="5" t="s">
        <v>38</v>
      </c>
      <c r="I49" s="5" t="s">
        <v>37</v>
      </c>
      <c r="J49" s="5" t="s">
        <v>138</v>
      </c>
    </row>
    <row r="50" spans="1:13" hidden="1" x14ac:dyDescent="0.45">
      <c r="A50" s="1">
        <v>1</v>
      </c>
      <c r="B50" s="1" t="s">
        <v>7</v>
      </c>
      <c r="C50" s="1" t="s">
        <v>7</v>
      </c>
      <c r="D50" s="1" t="s">
        <v>7</v>
      </c>
      <c r="E50" s="1">
        <v>-1325</v>
      </c>
      <c r="F50" s="1">
        <v>-1325</v>
      </c>
      <c r="G50" s="1" t="s">
        <v>7</v>
      </c>
      <c r="H50" s="1" t="s">
        <v>44</v>
      </c>
      <c r="I50" s="1" t="s">
        <v>45</v>
      </c>
      <c r="J50" s="1" t="s">
        <v>138</v>
      </c>
      <c r="K50" s="1" t="b">
        <f>E50=F50</f>
        <v>1</v>
      </c>
      <c r="L50" s="2">
        <f>ABS(E50-F50)</f>
        <v>0</v>
      </c>
    </row>
    <row r="51" spans="1:13" ht="28.5" hidden="1" x14ac:dyDescent="0.45">
      <c r="A51" s="5">
        <v>28</v>
      </c>
      <c r="B51" s="5" t="s">
        <v>7</v>
      </c>
      <c r="C51" s="5" t="s">
        <v>7</v>
      </c>
      <c r="D51" s="5" t="s">
        <v>7</v>
      </c>
      <c r="E51" s="5">
        <v>-349</v>
      </c>
      <c r="F51" s="5" t="s">
        <v>7</v>
      </c>
      <c r="G51" s="5" t="s">
        <v>7</v>
      </c>
      <c r="H51" s="5" t="s">
        <v>30</v>
      </c>
      <c r="I51" s="5"/>
      <c r="J51" s="5" t="s">
        <v>138</v>
      </c>
    </row>
    <row r="52" spans="1:13" ht="28.5" hidden="1" x14ac:dyDescent="0.45">
      <c r="A52" s="5">
        <v>2</v>
      </c>
      <c r="B52" s="5" t="s">
        <v>7</v>
      </c>
      <c r="C52" s="5" t="s">
        <v>7</v>
      </c>
      <c r="D52" s="5" t="s">
        <v>7</v>
      </c>
      <c r="E52" s="5">
        <v>0</v>
      </c>
      <c r="F52" s="5" t="s">
        <v>7</v>
      </c>
      <c r="G52" s="5" t="s">
        <v>7</v>
      </c>
      <c r="H52" s="5" t="s">
        <v>123</v>
      </c>
      <c r="I52" s="5"/>
      <c r="J52" s="5" t="s">
        <v>138</v>
      </c>
    </row>
    <row r="53" spans="1:13" hidden="1" x14ac:dyDescent="0.45">
      <c r="A53" s="5">
        <v>4</v>
      </c>
      <c r="B53" s="5" t="s">
        <v>7</v>
      </c>
      <c r="C53" s="5" t="s">
        <v>7</v>
      </c>
      <c r="D53" s="5" t="s">
        <v>7</v>
      </c>
      <c r="E53" s="5">
        <v>0</v>
      </c>
      <c r="F53" s="5" t="s">
        <v>7</v>
      </c>
      <c r="G53" s="5" t="s">
        <v>7</v>
      </c>
      <c r="H53" s="5" t="s">
        <v>23</v>
      </c>
      <c r="I53" s="5"/>
      <c r="J53" s="5" t="s">
        <v>138</v>
      </c>
    </row>
    <row r="54" spans="1:13" hidden="1" x14ac:dyDescent="0.45">
      <c r="A54" s="1">
        <v>1</v>
      </c>
      <c r="B54" s="1" t="s">
        <v>7</v>
      </c>
      <c r="C54" s="1" t="s">
        <v>7</v>
      </c>
      <c r="D54" s="1" t="s">
        <v>7</v>
      </c>
      <c r="E54" s="1">
        <v>1375</v>
      </c>
      <c r="F54" s="1">
        <v>1375</v>
      </c>
      <c r="G54" s="1" t="s">
        <v>7</v>
      </c>
      <c r="H54" s="1" t="s">
        <v>51</v>
      </c>
      <c r="I54" s="1" t="s">
        <v>52</v>
      </c>
      <c r="J54" s="1" t="s">
        <v>138</v>
      </c>
      <c r="K54" s="1" t="b">
        <f>E54=F54</f>
        <v>1</v>
      </c>
      <c r="L54" s="2">
        <f>ABS(E54-F54)</f>
        <v>0</v>
      </c>
    </row>
    <row r="55" spans="1:13" hidden="1" x14ac:dyDescent="0.45">
      <c r="A55" s="1">
        <v>15</v>
      </c>
      <c r="B55" s="1" t="s">
        <v>7</v>
      </c>
      <c r="C55" s="1" t="s">
        <v>7</v>
      </c>
      <c r="D55" s="1" t="s">
        <v>7</v>
      </c>
      <c r="E55" s="1" t="s">
        <v>7</v>
      </c>
      <c r="F55" s="1">
        <v>-1561</v>
      </c>
      <c r="G55" s="1" t="s">
        <v>7</v>
      </c>
      <c r="H55" s="1" t="s">
        <v>94</v>
      </c>
      <c r="I55" s="1" t="s">
        <v>95</v>
      </c>
      <c r="J55" s="1" t="s">
        <v>138</v>
      </c>
    </row>
    <row r="56" spans="1:13" ht="28.5" hidden="1" x14ac:dyDescent="0.45">
      <c r="A56" s="1">
        <v>15</v>
      </c>
      <c r="B56" s="1" t="s">
        <v>7</v>
      </c>
      <c r="C56" s="1" t="s">
        <v>7</v>
      </c>
      <c r="D56" s="1" t="s">
        <v>7</v>
      </c>
      <c r="E56" s="1">
        <v>-3800</v>
      </c>
      <c r="F56" s="1">
        <v>-3507</v>
      </c>
      <c r="G56" s="1" t="s">
        <v>7</v>
      </c>
      <c r="H56" s="1" t="s">
        <v>140</v>
      </c>
      <c r="I56" s="1" t="s">
        <v>47</v>
      </c>
      <c r="J56" s="1" t="s">
        <v>142</v>
      </c>
    </row>
    <row r="57" spans="1:13" hidden="1" x14ac:dyDescent="0.45">
      <c r="A57" s="1">
        <v>10</v>
      </c>
      <c r="B57" s="1">
        <v>337</v>
      </c>
      <c r="C57" s="1" t="s">
        <v>7</v>
      </c>
      <c r="D57" s="1" t="s">
        <v>7</v>
      </c>
      <c r="E57" s="1">
        <v>-3700</v>
      </c>
      <c r="F57" s="1" t="s">
        <v>7</v>
      </c>
      <c r="G57" s="1" t="s">
        <v>7</v>
      </c>
      <c r="H57" s="1" t="s">
        <v>109</v>
      </c>
      <c r="I57" s="1" t="s">
        <v>110</v>
      </c>
      <c r="J57" s="1" t="s">
        <v>135</v>
      </c>
    </row>
    <row r="58" spans="1:13" hidden="1" x14ac:dyDescent="0.45">
      <c r="A58" s="5">
        <v>14</v>
      </c>
      <c r="B58" s="5" t="s">
        <v>7</v>
      </c>
      <c r="C58" s="5" t="s">
        <v>7</v>
      </c>
      <c r="D58" s="5" t="s">
        <v>7</v>
      </c>
      <c r="E58" s="5">
        <v>-5232</v>
      </c>
      <c r="F58" s="5" t="s">
        <v>7</v>
      </c>
      <c r="G58" s="5" t="s">
        <v>7</v>
      </c>
      <c r="H58" s="5" t="s">
        <v>26</v>
      </c>
      <c r="I58" s="5"/>
      <c r="J58" s="5" t="s">
        <v>137</v>
      </c>
    </row>
    <row r="59" spans="1:13" hidden="1" x14ac:dyDescent="0.45">
      <c r="A59" s="1">
        <v>1</v>
      </c>
      <c r="B59" s="1" t="s">
        <v>7</v>
      </c>
      <c r="C59" s="1" t="s">
        <v>7</v>
      </c>
      <c r="D59" s="1" t="s">
        <v>7</v>
      </c>
      <c r="E59" s="1" t="s">
        <v>7</v>
      </c>
      <c r="F59" s="1" t="s">
        <v>7</v>
      </c>
      <c r="G59" s="1" t="s">
        <v>7</v>
      </c>
      <c r="H59" s="1" t="s">
        <v>107</v>
      </c>
      <c r="I59" s="1" t="s">
        <v>108</v>
      </c>
      <c r="J59" s="1" t="s">
        <v>108</v>
      </c>
    </row>
    <row r="60" spans="1:13" ht="28.5" x14ac:dyDescent="0.45">
      <c r="A60" s="1">
        <v>5</v>
      </c>
      <c r="B60" s="1">
        <v>6</v>
      </c>
      <c r="C60" s="1">
        <v>7</v>
      </c>
      <c r="D60" s="1" t="s">
        <v>10</v>
      </c>
      <c r="E60" s="1">
        <v>96</v>
      </c>
      <c r="F60" s="1">
        <v>95</v>
      </c>
      <c r="G60" s="1" t="s">
        <v>7</v>
      </c>
      <c r="H60" s="1" t="s">
        <v>101</v>
      </c>
      <c r="I60" s="1" t="s">
        <v>102</v>
      </c>
      <c r="J60" s="1" t="s">
        <v>134</v>
      </c>
      <c r="K60" s="1" t="b">
        <f>E60=F60</f>
        <v>0</v>
      </c>
      <c r="L60" s="2">
        <f>ABS(E60-F60)</f>
        <v>1</v>
      </c>
      <c r="M60" s="1">
        <f>ABS(B60-C60)</f>
        <v>1</v>
      </c>
    </row>
    <row r="61" spans="1:13" hidden="1" x14ac:dyDescent="0.45">
      <c r="A61" s="1">
        <v>1</v>
      </c>
      <c r="B61" s="1" t="s">
        <v>7</v>
      </c>
      <c r="C61" s="1" t="s">
        <v>7</v>
      </c>
      <c r="D61" s="1" t="s">
        <v>7</v>
      </c>
      <c r="E61" s="1" t="s">
        <v>7</v>
      </c>
      <c r="F61" s="1" t="s">
        <v>7</v>
      </c>
      <c r="G61" s="1" t="s">
        <v>9</v>
      </c>
      <c r="H61" s="1" t="s">
        <v>117</v>
      </c>
      <c r="I61" s="1" t="s">
        <v>116</v>
      </c>
      <c r="J61" s="1" t="s">
        <v>118</v>
      </c>
    </row>
    <row r="62" spans="1:13" hidden="1" x14ac:dyDescent="0.45">
      <c r="A62" s="1">
        <v>3</v>
      </c>
      <c r="B62" s="1" t="s">
        <v>7</v>
      </c>
      <c r="C62" s="1" t="s">
        <v>7</v>
      </c>
      <c r="D62" s="1" t="s">
        <v>15</v>
      </c>
      <c r="E62" s="1" t="s">
        <v>7</v>
      </c>
      <c r="F62" s="1" t="s">
        <v>7</v>
      </c>
      <c r="G62" s="1" t="s">
        <v>7</v>
      </c>
      <c r="H62" s="1" t="s">
        <v>115</v>
      </c>
      <c r="I62" s="1" t="s">
        <v>116</v>
      </c>
      <c r="J62" s="1" t="s">
        <v>126</v>
      </c>
    </row>
  </sheetData>
  <autoFilter ref="A1:K62" xr:uid="{3E929ACB-9C78-4AD6-BDAC-65567883E310}">
    <filterColumn colId="1">
      <filters>
        <filter val="100"/>
        <filter val="15"/>
        <filter val="167"/>
        <filter val="190"/>
        <filter val="2.6"/>
        <filter val="250"/>
        <filter val="337"/>
        <filter val="-4.88"/>
        <filter val="42"/>
        <filter val="6"/>
        <filter val="-760.38"/>
        <filter val="9"/>
        <filter val="945"/>
      </filters>
    </filterColumn>
    <filterColumn colId="2">
      <filters>
        <filter val="106.1"/>
        <filter val="1468"/>
        <filter val="200"/>
        <filter val="2152"/>
        <filter val="220"/>
        <filter val="270"/>
        <filter val="30"/>
        <filter val="-504.14"/>
        <filter val="688"/>
        <filter val="7"/>
        <filter val="-760.49"/>
      </filters>
    </filterColumn>
    <filterColumn colId="5">
      <filters>
        <filter val="145.8"/>
        <filter val="-1792"/>
        <filter val="219"/>
        <filter val="-504.1392"/>
        <filter val="546"/>
        <filter val="-606"/>
        <filter val="65"/>
        <filter val="665.9"/>
        <filter val="-760.49"/>
        <filter val="95"/>
      </filters>
    </filterColumn>
    <filterColumn colId="9">
      <colorFilter dxfId="0"/>
    </filterColumn>
  </autoFilter>
  <sortState xmlns:xlrd2="http://schemas.microsoft.com/office/spreadsheetml/2017/richdata2" ref="A2:M62">
    <sortCondition ref="J2:J62"/>
    <sortCondition ref="B2:B62"/>
    <sortCondition ref="E2:E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5DE3-C502-4B26-843E-89A206362ED0}">
  <dimension ref="A1:F7"/>
  <sheetViews>
    <sheetView tabSelected="1" workbookViewId="0">
      <selection activeCell="E7" sqref="E7"/>
    </sheetView>
  </sheetViews>
  <sheetFormatPr defaultRowHeight="14.25" x14ac:dyDescent="0.45"/>
  <cols>
    <col min="1" max="2" width="10.06640625" bestFit="1" customWidth="1"/>
    <col min="5" max="5" width="12.9296875" bestFit="1" customWidth="1"/>
  </cols>
  <sheetData>
    <row r="1" spans="1:6" x14ac:dyDescent="0.45">
      <c r="A1" t="s">
        <v>150</v>
      </c>
      <c r="B1" t="s">
        <v>151</v>
      </c>
      <c r="C1" t="s">
        <v>152</v>
      </c>
      <c r="D1" t="s">
        <v>153</v>
      </c>
      <c r="E1" t="s">
        <v>0</v>
      </c>
      <c r="F1" t="s">
        <v>6</v>
      </c>
    </row>
    <row r="2" spans="1:6" x14ac:dyDescent="0.45">
      <c r="A2" t="s">
        <v>155</v>
      </c>
      <c r="B2" t="s">
        <v>155</v>
      </c>
      <c r="C2" t="s">
        <v>7</v>
      </c>
      <c r="D2" t="s">
        <v>7</v>
      </c>
      <c r="E2" t="s">
        <v>154</v>
      </c>
    </row>
    <row r="3" spans="1:6" x14ac:dyDescent="0.45">
      <c r="A3" t="s">
        <v>155</v>
      </c>
      <c r="B3" t="s">
        <v>155</v>
      </c>
      <c r="C3" t="s">
        <v>7</v>
      </c>
      <c r="D3" t="s">
        <v>7</v>
      </c>
    </row>
    <row r="4" spans="1:6" x14ac:dyDescent="0.45">
      <c r="A4" t="s">
        <v>158</v>
      </c>
      <c r="B4" t="s">
        <v>158</v>
      </c>
      <c r="C4" t="s">
        <v>157</v>
      </c>
      <c r="D4" t="s">
        <v>157</v>
      </c>
    </row>
    <row r="5" spans="1:6" x14ac:dyDescent="0.45">
      <c r="A5" t="s">
        <v>7</v>
      </c>
      <c r="B5" t="s">
        <v>7</v>
      </c>
      <c r="C5" t="s">
        <v>157</v>
      </c>
      <c r="D5" t="s">
        <v>7</v>
      </c>
    </row>
    <row r="6" spans="1:6" x14ac:dyDescent="0.45">
      <c r="A6" t="s">
        <v>7</v>
      </c>
      <c r="B6" t="s">
        <v>7</v>
      </c>
      <c r="C6" t="s">
        <v>157</v>
      </c>
      <c r="D6" t="s">
        <v>157</v>
      </c>
    </row>
    <row r="7" spans="1:6" x14ac:dyDescent="0.45">
      <c r="A7" t="s">
        <v>156</v>
      </c>
      <c r="B7" t="s">
        <v>7</v>
      </c>
      <c r="C7" t="s">
        <v>157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DepthElevationCombosUnique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Richard</cp:lastModifiedBy>
  <dcterms:created xsi:type="dcterms:W3CDTF">2025-01-24T13:53:03Z</dcterms:created>
  <dcterms:modified xsi:type="dcterms:W3CDTF">2025-01-25T20:53:41Z</dcterms:modified>
</cp:coreProperties>
</file>