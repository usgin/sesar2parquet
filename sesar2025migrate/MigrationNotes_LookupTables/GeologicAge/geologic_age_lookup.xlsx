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GeologicAge/"/>
    </mc:Choice>
  </mc:AlternateContent>
  <xr:revisionPtr revIDLastSave="1937" documentId="8_{AA4C2FA9-9D97-4D29-B738-60CA3031C8E3}" xr6:coauthVersionLast="47" xr6:coauthVersionMax="47" xr10:uidLastSave="{7F42A977-90BC-479E-AA46-ADFECC46E065}"/>
  <bookViews>
    <workbookView xWindow="6270" yWindow="2715" windowWidth="21180" windowHeight="12255" activeTab="2" xr2:uid="{D3ACF08A-3399-4F19-86B1-4BD20E7B8236}"/>
  </bookViews>
  <sheets>
    <sheet name="geologic_age_lkup" sheetId="3" r:id="rId1"/>
    <sheet name="geologic_age_lookupv1" sheetId="1" r:id="rId2"/>
    <sheet name="Sheet1" sheetId="2" r:id="rId3"/>
  </sheets>
  <definedNames>
    <definedName name="_xlnm._FilterDatabase" localSheetId="0" hidden="1">geologic_age_lkup!$A$1:$D$4670</definedName>
    <definedName name="_xlnm._FilterDatabase" localSheetId="1" hidden="1">geologic_age_lookupv1!$A$1:$G$770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3" i="3"/>
  <c r="P1544" i="3"/>
  <c r="P1546" i="3"/>
  <c r="P1547" i="3"/>
  <c r="P1548" i="3"/>
  <c r="P1549" i="3"/>
  <c r="P1551" i="3"/>
  <c r="P1552" i="3"/>
  <c r="P1553" i="3"/>
  <c r="P1554" i="3"/>
  <c r="P1555" i="3"/>
  <c r="P1556" i="3"/>
  <c r="P1557" i="3"/>
  <c r="P1558" i="3"/>
  <c r="P1559" i="3"/>
  <c r="P1560" i="3"/>
  <c r="P1562" i="3"/>
  <c r="P1563" i="3"/>
  <c r="P1564" i="3"/>
  <c r="P1565" i="3"/>
  <c r="P1566" i="3"/>
  <c r="P1567" i="3"/>
  <c r="P1568" i="3"/>
  <c r="P1569" i="3"/>
  <c r="P1570" i="3"/>
  <c r="P1571" i="3"/>
  <c r="P1572" i="3"/>
  <c r="P1573" i="3"/>
  <c r="P1574" i="3"/>
  <c r="P1575" i="3"/>
  <c r="P1576" i="3"/>
  <c r="P1577" i="3"/>
  <c r="P1578" i="3"/>
  <c r="P1579" i="3"/>
  <c r="P1580" i="3"/>
  <c r="P1581" i="3"/>
  <c r="P1582" i="3"/>
  <c r="P1583" i="3"/>
  <c r="P1584" i="3"/>
  <c r="P1585" i="3"/>
  <c r="P1587" i="3"/>
  <c r="P1588" i="3"/>
  <c r="P1589" i="3"/>
  <c r="P1590" i="3"/>
  <c r="P1591" i="3"/>
  <c r="P1592" i="3"/>
  <c r="P1593" i="3"/>
  <c r="P1594" i="3"/>
  <c r="P1595" i="3"/>
  <c r="P1596" i="3"/>
  <c r="P1598" i="3"/>
  <c r="P1599" i="3"/>
  <c r="P1600" i="3"/>
  <c r="P1601" i="3"/>
  <c r="P1602" i="3"/>
  <c r="P1603" i="3"/>
  <c r="P1604" i="3"/>
  <c r="P1605" i="3"/>
  <c r="P1606" i="3"/>
  <c r="P1607" i="3"/>
  <c r="P1608" i="3"/>
  <c r="P1609" i="3"/>
  <c r="P1610" i="3"/>
  <c r="P1611" i="3"/>
  <c r="P1612" i="3"/>
  <c r="P1613" i="3"/>
  <c r="P1614" i="3"/>
  <c r="P1615" i="3"/>
  <c r="P1616" i="3"/>
  <c r="P1617" i="3"/>
  <c r="P1618" i="3"/>
  <c r="P1619" i="3"/>
  <c r="P1620" i="3"/>
  <c r="P1621" i="3"/>
  <c r="P1622" i="3"/>
  <c r="P1623" i="3"/>
  <c r="P1624" i="3"/>
  <c r="P1625" i="3"/>
  <c r="P1626" i="3"/>
  <c r="P1627" i="3"/>
  <c r="P1628" i="3"/>
  <c r="P1629" i="3"/>
  <c r="P1630" i="3"/>
  <c r="P1631" i="3"/>
  <c r="P1632" i="3"/>
  <c r="P1633" i="3"/>
  <c r="P1634" i="3"/>
  <c r="P1635" i="3"/>
  <c r="P1636" i="3"/>
  <c r="P1637" i="3"/>
  <c r="P1638" i="3"/>
  <c r="P1639" i="3"/>
  <c r="P1640" i="3"/>
  <c r="P1641" i="3"/>
  <c r="P1642" i="3"/>
  <c r="P1643" i="3"/>
  <c r="P1644" i="3"/>
  <c r="P1645" i="3"/>
  <c r="P1646" i="3"/>
  <c r="P1647" i="3"/>
  <c r="P1648" i="3"/>
  <c r="P1649" i="3"/>
  <c r="P1650" i="3"/>
  <c r="P1651" i="3"/>
  <c r="P1652" i="3"/>
  <c r="P1653" i="3"/>
  <c r="P1654" i="3"/>
  <c r="P1655" i="3"/>
  <c r="P1656" i="3"/>
  <c r="P1657" i="3"/>
  <c r="P1658" i="3"/>
  <c r="P1659" i="3"/>
  <c r="P1660" i="3"/>
  <c r="P1661" i="3"/>
  <c r="P1662" i="3"/>
  <c r="P1663" i="3"/>
  <c r="P1664" i="3"/>
  <c r="P1665" i="3"/>
  <c r="P1666" i="3"/>
  <c r="P1667" i="3"/>
  <c r="P1668" i="3"/>
  <c r="P1669" i="3"/>
  <c r="P1670" i="3"/>
  <c r="P1671" i="3"/>
  <c r="P1672" i="3"/>
  <c r="P1673" i="3"/>
  <c r="P1674" i="3"/>
  <c r="P1675" i="3"/>
  <c r="P1676" i="3"/>
  <c r="P1677" i="3"/>
  <c r="P1678" i="3"/>
  <c r="P1679" i="3"/>
  <c r="P1680" i="3"/>
  <c r="P1681" i="3"/>
  <c r="P1682" i="3"/>
  <c r="P1683" i="3"/>
  <c r="P1684" i="3"/>
  <c r="P1685" i="3"/>
  <c r="P1686" i="3"/>
  <c r="P1687" i="3"/>
  <c r="P1688" i="3"/>
  <c r="P1689" i="3"/>
  <c r="P1690" i="3"/>
  <c r="P1691" i="3"/>
  <c r="P1692" i="3"/>
  <c r="P1693" i="3"/>
  <c r="P1694" i="3"/>
  <c r="P1695" i="3"/>
  <c r="P1696" i="3"/>
  <c r="P1697" i="3"/>
  <c r="P1698" i="3"/>
  <c r="P1699" i="3"/>
  <c r="P1700" i="3"/>
  <c r="P1701" i="3"/>
  <c r="P1702" i="3"/>
  <c r="P1703" i="3"/>
  <c r="P1704" i="3"/>
  <c r="P1705" i="3"/>
  <c r="P1706" i="3"/>
  <c r="P1707" i="3"/>
  <c r="P1708" i="3"/>
  <c r="P1709" i="3"/>
  <c r="P1710" i="3"/>
  <c r="P1711" i="3"/>
  <c r="P1712" i="3"/>
  <c r="P1713" i="3"/>
  <c r="P1714" i="3"/>
  <c r="P1715" i="3"/>
  <c r="P1716" i="3"/>
  <c r="P1717" i="3"/>
  <c r="P1718" i="3"/>
  <c r="P1719" i="3"/>
  <c r="P1720" i="3"/>
  <c r="P1721" i="3"/>
  <c r="P1722" i="3"/>
  <c r="P1723" i="3"/>
  <c r="P1724" i="3"/>
  <c r="P1725" i="3"/>
  <c r="P1726" i="3"/>
  <c r="P1727" i="3"/>
  <c r="P1728" i="3"/>
  <c r="P1729" i="3"/>
  <c r="P1730" i="3"/>
  <c r="P1731" i="3"/>
  <c r="P1732" i="3"/>
  <c r="P1733" i="3"/>
  <c r="P1734" i="3"/>
  <c r="P1735" i="3"/>
  <c r="P1736" i="3"/>
  <c r="P1737" i="3"/>
  <c r="P1738" i="3"/>
  <c r="P1739" i="3"/>
  <c r="P1740" i="3"/>
  <c r="P1741" i="3"/>
  <c r="P1742" i="3"/>
  <c r="P1743" i="3"/>
  <c r="P1744" i="3"/>
  <c r="P1745" i="3"/>
  <c r="P1746" i="3"/>
  <c r="P1747" i="3"/>
  <c r="P1748" i="3"/>
  <c r="P1749" i="3"/>
  <c r="P1750" i="3"/>
  <c r="P1751" i="3"/>
  <c r="P1752" i="3"/>
  <c r="P1753" i="3"/>
  <c r="P1754" i="3"/>
  <c r="P1755" i="3"/>
  <c r="P1756" i="3"/>
  <c r="P1757" i="3"/>
  <c r="P1758" i="3"/>
  <c r="P1759" i="3"/>
  <c r="P1760" i="3"/>
  <c r="P1761" i="3"/>
  <c r="P1762" i="3"/>
  <c r="P1763" i="3"/>
  <c r="P1764" i="3"/>
  <c r="P1765" i="3"/>
  <c r="P1766" i="3"/>
  <c r="P1767" i="3"/>
  <c r="P1768" i="3"/>
  <c r="P1769" i="3"/>
  <c r="P1770" i="3"/>
  <c r="P1771" i="3"/>
  <c r="P1772" i="3"/>
  <c r="P1773" i="3"/>
  <c r="P1774" i="3"/>
  <c r="P1775" i="3"/>
  <c r="P1776" i="3"/>
  <c r="P1777" i="3"/>
  <c r="P1778" i="3"/>
  <c r="P1779" i="3"/>
  <c r="P1780" i="3"/>
  <c r="P1781" i="3"/>
  <c r="P1782" i="3"/>
  <c r="P1783" i="3"/>
  <c r="P1784" i="3"/>
  <c r="P1785" i="3"/>
  <c r="P1786" i="3"/>
  <c r="P1787" i="3"/>
  <c r="P1788" i="3"/>
  <c r="P1789" i="3"/>
  <c r="P1790" i="3"/>
  <c r="P1791" i="3"/>
  <c r="P1792" i="3"/>
  <c r="P1793" i="3"/>
  <c r="P1794" i="3"/>
  <c r="P1795" i="3"/>
  <c r="P1796" i="3"/>
  <c r="P1797" i="3"/>
  <c r="P1798" i="3"/>
  <c r="P1799" i="3"/>
  <c r="P1800" i="3"/>
  <c r="P1801" i="3"/>
  <c r="P1802" i="3"/>
  <c r="P1803" i="3"/>
  <c r="P1804" i="3"/>
  <c r="P1805" i="3"/>
  <c r="P1806" i="3"/>
  <c r="P1807" i="3"/>
  <c r="P1808" i="3"/>
  <c r="P1809" i="3"/>
  <c r="P1810" i="3"/>
  <c r="P1811" i="3"/>
  <c r="P1812" i="3"/>
  <c r="P1813" i="3"/>
  <c r="P1814" i="3"/>
  <c r="P1815" i="3"/>
  <c r="P1816" i="3"/>
  <c r="P1817" i="3"/>
  <c r="P1818" i="3"/>
  <c r="P1819" i="3"/>
  <c r="P1820" i="3"/>
  <c r="P1821" i="3"/>
  <c r="P1822" i="3"/>
  <c r="P1823" i="3"/>
  <c r="P1824" i="3"/>
  <c r="P1825" i="3"/>
  <c r="P1826" i="3"/>
  <c r="P1827" i="3"/>
  <c r="P1828" i="3"/>
  <c r="P1829" i="3"/>
  <c r="P1830" i="3"/>
  <c r="P1831" i="3"/>
  <c r="P1832" i="3"/>
  <c r="P1833" i="3"/>
  <c r="P1834" i="3"/>
  <c r="P1835" i="3"/>
  <c r="P1836" i="3"/>
  <c r="P1837" i="3"/>
  <c r="P1838" i="3"/>
  <c r="P1839" i="3"/>
  <c r="P1840" i="3"/>
  <c r="P1841" i="3"/>
  <c r="P1842" i="3"/>
  <c r="P1843" i="3"/>
  <c r="P1844" i="3"/>
  <c r="P1845" i="3"/>
  <c r="P1846" i="3"/>
  <c r="P1847" i="3"/>
  <c r="P1848" i="3"/>
  <c r="P1849" i="3"/>
  <c r="P1850" i="3"/>
  <c r="P1851" i="3"/>
  <c r="P1852" i="3"/>
  <c r="P1853" i="3"/>
  <c r="P1854" i="3"/>
  <c r="P1855" i="3"/>
  <c r="P1856" i="3"/>
  <c r="P1857" i="3"/>
  <c r="P1858" i="3"/>
  <c r="P1859" i="3"/>
  <c r="P1860" i="3"/>
  <c r="P1861" i="3"/>
  <c r="P1862" i="3"/>
  <c r="P1863" i="3"/>
  <c r="P1864" i="3"/>
  <c r="P1865" i="3"/>
  <c r="P1866" i="3"/>
  <c r="P1867" i="3"/>
  <c r="P1868" i="3"/>
  <c r="P1869" i="3"/>
  <c r="P1870" i="3"/>
  <c r="P1871" i="3"/>
  <c r="P1872" i="3"/>
  <c r="P1873" i="3"/>
  <c r="P1874" i="3"/>
  <c r="P1875" i="3"/>
  <c r="P1876" i="3"/>
  <c r="P1877" i="3"/>
  <c r="P1878" i="3"/>
  <c r="P1879" i="3"/>
  <c r="P1880" i="3"/>
  <c r="P1881" i="3"/>
  <c r="P1882" i="3"/>
  <c r="P1883" i="3"/>
  <c r="P1884" i="3"/>
  <c r="P1885" i="3"/>
  <c r="P1886" i="3"/>
  <c r="P1887" i="3"/>
  <c r="P1888" i="3"/>
  <c r="P1889" i="3"/>
  <c r="P1890" i="3"/>
  <c r="P1891" i="3"/>
  <c r="P1892" i="3"/>
  <c r="P1893" i="3"/>
  <c r="P1894" i="3"/>
  <c r="P1895" i="3"/>
  <c r="P1896" i="3"/>
  <c r="P1897" i="3"/>
  <c r="P1898" i="3"/>
  <c r="P1899" i="3"/>
  <c r="P1900" i="3"/>
  <c r="P1901" i="3"/>
  <c r="P1902" i="3"/>
  <c r="P1903" i="3"/>
  <c r="P1904" i="3"/>
  <c r="P1905" i="3"/>
  <c r="P1906" i="3"/>
  <c r="P1907" i="3"/>
  <c r="P1908" i="3"/>
  <c r="P1909" i="3"/>
  <c r="P1910" i="3"/>
  <c r="P1911" i="3"/>
  <c r="P1912" i="3"/>
  <c r="P1913" i="3"/>
  <c r="P1914" i="3"/>
  <c r="P1915" i="3"/>
  <c r="P1916" i="3"/>
  <c r="P1917" i="3"/>
  <c r="P1918" i="3"/>
  <c r="P1919" i="3"/>
  <c r="P1920" i="3"/>
  <c r="P1921" i="3"/>
  <c r="P1922" i="3"/>
  <c r="P1923" i="3"/>
  <c r="P1924" i="3"/>
  <c r="P1925" i="3"/>
  <c r="P1926" i="3"/>
  <c r="P1927" i="3"/>
  <c r="P1928" i="3"/>
  <c r="P1929" i="3"/>
  <c r="P1930" i="3"/>
  <c r="P1931" i="3"/>
  <c r="P1932" i="3"/>
  <c r="P1933" i="3"/>
  <c r="P1934" i="3"/>
  <c r="P1935" i="3"/>
  <c r="P1936" i="3"/>
  <c r="P1937" i="3"/>
  <c r="P1938" i="3"/>
  <c r="P1939" i="3"/>
  <c r="P1940" i="3"/>
  <c r="P1941" i="3"/>
  <c r="P1942" i="3"/>
  <c r="P1943" i="3"/>
  <c r="P1944" i="3"/>
  <c r="P1945" i="3"/>
  <c r="P1946" i="3"/>
  <c r="P1947" i="3"/>
  <c r="P1948" i="3"/>
  <c r="P1949" i="3"/>
  <c r="P1950" i="3"/>
  <c r="P1951" i="3"/>
  <c r="P1952" i="3"/>
  <c r="P1953" i="3"/>
  <c r="P1954" i="3"/>
  <c r="P1955" i="3"/>
  <c r="P1956" i="3"/>
  <c r="P1957" i="3"/>
  <c r="P1958" i="3"/>
  <c r="P1959" i="3"/>
  <c r="P1960" i="3"/>
  <c r="P1961" i="3"/>
  <c r="P1962" i="3"/>
  <c r="P1963" i="3"/>
  <c r="P1964" i="3"/>
  <c r="P1965" i="3"/>
  <c r="P1966" i="3"/>
  <c r="P1967" i="3"/>
  <c r="P1968" i="3"/>
  <c r="P1969" i="3"/>
  <c r="P1970" i="3"/>
  <c r="P1971" i="3"/>
  <c r="P1972" i="3"/>
  <c r="P1973" i="3"/>
  <c r="P1974" i="3"/>
  <c r="P1975" i="3"/>
  <c r="P1976" i="3"/>
  <c r="P1977" i="3"/>
  <c r="P1978" i="3"/>
  <c r="P1979" i="3"/>
  <c r="P1980" i="3"/>
  <c r="P1981" i="3"/>
  <c r="P1982" i="3"/>
  <c r="P1983" i="3"/>
  <c r="P1984" i="3"/>
  <c r="P1985" i="3"/>
  <c r="P1986" i="3"/>
  <c r="P1987" i="3"/>
  <c r="P1988" i="3"/>
  <c r="P1989" i="3"/>
  <c r="P1990" i="3"/>
  <c r="P1991" i="3"/>
  <c r="P1992" i="3"/>
  <c r="P1993" i="3"/>
  <c r="P1994" i="3"/>
  <c r="P1995" i="3"/>
  <c r="P1996" i="3"/>
  <c r="P1997" i="3"/>
  <c r="P1998" i="3"/>
  <c r="P1999" i="3"/>
  <c r="P2000" i="3"/>
  <c r="P2001" i="3"/>
  <c r="P2002" i="3"/>
  <c r="P2003" i="3"/>
  <c r="P2004" i="3"/>
  <c r="P2005" i="3"/>
  <c r="P2006" i="3"/>
  <c r="P2007" i="3"/>
  <c r="P2008" i="3"/>
  <c r="P2009" i="3"/>
  <c r="P2010" i="3"/>
  <c r="P2011" i="3"/>
  <c r="P2012" i="3"/>
  <c r="P2013" i="3"/>
  <c r="P2014" i="3"/>
  <c r="P2015" i="3"/>
  <c r="P2016" i="3"/>
  <c r="P2017" i="3"/>
  <c r="P2018" i="3"/>
  <c r="P2019" i="3"/>
  <c r="P2020" i="3"/>
  <c r="P2021" i="3"/>
  <c r="P2022" i="3"/>
  <c r="P2023" i="3"/>
  <c r="P2024" i="3"/>
  <c r="P2025" i="3"/>
  <c r="P2026" i="3"/>
  <c r="P2027" i="3"/>
  <c r="P2028" i="3"/>
  <c r="P2029" i="3"/>
  <c r="P2030" i="3"/>
  <c r="P2031" i="3"/>
  <c r="P2032" i="3"/>
  <c r="P2033" i="3"/>
  <c r="P2034" i="3"/>
  <c r="P2035" i="3"/>
  <c r="P2036" i="3"/>
  <c r="P2037" i="3"/>
  <c r="P2038" i="3"/>
  <c r="P2039" i="3"/>
  <c r="P2040" i="3"/>
  <c r="P2041" i="3"/>
  <c r="P2042" i="3"/>
  <c r="P2043" i="3"/>
  <c r="P2044" i="3"/>
  <c r="P2045" i="3"/>
  <c r="P2046" i="3"/>
  <c r="P2047" i="3"/>
  <c r="P2048" i="3"/>
  <c r="P2049" i="3"/>
  <c r="P2050" i="3"/>
  <c r="P2051" i="3"/>
  <c r="P2052" i="3"/>
  <c r="P2053" i="3"/>
  <c r="P2054" i="3"/>
  <c r="P2055" i="3"/>
  <c r="P2056" i="3"/>
  <c r="P2057" i="3"/>
  <c r="P2058" i="3"/>
  <c r="P2059" i="3"/>
  <c r="P2060" i="3"/>
  <c r="P2061" i="3"/>
  <c r="P2062" i="3"/>
  <c r="P2063" i="3"/>
  <c r="P2064" i="3"/>
  <c r="P2065" i="3"/>
  <c r="P2066" i="3"/>
  <c r="P2067" i="3"/>
  <c r="P2068" i="3"/>
  <c r="P2069" i="3"/>
  <c r="P2070" i="3"/>
  <c r="P2071" i="3"/>
  <c r="P2072" i="3"/>
  <c r="P2073" i="3"/>
  <c r="P2074" i="3"/>
  <c r="P2075" i="3"/>
  <c r="P2076" i="3"/>
  <c r="P2077" i="3"/>
  <c r="P2078" i="3"/>
  <c r="P2079" i="3"/>
  <c r="P2080" i="3"/>
  <c r="P2081" i="3"/>
  <c r="P2082" i="3"/>
  <c r="P2083" i="3"/>
  <c r="P2084" i="3"/>
  <c r="P2085" i="3"/>
  <c r="P2086" i="3"/>
  <c r="P2087" i="3"/>
  <c r="P2088" i="3"/>
  <c r="P2089" i="3"/>
  <c r="P2090" i="3"/>
  <c r="P2091" i="3"/>
  <c r="P2092" i="3"/>
  <c r="P2093" i="3"/>
  <c r="P2094" i="3"/>
  <c r="P2095" i="3"/>
  <c r="P2096" i="3"/>
  <c r="P2097" i="3"/>
  <c r="P2098" i="3"/>
  <c r="P2099" i="3"/>
  <c r="P2100" i="3"/>
  <c r="P2101" i="3"/>
  <c r="P2102" i="3"/>
  <c r="P2103" i="3"/>
  <c r="P2104" i="3"/>
  <c r="P2105" i="3"/>
  <c r="P2106" i="3"/>
  <c r="P2107" i="3"/>
  <c r="P2108" i="3"/>
  <c r="P2109" i="3"/>
  <c r="P2110" i="3"/>
  <c r="P2111" i="3"/>
  <c r="P2112" i="3"/>
  <c r="P2113" i="3"/>
  <c r="P2114" i="3"/>
  <c r="P2115" i="3"/>
  <c r="P2116" i="3"/>
  <c r="P2117" i="3"/>
  <c r="P2118" i="3"/>
  <c r="P2119" i="3"/>
  <c r="P2120" i="3"/>
  <c r="P2121" i="3"/>
  <c r="P2122" i="3"/>
  <c r="P2123" i="3"/>
  <c r="P2124" i="3"/>
  <c r="P2125" i="3"/>
  <c r="P2126" i="3"/>
  <c r="P2127" i="3"/>
  <c r="P2128" i="3"/>
  <c r="P2129" i="3"/>
  <c r="P2130" i="3"/>
  <c r="P2131" i="3"/>
  <c r="P2132" i="3"/>
  <c r="P2133" i="3"/>
  <c r="P2134" i="3"/>
  <c r="P2135" i="3"/>
  <c r="P2136" i="3"/>
  <c r="P2137" i="3"/>
  <c r="P2138" i="3"/>
  <c r="P2139" i="3"/>
  <c r="P2140" i="3"/>
  <c r="P2141" i="3"/>
  <c r="P2142" i="3"/>
  <c r="P2143" i="3"/>
  <c r="P2144" i="3"/>
  <c r="P2145" i="3"/>
  <c r="P2146" i="3"/>
  <c r="P2147" i="3"/>
  <c r="P2148" i="3"/>
  <c r="P2149" i="3"/>
  <c r="P2150" i="3"/>
  <c r="P2151" i="3"/>
  <c r="P2152" i="3"/>
  <c r="P2153" i="3"/>
  <c r="P2154" i="3"/>
  <c r="P2155" i="3"/>
  <c r="P2156" i="3"/>
  <c r="P2157" i="3"/>
  <c r="P2158" i="3"/>
  <c r="P2159" i="3"/>
  <c r="P2160" i="3"/>
  <c r="P2161" i="3"/>
  <c r="P2162" i="3"/>
  <c r="P2163" i="3"/>
  <c r="P2164" i="3"/>
  <c r="P2165" i="3"/>
  <c r="P2166" i="3"/>
  <c r="P2167" i="3"/>
  <c r="P2168" i="3"/>
  <c r="P2169" i="3"/>
  <c r="P2170" i="3"/>
  <c r="P2171" i="3"/>
  <c r="P2172" i="3"/>
  <c r="P2173" i="3"/>
  <c r="P2174" i="3"/>
  <c r="P2175" i="3"/>
  <c r="P2176" i="3"/>
  <c r="P2177" i="3"/>
  <c r="P2178" i="3"/>
  <c r="P2179" i="3"/>
  <c r="P2180" i="3"/>
  <c r="P2181" i="3"/>
  <c r="P2182" i="3"/>
  <c r="P2183" i="3"/>
  <c r="P2184" i="3"/>
  <c r="P2185" i="3"/>
  <c r="P2186" i="3"/>
  <c r="P2187" i="3"/>
  <c r="P2188" i="3"/>
  <c r="P2189" i="3"/>
  <c r="P2190" i="3"/>
  <c r="P2191" i="3"/>
  <c r="P2192" i="3"/>
  <c r="P2193" i="3"/>
  <c r="P2194" i="3"/>
  <c r="P2195" i="3"/>
  <c r="P2196" i="3"/>
  <c r="P2197" i="3"/>
  <c r="P2198" i="3"/>
  <c r="P2199" i="3"/>
  <c r="P2200" i="3"/>
  <c r="P2201" i="3"/>
  <c r="P2202" i="3"/>
  <c r="P2203" i="3"/>
  <c r="P2204" i="3"/>
  <c r="P2205" i="3"/>
  <c r="P2206" i="3"/>
  <c r="P2207" i="3"/>
  <c r="P2208" i="3"/>
  <c r="P2209" i="3"/>
  <c r="P2210" i="3"/>
  <c r="P2211" i="3"/>
  <c r="P2212" i="3"/>
  <c r="P2213" i="3"/>
  <c r="P2214" i="3"/>
  <c r="P2215" i="3"/>
  <c r="P2216" i="3"/>
  <c r="P2217" i="3"/>
  <c r="P2218" i="3"/>
  <c r="P2219" i="3"/>
  <c r="P2220" i="3"/>
  <c r="P2221" i="3"/>
  <c r="P2222" i="3"/>
  <c r="P2223" i="3"/>
  <c r="P2224" i="3"/>
  <c r="P2225" i="3"/>
  <c r="P2226" i="3"/>
  <c r="P2227" i="3"/>
  <c r="P2228" i="3"/>
  <c r="P2229" i="3"/>
  <c r="P2230" i="3"/>
  <c r="P2231" i="3"/>
  <c r="P2232" i="3"/>
  <c r="P2233" i="3"/>
  <c r="P2234" i="3"/>
  <c r="P2235" i="3"/>
  <c r="P2236" i="3"/>
  <c r="P2237" i="3"/>
  <c r="P2238" i="3"/>
  <c r="P2239" i="3"/>
  <c r="P2240" i="3"/>
  <c r="P2241" i="3"/>
  <c r="P2242" i="3"/>
  <c r="P2243" i="3"/>
  <c r="P2244" i="3"/>
  <c r="P2245" i="3"/>
  <c r="P2246" i="3"/>
  <c r="P2247" i="3"/>
  <c r="P2248" i="3"/>
  <c r="P2249" i="3"/>
  <c r="P2250" i="3"/>
  <c r="P2251" i="3"/>
  <c r="P2252" i="3"/>
  <c r="P2253" i="3"/>
  <c r="P2254" i="3"/>
  <c r="P2255" i="3"/>
  <c r="P2256" i="3"/>
  <c r="P2257" i="3"/>
  <c r="P2258" i="3"/>
  <c r="P2259" i="3"/>
  <c r="P2260" i="3"/>
  <c r="P2261" i="3"/>
  <c r="P2262" i="3"/>
  <c r="P2263" i="3"/>
  <c r="P2264" i="3"/>
  <c r="P2265" i="3"/>
  <c r="P2266" i="3"/>
  <c r="P2267" i="3"/>
  <c r="P2268" i="3"/>
  <c r="P2269" i="3"/>
  <c r="P2270" i="3"/>
  <c r="P2271" i="3"/>
  <c r="P2272" i="3"/>
  <c r="P2273" i="3"/>
  <c r="P2274" i="3"/>
  <c r="P2275" i="3"/>
  <c r="P2276" i="3"/>
  <c r="P2277" i="3"/>
  <c r="P2278" i="3"/>
  <c r="P2279" i="3"/>
  <c r="P2280" i="3"/>
  <c r="P2281" i="3"/>
  <c r="P2282" i="3"/>
  <c r="P2283" i="3"/>
  <c r="P2284" i="3"/>
  <c r="P2285" i="3"/>
  <c r="P2286" i="3"/>
  <c r="P2287" i="3"/>
  <c r="P2288" i="3"/>
  <c r="P2289" i="3"/>
  <c r="P2290" i="3"/>
  <c r="P2291" i="3"/>
  <c r="P2292" i="3"/>
  <c r="P2293" i="3"/>
  <c r="P2294" i="3"/>
  <c r="P2295" i="3"/>
  <c r="P2296" i="3"/>
  <c r="P2297" i="3"/>
  <c r="P2298" i="3"/>
  <c r="P2299" i="3"/>
  <c r="P2300" i="3"/>
  <c r="P2301" i="3"/>
  <c r="P2302" i="3"/>
  <c r="P2303" i="3"/>
  <c r="P2304" i="3"/>
  <c r="P2305" i="3"/>
  <c r="P2306" i="3"/>
  <c r="P2307" i="3"/>
  <c r="P2308" i="3"/>
  <c r="P2309" i="3"/>
  <c r="P2310" i="3"/>
  <c r="P2311" i="3"/>
  <c r="P2312" i="3"/>
  <c r="P2313" i="3"/>
  <c r="P2314" i="3"/>
  <c r="P2315" i="3"/>
  <c r="P2316" i="3"/>
  <c r="P2317" i="3"/>
  <c r="P2318" i="3"/>
  <c r="P2319" i="3"/>
  <c r="P2320" i="3"/>
  <c r="P2321" i="3"/>
  <c r="P2322" i="3"/>
  <c r="P2323" i="3"/>
  <c r="P2324" i="3"/>
  <c r="P2325" i="3"/>
  <c r="P2326" i="3"/>
  <c r="P2327" i="3"/>
  <c r="P2328" i="3"/>
  <c r="P2329" i="3"/>
  <c r="P2330" i="3"/>
  <c r="P2331" i="3"/>
  <c r="P2332" i="3"/>
  <c r="P2333" i="3"/>
  <c r="P2334" i="3"/>
  <c r="P2335" i="3"/>
  <c r="P2336" i="3"/>
  <c r="P2337" i="3"/>
  <c r="P2338" i="3"/>
  <c r="P2339" i="3"/>
  <c r="P2340" i="3"/>
  <c r="P2341" i="3"/>
  <c r="P2342" i="3"/>
  <c r="P2343" i="3"/>
  <c r="P2344" i="3"/>
  <c r="P2345" i="3"/>
  <c r="P2346" i="3"/>
  <c r="P2347" i="3"/>
  <c r="P2348" i="3"/>
  <c r="P2349" i="3"/>
  <c r="P2350" i="3"/>
  <c r="P2351" i="3"/>
  <c r="P2352" i="3"/>
  <c r="P2353" i="3"/>
  <c r="P2354" i="3"/>
  <c r="P2355" i="3"/>
  <c r="P2356" i="3"/>
  <c r="P2357" i="3"/>
  <c r="P2358" i="3"/>
  <c r="P2359" i="3"/>
  <c r="P2360" i="3"/>
  <c r="P2361" i="3"/>
  <c r="P2362" i="3"/>
  <c r="P2363" i="3"/>
  <c r="P2364" i="3"/>
  <c r="P2365" i="3"/>
  <c r="P2366" i="3"/>
  <c r="P2367" i="3"/>
  <c r="P2368" i="3"/>
  <c r="P2369" i="3"/>
  <c r="P2370" i="3"/>
  <c r="P2371" i="3"/>
  <c r="P2372" i="3"/>
  <c r="P2373" i="3"/>
  <c r="P2374" i="3"/>
  <c r="P2375" i="3"/>
  <c r="P2376" i="3"/>
  <c r="P2377" i="3"/>
  <c r="P2378" i="3"/>
  <c r="P2379" i="3"/>
  <c r="P2380" i="3"/>
  <c r="P2381" i="3"/>
  <c r="P2382" i="3"/>
  <c r="P2383" i="3"/>
  <c r="P2384" i="3"/>
  <c r="P2385" i="3"/>
  <c r="P2386" i="3"/>
  <c r="P2387" i="3"/>
  <c r="P2388" i="3"/>
  <c r="P2389" i="3"/>
  <c r="P2390" i="3"/>
  <c r="P2391" i="3"/>
  <c r="P2392" i="3"/>
  <c r="P2393" i="3"/>
  <c r="P2395" i="3"/>
  <c r="P2396" i="3"/>
  <c r="P2397" i="3"/>
  <c r="P2398" i="3"/>
  <c r="P2399" i="3"/>
  <c r="P2400" i="3"/>
  <c r="P2401" i="3"/>
  <c r="P2402" i="3"/>
  <c r="P2403" i="3"/>
  <c r="P2404" i="3"/>
  <c r="P2405" i="3"/>
  <c r="P2406" i="3"/>
  <c r="P2407" i="3"/>
  <c r="P2408" i="3"/>
  <c r="P2409" i="3"/>
  <c r="P2410" i="3"/>
  <c r="P2411" i="3"/>
  <c r="P2412" i="3"/>
  <c r="P2413" i="3"/>
  <c r="P2414" i="3"/>
  <c r="P2415" i="3"/>
  <c r="P2416" i="3"/>
  <c r="P2417" i="3"/>
  <c r="P2418" i="3"/>
  <c r="P2419" i="3"/>
  <c r="P2420" i="3"/>
  <c r="P2421" i="3"/>
  <c r="P2422" i="3"/>
  <c r="P2423" i="3"/>
  <c r="P2424" i="3"/>
  <c r="P2425" i="3"/>
  <c r="P2426" i="3"/>
  <c r="P2427" i="3"/>
  <c r="P2428" i="3"/>
  <c r="P2429" i="3"/>
  <c r="P2430" i="3"/>
  <c r="P2431" i="3"/>
  <c r="P2432" i="3"/>
  <c r="P2433" i="3"/>
  <c r="P2434" i="3"/>
  <c r="P2435" i="3"/>
  <c r="P2436" i="3"/>
  <c r="P2437" i="3"/>
  <c r="P2438" i="3"/>
  <c r="P2439" i="3"/>
  <c r="P2440" i="3"/>
  <c r="P2441" i="3"/>
  <c r="P2442" i="3"/>
  <c r="P2443" i="3"/>
  <c r="P2444" i="3"/>
  <c r="P2445" i="3"/>
  <c r="P2446" i="3"/>
  <c r="P2447" i="3"/>
  <c r="P2448" i="3"/>
  <c r="P2449" i="3"/>
  <c r="P2450" i="3"/>
  <c r="P2451" i="3"/>
  <c r="P2452" i="3"/>
  <c r="P2453" i="3"/>
  <c r="P2454" i="3"/>
  <c r="P2455" i="3"/>
  <c r="P2456" i="3"/>
  <c r="P2457" i="3"/>
  <c r="P2458" i="3"/>
  <c r="P2459" i="3"/>
  <c r="P2460" i="3"/>
  <c r="P2461" i="3"/>
  <c r="P2462" i="3"/>
  <c r="P2463" i="3"/>
  <c r="P2464" i="3"/>
  <c r="P2465" i="3"/>
  <c r="P2466" i="3"/>
  <c r="P2467" i="3"/>
  <c r="P2468" i="3"/>
  <c r="P2469" i="3"/>
  <c r="P2470" i="3"/>
  <c r="P2471" i="3"/>
  <c r="P2472" i="3"/>
  <c r="P2473" i="3"/>
  <c r="P2474" i="3"/>
  <c r="P2475" i="3"/>
  <c r="P2476" i="3"/>
  <c r="P2477" i="3"/>
  <c r="P2478" i="3"/>
  <c r="P2479" i="3"/>
  <c r="P2480" i="3"/>
  <c r="P2481" i="3"/>
  <c r="P2482" i="3"/>
  <c r="P2483" i="3"/>
  <c r="P2484" i="3"/>
  <c r="P2485" i="3"/>
  <c r="P2486" i="3"/>
  <c r="P2487" i="3"/>
  <c r="P2488" i="3"/>
  <c r="P2489" i="3"/>
  <c r="P2490" i="3"/>
  <c r="P2491" i="3"/>
  <c r="P2492" i="3"/>
  <c r="P2493" i="3"/>
  <c r="P2494" i="3"/>
  <c r="P2495" i="3"/>
  <c r="P2496" i="3"/>
  <c r="P2497" i="3"/>
  <c r="P2498" i="3"/>
  <c r="P2499" i="3"/>
  <c r="P2500" i="3"/>
  <c r="P2501" i="3"/>
  <c r="P2502" i="3"/>
  <c r="P2503" i="3"/>
  <c r="P2504" i="3"/>
  <c r="P2505" i="3"/>
  <c r="P2506" i="3"/>
  <c r="P2507" i="3"/>
  <c r="P2508" i="3"/>
  <c r="P2509" i="3"/>
  <c r="P2510" i="3"/>
  <c r="P2511" i="3"/>
  <c r="P2512" i="3"/>
  <c r="P2513" i="3"/>
  <c r="P2514" i="3"/>
  <c r="P2515" i="3"/>
  <c r="P2516" i="3"/>
  <c r="P2517" i="3"/>
  <c r="P2518" i="3"/>
  <c r="P2519" i="3"/>
  <c r="P2520" i="3"/>
  <c r="P2521" i="3"/>
  <c r="P2522" i="3"/>
  <c r="P2523" i="3"/>
  <c r="P2524" i="3"/>
  <c r="P2525" i="3"/>
  <c r="P2526" i="3"/>
  <c r="P2527" i="3"/>
  <c r="P2528" i="3"/>
  <c r="P2529" i="3"/>
  <c r="P2530" i="3"/>
  <c r="P2531" i="3"/>
  <c r="P2532" i="3"/>
  <c r="P2533" i="3"/>
  <c r="P2534" i="3"/>
  <c r="P2535" i="3"/>
  <c r="P2536" i="3"/>
  <c r="P2537" i="3"/>
  <c r="P2538" i="3"/>
  <c r="P2539" i="3"/>
  <c r="P2540" i="3"/>
  <c r="P2541" i="3"/>
  <c r="P2542" i="3"/>
  <c r="P2543" i="3"/>
  <c r="P2544" i="3"/>
  <c r="P2545" i="3"/>
  <c r="P2546" i="3"/>
  <c r="P2547" i="3"/>
  <c r="P2548" i="3"/>
  <c r="P2549" i="3"/>
  <c r="P2550" i="3"/>
  <c r="P2551" i="3"/>
  <c r="P2552" i="3"/>
  <c r="P2553" i="3"/>
  <c r="P2554" i="3"/>
  <c r="P2555" i="3"/>
  <c r="P2556" i="3"/>
  <c r="P2557" i="3"/>
  <c r="P2558" i="3"/>
  <c r="P2559" i="3"/>
  <c r="P2560" i="3"/>
  <c r="P2561" i="3"/>
  <c r="P2562" i="3"/>
  <c r="P2563" i="3"/>
  <c r="P2564" i="3"/>
  <c r="P2565" i="3"/>
  <c r="P2566" i="3"/>
  <c r="P2567" i="3"/>
  <c r="P2568" i="3"/>
  <c r="P2569" i="3"/>
  <c r="P2570" i="3"/>
  <c r="P2571" i="3"/>
  <c r="P2572" i="3"/>
  <c r="P2573" i="3"/>
  <c r="P2574" i="3"/>
  <c r="P2575" i="3"/>
  <c r="P2576" i="3"/>
  <c r="P2577" i="3"/>
  <c r="P2578" i="3"/>
  <c r="P2579" i="3"/>
  <c r="P2580" i="3"/>
  <c r="P2581" i="3"/>
  <c r="P2582" i="3"/>
  <c r="P2583" i="3"/>
  <c r="P2584" i="3"/>
  <c r="P2585" i="3"/>
  <c r="P2586" i="3"/>
  <c r="P2587" i="3"/>
  <c r="P2588" i="3"/>
  <c r="P2589" i="3"/>
  <c r="P2590" i="3"/>
  <c r="P2591" i="3"/>
  <c r="P2592" i="3"/>
  <c r="P2593" i="3"/>
  <c r="P2594" i="3"/>
  <c r="P2595" i="3"/>
  <c r="P2596" i="3"/>
  <c r="P2597" i="3"/>
  <c r="P2598" i="3"/>
  <c r="P2599" i="3"/>
  <c r="P2600" i="3"/>
  <c r="P2601" i="3"/>
  <c r="P2602" i="3"/>
  <c r="P2603" i="3"/>
  <c r="P2604" i="3"/>
  <c r="P2605" i="3"/>
  <c r="P2606" i="3"/>
  <c r="P2607" i="3"/>
  <c r="P2608" i="3"/>
  <c r="P2609" i="3"/>
  <c r="P2610" i="3"/>
  <c r="P2611" i="3"/>
  <c r="P2612" i="3"/>
  <c r="P2613" i="3"/>
  <c r="P2614" i="3"/>
  <c r="P2615" i="3"/>
  <c r="P2616" i="3"/>
  <c r="P2617" i="3"/>
  <c r="P2618" i="3"/>
  <c r="P2619" i="3"/>
  <c r="P2620" i="3"/>
  <c r="P2621" i="3"/>
  <c r="P2622" i="3"/>
  <c r="P2623" i="3"/>
  <c r="P2624" i="3"/>
  <c r="P2625" i="3"/>
  <c r="P2626" i="3"/>
  <c r="P2627" i="3"/>
  <c r="P2628" i="3"/>
  <c r="P2629" i="3"/>
  <c r="P2630" i="3"/>
  <c r="P2631" i="3"/>
  <c r="P2632" i="3"/>
  <c r="P2633" i="3"/>
  <c r="P2634" i="3"/>
  <c r="P2635" i="3"/>
  <c r="P2636" i="3"/>
  <c r="P2637" i="3"/>
  <c r="P2638" i="3"/>
  <c r="P2639" i="3"/>
  <c r="P2640" i="3"/>
  <c r="P2641" i="3"/>
  <c r="P2642" i="3"/>
  <c r="P2643" i="3"/>
  <c r="P2644" i="3"/>
  <c r="P2645" i="3"/>
  <c r="P2646" i="3"/>
  <c r="P2647" i="3"/>
  <c r="P2648" i="3"/>
  <c r="P2649" i="3"/>
  <c r="P2650" i="3"/>
  <c r="P2651" i="3"/>
  <c r="P2652" i="3"/>
  <c r="P2653" i="3"/>
  <c r="P2654" i="3"/>
  <c r="P2655" i="3"/>
  <c r="P2656" i="3"/>
  <c r="P2657" i="3"/>
  <c r="P2658" i="3"/>
  <c r="P2659" i="3"/>
  <c r="P2660" i="3"/>
  <c r="P2661" i="3"/>
  <c r="P2662" i="3"/>
  <c r="P2663" i="3"/>
  <c r="P2664" i="3"/>
  <c r="P2665" i="3"/>
  <c r="P2666" i="3"/>
  <c r="P2667" i="3"/>
  <c r="P2668" i="3"/>
  <c r="P2669" i="3"/>
  <c r="P2670" i="3"/>
  <c r="P2671" i="3"/>
  <c r="P2672" i="3"/>
  <c r="P2673" i="3"/>
  <c r="P2674" i="3"/>
  <c r="P2675" i="3"/>
  <c r="P2676" i="3"/>
  <c r="P2677" i="3"/>
  <c r="P2678" i="3"/>
  <c r="P2679" i="3"/>
  <c r="P2680" i="3"/>
  <c r="P2681" i="3"/>
  <c r="P2682" i="3"/>
  <c r="P2683" i="3"/>
  <c r="P2684" i="3"/>
  <c r="P2685" i="3"/>
  <c r="P2686" i="3"/>
  <c r="P2687" i="3"/>
  <c r="P2688" i="3"/>
  <c r="P2689" i="3"/>
  <c r="P2690" i="3"/>
  <c r="P2691" i="3"/>
  <c r="P2692" i="3"/>
  <c r="P2693" i="3"/>
  <c r="P2694" i="3"/>
  <c r="P2695" i="3"/>
  <c r="P2696" i="3"/>
  <c r="P2697" i="3"/>
  <c r="P2698" i="3"/>
  <c r="P2699" i="3"/>
  <c r="P2700" i="3"/>
  <c r="P2701" i="3"/>
  <c r="P2702" i="3"/>
  <c r="P2703" i="3"/>
  <c r="P2704" i="3"/>
  <c r="P2705" i="3"/>
  <c r="P2706" i="3"/>
  <c r="P2707" i="3"/>
  <c r="P2708" i="3"/>
  <c r="P2709" i="3"/>
  <c r="P2710" i="3"/>
  <c r="P2711" i="3"/>
  <c r="P2712" i="3"/>
  <c r="P2713" i="3"/>
  <c r="P2714" i="3"/>
  <c r="P2715" i="3"/>
  <c r="P2716" i="3"/>
  <c r="P2717" i="3"/>
  <c r="P2718" i="3"/>
  <c r="P2719" i="3"/>
  <c r="P2720" i="3"/>
  <c r="P2721" i="3"/>
  <c r="P2722" i="3"/>
  <c r="P2723" i="3"/>
  <c r="P2724" i="3"/>
  <c r="P2725" i="3"/>
  <c r="P2726" i="3"/>
  <c r="P2727" i="3"/>
  <c r="P2728" i="3"/>
  <c r="P2729" i="3"/>
  <c r="P2730" i="3"/>
  <c r="P2731" i="3"/>
  <c r="P2732" i="3"/>
  <c r="P2733" i="3"/>
  <c r="P2734" i="3"/>
  <c r="P2735" i="3"/>
  <c r="P2736" i="3"/>
  <c r="P2737" i="3"/>
  <c r="P2738" i="3"/>
  <c r="P2739" i="3"/>
  <c r="P2740" i="3"/>
  <c r="P2741" i="3"/>
  <c r="P2742" i="3"/>
  <c r="P2743" i="3"/>
  <c r="P2744" i="3"/>
  <c r="P2745" i="3"/>
  <c r="P2746" i="3"/>
  <c r="P2747" i="3"/>
  <c r="P2748" i="3"/>
  <c r="P2749" i="3"/>
  <c r="P2750" i="3"/>
  <c r="P2751" i="3"/>
  <c r="P2752" i="3"/>
  <c r="P2753" i="3"/>
  <c r="P2754" i="3"/>
  <c r="P2755" i="3"/>
  <c r="P2756" i="3"/>
  <c r="P2757" i="3"/>
  <c r="P2758" i="3"/>
  <c r="P2759" i="3"/>
  <c r="P2760" i="3"/>
  <c r="P2761" i="3"/>
  <c r="P2762" i="3"/>
  <c r="P2763" i="3"/>
  <c r="P2764" i="3"/>
  <c r="P2765" i="3"/>
  <c r="P2766" i="3"/>
  <c r="P2767" i="3"/>
  <c r="P2768" i="3"/>
  <c r="P2769" i="3"/>
  <c r="P2770" i="3"/>
  <c r="P2771" i="3"/>
  <c r="P2772" i="3"/>
  <c r="P2773" i="3"/>
  <c r="P2774" i="3"/>
  <c r="P2775" i="3"/>
  <c r="P2776" i="3"/>
  <c r="P2777" i="3"/>
  <c r="P2778" i="3"/>
  <c r="P2779" i="3"/>
  <c r="P2780" i="3"/>
  <c r="P2781" i="3"/>
  <c r="P2782" i="3"/>
  <c r="P2783" i="3"/>
  <c r="P2784" i="3"/>
  <c r="P2785" i="3"/>
  <c r="P2786" i="3"/>
  <c r="P2787" i="3"/>
  <c r="P2788" i="3"/>
  <c r="P2789" i="3"/>
  <c r="P2790" i="3"/>
  <c r="P2791" i="3"/>
  <c r="P2792" i="3"/>
  <c r="P2793" i="3"/>
  <c r="P2794" i="3"/>
  <c r="P2795" i="3"/>
  <c r="P2796" i="3"/>
  <c r="P2797" i="3"/>
  <c r="P2798" i="3"/>
  <c r="P2799" i="3"/>
  <c r="P2800" i="3"/>
  <c r="P2801" i="3"/>
  <c r="P2802" i="3"/>
  <c r="P2803" i="3"/>
  <c r="P2804" i="3"/>
  <c r="P2805" i="3"/>
  <c r="P2806" i="3"/>
  <c r="P2807" i="3"/>
  <c r="P2808" i="3"/>
  <c r="P2809" i="3"/>
  <c r="P2810" i="3"/>
  <c r="P2811" i="3"/>
  <c r="P2812" i="3"/>
  <c r="P2813" i="3"/>
  <c r="P2814" i="3"/>
  <c r="P2815" i="3"/>
  <c r="P2816" i="3"/>
  <c r="P2817" i="3"/>
  <c r="P2818" i="3"/>
  <c r="P2819" i="3"/>
  <c r="P2820" i="3"/>
  <c r="P2821" i="3"/>
  <c r="P2822" i="3"/>
  <c r="P2823" i="3"/>
  <c r="P2824" i="3"/>
  <c r="P2825" i="3"/>
  <c r="P2826" i="3"/>
  <c r="P2827" i="3"/>
  <c r="P2828" i="3"/>
  <c r="P2829" i="3"/>
  <c r="P2830" i="3"/>
  <c r="P2831" i="3"/>
  <c r="P2832" i="3"/>
  <c r="P2833" i="3"/>
  <c r="P2834" i="3"/>
  <c r="P2835" i="3"/>
  <c r="P2836" i="3"/>
  <c r="P2837" i="3"/>
  <c r="P2838" i="3"/>
  <c r="P2839" i="3"/>
  <c r="P2840" i="3"/>
  <c r="P2841" i="3"/>
  <c r="P2842" i="3"/>
  <c r="P2843" i="3"/>
  <c r="P2844" i="3"/>
  <c r="P2845" i="3"/>
  <c r="P2846" i="3"/>
  <c r="P2847" i="3"/>
  <c r="P2848" i="3"/>
  <c r="P2849" i="3"/>
  <c r="P2850" i="3"/>
  <c r="P2851" i="3"/>
  <c r="P2852" i="3"/>
  <c r="P2853" i="3"/>
  <c r="P2854" i="3"/>
  <c r="P2855" i="3"/>
  <c r="P2856" i="3"/>
  <c r="P2857" i="3"/>
  <c r="P2858" i="3"/>
  <c r="P2859" i="3"/>
  <c r="P2860" i="3"/>
  <c r="P2861" i="3"/>
  <c r="P2862" i="3"/>
  <c r="P2863" i="3"/>
  <c r="P2864" i="3"/>
  <c r="P2865" i="3"/>
  <c r="P2866" i="3"/>
  <c r="P2867" i="3"/>
  <c r="P2868" i="3"/>
  <c r="P2869" i="3"/>
  <c r="P2870" i="3"/>
  <c r="P2871" i="3"/>
  <c r="P2872" i="3"/>
  <c r="P2873" i="3"/>
  <c r="P2874" i="3"/>
  <c r="P2875" i="3"/>
  <c r="P2876" i="3"/>
  <c r="P2877" i="3"/>
  <c r="P2878" i="3"/>
  <c r="P2879" i="3"/>
  <c r="P2880" i="3"/>
  <c r="P2881" i="3"/>
  <c r="P2882" i="3"/>
  <c r="P2883" i="3"/>
  <c r="P2884" i="3"/>
  <c r="P2885" i="3"/>
  <c r="P2886" i="3"/>
  <c r="P2887" i="3"/>
  <c r="P2888" i="3"/>
  <c r="P2889" i="3"/>
  <c r="P2890" i="3"/>
  <c r="P2891" i="3"/>
  <c r="P2892" i="3"/>
  <c r="P2893" i="3"/>
  <c r="P2894" i="3"/>
  <c r="P2895" i="3"/>
  <c r="P2896" i="3"/>
  <c r="P2897" i="3"/>
  <c r="P2898" i="3"/>
  <c r="P2899" i="3"/>
  <c r="P2900" i="3"/>
  <c r="P2901" i="3"/>
  <c r="P2902" i="3"/>
  <c r="P2903" i="3"/>
  <c r="P2904" i="3"/>
  <c r="P2905" i="3"/>
  <c r="P2906" i="3"/>
  <c r="P2907" i="3"/>
  <c r="P2908" i="3"/>
  <c r="P2909" i="3"/>
  <c r="P2910" i="3"/>
  <c r="P2911" i="3"/>
  <c r="P2912" i="3"/>
  <c r="P2913" i="3"/>
  <c r="P2914" i="3"/>
  <c r="P2915" i="3"/>
  <c r="P2916" i="3"/>
  <c r="P2917" i="3"/>
  <c r="P2918" i="3"/>
  <c r="P2919" i="3"/>
  <c r="P2920" i="3"/>
  <c r="P2921" i="3"/>
  <c r="P2922" i="3"/>
  <c r="P2923" i="3"/>
  <c r="P2924" i="3"/>
  <c r="P2925" i="3"/>
  <c r="P2926" i="3"/>
  <c r="P2927" i="3"/>
  <c r="P2928" i="3"/>
  <c r="P2929" i="3"/>
  <c r="P2930" i="3"/>
  <c r="P2931" i="3"/>
  <c r="P2932" i="3"/>
  <c r="P2933" i="3"/>
  <c r="P2934" i="3"/>
  <c r="P2935" i="3"/>
  <c r="P2936" i="3"/>
  <c r="P2937" i="3"/>
  <c r="P2938" i="3"/>
  <c r="P2939" i="3"/>
  <c r="P2940" i="3"/>
  <c r="P2941" i="3"/>
  <c r="P2942" i="3"/>
  <c r="P2943" i="3"/>
  <c r="P2944" i="3"/>
  <c r="P2945" i="3"/>
  <c r="P2946" i="3"/>
  <c r="P2947" i="3"/>
  <c r="P2948" i="3"/>
  <c r="P2949" i="3"/>
  <c r="P2950" i="3"/>
  <c r="P2951" i="3"/>
  <c r="P2952" i="3"/>
  <c r="P2953" i="3"/>
  <c r="P2954" i="3"/>
  <c r="P2955" i="3"/>
  <c r="P2956" i="3"/>
  <c r="P2957" i="3"/>
  <c r="P2958" i="3"/>
  <c r="P2959" i="3"/>
  <c r="P2960" i="3"/>
  <c r="P2961" i="3"/>
  <c r="P2962" i="3"/>
  <c r="P2963" i="3"/>
  <c r="P2964" i="3"/>
  <c r="P2965" i="3"/>
  <c r="P2966" i="3"/>
  <c r="P2967" i="3"/>
  <c r="P2968" i="3"/>
  <c r="P2969" i="3"/>
  <c r="P2970" i="3"/>
  <c r="P2971" i="3"/>
  <c r="P2972" i="3"/>
  <c r="P2973" i="3"/>
  <c r="P2974" i="3"/>
  <c r="P2975" i="3"/>
  <c r="P2976" i="3"/>
  <c r="P2977" i="3"/>
  <c r="P2978" i="3"/>
  <c r="P2979" i="3"/>
  <c r="P2980" i="3"/>
  <c r="P2981" i="3"/>
  <c r="P2982" i="3"/>
  <c r="P2983" i="3"/>
  <c r="P2984" i="3"/>
  <c r="P2985" i="3"/>
  <c r="P2986" i="3"/>
  <c r="P2987" i="3"/>
  <c r="P2988" i="3"/>
  <c r="P2989" i="3"/>
  <c r="P2990" i="3"/>
  <c r="P2991" i="3"/>
  <c r="P2992" i="3"/>
  <c r="P2993" i="3"/>
  <c r="P2994" i="3"/>
  <c r="P2995" i="3"/>
  <c r="P2996" i="3"/>
  <c r="P2997" i="3"/>
  <c r="P2998" i="3"/>
  <c r="P2999" i="3"/>
  <c r="P3000" i="3"/>
  <c r="P3001" i="3"/>
  <c r="P3002" i="3"/>
  <c r="P3003" i="3"/>
  <c r="P3004" i="3"/>
  <c r="P3005" i="3"/>
  <c r="P3006" i="3"/>
  <c r="P3007" i="3"/>
  <c r="P3008" i="3"/>
  <c r="P3009" i="3"/>
  <c r="P3010" i="3"/>
  <c r="P3011" i="3"/>
  <c r="P3012" i="3"/>
  <c r="P3013" i="3"/>
  <c r="P3014" i="3"/>
  <c r="P3015" i="3"/>
  <c r="P3016" i="3"/>
  <c r="P3017" i="3"/>
  <c r="P3018" i="3"/>
  <c r="P3019" i="3"/>
  <c r="P3020" i="3"/>
  <c r="P3021" i="3"/>
  <c r="P3022" i="3"/>
  <c r="P3023" i="3"/>
  <c r="P3024" i="3"/>
  <c r="P3025" i="3"/>
  <c r="P3026" i="3"/>
  <c r="P3027" i="3"/>
  <c r="P3028" i="3"/>
  <c r="P3029" i="3"/>
  <c r="P3030" i="3"/>
  <c r="P3031" i="3"/>
  <c r="P3032" i="3"/>
  <c r="P3033" i="3"/>
  <c r="P3034" i="3"/>
  <c r="P3035" i="3"/>
  <c r="P3036" i="3"/>
  <c r="P3037" i="3"/>
  <c r="P3038" i="3"/>
  <c r="P3039" i="3"/>
  <c r="P3040" i="3"/>
  <c r="P3041" i="3"/>
  <c r="P3042" i="3"/>
  <c r="P3043" i="3"/>
  <c r="P3044" i="3"/>
  <c r="P3045" i="3"/>
  <c r="P3046" i="3"/>
  <c r="P3047" i="3"/>
  <c r="P3048" i="3"/>
  <c r="P3049" i="3"/>
  <c r="P3050" i="3"/>
  <c r="P3051" i="3"/>
  <c r="P3052" i="3"/>
  <c r="P3053" i="3"/>
  <c r="P3054" i="3"/>
  <c r="P3055" i="3"/>
  <c r="P3056" i="3"/>
  <c r="P3057" i="3"/>
  <c r="P3058" i="3"/>
  <c r="P3059" i="3"/>
  <c r="P3060" i="3"/>
  <c r="P3061" i="3"/>
  <c r="P3062" i="3"/>
  <c r="P3063" i="3"/>
  <c r="P3064" i="3"/>
  <c r="P3065" i="3"/>
  <c r="P3066" i="3"/>
  <c r="P3067" i="3"/>
  <c r="P3068" i="3"/>
  <c r="P3069" i="3"/>
  <c r="P3070" i="3"/>
  <c r="P3071" i="3"/>
  <c r="P3072" i="3"/>
  <c r="P3073" i="3"/>
  <c r="P3074" i="3"/>
  <c r="P3075" i="3"/>
  <c r="P3076" i="3"/>
  <c r="P3077" i="3"/>
  <c r="P3078" i="3"/>
  <c r="P3079" i="3"/>
  <c r="P3080" i="3"/>
  <c r="P3081" i="3"/>
  <c r="P3082" i="3"/>
  <c r="P3083" i="3"/>
  <c r="P3084" i="3"/>
  <c r="P3085" i="3"/>
  <c r="P3086" i="3"/>
  <c r="P3087" i="3"/>
  <c r="P3088" i="3"/>
  <c r="P3089" i="3"/>
  <c r="P3090" i="3"/>
  <c r="P3091" i="3"/>
  <c r="P3092" i="3"/>
  <c r="P3093" i="3"/>
  <c r="P3094" i="3"/>
  <c r="P3095" i="3"/>
  <c r="P3096" i="3"/>
  <c r="P3097" i="3"/>
  <c r="P3098" i="3"/>
  <c r="P3099" i="3"/>
  <c r="P3100" i="3"/>
  <c r="P3101" i="3"/>
  <c r="P3102" i="3"/>
  <c r="P3103" i="3"/>
  <c r="P3104" i="3"/>
  <c r="P3105" i="3"/>
  <c r="P3106" i="3"/>
  <c r="P3107" i="3"/>
  <c r="P3108" i="3"/>
  <c r="P3109" i="3"/>
  <c r="P3110" i="3"/>
  <c r="P3111" i="3"/>
  <c r="P3112" i="3"/>
  <c r="P3113" i="3"/>
  <c r="P3114" i="3"/>
  <c r="P3115" i="3"/>
  <c r="P3116" i="3"/>
  <c r="P3117" i="3"/>
  <c r="P3118" i="3"/>
  <c r="P3119" i="3"/>
  <c r="P3120" i="3"/>
  <c r="P3121" i="3"/>
  <c r="P3122" i="3"/>
  <c r="P3123" i="3"/>
  <c r="P3124" i="3"/>
  <c r="P3125" i="3"/>
  <c r="P3126" i="3"/>
  <c r="P3127" i="3"/>
  <c r="P3128" i="3"/>
  <c r="P3129" i="3"/>
  <c r="P3130" i="3"/>
  <c r="P3131" i="3"/>
  <c r="P3132" i="3"/>
  <c r="P3133" i="3"/>
  <c r="P3134" i="3"/>
  <c r="P3135" i="3"/>
  <c r="P3136" i="3"/>
  <c r="P3137" i="3"/>
  <c r="P3138" i="3"/>
  <c r="P3139" i="3"/>
  <c r="P3140" i="3"/>
  <c r="P3141" i="3"/>
  <c r="P3142" i="3"/>
  <c r="P3143" i="3"/>
  <c r="P3144" i="3"/>
  <c r="P3145" i="3"/>
  <c r="P3146" i="3"/>
  <c r="P3147" i="3"/>
  <c r="P3148" i="3"/>
  <c r="P3149" i="3"/>
  <c r="P3150" i="3"/>
  <c r="P3151" i="3"/>
  <c r="P3152" i="3"/>
  <c r="P3153" i="3"/>
  <c r="P3154" i="3"/>
  <c r="P3155" i="3"/>
  <c r="P3156" i="3"/>
  <c r="P3157" i="3"/>
  <c r="P3158" i="3"/>
  <c r="P3159" i="3"/>
  <c r="P3160" i="3"/>
  <c r="P3161" i="3"/>
  <c r="P3162" i="3"/>
  <c r="P3163" i="3"/>
  <c r="P3164" i="3"/>
  <c r="P3165" i="3"/>
  <c r="P3166" i="3"/>
  <c r="P3167" i="3"/>
  <c r="P3168" i="3"/>
  <c r="P3169" i="3"/>
  <c r="P3170" i="3"/>
  <c r="P3171" i="3"/>
  <c r="P3172" i="3"/>
  <c r="P3173" i="3"/>
  <c r="P3174" i="3"/>
  <c r="P3175" i="3"/>
  <c r="P3176" i="3"/>
  <c r="P3177" i="3"/>
  <c r="P3178" i="3"/>
  <c r="P3179" i="3"/>
  <c r="P3180" i="3"/>
  <c r="P3181" i="3"/>
  <c r="P3182" i="3"/>
  <c r="P3183" i="3"/>
  <c r="P3184" i="3"/>
  <c r="P3185" i="3"/>
  <c r="P3186" i="3"/>
  <c r="P3187" i="3"/>
  <c r="P3188" i="3"/>
  <c r="P3189" i="3"/>
  <c r="P3190" i="3"/>
  <c r="P3191" i="3"/>
  <c r="P3192" i="3"/>
  <c r="P3193" i="3"/>
  <c r="P3194" i="3"/>
  <c r="P3195" i="3"/>
  <c r="P3196" i="3"/>
  <c r="P3197" i="3"/>
  <c r="P3198" i="3"/>
  <c r="P3199" i="3"/>
  <c r="P3200" i="3"/>
  <c r="P3201" i="3"/>
  <c r="P3202" i="3"/>
  <c r="P3203" i="3"/>
  <c r="P3204" i="3"/>
  <c r="P3205" i="3"/>
  <c r="P3206" i="3"/>
  <c r="P3207" i="3"/>
  <c r="P3208" i="3"/>
  <c r="P3209" i="3"/>
  <c r="P3210" i="3"/>
  <c r="P3211" i="3"/>
  <c r="P3212" i="3"/>
  <c r="P3213" i="3"/>
  <c r="P3214" i="3"/>
  <c r="P3215" i="3"/>
  <c r="P3216" i="3"/>
  <c r="P3217" i="3"/>
  <c r="P3218" i="3"/>
  <c r="P3219" i="3"/>
  <c r="P3220" i="3"/>
  <c r="P3221" i="3"/>
  <c r="P3222" i="3"/>
  <c r="P3223" i="3"/>
  <c r="P3224" i="3"/>
  <c r="P3225" i="3"/>
  <c r="P3226" i="3"/>
  <c r="P3227" i="3"/>
  <c r="P3228" i="3"/>
  <c r="P3229" i="3"/>
  <c r="P3230" i="3"/>
  <c r="P3231" i="3"/>
  <c r="P3232" i="3"/>
  <c r="P3233" i="3"/>
  <c r="P3234" i="3"/>
  <c r="P3235" i="3"/>
  <c r="P3236" i="3"/>
  <c r="P3237" i="3"/>
  <c r="P3238" i="3"/>
  <c r="P3239" i="3"/>
  <c r="P3240" i="3"/>
  <c r="P3241" i="3"/>
  <c r="P3242" i="3"/>
  <c r="P3243" i="3"/>
  <c r="P3244" i="3"/>
  <c r="P3245" i="3"/>
  <c r="P3246" i="3"/>
  <c r="P3247" i="3"/>
  <c r="P3248" i="3"/>
  <c r="P3249" i="3"/>
  <c r="P3250" i="3"/>
  <c r="P3251" i="3"/>
  <c r="P3252" i="3"/>
  <c r="P3253" i="3"/>
  <c r="P3254" i="3"/>
  <c r="P3255" i="3"/>
  <c r="P3256" i="3"/>
  <c r="P3257" i="3"/>
  <c r="P3258" i="3"/>
  <c r="P3259" i="3"/>
  <c r="P3260" i="3"/>
  <c r="P3261" i="3"/>
  <c r="P3262" i="3"/>
  <c r="P3263" i="3"/>
  <c r="P3264" i="3"/>
  <c r="P3265" i="3"/>
  <c r="P3266" i="3"/>
  <c r="P3267" i="3"/>
  <c r="P3268" i="3"/>
  <c r="P3269" i="3"/>
  <c r="P3270" i="3"/>
  <c r="P3271" i="3"/>
  <c r="P3272" i="3"/>
  <c r="P3273" i="3"/>
  <c r="P3274" i="3"/>
  <c r="P3275" i="3"/>
  <c r="P3276" i="3"/>
  <c r="P3277" i="3"/>
  <c r="P3278" i="3"/>
  <c r="P3279" i="3"/>
  <c r="P3280" i="3"/>
  <c r="P3281" i="3"/>
  <c r="P3282" i="3"/>
  <c r="P3283" i="3"/>
  <c r="P3284" i="3"/>
  <c r="P3285" i="3"/>
  <c r="P3286" i="3"/>
  <c r="P3287" i="3"/>
  <c r="P3288" i="3"/>
  <c r="P3289" i="3"/>
  <c r="P3290" i="3"/>
  <c r="P3291" i="3"/>
  <c r="P3292" i="3"/>
  <c r="P3294" i="3"/>
  <c r="P3295" i="3"/>
  <c r="P3296" i="3"/>
  <c r="P3297" i="3"/>
  <c r="P3298" i="3"/>
  <c r="P3299" i="3"/>
  <c r="P3300" i="3"/>
  <c r="P3301" i="3"/>
  <c r="P3302" i="3"/>
  <c r="P3303" i="3"/>
  <c r="P3304" i="3"/>
  <c r="P3305" i="3"/>
  <c r="P3306" i="3"/>
  <c r="P3307" i="3"/>
  <c r="P3308" i="3"/>
  <c r="P3309" i="3"/>
  <c r="P3310" i="3"/>
  <c r="P3311" i="3"/>
  <c r="P3312" i="3"/>
  <c r="P3313" i="3"/>
  <c r="P3314" i="3"/>
  <c r="P3315" i="3"/>
  <c r="P3316" i="3"/>
  <c r="P3317" i="3"/>
  <c r="P3318" i="3"/>
  <c r="P3319" i="3"/>
  <c r="P3320" i="3"/>
  <c r="P3321" i="3"/>
  <c r="P3322" i="3"/>
  <c r="P3323" i="3"/>
  <c r="P3324" i="3"/>
  <c r="P3325" i="3"/>
  <c r="P3326" i="3"/>
  <c r="P3327" i="3"/>
  <c r="P3328" i="3"/>
  <c r="P3329" i="3"/>
  <c r="P3330" i="3"/>
  <c r="P3331" i="3"/>
  <c r="P3332" i="3"/>
  <c r="P3333" i="3"/>
  <c r="P3334" i="3"/>
  <c r="P3335" i="3"/>
  <c r="P3336" i="3"/>
  <c r="P3337" i="3"/>
  <c r="P3338" i="3"/>
  <c r="P3339" i="3"/>
  <c r="P3340" i="3"/>
  <c r="P3341" i="3"/>
  <c r="P3342" i="3"/>
  <c r="P3343" i="3"/>
  <c r="P3344" i="3"/>
  <c r="P3345" i="3"/>
  <c r="P3346" i="3"/>
  <c r="P3347" i="3"/>
  <c r="P3348" i="3"/>
  <c r="P3349" i="3"/>
  <c r="P3350" i="3"/>
  <c r="P3351" i="3"/>
  <c r="P3352" i="3"/>
  <c r="P3353" i="3"/>
  <c r="P3354" i="3"/>
  <c r="P3355" i="3"/>
  <c r="P3356" i="3"/>
  <c r="P3357" i="3"/>
  <c r="P3358" i="3"/>
  <c r="P3359" i="3"/>
  <c r="P3360" i="3"/>
  <c r="P3361" i="3"/>
  <c r="P3362" i="3"/>
  <c r="P3363" i="3"/>
  <c r="P3364" i="3"/>
  <c r="P3365" i="3"/>
  <c r="P3366" i="3"/>
  <c r="P3367" i="3"/>
  <c r="P3368" i="3"/>
  <c r="P3369" i="3"/>
  <c r="P3370" i="3"/>
  <c r="P3371" i="3"/>
  <c r="P3372" i="3"/>
  <c r="P3373" i="3"/>
  <c r="P3374" i="3"/>
  <c r="P3375" i="3"/>
  <c r="P3376" i="3"/>
  <c r="P3377" i="3"/>
  <c r="P3378" i="3"/>
  <c r="P3379" i="3"/>
  <c r="P3380" i="3"/>
  <c r="P3381" i="3"/>
  <c r="P3382" i="3"/>
  <c r="P3383" i="3"/>
  <c r="P3384" i="3"/>
  <c r="P3385" i="3"/>
  <c r="P3386" i="3"/>
  <c r="P3387" i="3"/>
  <c r="P3388" i="3"/>
  <c r="P3389" i="3"/>
  <c r="P3390" i="3"/>
  <c r="P3391" i="3"/>
  <c r="P3392" i="3"/>
  <c r="P3393" i="3"/>
  <c r="P3394" i="3"/>
  <c r="P3395" i="3"/>
  <c r="P3396" i="3"/>
  <c r="P3397" i="3"/>
  <c r="P3398" i="3"/>
  <c r="P3399" i="3"/>
  <c r="P3400" i="3"/>
  <c r="P3401" i="3"/>
  <c r="P3402" i="3"/>
  <c r="P3403" i="3"/>
  <c r="P3404" i="3"/>
  <c r="P3405" i="3"/>
  <c r="P3406" i="3"/>
  <c r="P3407" i="3"/>
  <c r="P3408" i="3"/>
  <c r="P3409" i="3"/>
  <c r="P3410" i="3"/>
  <c r="P3411" i="3"/>
  <c r="P3412" i="3"/>
  <c r="P3413" i="3"/>
  <c r="P3414" i="3"/>
  <c r="P3415" i="3"/>
  <c r="P3416" i="3"/>
  <c r="P3417" i="3"/>
  <c r="P3418" i="3"/>
  <c r="P3419" i="3"/>
  <c r="P3420" i="3"/>
  <c r="P3421" i="3"/>
  <c r="P3422" i="3"/>
  <c r="P3423" i="3"/>
  <c r="P3424" i="3"/>
  <c r="P3425" i="3"/>
  <c r="P3426" i="3"/>
  <c r="P3427" i="3"/>
  <c r="P3428" i="3"/>
  <c r="P3429" i="3"/>
  <c r="P3430" i="3"/>
  <c r="P3431" i="3"/>
  <c r="P3432" i="3"/>
  <c r="P3433" i="3"/>
  <c r="P3434" i="3"/>
  <c r="P3435" i="3"/>
  <c r="P3436" i="3"/>
  <c r="P3437" i="3"/>
  <c r="P3438" i="3"/>
  <c r="P3439" i="3"/>
  <c r="P3440" i="3"/>
  <c r="P3441" i="3"/>
  <c r="P3442" i="3"/>
  <c r="P3443" i="3"/>
  <c r="P3444" i="3"/>
  <c r="P3445" i="3"/>
  <c r="P3446" i="3"/>
  <c r="P3447" i="3"/>
  <c r="P3448" i="3"/>
  <c r="P3449" i="3"/>
  <c r="P3450" i="3"/>
  <c r="P3451" i="3"/>
  <c r="P3452" i="3"/>
  <c r="P3453" i="3"/>
  <c r="P3454" i="3"/>
  <c r="P3455" i="3"/>
  <c r="P3456" i="3"/>
  <c r="P3457" i="3"/>
  <c r="P3458" i="3"/>
  <c r="P3459" i="3"/>
  <c r="P3460" i="3"/>
  <c r="P3461" i="3"/>
  <c r="P3462" i="3"/>
  <c r="P3463" i="3"/>
  <c r="P3464" i="3"/>
  <c r="P3465" i="3"/>
  <c r="P3466" i="3"/>
  <c r="P3467" i="3"/>
  <c r="P3468" i="3"/>
  <c r="P3469" i="3"/>
  <c r="P3470" i="3"/>
  <c r="P3471" i="3"/>
  <c r="P3472" i="3"/>
  <c r="P3473" i="3"/>
  <c r="P3474" i="3"/>
  <c r="P3475" i="3"/>
  <c r="P3476" i="3"/>
  <c r="P3477" i="3"/>
  <c r="P3478" i="3"/>
  <c r="P3479" i="3"/>
  <c r="P3480" i="3"/>
  <c r="P3481" i="3"/>
  <c r="P3482" i="3"/>
  <c r="P3483" i="3"/>
  <c r="P3484" i="3"/>
  <c r="P3485" i="3"/>
  <c r="P3486" i="3"/>
  <c r="P3487" i="3"/>
  <c r="P3488" i="3"/>
  <c r="P3489" i="3"/>
  <c r="P3490" i="3"/>
  <c r="P3491" i="3"/>
  <c r="P3492" i="3"/>
  <c r="P3493" i="3"/>
  <c r="P3494" i="3"/>
  <c r="P3495" i="3"/>
  <c r="P3496" i="3"/>
  <c r="P3497" i="3"/>
  <c r="P3498" i="3"/>
  <c r="P3499" i="3"/>
  <c r="P3500" i="3"/>
  <c r="P3501" i="3"/>
  <c r="P3502" i="3"/>
  <c r="P3503" i="3"/>
  <c r="P3504" i="3"/>
  <c r="P3505" i="3"/>
  <c r="P3506" i="3"/>
  <c r="P3507" i="3"/>
  <c r="P3508" i="3"/>
  <c r="P3509" i="3"/>
  <c r="P3510" i="3"/>
  <c r="P3511" i="3"/>
  <c r="P3512" i="3"/>
  <c r="P3513" i="3"/>
  <c r="P3514" i="3"/>
  <c r="P3515" i="3"/>
  <c r="P3516" i="3"/>
  <c r="P3517" i="3"/>
  <c r="P3518" i="3"/>
  <c r="P3519" i="3"/>
  <c r="P3520" i="3"/>
  <c r="P3521" i="3"/>
  <c r="P3522" i="3"/>
  <c r="P3523" i="3"/>
  <c r="P3524" i="3"/>
  <c r="P3525" i="3"/>
  <c r="P3526" i="3"/>
  <c r="P3527" i="3"/>
  <c r="P3528" i="3"/>
  <c r="P3529" i="3"/>
  <c r="P3530" i="3"/>
  <c r="P3531" i="3"/>
  <c r="P3532" i="3"/>
  <c r="P3533" i="3"/>
  <c r="P3534" i="3"/>
  <c r="P3535" i="3"/>
  <c r="P3536" i="3"/>
  <c r="P3537" i="3"/>
  <c r="P3538" i="3"/>
  <c r="P3539" i="3"/>
  <c r="P3540" i="3"/>
  <c r="P3541" i="3"/>
  <c r="P3542" i="3"/>
  <c r="P3543" i="3"/>
  <c r="P3544" i="3"/>
  <c r="P3545" i="3"/>
  <c r="P3546" i="3"/>
  <c r="P3547" i="3"/>
  <c r="P3548" i="3"/>
  <c r="P3549" i="3"/>
  <c r="P3550" i="3"/>
  <c r="P3551" i="3"/>
  <c r="P3552" i="3"/>
  <c r="P3553" i="3"/>
  <c r="P3554" i="3"/>
  <c r="P3555" i="3"/>
  <c r="P3556" i="3"/>
  <c r="P3557" i="3"/>
  <c r="P3558" i="3"/>
  <c r="P3559" i="3"/>
  <c r="P3560" i="3"/>
  <c r="P3561" i="3"/>
  <c r="P3562" i="3"/>
  <c r="P3563" i="3"/>
  <c r="P3564" i="3"/>
  <c r="P3565" i="3"/>
  <c r="P3566" i="3"/>
  <c r="P3567" i="3"/>
  <c r="P3568" i="3"/>
  <c r="P3569" i="3"/>
  <c r="P3570" i="3"/>
  <c r="P3571" i="3"/>
  <c r="P3572" i="3"/>
  <c r="P3573" i="3"/>
  <c r="P3574" i="3"/>
  <c r="P3575" i="3"/>
  <c r="P3576" i="3"/>
  <c r="P3577" i="3"/>
  <c r="P3578" i="3"/>
  <c r="P3579" i="3"/>
  <c r="P3580" i="3"/>
  <c r="P3581" i="3"/>
  <c r="P3582" i="3"/>
  <c r="P3583" i="3"/>
  <c r="P3584" i="3"/>
  <c r="P3585" i="3"/>
  <c r="P3586" i="3"/>
  <c r="P3587" i="3"/>
  <c r="P3588" i="3"/>
  <c r="P3589" i="3"/>
  <c r="P3590" i="3"/>
  <c r="P3591" i="3"/>
  <c r="P3592" i="3"/>
  <c r="P3593" i="3"/>
  <c r="P3594" i="3"/>
  <c r="P3595" i="3"/>
  <c r="P3596" i="3"/>
  <c r="P3597" i="3"/>
  <c r="P3598" i="3"/>
  <c r="P3599" i="3"/>
  <c r="P3600" i="3"/>
  <c r="P3601" i="3"/>
  <c r="P3602" i="3"/>
  <c r="P3603" i="3"/>
  <c r="P3604" i="3"/>
  <c r="P3605" i="3"/>
  <c r="P3606" i="3"/>
  <c r="P3607" i="3"/>
  <c r="P3608" i="3"/>
  <c r="P3609" i="3"/>
  <c r="P3610" i="3"/>
  <c r="P3611" i="3"/>
  <c r="P3612" i="3"/>
  <c r="P3613" i="3"/>
  <c r="P3614" i="3"/>
  <c r="P3615" i="3"/>
  <c r="P3616" i="3"/>
  <c r="P3617" i="3"/>
  <c r="P3618" i="3"/>
  <c r="P3619" i="3"/>
  <c r="P3620" i="3"/>
  <c r="P3621" i="3"/>
  <c r="P3622" i="3"/>
  <c r="P3623" i="3"/>
  <c r="P3624" i="3"/>
  <c r="P3625" i="3"/>
  <c r="P3626" i="3"/>
  <c r="P3627" i="3"/>
  <c r="P3628" i="3"/>
  <c r="P3629" i="3"/>
  <c r="P3630" i="3"/>
  <c r="P3631" i="3"/>
  <c r="P3632" i="3"/>
  <c r="P3633" i="3"/>
  <c r="P3634" i="3"/>
  <c r="P3635" i="3"/>
  <c r="P3636" i="3"/>
  <c r="P3637" i="3"/>
  <c r="P3638" i="3"/>
  <c r="P3639" i="3"/>
  <c r="P3640" i="3"/>
  <c r="P3641" i="3"/>
  <c r="P3642" i="3"/>
  <c r="P3643" i="3"/>
  <c r="P3644" i="3"/>
  <c r="P3645" i="3"/>
  <c r="P3646" i="3"/>
  <c r="P3647" i="3"/>
  <c r="P3648" i="3"/>
  <c r="P3649" i="3"/>
  <c r="P3650" i="3"/>
  <c r="P3651" i="3"/>
  <c r="P3652" i="3"/>
  <c r="P3653" i="3"/>
  <c r="P3654" i="3"/>
  <c r="P3655" i="3"/>
  <c r="P3656" i="3"/>
  <c r="P3657" i="3"/>
  <c r="P3658" i="3"/>
  <c r="P3659" i="3"/>
  <c r="P3660" i="3"/>
  <c r="P3661" i="3"/>
  <c r="P3662" i="3"/>
  <c r="P3663" i="3"/>
  <c r="P3664" i="3"/>
  <c r="P3665" i="3"/>
  <c r="P3666" i="3"/>
  <c r="P3667" i="3"/>
  <c r="P3668" i="3"/>
  <c r="P3669" i="3"/>
  <c r="P3670" i="3"/>
  <c r="P3671" i="3"/>
  <c r="P3672" i="3"/>
  <c r="P3673" i="3"/>
  <c r="P3674" i="3"/>
  <c r="P3675" i="3"/>
  <c r="P3676" i="3"/>
  <c r="P3677" i="3"/>
  <c r="P3678" i="3"/>
  <c r="P3679" i="3"/>
  <c r="P3680" i="3"/>
  <c r="P3681" i="3"/>
  <c r="P3682" i="3"/>
  <c r="P3683" i="3"/>
  <c r="P3684" i="3"/>
  <c r="P3685" i="3"/>
  <c r="P3686" i="3"/>
  <c r="P3687" i="3"/>
  <c r="P3688" i="3"/>
  <c r="P3689" i="3"/>
  <c r="P3690" i="3"/>
  <c r="P3691" i="3"/>
  <c r="P3692" i="3"/>
  <c r="P3693" i="3"/>
  <c r="P3694" i="3"/>
  <c r="P3695" i="3"/>
  <c r="P3696" i="3"/>
  <c r="P3697" i="3"/>
  <c r="P3698" i="3"/>
  <c r="P3699" i="3"/>
  <c r="P3700" i="3"/>
  <c r="P3701" i="3"/>
  <c r="P3702" i="3"/>
  <c r="P3703" i="3"/>
  <c r="P3704" i="3"/>
  <c r="P3705" i="3"/>
  <c r="P3706" i="3"/>
  <c r="P3707" i="3"/>
  <c r="P3708" i="3"/>
  <c r="P3709" i="3"/>
  <c r="P3710" i="3"/>
  <c r="P3711" i="3"/>
  <c r="P3712" i="3"/>
  <c r="P3713" i="3"/>
  <c r="P3714" i="3"/>
  <c r="P3715" i="3"/>
  <c r="P3716" i="3"/>
  <c r="P3717" i="3"/>
  <c r="P3718" i="3"/>
  <c r="P3719" i="3"/>
  <c r="P3720" i="3"/>
  <c r="P3721" i="3"/>
  <c r="P3722" i="3"/>
  <c r="P3723" i="3"/>
  <c r="P3724" i="3"/>
  <c r="P3725" i="3"/>
  <c r="P3726" i="3"/>
  <c r="P3727" i="3"/>
  <c r="P3728" i="3"/>
  <c r="P3729" i="3"/>
  <c r="P3730" i="3"/>
  <c r="P3731" i="3"/>
  <c r="P3732" i="3"/>
  <c r="P3733" i="3"/>
  <c r="P3734" i="3"/>
  <c r="P3735" i="3"/>
  <c r="P3736" i="3"/>
  <c r="P3737" i="3"/>
  <c r="P3738" i="3"/>
  <c r="P3739" i="3"/>
  <c r="P3740" i="3"/>
  <c r="P3741" i="3"/>
  <c r="P3742" i="3"/>
  <c r="P3743" i="3"/>
  <c r="P3744" i="3"/>
  <c r="P3745" i="3"/>
  <c r="P3746" i="3"/>
  <c r="P3747" i="3"/>
  <c r="P3748" i="3"/>
  <c r="P3749" i="3"/>
  <c r="P3750" i="3"/>
  <c r="P3751" i="3"/>
  <c r="P3752" i="3"/>
  <c r="P3753" i="3"/>
  <c r="P3754" i="3"/>
  <c r="P3755" i="3"/>
  <c r="P3756" i="3"/>
  <c r="P3757" i="3"/>
  <c r="P3758" i="3"/>
  <c r="P3759" i="3"/>
  <c r="P3760" i="3"/>
  <c r="P3761" i="3"/>
  <c r="P3762" i="3"/>
  <c r="P3763" i="3"/>
  <c r="P3764" i="3"/>
  <c r="P3765" i="3"/>
  <c r="P3766" i="3"/>
  <c r="P3767" i="3"/>
  <c r="P3768" i="3"/>
  <c r="P3769" i="3"/>
  <c r="P3770" i="3"/>
  <c r="P3771" i="3"/>
  <c r="P3772" i="3"/>
  <c r="P3773" i="3"/>
  <c r="P3774" i="3"/>
  <c r="P3775" i="3"/>
  <c r="P3776" i="3"/>
  <c r="P3777" i="3"/>
  <c r="P3778" i="3"/>
  <c r="P3779" i="3"/>
  <c r="P3780" i="3"/>
  <c r="P3781" i="3"/>
  <c r="P3782" i="3"/>
  <c r="P3783" i="3"/>
  <c r="P3784" i="3"/>
  <c r="P3785" i="3"/>
  <c r="P3786" i="3"/>
  <c r="P3787" i="3"/>
  <c r="P3788" i="3"/>
  <c r="P3789" i="3"/>
  <c r="P3790" i="3"/>
  <c r="P3791" i="3"/>
  <c r="P3792" i="3"/>
  <c r="P3793" i="3"/>
  <c r="P3794" i="3"/>
  <c r="P3795" i="3"/>
  <c r="P3796" i="3"/>
  <c r="P3797" i="3"/>
  <c r="P3798" i="3"/>
  <c r="P3799" i="3"/>
  <c r="P3800" i="3"/>
  <c r="P3801" i="3"/>
  <c r="P3802" i="3"/>
  <c r="P3803" i="3"/>
  <c r="P3804" i="3"/>
  <c r="P3805" i="3"/>
  <c r="P3806" i="3"/>
  <c r="P3807" i="3"/>
  <c r="P3808" i="3"/>
  <c r="P3809" i="3"/>
  <c r="P3810" i="3"/>
  <c r="P3811" i="3"/>
  <c r="P3812" i="3"/>
  <c r="P3813" i="3"/>
  <c r="P3814" i="3"/>
  <c r="P3815" i="3"/>
  <c r="P3816" i="3"/>
  <c r="P3817" i="3"/>
  <c r="P3818" i="3"/>
  <c r="P3819" i="3"/>
  <c r="P3820" i="3"/>
  <c r="P3821" i="3"/>
  <c r="P3822" i="3"/>
  <c r="P3823" i="3"/>
  <c r="P3824" i="3"/>
  <c r="P3825" i="3"/>
  <c r="P3826" i="3"/>
  <c r="P3827" i="3"/>
  <c r="P3828" i="3"/>
  <c r="P3829" i="3"/>
  <c r="P3830" i="3"/>
  <c r="P3831" i="3"/>
  <c r="P3832" i="3"/>
  <c r="P3833" i="3"/>
  <c r="P3834" i="3"/>
  <c r="P3835" i="3"/>
  <c r="P3836" i="3"/>
  <c r="P3837" i="3"/>
  <c r="P3838" i="3"/>
  <c r="P3839" i="3"/>
  <c r="P3840" i="3"/>
  <c r="P3841" i="3"/>
  <c r="P3842" i="3"/>
  <c r="P3843" i="3"/>
  <c r="P3844" i="3"/>
  <c r="P3845" i="3"/>
  <c r="P3846" i="3"/>
  <c r="P3847" i="3"/>
  <c r="P3848" i="3"/>
  <c r="P3849" i="3"/>
  <c r="P3850" i="3"/>
  <c r="P3851" i="3"/>
  <c r="P3852" i="3"/>
  <c r="P3853" i="3"/>
  <c r="P3854" i="3"/>
  <c r="P3855" i="3"/>
  <c r="P3856" i="3"/>
  <c r="P3857" i="3"/>
  <c r="P3858" i="3"/>
  <c r="P3859" i="3"/>
  <c r="P3860" i="3"/>
  <c r="P3861" i="3"/>
  <c r="P3862" i="3"/>
  <c r="P3863" i="3"/>
  <c r="P3864" i="3"/>
  <c r="P3865" i="3"/>
  <c r="P3866" i="3"/>
  <c r="P3867" i="3"/>
  <c r="P3868" i="3"/>
  <c r="P3869" i="3"/>
  <c r="P3870" i="3"/>
  <c r="P3871" i="3"/>
  <c r="P3872" i="3"/>
  <c r="P3873" i="3"/>
  <c r="P3874" i="3"/>
  <c r="P3875" i="3"/>
  <c r="P3876" i="3"/>
  <c r="P3877" i="3"/>
  <c r="P3878" i="3"/>
  <c r="P3879" i="3"/>
  <c r="P3880" i="3"/>
  <c r="P3881" i="3"/>
  <c r="P3882" i="3"/>
  <c r="P3883" i="3"/>
  <c r="P3884" i="3"/>
  <c r="P3885" i="3"/>
  <c r="P3886" i="3"/>
  <c r="P3887" i="3"/>
  <c r="P3888" i="3"/>
  <c r="P3889" i="3"/>
  <c r="P3890" i="3"/>
  <c r="P3891" i="3"/>
  <c r="P3892" i="3"/>
  <c r="P3893" i="3"/>
  <c r="P3894" i="3"/>
  <c r="P3895" i="3"/>
  <c r="P3896" i="3"/>
  <c r="P3897" i="3"/>
  <c r="P3898" i="3"/>
  <c r="P3899" i="3"/>
  <c r="P3900" i="3"/>
  <c r="P3901" i="3"/>
  <c r="P3902" i="3"/>
  <c r="P3903" i="3"/>
  <c r="P3904" i="3"/>
  <c r="P3905" i="3"/>
  <c r="P3906" i="3"/>
  <c r="P3907" i="3"/>
  <c r="P3908" i="3"/>
  <c r="P3909" i="3"/>
  <c r="P3910" i="3"/>
  <c r="P3911" i="3"/>
  <c r="P3912" i="3"/>
  <c r="P3913" i="3"/>
  <c r="P3914" i="3"/>
  <c r="P3915" i="3"/>
  <c r="P3916" i="3"/>
  <c r="P3917" i="3"/>
  <c r="P3918" i="3"/>
  <c r="P3919" i="3"/>
  <c r="P3920" i="3"/>
  <c r="P3921" i="3"/>
  <c r="P3922" i="3"/>
  <c r="P3923" i="3"/>
  <c r="P3924" i="3"/>
  <c r="P3925" i="3"/>
  <c r="P3926" i="3"/>
  <c r="P3927" i="3"/>
  <c r="P3928" i="3"/>
  <c r="P3929" i="3"/>
  <c r="P3930" i="3"/>
  <c r="P3931" i="3"/>
  <c r="P3932" i="3"/>
  <c r="P3933" i="3"/>
  <c r="P3934" i="3"/>
  <c r="P3935" i="3"/>
  <c r="P3936" i="3"/>
  <c r="P3937" i="3"/>
  <c r="P3938" i="3"/>
  <c r="P3939" i="3"/>
  <c r="P3940" i="3"/>
  <c r="P3941" i="3"/>
  <c r="P3942" i="3"/>
  <c r="P3943" i="3"/>
  <c r="P3944" i="3"/>
  <c r="P3945" i="3"/>
  <c r="P3946" i="3"/>
  <c r="P3947" i="3"/>
  <c r="P3948" i="3"/>
  <c r="P3949" i="3"/>
  <c r="P3950" i="3"/>
  <c r="P3951" i="3"/>
  <c r="P3952" i="3"/>
  <c r="P3953" i="3"/>
  <c r="P3954" i="3"/>
  <c r="P3955" i="3"/>
  <c r="P3956" i="3"/>
  <c r="P3957" i="3"/>
  <c r="P3958" i="3"/>
  <c r="P3959" i="3"/>
  <c r="P3960" i="3"/>
  <c r="P3961" i="3"/>
  <c r="P3962" i="3"/>
  <c r="P3963" i="3"/>
  <c r="P3964" i="3"/>
  <c r="P3965" i="3"/>
  <c r="P3966" i="3"/>
  <c r="P3967" i="3"/>
  <c r="P3968" i="3"/>
  <c r="P3969" i="3"/>
  <c r="P3970" i="3"/>
  <c r="P3971" i="3"/>
  <c r="P3972" i="3"/>
  <c r="P3973" i="3"/>
  <c r="P3974" i="3"/>
  <c r="P3975" i="3"/>
  <c r="P3976" i="3"/>
  <c r="P3977" i="3"/>
  <c r="P3978" i="3"/>
  <c r="P3979" i="3"/>
  <c r="P3980" i="3"/>
  <c r="P3981" i="3"/>
  <c r="P3982" i="3"/>
  <c r="P3983" i="3"/>
  <c r="P3984" i="3"/>
  <c r="P3985" i="3"/>
  <c r="P3986" i="3"/>
  <c r="P3987" i="3"/>
  <c r="P3988" i="3"/>
  <c r="P3989" i="3"/>
  <c r="P3990" i="3"/>
  <c r="P3991" i="3"/>
  <c r="P3992" i="3"/>
  <c r="P3993" i="3"/>
  <c r="P3994" i="3"/>
  <c r="P3995" i="3"/>
  <c r="P3996" i="3"/>
  <c r="P3997" i="3"/>
  <c r="P3998" i="3"/>
  <c r="P3999" i="3"/>
  <c r="P4000" i="3"/>
  <c r="P4001" i="3"/>
  <c r="P4002" i="3"/>
  <c r="P4003" i="3"/>
  <c r="P4004" i="3"/>
  <c r="P4005" i="3"/>
  <c r="P4006" i="3"/>
  <c r="P4007" i="3"/>
  <c r="P4008" i="3"/>
  <c r="P4009" i="3"/>
  <c r="P4010" i="3"/>
  <c r="P4011" i="3"/>
  <c r="P4012" i="3"/>
  <c r="P4013" i="3"/>
  <c r="P4014" i="3"/>
  <c r="P4015" i="3"/>
  <c r="P4016" i="3"/>
  <c r="P4017" i="3"/>
  <c r="P4018" i="3"/>
  <c r="P4019" i="3"/>
  <c r="P4020" i="3"/>
  <c r="P4021" i="3"/>
  <c r="P4022" i="3"/>
  <c r="P4023" i="3"/>
  <c r="P4024" i="3"/>
  <c r="P4025" i="3"/>
  <c r="P4026" i="3"/>
  <c r="P4027" i="3"/>
  <c r="P4028" i="3"/>
  <c r="P4029" i="3"/>
  <c r="P4030" i="3"/>
  <c r="P4031" i="3"/>
  <c r="P4032" i="3"/>
  <c r="P4033" i="3"/>
  <c r="P4034" i="3"/>
  <c r="P4035" i="3"/>
  <c r="P4036" i="3"/>
  <c r="P4037" i="3"/>
  <c r="P4038" i="3"/>
  <c r="P4039" i="3"/>
  <c r="P4040" i="3"/>
  <c r="P4041" i="3"/>
  <c r="P4042" i="3"/>
  <c r="P4043" i="3"/>
  <c r="P4044" i="3"/>
  <c r="P4045" i="3"/>
  <c r="P4046" i="3"/>
  <c r="P4047" i="3"/>
  <c r="P4048" i="3"/>
  <c r="P4049" i="3"/>
  <c r="P4050" i="3"/>
  <c r="P4051" i="3"/>
  <c r="P4052" i="3"/>
  <c r="P4053" i="3"/>
  <c r="P4054" i="3"/>
  <c r="P4055" i="3"/>
  <c r="P4056" i="3"/>
  <c r="P4057" i="3"/>
  <c r="P4058" i="3"/>
  <c r="P4059" i="3"/>
  <c r="P4060" i="3"/>
  <c r="P4061" i="3"/>
  <c r="P4062" i="3"/>
  <c r="P4063" i="3"/>
  <c r="P4064" i="3"/>
  <c r="P4065" i="3"/>
  <c r="P4066" i="3"/>
  <c r="P4067" i="3"/>
  <c r="P4068" i="3"/>
  <c r="P4069" i="3"/>
  <c r="P4070" i="3"/>
  <c r="P4071" i="3"/>
  <c r="P4072" i="3"/>
  <c r="P4073" i="3"/>
  <c r="P4074" i="3"/>
  <c r="P4075" i="3"/>
  <c r="P4076" i="3"/>
  <c r="P4077" i="3"/>
  <c r="P4078" i="3"/>
  <c r="P4079" i="3"/>
  <c r="P4080" i="3"/>
  <c r="P4081" i="3"/>
  <c r="P4082" i="3"/>
  <c r="P4083" i="3"/>
  <c r="P4084" i="3"/>
  <c r="P4085" i="3"/>
  <c r="P4086" i="3"/>
  <c r="P4087" i="3"/>
  <c r="P4088" i="3"/>
  <c r="P4089" i="3"/>
  <c r="P4090" i="3"/>
  <c r="P4091" i="3"/>
  <c r="P4092" i="3"/>
  <c r="P4093" i="3"/>
  <c r="P4094" i="3"/>
  <c r="P4095" i="3"/>
  <c r="P4096" i="3"/>
  <c r="P4097" i="3"/>
  <c r="P4098" i="3"/>
  <c r="P4099" i="3"/>
  <c r="P4100" i="3"/>
  <c r="P4101" i="3"/>
  <c r="P4102" i="3"/>
  <c r="P4103" i="3"/>
  <c r="P4104" i="3"/>
  <c r="P4105" i="3"/>
  <c r="P4106" i="3"/>
  <c r="P4107" i="3"/>
  <c r="P4108" i="3"/>
  <c r="P4109" i="3"/>
  <c r="P4110" i="3"/>
  <c r="P4111" i="3"/>
  <c r="P4112" i="3"/>
  <c r="P4113" i="3"/>
  <c r="P4114" i="3"/>
  <c r="P4115" i="3"/>
  <c r="P4116" i="3"/>
  <c r="P4117" i="3"/>
  <c r="P4118" i="3"/>
  <c r="P4119" i="3"/>
  <c r="P4120" i="3"/>
  <c r="P4121" i="3"/>
  <c r="P4122" i="3"/>
  <c r="P4123" i="3"/>
  <c r="P4124" i="3"/>
  <c r="P4125" i="3"/>
  <c r="P4126" i="3"/>
  <c r="P4127" i="3"/>
  <c r="P4128" i="3"/>
  <c r="P4129" i="3"/>
  <c r="P4130" i="3"/>
  <c r="P4131" i="3"/>
  <c r="P4132" i="3"/>
  <c r="P4133" i="3"/>
  <c r="P4134" i="3"/>
  <c r="P4135" i="3"/>
  <c r="P4136" i="3"/>
  <c r="P4137" i="3"/>
  <c r="P4138" i="3"/>
  <c r="P4139" i="3"/>
  <c r="P4140" i="3"/>
  <c r="P4141" i="3"/>
  <c r="P4142" i="3"/>
  <c r="P4143" i="3"/>
  <c r="P4144" i="3"/>
  <c r="P4145" i="3"/>
  <c r="P4146" i="3"/>
  <c r="P4147" i="3"/>
  <c r="P4148" i="3"/>
  <c r="P4149" i="3"/>
  <c r="P4150" i="3"/>
  <c r="P4151" i="3"/>
  <c r="P4152" i="3"/>
  <c r="P4153" i="3"/>
  <c r="P4154" i="3"/>
  <c r="P4155" i="3"/>
  <c r="P4156" i="3"/>
  <c r="P4157" i="3"/>
  <c r="P4158" i="3"/>
  <c r="P4159" i="3"/>
  <c r="P4160" i="3"/>
  <c r="P4161" i="3"/>
  <c r="P4162" i="3"/>
  <c r="P4163" i="3"/>
  <c r="P4164" i="3"/>
  <c r="P4165" i="3"/>
  <c r="P4166" i="3"/>
  <c r="P4167" i="3"/>
  <c r="P4168" i="3"/>
  <c r="P4169" i="3"/>
  <c r="P4170" i="3"/>
  <c r="P4171" i="3"/>
  <c r="P4172" i="3"/>
  <c r="P4173" i="3"/>
  <c r="P4174" i="3"/>
  <c r="P4175" i="3"/>
  <c r="P4176" i="3"/>
  <c r="P4177" i="3"/>
  <c r="P4178" i="3"/>
  <c r="P4179" i="3"/>
  <c r="P4180" i="3"/>
  <c r="P4181" i="3"/>
  <c r="P4182" i="3"/>
  <c r="P4183" i="3"/>
  <c r="P4184" i="3"/>
  <c r="P4185" i="3"/>
  <c r="P4186" i="3"/>
  <c r="P4187" i="3"/>
  <c r="P4188" i="3"/>
  <c r="P4189" i="3"/>
  <c r="P4190" i="3"/>
  <c r="P4191" i="3"/>
  <c r="P4192" i="3"/>
  <c r="P4193" i="3"/>
  <c r="P4194" i="3"/>
  <c r="P4195" i="3"/>
  <c r="P4196" i="3"/>
  <c r="P4197" i="3"/>
  <c r="P4198" i="3"/>
  <c r="P4199" i="3"/>
  <c r="P4200" i="3"/>
  <c r="P4201" i="3"/>
  <c r="P4202" i="3"/>
  <c r="P4203" i="3"/>
  <c r="P4204" i="3"/>
  <c r="P4205" i="3"/>
  <c r="P4206" i="3"/>
  <c r="P4207" i="3"/>
  <c r="P4208" i="3"/>
  <c r="P4209" i="3"/>
  <c r="P4210" i="3"/>
  <c r="P4211" i="3"/>
  <c r="P4212" i="3"/>
  <c r="P4213" i="3"/>
  <c r="P4214" i="3"/>
  <c r="P4215" i="3"/>
  <c r="P4216" i="3"/>
  <c r="P4217" i="3"/>
  <c r="P4218" i="3"/>
  <c r="P4219" i="3"/>
  <c r="P4220" i="3"/>
  <c r="P4221" i="3"/>
  <c r="P4222" i="3"/>
  <c r="P4223" i="3"/>
  <c r="P4224" i="3"/>
  <c r="P4225" i="3"/>
  <c r="P4226" i="3"/>
  <c r="P4227" i="3"/>
  <c r="P4228" i="3"/>
  <c r="P4229" i="3"/>
  <c r="P4230" i="3"/>
  <c r="P4231" i="3"/>
  <c r="P4232" i="3"/>
  <c r="P4233" i="3"/>
  <c r="P4234" i="3"/>
  <c r="P4235" i="3"/>
  <c r="P4236" i="3"/>
  <c r="P4237" i="3"/>
  <c r="P4238" i="3"/>
  <c r="P4239" i="3"/>
  <c r="P4240" i="3"/>
  <c r="P4241" i="3"/>
  <c r="P4242" i="3"/>
  <c r="P4243" i="3"/>
  <c r="P4244" i="3"/>
  <c r="P4245" i="3"/>
  <c r="P4246" i="3"/>
  <c r="P4247" i="3"/>
  <c r="P4248" i="3"/>
  <c r="P4249" i="3"/>
  <c r="P4250" i="3"/>
  <c r="P4251" i="3"/>
  <c r="P4252" i="3"/>
  <c r="P4253" i="3"/>
  <c r="P4254" i="3"/>
  <c r="P4255" i="3"/>
  <c r="P4256" i="3"/>
  <c r="P4257" i="3"/>
  <c r="P4258" i="3"/>
  <c r="P4259" i="3"/>
  <c r="P4260" i="3"/>
  <c r="P4261" i="3"/>
  <c r="P4262" i="3"/>
  <c r="P4263" i="3"/>
  <c r="P4264" i="3"/>
  <c r="P4265" i="3"/>
  <c r="P4266" i="3"/>
  <c r="P4267" i="3"/>
  <c r="P4268" i="3"/>
  <c r="P4269" i="3"/>
  <c r="P4270" i="3"/>
  <c r="P4271" i="3"/>
  <c r="P4272" i="3"/>
  <c r="P4273" i="3"/>
  <c r="P4274" i="3"/>
  <c r="P4275" i="3"/>
  <c r="P4276" i="3"/>
  <c r="P4277" i="3"/>
  <c r="P4278" i="3"/>
  <c r="P4279" i="3"/>
  <c r="P4280" i="3"/>
  <c r="P4281" i="3"/>
  <c r="P4282" i="3"/>
  <c r="P4283" i="3"/>
  <c r="P4284" i="3"/>
  <c r="P4285" i="3"/>
  <c r="P4286" i="3"/>
  <c r="P4287" i="3"/>
  <c r="P4288" i="3"/>
  <c r="P4289" i="3"/>
  <c r="P4290" i="3"/>
  <c r="P4291" i="3"/>
  <c r="P4292" i="3"/>
  <c r="P4293" i="3"/>
  <c r="P4294" i="3"/>
  <c r="P4295" i="3"/>
  <c r="P4296" i="3"/>
  <c r="P4297" i="3"/>
  <c r="P4298" i="3"/>
  <c r="P4299" i="3"/>
  <c r="P4300" i="3"/>
  <c r="P4301" i="3"/>
  <c r="P4302" i="3"/>
  <c r="P4303" i="3"/>
  <c r="P4304" i="3"/>
  <c r="P4305" i="3"/>
  <c r="P4306" i="3"/>
  <c r="P4307" i="3"/>
  <c r="P4308" i="3"/>
  <c r="P4309" i="3"/>
  <c r="P4310" i="3"/>
  <c r="P4311" i="3"/>
  <c r="P4312" i="3"/>
  <c r="P4313" i="3"/>
  <c r="P4314" i="3"/>
  <c r="P4315" i="3"/>
  <c r="P4316" i="3"/>
  <c r="P4317" i="3"/>
  <c r="P4318" i="3"/>
  <c r="P4319" i="3"/>
  <c r="P4320" i="3"/>
  <c r="P4321" i="3"/>
  <c r="P4322" i="3"/>
  <c r="P4323" i="3"/>
  <c r="P4324" i="3"/>
  <c r="P4325" i="3"/>
  <c r="P4326" i="3"/>
  <c r="P4327" i="3"/>
  <c r="P4328" i="3"/>
  <c r="P4329" i="3"/>
  <c r="P4330" i="3"/>
  <c r="P4331" i="3"/>
  <c r="P4332" i="3"/>
  <c r="P4333" i="3"/>
  <c r="P4334" i="3"/>
  <c r="P4335" i="3"/>
  <c r="P4336" i="3"/>
  <c r="P4337" i="3"/>
  <c r="P4338" i="3"/>
  <c r="P4339" i="3"/>
  <c r="P4340" i="3"/>
  <c r="P4341" i="3"/>
  <c r="P4342" i="3"/>
  <c r="P4343" i="3"/>
  <c r="P4344" i="3"/>
  <c r="P4345" i="3"/>
  <c r="P4346" i="3"/>
  <c r="P4347" i="3"/>
  <c r="P4348" i="3"/>
  <c r="P4349" i="3"/>
  <c r="P4350" i="3"/>
  <c r="P4351" i="3"/>
  <c r="P4352" i="3"/>
  <c r="P4353" i="3"/>
  <c r="P4354" i="3"/>
  <c r="P4355" i="3"/>
  <c r="P4356" i="3"/>
  <c r="P4357" i="3"/>
  <c r="P4358" i="3"/>
  <c r="P4359" i="3"/>
  <c r="P4360" i="3"/>
  <c r="P4361" i="3"/>
  <c r="P4362" i="3"/>
  <c r="P4363" i="3"/>
  <c r="P4364" i="3"/>
  <c r="P4365" i="3"/>
  <c r="P4366" i="3"/>
  <c r="P4367" i="3"/>
  <c r="P4368" i="3"/>
  <c r="P4369" i="3"/>
  <c r="P4370" i="3"/>
  <c r="P4371" i="3"/>
  <c r="P4372" i="3"/>
  <c r="P4373" i="3"/>
  <c r="P4374" i="3"/>
  <c r="P4375" i="3"/>
  <c r="P4376" i="3"/>
  <c r="P4377" i="3"/>
  <c r="P4378" i="3"/>
  <c r="P4379" i="3"/>
  <c r="P4380" i="3"/>
  <c r="P4381" i="3"/>
  <c r="P4382" i="3"/>
  <c r="P4383" i="3"/>
  <c r="P4384" i="3"/>
  <c r="P4385" i="3"/>
  <c r="P4386" i="3"/>
  <c r="P4387" i="3"/>
  <c r="P4388" i="3"/>
  <c r="P4389" i="3"/>
  <c r="P4390" i="3"/>
  <c r="P4391" i="3"/>
  <c r="P4392" i="3"/>
  <c r="P4393" i="3"/>
  <c r="P4394" i="3"/>
  <c r="P4395" i="3"/>
  <c r="P4396" i="3"/>
  <c r="P4397" i="3"/>
  <c r="P4398" i="3"/>
  <c r="P4399" i="3"/>
  <c r="P4400" i="3"/>
  <c r="P4401" i="3"/>
  <c r="P4402" i="3"/>
  <c r="P4403" i="3"/>
  <c r="P4404" i="3"/>
  <c r="P4405" i="3"/>
  <c r="P4406" i="3"/>
  <c r="P4407" i="3"/>
  <c r="P4408" i="3"/>
  <c r="P4409" i="3"/>
  <c r="P4410" i="3"/>
  <c r="P4411" i="3"/>
  <c r="P4412" i="3"/>
  <c r="P4413" i="3"/>
  <c r="P4414" i="3"/>
  <c r="P4415" i="3"/>
  <c r="P4416" i="3"/>
  <c r="P4417" i="3"/>
  <c r="P4418" i="3"/>
  <c r="P4419" i="3"/>
  <c r="P4420" i="3"/>
  <c r="P4421" i="3"/>
  <c r="P4422" i="3"/>
  <c r="P4423" i="3"/>
  <c r="P4424" i="3"/>
  <c r="P4425" i="3"/>
  <c r="P4426" i="3"/>
  <c r="P4427" i="3"/>
  <c r="P4428" i="3"/>
  <c r="P4429" i="3"/>
  <c r="P4430" i="3"/>
  <c r="P4431" i="3"/>
  <c r="P4432" i="3"/>
  <c r="P4433" i="3"/>
  <c r="P4434" i="3"/>
  <c r="P4435" i="3"/>
  <c r="P4436" i="3"/>
  <c r="P4437" i="3"/>
  <c r="P4438" i="3"/>
  <c r="P4439" i="3"/>
  <c r="P4440" i="3"/>
  <c r="P4441" i="3"/>
  <c r="P4442" i="3"/>
  <c r="P4443" i="3"/>
  <c r="P4444" i="3"/>
  <c r="P4445" i="3"/>
  <c r="P4446" i="3"/>
  <c r="P4447" i="3"/>
  <c r="P4448" i="3"/>
  <c r="P4449" i="3"/>
  <c r="P4450" i="3"/>
  <c r="P4451" i="3"/>
  <c r="P4452" i="3"/>
  <c r="P4453" i="3"/>
  <c r="P4454" i="3"/>
  <c r="P4455" i="3"/>
  <c r="P4456" i="3"/>
  <c r="P4458" i="3"/>
  <c r="P4459" i="3"/>
  <c r="P4460" i="3"/>
  <c r="P4461" i="3"/>
  <c r="P4462" i="3"/>
  <c r="P4463" i="3"/>
  <c r="P4464" i="3"/>
  <c r="P4465" i="3"/>
  <c r="P4466" i="3"/>
  <c r="P4467" i="3"/>
  <c r="P4468" i="3"/>
  <c r="P4469" i="3"/>
  <c r="P4470" i="3"/>
  <c r="P4471" i="3"/>
  <c r="P4472" i="3"/>
  <c r="P4473" i="3"/>
  <c r="P4474" i="3"/>
  <c r="P4475" i="3"/>
  <c r="P4476" i="3"/>
  <c r="P4477" i="3"/>
  <c r="P4478" i="3"/>
  <c r="P4479" i="3"/>
  <c r="P4480" i="3"/>
  <c r="P4481" i="3"/>
  <c r="P4482" i="3"/>
  <c r="P4483" i="3"/>
  <c r="P4484" i="3"/>
  <c r="P4485" i="3"/>
  <c r="P4486" i="3"/>
  <c r="P4487" i="3"/>
  <c r="P4488" i="3"/>
  <c r="P4489" i="3"/>
  <c r="P4490" i="3"/>
  <c r="P4491" i="3"/>
  <c r="P4492" i="3"/>
  <c r="P4493" i="3"/>
  <c r="P4494" i="3"/>
  <c r="P4495" i="3"/>
  <c r="P4496" i="3"/>
  <c r="P4497" i="3"/>
  <c r="P4498" i="3"/>
  <c r="P4499" i="3"/>
  <c r="P4500" i="3"/>
  <c r="P4501" i="3"/>
  <c r="P4502" i="3"/>
  <c r="P4503" i="3"/>
  <c r="P4504" i="3"/>
  <c r="P4505" i="3"/>
  <c r="P4506" i="3"/>
  <c r="P4507" i="3"/>
  <c r="P4508" i="3"/>
  <c r="P4509" i="3"/>
  <c r="P4510" i="3"/>
  <c r="P4511" i="3"/>
  <c r="P4512" i="3"/>
  <c r="P4513" i="3"/>
  <c r="P4514" i="3"/>
  <c r="P4515" i="3"/>
  <c r="P4516" i="3"/>
  <c r="P4517" i="3"/>
  <c r="P4518" i="3"/>
  <c r="P4519" i="3"/>
  <c r="P4520" i="3"/>
  <c r="P4521" i="3"/>
  <c r="P4522" i="3"/>
  <c r="P4523" i="3"/>
  <c r="P4524" i="3"/>
  <c r="P4525" i="3"/>
  <c r="P4526" i="3"/>
  <c r="P4527" i="3"/>
  <c r="P4528" i="3"/>
  <c r="P4529" i="3"/>
  <c r="P4530" i="3"/>
  <c r="P4531" i="3"/>
  <c r="P4532" i="3"/>
  <c r="P4533" i="3"/>
  <c r="P4534" i="3"/>
  <c r="P4535" i="3"/>
  <c r="P4536" i="3"/>
  <c r="P4537" i="3"/>
  <c r="P4538" i="3"/>
  <c r="P4539" i="3"/>
  <c r="P4540" i="3"/>
  <c r="P4541" i="3"/>
  <c r="P4542" i="3"/>
  <c r="P4543" i="3"/>
  <c r="P4544" i="3"/>
  <c r="P4545" i="3"/>
  <c r="P4546" i="3"/>
  <c r="P4547" i="3"/>
  <c r="P4548" i="3"/>
  <c r="P4549" i="3"/>
  <c r="P4550" i="3"/>
  <c r="P4551" i="3"/>
  <c r="P4552" i="3"/>
  <c r="P4553" i="3"/>
  <c r="P4554" i="3"/>
  <c r="P4555" i="3"/>
  <c r="P4556" i="3"/>
  <c r="P4557" i="3"/>
  <c r="P4558" i="3"/>
  <c r="P4559" i="3"/>
  <c r="P4560" i="3"/>
  <c r="P4561" i="3"/>
  <c r="P4562" i="3"/>
  <c r="P4563" i="3"/>
  <c r="P4564" i="3"/>
  <c r="P4565" i="3"/>
  <c r="P4566" i="3"/>
  <c r="P4567" i="3"/>
  <c r="P4568" i="3"/>
  <c r="P4569" i="3"/>
  <c r="P4570" i="3"/>
  <c r="P4571" i="3"/>
  <c r="P4572" i="3"/>
  <c r="P4573" i="3"/>
  <c r="P4574" i="3"/>
  <c r="P4575" i="3"/>
  <c r="P4576" i="3"/>
  <c r="P4577" i="3"/>
  <c r="P4578" i="3"/>
  <c r="P4579" i="3"/>
  <c r="P4580" i="3"/>
  <c r="P4581" i="3"/>
  <c r="P4582" i="3"/>
  <c r="P4583" i="3"/>
  <c r="P4584" i="3"/>
  <c r="P4585" i="3"/>
  <c r="P4586" i="3"/>
  <c r="P4587" i="3"/>
  <c r="P4588" i="3"/>
  <c r="P4589" i="3"/>
  <c r="P4590" i="3"/>
  <c r="P4591" i="3"/>
  <c r="P4592" i="3"/>
  <c r="P4593" i="3"/>
  <c r="P4594" i="3"/>
  <c r="P4595" i="3"/>
  <c r="P4596" i="3"/>
  <c r="P4597" i="3"/>
  <c r="P4598" i="3"/>
  <c r="P4599" i="3"/>
  <c r="P4600" i="3"/>
  <c r="P4601" i="3"/>
  <c r="P4602" i="3"/>
  <c r="P4603" i="3"/>
  <c r="P4604" i="3"/>
  <c r="P4605" i="3"/>
  <c r="P4606" i="3"/>
  <c r="P4607" i="3"/>
  <c r="P4608" i="3"/>
  <c r="P4609" i="3"/>
  <c r="P4610" i="3"/>
  <c r="P4611" i="3"/>
  <c r="P4612" i="3"/>
  <c r="P4613" i="3"/>
  <c r="P4614" i="3"/>
  <c r="P4615" i="3"/>
  <c r="P4616" i="3"/>
  <c r="P4617" i="3"/>
  <c r="P4618" i="3"/>
  <c r="P4619" i="3"/>
  <c r="P4620" i="3"/>
  <c r="P4621" i="3"/>
  <c r="P4622" i="3"/>
  <c r="P4623" i="3"/>
  <c r="P4624" i="3"/>
  <c r="P4625" i="3"/>
  <c r="P4626" i="3"/>
  <c r="P4627" i="3"/>
  <c r="P4628" i="3"/>
  <c r="P4629" i="3"/>
  <c r="P4630" i="3"/>
  <c r="P4631" i="3"/>
  <c r="P4632" i="3"/>
  <c r="P4633" i="3"/>
  <c r="P4634" i="3"/>
  <c r="P4635" i="3"/>
  <c r="P4636" i="3"/>
  <c r="P4637" i="3"/>
  <c r="P4638" i="3"/>
  <c r="P4639" i="3"/>
  <c r="P4640" i="3"/>
  <c r="P4641" i="3"/>
  <c r="P4642" i="3"/>
  <c r="P4643" i="3"/>
  <c r="P4644" i="3"/>
  <c r="P4645" i="3"/>
  <c r="P4646" i="3"/>
  <c r="P4647" i="3"/>
  <c r="P4648" i="3"/>
  <c r="P4649" i="3"/>
  <c r="P4650" i="3"/>
  <c r="P4651" i="3"/>
  <c r="P4652" i="3"/>
  <c r="P4653" i="3"/>
  <c r="P4654" i="3"/>
  <c r="P4655" i="3"/>
  <c r="P4656" i="3"/>
  <c r="P4657" i="3"/>
  <c r="P4658" i="3"/>
  <c r="P4659" i="3"/>
  <c r="P4660" i="3"/>
  <c r="P4661" i="3"/>
  <c r="P4662" i="3"/>
  <c r="P4663" i="3"/>
  <c r="P4664" i="3"/>
  <c r="P4665" i="3"/>
  <c r="P4666" i="3"/>
  <c r="P4667" i="3"/>
  <c r="P4668" i="3"/>
  <c r="P2" i="3"/>
  <c r="C769" i="1"/>
  <c r="C768" i="1"/>
  <c r="C767" i="1"/>
  <c r="C766" i="1"/>
  <c r="C765" i="1"/>
  <c r="C763" i="1"/>
  <c r="C762" i="1"/>
  <c r="C761" i="1"/>
  <c r="C760" i="1"/>
  <c r="C759" i="1"/>
  <c r="C758" i="1"/>
  <c r="C756" i="1"/>
  <c r="C755" i="1"/>
  <c r="C751" i="1"/>
  <c r="C750" i="1"/>
  <c r="C749" i="1"/>
  <c r="C748" i="1"/>
  <c r="C747" i="1"/>
  <c r="C741" i="1"/>
  <c r="C740" i="1"/>
  <c r="C735" i="1"/>
  <c r="C733" i="1"/>
  <c r="C732" i="1"/>
  <c r="C728" i="1"/>
  <c r="C726" i="1"/>
  <c r="C725" i="1"/>
  <c r="C722" i="1"/>
  <c r="C721" i="1"/>
  <c r="C720" i="1"/>
  <c r="C719" i="1"/>
  <c r="C714" i="1"/>
  <c r="C713" i="1"/>
  <c r="C711" i="1"/>
  <c r="C709" i="1"/>
  <c r="C708" i="1"/>
  <c r="C707" i="1"/>
  <c r="C705" i="1"/>
  <c r="C703" i="1"/>
  <c r="C702" i="1"/>
  <c r="C701" i="1"/>
  <c r="C698" i="1"/>
  <c r="C697" i="1"/>
  <c r="C696" i="1"/>
  <c r="C695" i="1"/>
  <c r="C693" i="1"/>
  <c r="C692" i="1"/>
  <c r="C691" i="1"/>
  <c r="C690" i="1"/>
  <c r="C688" i="1"/>
  <c r="C686" i="1"/>
  <c r="C685" i="1"/>
  <c r="C683" i="1"/>
  <c r="C682" i="1"/>
  <c r="C681" i="1"/>
  <c r="C679" i="1"/>
  <c r="C677" i="1"/>
  <c r="C676" i="1"/>
  <c r="C674" i="1"/>
  <c r="C673" i="1"/>
  <c r="C672" i="1"/>
  <c r="C671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2" i="1"/>
  <c r="C651" i="1"/>
  <c r="C650" i="1"/>
  <c r="C649" i="1"/>
  <c r="C648" i="1"/>
  <c r="C647" i="1"/>
  <c r="C646" i="1"/>
  <c r="C645" i="1"/>
  <c r="C644" i="1"/>
  <c r="C638" i="1"/>
  <c r="C635" i="1"/>
  <c r="C633" i="1"/>
  <c r="C632" i="1"/>
  <c r="C631" i="1"/>
  <c r="C630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0" i="1"/>
  <c r="C609" i="1"/>
  <c r="C608" i="1"/>
  <c r="C607" i="1"/>
  <c r="C603" i="1"/>
  <c r="C602" i="1"/>
  <c r="C601" i="1"/>
  <c r="C599" i="1"/>
  <c r="C597" i="1"/>
  <c r="C595" i="1"/>
  <c r="C593" i="1"/>
  <c r="C591" i="1"/>
  <c r="C590" i="1"/>
  <c r="C589" i="1"/>
  <c r="C588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7" i="1"/>
  <c r="C555" i="1"/>
  <c r="C554" i="1"/>
  <c r="C553" i="1"/>
  <c r="C552" i="1"/>
  <c r="C551" i="1"/>
  <c r="C550" i="1"/>
  <c r="C549" i="1"/>
  <c r="C547" i="1"/>
  <c r="C546" i="1"/>
  <c r="C545" i="1"/>
  <c r="C542" i="1"/>
  <c r="C541" i="1"/>
  <c r="C540" i="1"/>
  <c r="C539" i="1"/>
  <c r="C538" i="1"/>
  <c r="C537" i="1"/>
  <c r="C535" i="1"/>
  <c r="C533" i="1"/>
  <c r="C532" i="1"/>
  <c r="C530" i="1"/>
  <c r="C529" i="1"/>
  <c r="C528" i="1"/>
  <c r="C527" i="1"/>
  <c r="C526" i="1"/>
  <c r="C525" i="1"/>
  <c r="C524" i="1"/>
  <c r="C521" i="1"/>
  <c r="C516" i="1"/>
  <c r="C514" i="1"/>
  <c r="C513" i="1"/>
  <c r="C510" i="1"/>
  <c r="C509" i="1"/>
  <c r="C508" i="1"/>
  <c r="C505" i="1"/>
  <c r="C504" i="1"/>
  <c r="C503" i="1"/>
  <c r="C500" i="1"/>
  <c r="C499" i="1"/>
  <c r="C497" i="1"/>
  <c r="C496" i="1"/>
  <c r="C493" i="1"/>
  <c r="C492" i="1"/>
  <c r="C491" i="1"/>
  <c r="C490" i="1"/>
  <c r="C489" i="1"/>
  <c r="C488" i="1"/>
  <c r="C487" i="1"/>
  <c r="C486" i="1"/>
  <c r="C484" i="1"/>
  <c r="C483" i="1"/>
  <c r="C482" i="1"/>
  <c r="C481" i="1"/>
  <c r="C480" i="1"/>
  <c r="C479" i="1"/>
  <c r="C478" i="1"/>
  <c r="C477" i="1"/>
  <c r="C476" i="1"/>
  <c r="C475" i="1"/>
  <c r="C474" i="1"/>
  <c r="C472" i="1"/>
  <c r="C471" i="1"/>
  <c r="C469" i="1"/>
  <c r="C468" i="1"/>
  <c r="C465" i="1"/>
  <c r="C463" i="1"/>
  <c r="C460" i="1"/>
  <c r="C459" i="1"/>
  <c r="C458" i="1"/>
  <c r="C457" i="1"/>
  <c r="C455" i="1"/>
  <c r="C453" i="1"/>
  <c r="C450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8" i="1"/>
  <c r="C406" i="1"/>
  <c r="C402" i="1"/>
  <c r="C401" i="1"/>
  <c r="C400" i="1"/>
  <c r="C399" i="1"/>
  <c r="C397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73" i="1"/>
  <c r="C372" i="1"/>
  <c r="C371" i="1"/>
  <c r="C370" i="1"/>
  <c r="C369" i="1"/>
  <c r="C367" i="1"/>
  <c r="C364" i="1"/>
  <c r="C360" i="1"/>
  <c r="C359" i="1"/>
  <c r="C358" i="1"/>
  <c r="C357" i="1"/>
  <c r="C354" i="1"/>
  <c r="C353" i="1"/>
  <c r="C347" i="1"/>
  <c r="C346" i="1"/>
  <c r="C344" i="1"/>
  <c r="C343" i="1"/>
  <c r="C342" i="1"/>
  <c r="C340" i="1"/>
  <c r="C339" i="1"/>
  <c r="C338" i="1"/>
  <c r="C336" i="1"/>
  <c r="C334" i="1"/>
  <c r="C333" i="1"/>
  <c r="C330" i="1"/>
  <c r="C329" i="1"/>
  <c r="C328" i="1"/>
  <c r="C327" i="1"/>
  <c r="C326" i="1"/>
  <c r="C322" i="1"/>
  <c r="C321" i="1"/>
  <c r="C319" i="1"/>
  <c r="C318" i="1"/>
  <c r="C249" i="1"/>
  <c r="C244" i="1"/>
  <c r="C243" i="1"/>
  <c r="C240" i="1"/>
  <c r="C239" i="1"/>
  <c r="C235" i="1"/>
  <c r="C234" i="1"/>
  <c r="C233" i="1"/>
  <c r="C232" i="1"/>
  <c r="C231" i="1"/>
  <c r="E7" i="1"/>
  <c r="F84" i="1"/>
  <c r="E84" i="1"/>
  <c r="F87" i="1"/>
  <c r="E87" i="1"/>
  <c r="D569" i="1"/>
  <c r="B320" i="1"/>
  <c r="C320" i="1" s="1"/>
  <c r="B307" i="1"/>
  <c r="B308" i="1"/>
  <c r="B309" i="1"/>
  <c r="B310" i="1"/>
  <c r="B306" i="1"/>
  <c r="B289" i="1"/>
  <c r="C289" i="1" s="1"/>
  <c r="B287" i="1"/>
  <c r="C287" i="1" s="1"/>
  <c r="B286" i="1"/>
  <c r="C286" i="1" s="1"/>
  <c r="B247" i="1"/>
  <c r="C247" i="1" s="1"/>
  <c r="B248" i="1"/>
  <c r="C248" i="1" s="1"/>
  <c r="B246" i="1"/>
  <c r="C246" i="1" s="1"/>
  <c r="F224" i="1"/>
  <c r="E224" i="1"/>
  <c r="C128" i="1"/>
  <c r="C160" i="1"/>
  <c r="C159" i="1"/>
  <c r="C154" i="1"/>
  <c r="C152" i="1"/>
  <c r="C137" i="1"/>
  <c r="C134" i="1"/>
  <c r="C129" i="1"/>
  <c r="C126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F98" i="1"/>
  <c r="E99" i="1"/>
  <c r="F99" i="1"/>
  <c r="E100" i="1"/>
  <c r="F100" i="1"/>
  <c r="E101" i="1"/>
  <c r="F101" i="1"/>
  <c r="E102" i="1"/>
  <c r="F102" i="1"/>
  <c r="E103" i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F75" i="1"/>
  <c r="E75" i="1"/>
  <c r="F74" i="1"/>
  <c r="E74" i="1"/>
  <c r="F72" i="1"/>
  <c r="E72" i="1"/>
  <c r="F71" i="1"/>
  <c r="E71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F88" i="1"/>
  <c r="E88" i="1"/>
  <c r="F85" i="1"/>
  <c r="E85" i="1"/>
  <c r="F76" i="1"/>
  <c r="E76" i="1"/>
  <c r="F73" i="1"/>
  <c r="E73" i="1"/>
  <c r="E62" i="1"/>
  <c r="F62" i="1"/>
  <c r="E63" i="1"/>
  <c r="F63" i="1"/>
  <c r="E64" i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F61" i="1"/>
  <c r="E61" i="1"/>
  <c r="F60" i="1"/>
  <c r="E60" i="1"/>
  <c r="E43" i="1"/>
  <c r="F43" i="1"/>
  <c r="E44" i="1"/>
  <c r="F44" i="1"/>
  <c r="E45" i="1"/>
  <c r="F45" i="1"/>
  <c r="E46" i="1"/>
  <c r="F46" i="1"/>
  <c r="E47" i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F42" i="1"/>
  <c r="E42" i="1"/>
  <c r="F41" i="1"/>
  <c r="E41" i="1"/>
  <c r="E15" i="1"/>
  <c r="F15" i="1"/>
  <c r="E16" i="1"/>
  <c r="F16" i="1"/>
  <c r="E17" i="1"/>
  <c r="F17" i="1"/>
  <c r="E18" i="1"/>
  <c r="F18" i="1"/>
  <c r="E19" i="1"/>
  <c r="F19" i="1"/>
  <c r="E20" i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F14" i="1"/>
  <c r="E14" i="1"/>
  <c r="E5" i="1"/>
  <c r="F5" i="1"/>
  <c r="E6" i="1"/>
  <c r="F6" i="1"/>
  <c r="E8" i="1"/>
  <c r="F8" i="1"/>
  <c r="E9" i="1"/>
  <c r="F9" i="1"/>
  <c r="E10" i="1"/>
  <c r="F10" i="1"/>
  <c r="E11" i="1"/>
  <c r="F11" i="1"/>
  <c r="E12" i="1"/>
  <c r="F12" i="1"/>
  <c r="F4" i="1"/>
  <c r="E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tc={F4DAA56C-E144-41A2-9750-B4DA9B36D9C8}</author>
    <author>Stephen Richard</author>
  </authors>
  <commentList>
    <comment ref="A1" authorId="0" shapeId="0" xr:uid="{F4DAA56C-E144-41A2-9750-B4DA9B36D9C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distinct geological_age,age_min,age_max,age_unit from sample 
order by geological_age
From Legacy SESAR 20241209</t>
      </text>
    </comment>
    <comment ref="E1" authorId="1" shapeId="0" xr:uid="{E99F9B9D-ABB9-49AA-ADA0-3F94F8E2D900}">
      <text>
        <r>
          <rPr>
            <b/>
            <sz val="9"/>
            <color indexed="81"/>
            <rFont val="Tahoma"/>
            <family val="2"/>
          </rPr>
          <t>Stephen Richard:</t>
        </r>
        <r>
          <rPr>
            <sz val="9"/>
            <color indexed="81"/>
            <rFont val="Tahoma"/>
            <family val="2"/>
          </rPr>
          <t xml:space="preserve">
=IFERROR(INDEX(geologic_time_scale.csv!$A$2:$C$179,MATCH(G2,geologic_time_scale.csv!$C$2:$C$179,FALSE),1),"")</t>
        </r>
      </text>
    </comment>
  </commentList>
</comments>
</file>

<file path=xl/sharedStrings.xml><?xml version="1.0" encoding="utf-8"?>
<sst xmlns="http://schemas.openxmlformats.org/spreadsheetml/2006/main" count="30828" uniqueCount="962">
  <si>
    <t>geological_age</t>
  </si>
  <si>
    <t>~148</t>
  </si>
  <si>
    <t>~50 Ma (Eocene)</t>
  </si>
  <si>
    <t>1084 Â± 5 Ma</t>
  </si>
  <si>
    <t>1466 Â± 17 maximum depositional age</t>
  </si>
  <si>
    <t>1798 Â± 24 (a maximum depositional age)</t>
  </si>
  <si>
    <t>288.17 Â± 0.78</t>
  </si>
  <si>
    <t>288.44 Â± 0.70</t>
  </si>
  <si>
    <t>29.0 +/- 0.5 Ma</t>
  </si>
  <si>
    <t>29.24 +/- 0.08 Ma</t>
  </si>
  <si>
    <t>3600 yr BP</t>
  </si>
  <si>
    <t>382.7-393.3 Ma</t>
  </si>
  <si>
    <t>4 years</t>
  </si>
  <si>
    <t>Aeronian</t>
  </si>
  <si>
    <t>AGE : cccc;ABSOLUTE_AGE_TOP : aaaaa;ABSOLUTE_AGE_BOT : bbbb</t>
  </si>
  <si>
    <t>AGE : unknown</t>
  </si>
  <si>
    <t>AGE : unknown;ABSOLUTE_AGE_TOP : xxx;ABSOLUTE_AGE_BOT : ttt</t>
  </si>
  <si>
    <t>Albian</t>
  </si>
  <si>
    <t>Albian-Cenomanian</t>
  </si>
  <si>
    <t xml:space="preserve">Albian-Cenomanian </t>
  </si>
  <si>
    <t xml:space="preserve">Albian </t>
  </si>
  <si>
    <t>all</t>
  </si>
  <si>
    <t>Anisian - Ladinian</t>
  </si>
  <si>
    <t>Anthropocene</t>
  </si>
  <si>
    <t>Anthropocene/Holocene</t>
  </si>
  <si>
    <t>ANTHROPOCENE/HOLOCENE</t>
  </si>
  <si>
    <t>Aquitanian</t>
  </si>
  <si>
    <t>Aquitanian-Burdigalian</t>
  </si>
  <si>
    <t>Archaean</t>
  </si>
  <si>
    <t>Archean</t>
  </si>
  <si>
    <t>Archean, Neoarchean</t>
  </si>
  <si>
    <t>base Eocene</t>
  </si>
  <si>
    <t>base Paleocene</t>
  </si>
  <si>
    <t>Brookian</t>
  </si>
  <si>
    <t>Burdigalian</t>
  </si>
  <si>
    <t>Callovian-Oxfordian</t>
  </si>
  <si>
    <t xml:space="preserve">Callovian-Oxfordian </t>
  </si>
  <si>
    <t>Cambrian</t>
  </si>
  <si>
    <t>Cambrian-Ordovician</t>
  </si>
  <si>
    <t>Cambrian-Ordovician?</t>
  </si>
  <si>
    <t>Cambrian &gt; Lower/Early</t>
  </si>
  <si>
    <t>Cambrian &gt; Lower/Early to Ordovician &gt; Lower/Early</t>
  </si>
  <si>
    <t>Cambrian &gt; Lower/Early to Proterozoic &gt; Lower/Early</t>
  </si>
  <si>
    <t>Cambrian &gt; Lower/Early to Proterozoic &gt; Upper/Late</t>
  </si>
  <si>
    <t>Cambrian &gt; Middle</t>
  </si>
  <si>
    <t>Cambrian Era</t>
  </si>
  <si>
    <t>Cambrian to Ordovician</t>
  </si>
  <si>
    <t>Cambrian to Silurian</t>
  </si>
  <si>
    <t>Cambrian to Tertiary</t>
  </si>
  <si>
    <t>Cambrian, Oligocene, or Miocene</t>
  </si>
  <si>
    <t>Cambrian?</t>
  </si>
  <si>
    <t>Cambro-Ordovician</t>
  </si>
  <si>
    <t>Campanian</t>
  </si>
  <si>
    <t>Campanian-Maastrichtian</t>
  </si>
  <si>
    <t>Carboniferous</t>
  </si>
  <si>
    <t>Carboniferous &gt; Silesian &gt; Westphalian</t>
  </si>
  <si>
    <t>Carboniferous to Permian</t>
  </si>
  <si>
    <t>Carboniferous, Mississippian</t>
  </si>
  <si>
    <t>Carnian</t>
  </si>
  <si>
    <t>Cenozoic</t>
  </si>
  <si>
    <t>Cenozoic (uncertain)</t>
  </si>
  <si>
    <t>Cenozoic &gt; Neogene</t>
  </si>
  <si>
    <t>Cenozoic &gt; Quaternary &gt; Pleistocene</t>
  </si>
  <si>
    <t>Cenozoic &gt; Tertiary &gt; Eocene</t>
  </si>
  <si>
    <t>Cenozoic &gt; Tertiary &gt; Miocene</t>
  </si>
  <si>
    <t>Cenozoic &gt; Tertiary &gt; Miocene to Cenozoic &gt; Tertiary &gt; Pliocene</t>
  </si>
  <si>
    <t>Cenozoic &gt; Tertiary &gt; Oligocene</t>
  </si>
  <si>
    <t>Cenozoic, Paleogene</t>
  </si>
  <si>
    <t>Cenozoic&gt;Neogene</t>
  </si>
  <si>
    <t>Cenozoic&gt;Neogene&gt;Miocene</t>
  </si>
  <si>
    <t>Cenozoic&gt;Neogene&gt;Miocene&gt;Early Miocene</t>
  </si>
  <si>
    <t>Cenozoic&gt;Neogene&gt;Miocene&gt;Late Miocene</t>
  </si>
  <si>
    <t>Cenozoic&gt;Neogene&gt;Miocene&gt;Late Miocene&gt;Messinian</t>
  </si>
  <si>
    <t>Cenozoic&gt;Neogene&gt;Miocene&gt;Middle Miocene</t>
  </si>
  <si>
    <t>Cenozoic&gt;Neogene&gt;Miocene&gt;Middle Miocene&gt;Langhian</t>
  </si>
  <si>
    <t>Cenozoic&gt;Neogene&gt;Pliocene</t>
  </si>
  <si>
    <t>Cenozoic&gt;Neogene&gt;Pliocene&gt;Zanclean</t>
  </si>
  <si>
    <t>Cenozoic&gt;Paleogene</t>
  </si>
  <si>
    <t>Cenozoic&gt;Paleogene&gt;Eocene</t>
  </si>
  <si>
    <t>Cenozoic&gt;Paleogene&gt;Eocene&gt;Early Eocene</t>
  </si>
  <si>
    <t>Cenozoic&gt;Paleogene&gt;Eocene&gt;Early Eocene&gt;Ypresian</t>
  </si>
  <si>
    <t>Cenozoic&gt;Paleogene&gt;Eocene&gt;Late Eocene</t>
  </si>
  <si>
    <t>Cenozoic&gt;Paleogene&gt;Eocene&gt;Late Eocene&gt;Priabonian</t>
  </si>
  <si>
    <t>Cenozoic&gt;Paleogene&gt;Eocene&gt;Middle Eocene</t>
  </si>
  <si>
    <t>Cenozoic&gt;Paleogene&gt;Oligocene</t>
  </si>
  <si>
    <t>Cenozoic&gt;Paleogene&gt;Paleocene</t>
  </si>
  <si>
    <t>Cenozoic&gt;Paleogene&gt;Paleocene&gt;Early Paleocene</t>
  </si>
  <si>
    <t>Cenozoic&gt;Paleogene&gt;Paleocene&gt;Late Paleocene&gt;Thanetian</t>
  </si>
  <si>
    <t>Cenozoic&gt;Paleogene&gt;Paleocene&gt;Middle Paleocene</t>
  </si>
  <si>
    <t>Cenozoic&gt;Quaternary</t>
  </si>
  <si>
    <t>Cenozoic&gt;Quaternary&gt;Holocene</t>
  </si>
  <si>
    <t>Cenozoic&gt;Quaternary&gt;Pleistocene</t>
  </si>
  <si>
    <t>Cenozoic&gt;Quaternary&gt;Pleistocene&gt;Calabrian</t>
  </si>
  <si>
    <t>Ceonomanian-Turonian?</t>
  </si>
  <si>
    <t>Chattian-Aquitanian</t>
  </si>
  <si>
    <t>Cisuralian</t>
  </si>
  <si>
    <t>Contaminated</t>
  </si>
  <si>
    <t>Creataceous</t>
  </si>
  <si>
    <t>cretaceous</t>
  </si>
  <si>
    <t>Cretaceous</t>
  </si>
  <si>
    <t xml:space="preserve">Cretaceous </t>
  </si>
  <si>
    <t>Cretaceous - Barremian/Aptian</t>
  </si>
  <si>
    <t>Cretaceous - Tertiary</t>
  </si>
  <si>
    <t>Cretaceous (turbidites)</t>
  </si>
  <si>
    <t>Cretaceous (uncertain)</t>
  </si>
  <si>
    <t>Cretaceous (uncertain) Reworked (uncertain)</t>
  </si>
  <si>
    <t>Cretaceous &gt; Lower/Early</t>
  </si>
  <si>
    <t>Cretaceous &gt; Lower/Early &gt; Albian</t>
  </si>
  <si>
    <t>Cretaceous &gt; Lower/Early &gt; Albian to Cretaceous &gt; Upper/Late &gt; Cenomanian</t>
  </si>
  <si>
    <t>Cretaceous &gt; Lower/Early &gt; Aptian</t>
  </si>
  <si>
    <t>Cretaceous &gt; Lower/Early &gt; Aptian to Cretaceous &gt; Upper/Late &gt; Cenomanian</t>
  </si>
  <si>
    <t>Cretaceous &gt; Lower/Early to Neogene &gt; Miocene</t>
  </si>
  <si>
    <t>Cretaceous &gt; Upper/Late</t>
  </si>
  <si>
    <t>Cretaceous &gt; Upper/Late &gt; Campanian</t>
  </si>
  <si>
    <t>Cretaceous &gt; Upper/Late &gt; Campanian to Cretaceous &gt; Upper/Late &gt; Maastrichtian</t>
  </si>
  <si>
    <t>Cretaceous &gt; Upper/Late &gt; Cenomanian</t>
  </si>
  <si>
    <t>Cretaceous &gt; Upper/Late &gt; Cenomanian-Coniacian</t>
  </si>
  <si>
    <t>Cretaceous &gt; Upper/Late &gt; Coniacian</t>
  </si>
  <si>
    <t>Cretaceous &gt; Upper/Late &gt; Maastrichtian</t>
  </si>
  <si>
    <t>Cretaceous &gt; Upper/Late &gt; Santonian</t>
  </si>
  <si>
    <t>Cretaceous &gt; Upper/Late &gt; Turonian</t>
  </si>
  <si>
    <t>Cretaceous &gt; Upper/Late to Paleogene &gt; Eocene</t>
  </si>
  <si>
    <t>Cretaceous &gt; Upper/Late to Paleogene &gt; Paleocene</t>
  </si>
  <si>
    <t>Cretaceous 83+/-1.1 Ma 40Ar/39Ar on biotite. Abstract only</t>
  </si>
  <si>
    <t>Cretaceous inferred</t>
  </si>
  <si>
    <t>Cretaceous met'm?</t>
  </si>
  <si>
    <t>Cretaceous reworked (uncertain)</t>
  </si>
  <si>
    <t>Cretaceous to Jurassic</t>
  </si>
  <si>
    <t>Cretaceous to Tertiary</t>
  </si>
  <si>
    <t>Cretaceous(uncertain)</t>
  </si>
  <si>
    <t>Cretaceous, Albian</t>
  </si>
  <si>
    <t>Cretaceous, Albian?</t>
  </si>
  <si>
    <t>Cretaceous, Campanian</t>
  </si>
  <si>
    <t>Cretaceous, Campanian?</t>
  </si>
  <si>
    <t>Cretaceous, Cenomanian</t>
  </si>
  <si>
    <t>Cretaceous, Cenomanian-Turonian</t>
  </si>
  <si>
    <t>Cretaceous, Cenomanian or Turonian</t>
  </si>
  <si>
    <t>Cretaceous, Late Campanian</t>
  </si>
  <si>
    <t>Cretaceous, Santonian?</t>
  </si>
  <si>
    <t>Cretaceous, Upper Turonian</t>
  </si>
  <si>
    <t>cretaceous/paleogene</t>
  </si>
  <si>
    <t>Cretaceous/Paleogene</t>
  </si>
  <si>
    <t>Cretaceuous</t>
  </si>
  <si>
    <t>Cryogenian</t>
  </si>
  <si>
    <t>Cryogenian-Ediacaran</t>
  </si>
  <si>
    <t>Danian</t>
  </si>
  <si>
    <t>Dapingian</t>
  </si>
  <si>
    <t>Darriwilian</t>
  </si>
  <si>
    <t>Desmoinesian</t>
  </si>
  <si>
    <t>Dev-Miss</t>
  </si>
  <si>
    <t>Dev-Miss?</t>
  </si>
  <si>
    <t>Devonian</t>
  </si>
  <si>
    <t xml:space="preserve">Devonian </t>
  </si>
  <si>
    <t>Devonian &gt; Lower/Early</t>
  </si>
  <si>
    <t>Devonian &gt; Middle</t>
  </si>
  <si>
    <t>Devonian &gt; Upper/Late</t>
  </si>
  <si>
    <t>Devonian to Mississippian</t>
  </si>
  <si>
    <t>Devonian/Mississippian</t>
  </si>
  <si>
    <t>Devonian?</t>
  </si>
  <si>
    <t>Earliest Permian?</t>
  </si>
  <si>
    <t>Early-Middle Triassic</t>
  </si>
  <si>
    <t>early Archean</t>
  </si>
  <si>
    <t>Early Cambrian</t>
  </si>
  <si>
    <t>early Cretaceous</t>
  </si>
  <si>
    <t>Early Cretaceous</t>
  </si>
  <si>
    <t xml:space="preserve">Early Cretaceous </t>
  </si>
  <si>
    <t>Early Cretaceous?</t>
  </si>
  <si>
    <t>Early Eocene</t>
  </si>
  <si>
    <t>Early Eocene, Ypresioan (Wasatchian?)</t>
  </si>
  <si>
    <t xml:space="preserve">Early Eocene, Ypresioan (Wasatchian?) </t>
  </si>
  <si>
    <t>Early Holocene</t>
  </si>
  <si>
    <t>Early Jurassic</t>
  </si>
  <si>
    <t>early Miocene</t>
  </si>
  <si>
    <t>Early Miocene</t>
  </si>
  <si>
    <t>Early Norian</t>
  </si>
  <si>
    <t>Early Norian, Triassic</t>
  </si>
  <si>
    <t>Early Paleozoic</t>
  </si>
  <si>
    <t>early Permian</t>
  </si>
  <si>
    <t>Early Permian</t>
  </si>
  <si>
    <t>Early Pleistocene</t>
  </si>
  <si>
    <t>Early Pliocene</t>
  </si>
  <si>
    <t>early Proterozoic</t>
  </si>
  <si>
    <t>Ediacaran</t>
  </si>
  <si>
    <t>Ediacaran?</t>
  </si>
  <si>
    <t>Ediacarran? Or Devonian?</t>
  </si>
  <si>
    <t>Eifelian</t>
  </si>
  <si>
    <t>Emsian</t>
  </si>
  <si>
    <t>Emsian (Late Devonian)</t>
  </si>
  <si>
    <t>Eocene</t>
  </si>
  <si>
    <t>Eocene--Miocene</t>
  </si>
  <si>
    <t>Eocene--Oligocene</t>
  </si>
  <si>
    <t>Eocene-Oligocene</t>
  </si>
  <si>
    <t>Eocene -mixed ages</t>
  </si>
  <si>
    <t>Eocene (uncertain)</t>
  </si>
  <si>
    <t>Eocene (uncertain) or contamination</t>
  </si>
  <si>
    <t>Eocene contamination</t>
  </si>
  <si>
    <t>Eocene or younger</t>
  </si>
  <si>
    <t>Eocene probably</t>
  </si>
  <si>
    <t>Eocene(uncertain)</t>
  </si>
  <si>
    <t>Eocene/Oligocene or 
contamination</t>
  </si>
  <si>
    <t>Eocene?</t>
  </si>
  <si>
    <t>Eocne</t>
  </si>
  <si>
    <t>Famennian</t>
  </si>
  <si>
    <t>Famennian-Tournaisian (Late Devonian-Early Carboniferous)</t>
  </si>
  <si>
    <t>Famennian (Late Devonian)</t>
  </si>
  <si>
    <t>Floian</t>
  </si>
  <si>
    <t>Frasnian</t>
  </si>
  <si>
    <t>Furongian</t>
  </si>
  <si>
    <t>Givetian</t>
  </si>
  <si>
    <t>Guzhangian</t>
  </si>
  <si>
    <t>Hettangian (Jurassic)</t>
  </si>
  <si>
    <t>Historic</t>
  </si>
  <si>
    <t>holocene</t>
  </si>
  <si>
    <t>Holocene</t>
  </si>
  <si>
    <t>HOLOCENE</t>
  </si>
  <si>
    <t>Holocene-Pleistocene</t>
  </si>
  <si>
    <t>Holocene-Tertiary</t>
  </si>
  <si>
    <t>Homerian</t>
  </si>
  <si>
    <t>Hoocene</t>
  </si>
  <si>
    <t>Jiangshanian</t>
  </si>
  <si>
    <t>Juassic</t>
  </si>
  <si>
    <t>Jurassic</t>
  </si>
  <si>
    <t>Jurassic- Cretaceous (?)</t>
  </si>
  <si>
    <t>Jurassic-Triassic</t>
  </si>
  <si>
    <t>Jurassicâ€“Cretaceous</t>
  </si>
  <si>
    <t>Jurassic &gt; Lower/Early</t>
  </si>
  <si>
    <t>Jurassic &gt; Middle</t>
  </si>
  <si>
    <t>Jurassic &gt; Upper/Late</t>
  </si>
  <si>
    <t>Jurassic &gt; Upper/Late &gt; Kimmeridgian</t>
  </si>
  <si>
    <t>Jurassic &gt; Upper/Late &gt; Oxfordian</t>
  </si>
  <si>
    <t>Jurassic or Cretaceous?</t>
  </si>
  <si>
    <t>Jurassic to Cretaceous</t>
  </si>
  <si>
    <t>Jurassic, Pliensbachian</t>
  </si>
  <si>
    <t>Jurassic, Sinemurian</t>
  </si>
  <si>
    <t>Jurassic/Cretaceous</t>
  </si>
  <si>
    <t>Jurassic?</t>
  </si>
  <si>
    <t>Jurrasic and Pennsylvanian</t>
  </si>
  <si>
    <t>Katian</t>
  </si>
  <si>
    <t>Katian, Pirgu Regional Stage</t>
  </si>
  <si>
    <t>Kimmeridgian</t>
  </si>
  <si>
    <t>Kimmeridgian-Tithonian</t>
  </si>
  <si>
    <t xml:space="preserve">Kimmeridgian </t>
  </si>
  <si>
    <t>Last Interglacial</t>
  </si>
  <si>
    <t>late Archean</t>
  </si>
  <si>
    <t>Late Cambrian - Early Ordovician</t>
  </si>
  <si>
    <t>late Cretaceous</t>
  </si>
  <si>
    <t>Late Cretaceous</t>
  </si>
  <si>
    <t>Late Cretaceous-Eocene</t>
  </si>
  <si>
    <t>Late Cretaceous-Eocene?</t>
  </si>
  <si>
    <t>Late Cretaceousâ€“Eocene</t>
  </si>
  <si>
    <t>Late Cretaceous or Eocene?</t>
  </si>
  <si>
    <t>late Cretaceous/ late Oligocene</t>
  </si>
  <si>
    <t>Late Cretaceous?</t>
  </si>
  <si>
    <t>Late Devonian</t>
  </si>
  <si>
    <t>Late Devonian - Early Carboniferous</t>
  </si>
  <si>
    <t>Late Devonian and Early Mississippian</t>
  </si>
  <si>
    <t>Late Eocene</t>
  </si>
  <si>
    <t>late Holocene</t>
  </si>
  <si>
    <t>Late Jurassic</t>
  </si>
  <si>
    <t>Late K</t>
  </si>
  <si>
    <t>Late Miocene</t>
  </si>
  <si>
    <t>late Oligocene or younger</t>
  </si>
  <si>
    <t>Late or Middle Cretaceous</t>
  </si>
  <si>
    <t>Late Ordovician</t>
  </si>
  <si>
    <t>Late Ordovician-Early Silurian (?)</t>
  </si>
  <si>
    <t>Late Ordovician - Silurian</t>
  </si>
  <si>
    <t>late Paleocene inferred</t>
  </si>
  <si>
    <t xml:space="preserve">Late Paleocene, Clarkforkian </t>
  </si>
  <si>
    <t>late Pleistocene</t>
  </si>
  <si>
    <t>Late Pleistocene</t>
  </si>
  <si>
    <t>Late Pliocene</t>
  </si>
  <si>
    <t>late Proterozoic</t>
  </si>
  <si>
    <t>Late Triassic</t>
  </si>
  <si>
    <t>Late Triassic/Early Jurassic</t>
  </si>
  <si>
    <t>latest Miocene-Quaternary</t>
  </si>
  <si>
    <t>lower-mid Paleocene</t>
  </si>
  <si>
    <t>Lower-Middle Devonian</t>
  </si>
  <si>
    <t xml:space="preserve">Lower-Middle Devonian </t>
  </si>
  <si>
    <t>Lower-Middle Jurassic</t>
  </si>
  <si>
    <t xml:space="preserve">Lower-Middle Jurassic </t>
  </si>
  <si>
    <t>Lower Aptian</t>
  </si>
  <si>
    <t xml:space="preserve">Lower Aptian </t>
  </si>
  <si>
    <t>Lower Cambrian</t>
  </si>
  <si>
    <t>Lower Campanian</t>
  </si>
  <si>
    <t>Lower Carboniferous</t>
  </si>
  <si>
    <t>Lower Cretaceous</t>
  </si>
  <si>
    <t>Lower Devonian</t>
  </si>
  <si>
    <t>Lower Eocene</t>
  </si>
  <si>
    <t>Lower Jurassic</t>
  </si>
  <si>
    <t>Lower Jurassic?</t>
  </si>
  <si>
    <t>Lower Mississippian</t>
  </si>
  <si>
    <t>Lower Ordovician</t>
  </si>
  <si>
    <t>Lower Paleocene</t>
  </si>
  <si>
    <t>Lower Pennsylvanian</t>
  </si>
  <si>
    <t>Lower Pleistocene</t>
  </si>
  <si>
    <t>Lower Pliestocene</t>
  </si>
  <si>
    <t>lower Pliocene</t>
  </si>
  <si>
    <t>Lower to Middle ordovician</t>
  </si>
  <si>
    <t>Lower to Upper Cretaceous</t>
  </si>
  <si>
    <t>lowermost Cretaceous</t>
  </si>
  <si>
    <t>Ludlow</t>
  </si>
  <si>
    <t>Lutetian</t>
  </si>
  <si>
    <t>Lutetian-Bartonian</t>
  </si>
  <si>
    <t>Ma</t>
  </si>
  <si>
    <t>Maastricht-Danian</t>
  </si>
  <si>
    <t>Maastrichtian</t>
  </si>
  <si>
    <t>Maastrichtian-Danian</t>
  </si>
  <si>
    <t>Mesoarchean</t>
  </si>
  <si>
    <t>Mesoarchean to Neoarchean</t>
  </si>
  <si>
    <t>Mesoproterozoic</t>
  </si>
  <si>
    <t>Mesozoic</t>
  </si>
  <si>
    <t>MESOZOIC</t>
  </si>
  <si>
    <t>Mesozoic?</t>
  </si>
  <si>
    <t>Mesozoic&gt;Cretaceous</t>
  </si>
  <si>
    <t>Mesozoic&gt;Cretaceous&gt;Early Cretaceous</t>
  </si>
  <si>
    <t>Mesozoic&gt;Cretaceous&gt;Early Cretaceous&gt;Albian</t>
  </si>
  <si>
    <t>Mesozoic&gt;Cretaceous&gt;Early Cretaceous&gt;Aptian</t>
  </si>
  <si>
    <t>Mesozoic&gt;Cretaceous&gt;Early Cretaceous&gt;Barremian</t>
  </si>
  <si>
    <t>Mesozoic&gt;Cretaceous&gt;Early Cretaceous&gt;Berriasian</t>
  </si>
  <si>
    <t>Mesozoic&gt;Cretaceous&gt;Late Cretaceous</t>
  </si>
  <si>
    <t>Mesozoic&gt;Cretaceous&gt;Late Cretaceous&gt;Campanian</t>
  </si>
  <si>
    <t>Mesozoic&gt;Cretaceous&gt;Late Cretaceous&gt;Cenomanian</t>
  </si>
  <si>
    <t>Mesozoic&gt;Cretaceous&gt;Late Cretaceous&gt;Coniacian</t>
  </si>
  <si>
    <t>Mesozoic&gt;Cretaceous&gt;Late Cretaceous&gt;Maastrichtian</t>
  </si>
  <si>
    <t>Mesozoic&gt;Cretaceous&gt;Late Cretaceous&gt;Turonian</t>
  </si>
  <si>
    <t>Mesozoic&gt;Jurassic</t>
  </si>
  <si>
    <t>Mesozoic&gt;Jurassic&gt;Early Jurassic</t>
  </si>
  <si>
    <t>Mesozoic&gt;Jurassic&gt;Early Jurassic&gt;Pliensbachian</t>
  </si>
  <si>
    <t>Mesozoic&gt;Jurassic&gt;Early Jurassic&gt;Sinemurian</t>
  </si>
  <si>
    <t>Mesozoic&gt;Jurassic&gt;Early Jurassic&gt;Toarcian</t>
  </si>
  <si>
    <t>Mesozoic&gt;Jurassic&gt;Late Jurassic</t>
  </si>
  <si>
    <t>Mesozoic&gt;Jurassic&gt;Late Jurassic&gt;Kimmeridgian</t>
  </si>
  <si>
    <t>Mesozoic&gt;Jurassic&gt;Late Jurassic&gt;Oxfordian</t>
  </si>
  <si>
    <t>Mesozoic&gt;Jurassic&gt;Late Jurassic&gt;Tithonian</t>
  </si>
  <si>
    <t>Mesozoic&gt;Jurassic&gt;Middle Jurassic</t>
  </si>
  <si>
    <t>Mesozoic&gt;Jurassic&gt;Middle Jurassic&gt;Aalenian</t>
  </si>
  <si>
    <t>Mesozoic&gt;Jurassic&gt;Middle Jurassic&gt;Bajocian</t>
  </si>
  <si>
    <t>Mesozoic&gt;Jurassic&gt;Middle Jurassic&gt;Bathonian</t>
  </si>
  <si>
    <t>Mesozoic&gt;Triassic</t>
  </si>
  <si>
    <t>Mesozoic&gt;Triassic&gt;Early Triassic</t>
  </si>
  <si>
    <t>Mesozoic&gt;Triassic&gt;Late Triassic</t>
  </si>
  <si>
    <t>Mesozoic&gt;Triassic&gt;Late Triassic&gt;Rhaetian</t>
  </si>
  <si>
    <t>Mesozoic&gt;Triassic&gt;Middle Triassic&gt;Anisian</t>
  </si>
  <si>
    <t>Mesozoic&gt;Triassic&gt;Middle Triassic&gt;Ladinian</t>
  </si>
  <si>
    <t>Mesproterozoic?</t>
  </si>
  <si>
    <t>mid-Cretaceous</t>
  </si>
  <si>
    <t>Mid-to-Late Miocene</t>
  </si>
  <si>
    <t>Mid Cambrian</t>
  </si>
  <si>
    <t>Mid Miocene</t>
  </si>
  <si>
    <t>middle-Early Pliocene</t>
  </si>
  <si>
    <t>Middle-Late Ordovician</t>
  </si>
  <si>
    <t>Middle-Lower Ordovician</t>
  </si>
  <si>
    <t>middle-Pliocene</t>
  </si>
  <si>
    <t>middle-upper Miocene</t>
  </si>
  <si>
    <t>middle Archean</t>
  </si>
  <si>
    <t>Middle Cambrian</t>
  </si>
  <si>
    <t>Middle Campanian</t>
  </si>
  <si>
    <t>Middle Devonian</t>
  </si>
  <si>
    <t xml:space="preserve">Middle Devonian </t>
  </si>
  <si>
    <t>Middle Devonian, 382.7-393.3 Ma</t>
  </si>
  <si>
    <t>middle Eocene</t>
  </si>
  <si>
    <t>Middle Eocene</t>
  </si>
  <si>
    <t>Middle Jurassic</t>
  </si>
  <si>
    <t>Middle Late Miocene</t>
  </si>
  <si>
    <t>Middle Lutetian</t>
  </si>
  <si>
    <t>middle Miocene</t>
  </si>
  <si>
    <t>Middle Miocene</t>
  </si>
  <si>
    <t>Middle Mississippian</t>
  </si>
  <si>
    <t>Middle Ordovician</t>
  </si>
  <si>
    <t>Middle Ordovician to Cambrian</t>
  </si>
  <si>
    <t>Middle Pennsylvanian</t>
  </si>
  <si>
    <t>middle Pleist</t>
  </si>
  <si>
    <t>Middle to Upper Jurassic</t>
  </si>
  <si>
    <t>Middle Triassic, Anisian</t>
  </si>
  <si>
    <t>Miocence</t>
  </si>
  <si>
    <t>Miocene</t>
  </si>
  <si>
    <t>Miocene--Pliocene</t>
  </si>
  <si>
    <t>Miocene- Pliocene</t>
  </si>
  <si>
    <t>Miocene-Pliocene</t>
  </si>
  <si>
    <t>Miocene (Serravallian)</t>
  </si>
  <si>
    <t>Miocene (uncertain)</t>
  </si>
  <si>
    <t>Miocene or younger</t>
  </si>
  <si>
    <t>MIOCENE to HOLOCENE</t>
  </si>
  <si>
    <t>Miocene, Burdigalian</t>
  </si>
  <si>
    <t>Miocene/Oligocene</t>
  </si>
  <si>
    <t>MIS 5.5; Quaternary</t>
  </si>
  <si>
    <t>MIS 5e</t>
  </si>
  <si>
    <t>MIS 5e?</t>
  </si>
  <si>
    <t>MIS4</t>
  </si>
  <si>
    <t>MIS7</t>
  </si>
  <si>
    <t>Mississippian</t>
  </si>
  <si>
    <t>Mississippian &gt; Lower/Early</t>
  </si>
  <si>
    <t>Mississippian &gt; Upper/Late</t>
  </si>
  <si>
    <t>Mississippian or Cretaceous?</t>
  </si>
  <si>
    <t>Mississippian to Pennsylvanian</t>
  </si>
  <si>
    <t>Mississippian, Arnsbergian</t>
  </si>
  <si>
    <t>Mississippian, Pendleian</t>
  </si>
  <si>
    <t>Mississippian, Permian</t>
  </si>
  <si>
    <t>Mississippian?</t>
  </si>
  <si>
    <t>Missourian</t>
  </si>
  <si>
    <t>mixed ages</t>
  </si>
  <si>
    <t>mixed Eocene &amp; Oligocene</t>
  </si>
  <si>
    <t>modern</t>
  </si>
  <si>
    <t>Modern</t>
  </si>
  <si>
    <t>Modern (Mesoproterozoic detritus)</t>
  </si>
  <si>
    <t>Namurian (middle Carboniferous)</t>
  </si>
  <si>
    <t>Neo-Mesoproterozoic</t>
  </si>
  <si>
    <t>Neoarchean</t>
  </si>
  <si>
    <t>Neogene</t>
  </si>
  <si>
    <t>Neogene &gt; Miocene</t>
  </si>
  <si>
    <t>Neogene &gt; Miocene &gt; Lower/Early</t>
  </si>
  <si>
    <t>Neogene &gt; Miocene to Neogene &gt; Pliocene</t>
  </si>
  <si>
    <t>Neogene &gt; Pleistocene</t>
  </si>
  <si>
    <t>Neogene &gt; Pliocene</t>
  </si>
  <si>
    <t>Neogene &gt; Pliocene to Quaternary &gt; Pleistocene</t>
  </si>
  <si>
    <t>Neoproterozoic</t>
  </si>
  <si>
    <t>Neoproterozoic-Cambrian</t>
  </si>
  <si>
    <t>Neoproterozoic-Paleozoic</t>
  </si>
  <si>
    <t>Norian/Rhaetian (Triassic)</t>
  </si>
  <si>
    <t>Not Applicable</t>
  </si>
  <si>
    <t>Oligocene</t>
  </si>
  <si>
    <t>Oligocene--Miocene</t>
  </si>
  <si>
    <t>Oligocene-Miocene</t>
  </si>
  <si>
    <t>Oligocene (uncertain)</t>
  </si>
  <si>
    <t>Oligocene probably</t>
  </si>
  <si>
    <t>Oligocene(uncertain)</t>
  </si>
  <si>
    <t>Ordovician</t>
  </si>
  <si>
    <t xml:space="preserve">Ordovician </t>
  </si>
  <si>
    <t>Ordovician ?</t>
  </si>
  <si>
    <t>Ordovician &gt; Lower/Early</t>
  </si>
  <si>
    <t>Ordovician &gt; Lower/Early to Proterozoic &gt; Upper/Late</t>
  </si>
  <si>
    <t>Ordovician &gt; Middle</t>
  </si>
  <si>
    <t>Ordovician &gt; Upper/Late</t>
  </si>
  <si>
    <t>Ordovician &gt; Upper/Late to Cambrian &gt; Lower/Early</t>
  </si>
  <si>
    <t>Ordovician Era</t>
  </si>
  <si>
    <t>Ordovician/Silurian</t>
  </si>
  <si>
    <t>Paibian</t>
  </si>
  <si>
    <t>Palaeozoic</t>
  </si>
  <si>
    <t>Paleoarchaean</t>
  </si>
  <si>
    <t>Paleoarchean</t>
  </si>
  <si>
    <t>Paleocdene</t>
  </si>
  <si>
    <t>Paleocene</t>
  </si>
  <si>
    <t>Paleocene-Eocene</t>
  </si>
  <si>
    <t>Paleocene-lower Eocene</t>
  </si>
  <si>
    <t>Paleocene (uncertain)</t>
  </si>
  <si>
    <t>Paleocene(uncertain)</t>
  </si>
  <si>
    <t>Paleocene(uncertain) inferred</t>
  </si>
  <si>
    <t>Paleocene/Eocene</t>
  </si>
  <si>
    <t>Paleogene</t>
  </si>
  <si>
    <t>Paleogene-Oligocene?</t>
  </si>
  <si>
    <t>Paleogene &gt; Eocene</t>
  </si>
  <si>
    <t>Paleogene &gt; Eocene &gt; Lower/Early</t>
  </si>
  <si>
    <t>Paleogene &gt; Eocene to Paleogene &gt; Oligocene</t>
  </si>
  <si>
    <t>Paleogene &gt; Oligocene</t>
  </si>
  <si>
    <t>Paleogene &gt; Oligocene &gt; Upper/Late</t>
  </si>
  <si>
    <t>Paleogene &gt; Oligocene to Neogene &gt; Miocene</t>
  </si>
  <si>
    <t>Paleogene &gt; Paleocene</t>
  </si>
  <si>
    <t>Paleogene &gt; Paleocene to Cretaceous &gt; Upper/Late &gt; Maastrichtian</t>
  </si>
  <si>
    <t>Paleogene &gt; Paleocene to Paleogene &gt; Eocene</t>
  </si>
  <si>
    <t>Paleoproterozoic</t>
  </si>
  <si>
    <t>Paleozoic</t>
  </si>
  <si>
    <t xml:space="preserve">Paleozoic </t>
  </si>
  <si>
    <t>Paleozoic &gt; Cambrian</t>
  </si>
  <si>
    <t>Paleozoic &gt; Permian</t>
  </si>
  <si>
    <t>Paleozoic&gt;Cambrian</t>
  </si>
  <si>
    <t>Paleozoic&gt;Cambrian&gt;Terreneuvian</t>
  </si>
  <si>
    <t>Paleozoic&gt;Carboniferous</t>
  </si>
  <si>
    <t>Paleozoic&gt;Carboniferous&gt;Mississippian</t>
  </si>
  <si>
    <t>Paleozoic&gt;Carboniferous&gt;Mississippian&gt;Tournaisian</t>
  </si>
  <si>
    <t>Paleozoic&gt;Carboniferous&gt;Mississippian&gt;Visean</t>
  </si>
  <si>
    <t>Paleozoic&gt;Carboniferous&gt;Pennsylvanian</t>
  </si>
  <si>
    <t>Paleozoic&gt;Devonian</t>
  </si>
  <si>
    <t>Paleozoic&gt;Devonian&gt;Early Devonian</t>
  </si>
  <si>
    <t>Paleozoic&gt;Devonian&gt;Late Devonian</t>
  </si>
  <si>
    <t>Paleozoic&gt;Devonian&gt;Late Devonian&gt;Famennian</t>
  </si>
  <si>
    <t>Paleozoic&gt;Devonian&gt;Middle Devonian</t>
  </si>
  <si>
    <t>Paleozoic&gt;Ordovician</t>
  </si>
  <si>
    <t>Paleozoic&gt;Ordovician&gt;Early Ordovician</t>
  </si>
  <si>
    <t>Paleozoic&gt;Ordovician&gt;Late Ordovician</t>
  </si>
  <si>
    <t>Paleozoic&gt;Ordovician&gt;Middle Ordovician</t>
  </si>
  <si>
    <t>Paleozoic&gt;Permian</t>
  </si>
  <si>
    <t>Paleozoic&gt;Permian&gt;Early Permian&gt;Artinskian</t>
  </si>
  <si>
    <t>Paleozoic&gt;Permian&gt;Early Permian&gt;Kungurian</t>
  </si>
  <si>
    <t>Paleozoic&gt;Permian&gt;Middle Permian</t>
  </si>
  <si>
    <t>Paleozoic&gt;Silurian</t>
  </si>
  <si>
    <t>Paleozoic&gt;Silurian&gt;Early Silurian</t>
  </si>
  <si>
    <t>Paleozoic&gt;Silurian&gt;Late Silurian</t>
  </si>
  <si>
    <t>Penn</t>
  </si>
  <si>
    <t>Penn, Desmoinesian</t>
  </si>
  <si>
    <t>Pennsylvanian</t>
  </si>
  <si>
    <t>Pennsylvanian &gt; Lower/Early</t>
  </si>
  <si>
    <t>Pennsylvanian to Permian</t>
  </si>
  <si>
    <t>Pennsylvanian, Bolsovian</t>
  </si>
  <si>
    <t>Pennsylvanian, Duckmantian</t>
  </si>
  <si>
    <t>Pennsylvanian, Langsettian</t>
  </si>
  <si>
    <t>Pennsylvanian/Mississippian</t>
  </si>
  <si>
    <t>Permian</t>
  </si>
  <si>
    <t>Permian-Jurassic</t>
  </si>
  <si>
    <t>Permian &gt; Upper/Late</t>
  </si>
  <si>
    <t>Permian and/or Triassic?</t>
  </si>
  <si>
    <t>Permian met'm</t>
  </si>
  <si>
    <t>Permian met?</t>
  </si>
  <si>
    <t>Permian or Jurassic met.?</t>
  </si>
  <si>
    <t>Permian to Jurassic</t>
  </si>
  <si>
    <t>Permian to Pennsylvanian</t>
  </si>
  <si>
    <t>Permian to Triassic</t>
  </si>
  <si>
    <t>Permian, Capitanian</t>
  </si>
  <si>
    <t>Permian, Changhsingian</t>
  </si>
  <si>
    <t>Permian, Lower</t>
  </si>
  <si>
    <t>Permian?</t>
  </si>
  <si>
    <t>Permo-Carboniferous</t>
  </si>
  <si>
    <t>Permo-Triassic</t>
  </si>
  <si>
    <t xml:space="preserve">Permo-Triassic </t>
  </si>
  <si>
    <t>Permo-triassic; alpine metamorphism</t>
  </si>
  <si>
    <t>Permoâ€“Carboniferous</t>
  </si>
  <si>
    <t>Phanerozoic&gt;Cenozoic&gt;Miocene</t>
  </si>
  <si>
    <t>Phanerozoic&gt;Mesozoic&gt;Cretaceous</t>
  </si>
  <si>
    <t>Phanerozoic&gt;Mesozoic&gt;Cretaceous&gt;Danian</t>
  </si>
  <si>
    <t>Phanerozoic&gt;Mesozoic&gt;Cretaceous&gt;Maastrichtian</t>
  </si>
  <si>
    <t>Phanerozoic&gt;Mesozoic&gt;Devonian&gt;Famennian</t>
  </si>
  <si>
    <t>Phanerozoic&gt;Mesozoic&gt;Devonian&gt;Frasnian</t>
  </si>
  <si>
    <t>Phanerozoic&gt;Mesozoic&gt;Jurassic</t>
  </si>
  <si>
    <t>Phanerozoic&gt;Mesozoic&gt;Paleogene&gt;Maastrichtian</t>
  </si>
  <si>
    <t>Phanerozoic&gt;Paleogene&gt;Miocene</t>
  </si>
  <si>
    <t>Phanerozoic&gt;Paleozoic&gt;Devonian&gt;Famennian</t>
  </si>
  <si>
    <t>Phanerozoic&gt;Paleozoic&gt;Devonian&gt;Frasnian</t>
  </si>
  <si>
    <t>Phanerozoic&gt;Paleozoic&gt;Ordovician</t>
  </si>
  <si>
    <t>Pleistocene</t>
  </si>
  <si>
    <t>Pleistocene-Holocene</t>
  </si>
  <si>
    <t>Pleistocene-Q1dd1</t>
  </si>
  <si>
    <t xml:space="preserve">Pleistocene </t>
  </si>
  <si>
    <t>Pleistocene (Eemian)</t>
  </si>
  <si>
    <t>Pleistocene (uncertain)</t>
  </si>
  <si>
    <t>Pleistocene and Holocene</t>
  </si>
  <si>
    <t>Pleistocene(uncertain)</t>
  </si>
  <si>
    <t>Plio-Pleistocene</t>
  </si>
  <si>
    <t>Plio-Quaternary</t>
  </si>
  <si>
    <t>Pliocene</t>
  </si>
  <si>
    <t>Pliocene-Miocene</t>
  </si>
  <si>
    <t>Pliocene-Pleist</t>
  </si>
  <si>
    <t>Pliocene-pleistocene</t>
  </si>
  <si>
    <t>Pliocene-Pleistocene</t>
  </si>
  <si>
    <t>Pliocene-Quaternary</t>
  </si>
  <si>
    <t>Pliocene (uncertain)</t>
  </si>
  <si>
    <t>Pliocene early</t>
  </si>
  <si>
    <t>Pliocene(uncertain)</t>
  </si>
  <si>
    <t>Pliocene?</t>
  </si>
  <si>
    <t>Portlandian</t>
  </si>
  <si>
    <t>Pragian</t>
  </si>
  <si>
    <t>Precambrian</t>
  </si>
  <si>
    <t>Precambrian-?Paleoproterozoic</t>
  </si>
  <si>
    <t>Precambrian Era</t>
  </si>
  <si>
    <t>Precambrian to Ordovician</t>
  </si>
  <si>
    <t>Precambrian, Keweenawan</t>
  </si>
  <si>
    <t>Precambrian?</t>
  </si>
  <si>
    <t>Precambrian&gt;Archean</t>
  </si>
  <si>
    <t>Precambrian&gt;Archean&gt;Neoarchean</t>
  </si>
  <si>
    <t>Precambrian&gt;Proterozoic</t>
  </si>
  <si>
    <t>Precambrian&gt;Proterozoic&gt;Mesoproterozoic</t>
  </si>
  <si>
    <t>Precambrian&gt;Proterozoic&gt;Mesoproterozoic&gt;Calymmian</t>
  </si>
  <si>
    <t>Precambrian&gt;Proterozoic&gt;Mesoproterozoic&gt;Stenian</t>
  </si>
  <si>
    <t>Precambrian&gt;Proterozoic&gt;Neoproterozoic</t>
  </si>
  <si>
    <t>Precambrian&gt;Proterozoic&gt;Neoproterozoic&gt;Cryogenian</t>
  </si>
  <si>
    <t>Precambrian&gt;Proterozoic&gt;Neoproterozoic&gt;Ediacaran</t>
  </si>
  <si>
    <t>Precambrian&gt;Proterozoic&gt;Paleoproterozoic</t>
  </si>
  <si>
    <t>Precambrian&gt;Proterozoic&gt;Paleoproterozoic&gt;Orosirian</t>
  </si>
  <si>
    <t>Precambrian&gt;Proterozoic&gt;Paleoproterozoic&gt;Rhyacian</t>
  </si>
  <si>
    <t>Precambrian&gt;Proterozoic&gt;Paleoproterozoic&gt;Siderian</t>
  </si>
  <si>
    <t>Precambrian&gt;Proterozoic&gt;Paleoproterozoic&gt;Statherian</t>
  </si>
  <si>
    <t>Priabonianâ€“Chattian</t>
  </si>
  <si>
    <t>Pridoli</t>
  </si>
  <si>
    <t>Proterozoic</t>
  </si>
  <si>
    <t>PROTEROZOIC</t>
  </si>
  <si>
    <t>Proterozoic - mid</t>
  </si>
  <si>
    <t>Ptz-Cambrian</t>
  </si>
  <si>
    <t>q</t>
  </si>
  <si>
    <t>Quarternary</t>
  </si>
  <si>
    <t>Quarternary/Triassic</t>
  </si>
  <si>
    <t>Quaternary</t>
  </si>
  <si>
    <t>Quaternary-Cretaceous</t>
  </si>
  <si>
    <t>Quaternary-Holocene</t>
  </si>
  <si>
    <t>Quaternary-Teriary</t>
  </si>
  <si>
    <t>Quaternary-Tertiary</t>
  </si>
  <si>
    <t>Quaternary-Tertiary-Cretaceous</t>
  </si>
  <si>
    <t>Quaternary &gt; Holocene</t>
  </si>
  <si>
    <t>Quaternary &gt; Pleistocene</t>
  </si>
  <si>
    <t>Quaternary &gt; Pleistocene to Quaternary &gt; Holocene</t>
  </si>
  <si>
    <t>Quaternary/Holocene</t>
  </si>
  <si>
    <t>Quaternary/Triassic</t>
  </si>
  <si>
    <t>Quaternary: MIS 5.5</t>
  </si>
  <si>
    <t>Quaternary; MIS 5.5</t>
  </si>
  <si>
    <t>recent</t>
  </si>
  <si>
    <t>Recent</t>
  </si>
  <si>
    <t>reworked Oligocene in Miocene-Pliocene</t>
  </si>
  <si>
    <t>Rhuddanian</t>
  </si>
  <si>
    <t>Rupelian</t>
  </si>
  <si>
    <t>Sandbian</t>
  </si>
  <si>
    <t>Santonian</t>
  </si>
  <si>
    <t>Santonian-Campanian</t>
  </si>
  <si>
    <t>Saxonian</t>
  </si>
  <si>
    <t>Sheinwoodian</t>
  </si>
  <si>
    <t>should be Pleistocene</t>
  </si>
  <si>
    <t>Silurian</t>
  </si>
  <si>
    <t>Silurian &gt; Mid/Late</t>
  </si>
  <si>
    <t>Silurian maybe?</t>
  </si>
  <si>
    <t>Silurian to Devonian</t>
  </si>
  <si>
    <t>Silurian?</t>
  </si>
  <si>
    <t>Snowbird Tectonic Zone</t>
  </si>
  <si>
    <t>Stenian</t>
  </si>
  <si>
    <t>Stephanian A/Westphalian D</t>
  </si>
  <si>
    <t>Stephanian B</t>
  </si>
  <si>
    <t>Sub-fossil</t>
  </si>
  <si>
    <t>SUP ORDOVICIAN</t>
  </si>
  <si>
    <t>Telychian</t>
  </si>
  <si>
    <t>Tertiary</t>
  </si>
  <si>
    <t>Tertiary-Quarternary</t>
  </si>
  <si>
    <t>Tertiary-Quaternary</t>
  </si>
  <si>
    <t>Tertiary Undiff</t>
  </si>
  <si>
    <t>Tertiary: Miocene</t>
  </si>
  <si>
    <t>Tithonian</t>
  </si>
  <si>
    <t xml:space="preserve">Tithonian </t>
  </si>
  <si>
    <t>Tonian</t>
  </si>
  <si>
    <t xml:space="preserve">Tonian? To Ediacaran? </t>
  </si>
  <si>
    <t>Tournaisian-Visean (Early Carboniferous)</t>
  </si>
  <si>
    <t>Tremadocian</t>
  </si>
  <si>
    <t>Triassic</t>
  </si>
  <si>
    <t>Triassic-Jurassic</t>
  </si>
  <si>
    <t>Triassic &gt; Upper/Late</t>
  </si>
  <si>
    <t>Triassic to Cretaceous</t>
  </si>
  <si>
    <t>Triassic to Jurassic</t>
  </si>
  <si>
    <t>Triassic, Induan/Olenikian</t>
  </si>
  <si>
    <t>Triassic, Norian</t>
  </si>
  <si>
    <t>Triassic, Rhaetian</t>
  </si>
  <si>
    <t>Triassic/Jurassic</t>
  </si>
  <si>
    <t>Turonian</t>
  </si>
  <si>
    <t>Turonian-Santonian</t>
  </si>
  <si>
    <t>unknown</t>
  </si>
  <si>
    <t>Unknown</t>
  </si>
  <si>
    <t>Up. Lutetian-Low. Bartonian</t>
  </si>
  <si>
    <t>Upper Aptian</t>
  </si>
  <si>
    <t xml:space="preserve">Upper Aptian </t>
  </si>
  <si>
    <t>Upper Aquitanian-Burdigalian</t>
  </si>
  <si>
    <t>upper Bart-Priabonian</t>
  </si>
  <si>
    <t>Upper Bartonian-Priabonian</t>
  </si>
  <si>
    <t>Upper Camp-Maastrichtian</t>
  </si>
  <si>
    <t>Upper Camp.-Maastrichtian</t>
  </si>
  <si>
    <t>Upper Cretaceous</t>
  </si>
  <si>
    <t>Upper Cretaceous?</t>
  </si>
  <si>
    <t>Upper Devonian</t>
  </si>
  <si>
    <t>Upper Famennian</t>
  </si>
  <si>
    <t>Upper Jurassic</t>
  </si>
  <si>
    <t>upper Miocene</t>
  </si>
  <si>
    <t>Upper Miocene</t>
  </si>
  <si>
    <t>Upper Mississippian - Upper Devonian</t>
  </si>
  <si>
    <t>Upper Ordovician</t>
  </si>
  <si>
    <t>upper Pliocene</t>
  </si>
  <si>
    <t>Upper Pliocene-Pleistocene</t>
  </si>
  <si>
    <t>Upper Triassic</t>
  </si>
  <si>
    <t>uppermost Triassic</t>
  </si>
  <si>
    <t>Valanginian</t>
  </si>
  <si>
    <t xml:space="preserve">Valanginian </t>
  </si>
  <si>
    <t>Vendian</t>
  </si>
  <si>
    <t>Visean (Early Carboniferous)</t>
  </si>
  <si>
    <t>Walloon Subgroup</t>
  </si>
  <si>
    <t>Wesphalian D base</t>
  </si>
  <si>
    <t>Westphalian (Late Carboniferous)</t>
  </si>
  <si>
    <t>Westphalian C</t>
  </si>
  <si>
    <t>Westphalian D top</t>
  </si>
  <si>
    <t>Ypresian</t>
  </si>
  <si>
    <t>NULL</t>
  </si>
  <si>
    <t>numeric_age_max</t>
  </si>
  <si>
    <t>numeric_age_min</t>
  </si>
  <si>
    <t>numeric_age_unit</t>
  </si>
  <si>
    <t>geologic_age_older_id</t>
  </si>
  <si>
    <t>geologic_age_younger_id</t>
  </si>
  <si>
    <t>ics:Albian</t>
  </si>
  <si>
    <t>ics:Aquitanian</t>
  </si>
  <si>
    <t>ics:Archaean</t>
  </si>
  <si>
    <t>ics:Archean</t>
  </si>
  <si>
    <t>ics:Cenomanian</t>
  </si>
  <si>
    <t>ics:Hadean</t>
  </si>
  <si>
    <t>ics:Recent</t>
  </si>
  <si>
    <t>ics:Anisian</t>
  </si>
  <si>
    <t>ics:Ladinian</t>
  </si>
  <si>
    <t>ics:Meghalayan</t>
  </si>
  <si>
    <t>ics:Greenlandian</t>
  </si>
  <si>
    <t>ics:Neogene</t>
  </si>
  <si>
    <t>ics:Pleistocene</t>
  </si>
  <si>
    <t>ics:Eocene</t>
  </si>
  <si>
    <t>ics:Miocene</t>
  </si>
  <si>
    <t>ics:Pliocene</t>
  </si>
  <si>
    <t>ics:Oligocene</t>
  </si>
  <si>
    <t>ics:Paleogene</t>
  </si>
  <si>
    <t>ics:Messinian</t>
  </si>
  <si>
    <t>ics:Langhian</t>
  </si>
  <si>
    <t>ics:Zanclean</t>
  </si>
  <si>
    <t>ics:Ypresian</t>
  </si>
  <si>
    <t>ics:Priabonian</t>
  </si>
  <si>
    <t>ics:Paleocene</t>
  </si>
  <si>
    <t>ics:Thanetian</t>
  </si>
  <si>
    <t>ics:Quaternary</t>
  </si>
  <si>
    <t>ics:Holocene</t>
  </si>
  <si>
    <t>ics:Calabrian</t>
  </si>
  <si>
    <t>ics:Cisuralian</t>
  </si>
  <si>
    <t>ics:Cretaceous</t>
  </si>
  <si>
    <t>ics:Aptian</t>
  </si>
  <si>
    <t>ics:Campanian</t>
  </si>
  <si>
    <t>ics:Maastrichtian</t>
  </si>
  <si>
    <t>ics:Coniacian</t>
  </si>
  <si>
    <t>ics:Santonian</t>
  </si>
  <si>
    <t>ics:Turonian</t>
  </si>
  <si>
    <t>ics:Jurassic</t>
  </si>
  <si>
    <t>ics:Cryogenian</t>
  </si>
  <si>
    <t>ics:Ediacaran</t>
  </si>
  <si>
    <t>ics:Danian</t>
  </si>
  <si>
    <t>ics:Devonian</t>
  </si>
  <si>
    <t>ics:Mississippian</t>
  </si>
  <si>
    <t>ics:Triassic</t>
  </si>
  <si>
    <t>ics:Cambrian</t>
  </si>
  <si>
    <t>ics:Norian</t>
  </si>
  <si>
    <t>ics:Paleozoic</t>
  </si>
  <si>
    <t>ics:Permian</t>
  </si>
  <si>
    <t>ics:Proterozoic</t>
  </si>
  <si>
    <t>ics:Emsian</t>
  </si>
  <si>
    <t>ics:Famennian</t>
  </si>
  <si>
    <t>ics:Floian</t>
  </si>
  <si>
    <t>ics:Frasnian</t>
  </si>
  <si>
    <t>ics:Furongian</t>
  </si>
  <si>
    <t>ics:Givetian</t>
  </si>
  <si>
    <t>ics:Guzhangian</t>
  </si>
  <si>
    <t>ics:Homerian</t>
  </si>
  <si>
    <t>ics:Kimmeridgian</t>
  </si>
  <si>
    <t>ics:Oxfordian</t>
  </si>
  <si>
    <t>ics:Pliensbachian</t>
  </si>
  <si>
    <t>ics:Sinemurian</t>
  </si>
  <si>
    <t>ics:Pennsylvanian</t>
  </si>
  <si>
    <t>ics:Katian</t>
  </si>
  <si>
    <t>ics:Tithonian</t>
  </si>
  <si>
    <t>ics:Ordovician</t>
  </si>
  <si>
    <t>ics:Carboniferous</t>
  </si>
  <si>
    <t>ics:Silurian</t>
  </si>
  <si>
    <t>ics:Ludlow</t>
  </si>
  <si>
    <t>ics:Lutetian</t>
  </si>
  <si>
    <t>ics:Bartonian</t>
  </si>
  <si>
    <t>ics:Mesoarchean</t>
  </si>
  <si>
    <t>ics:Neoarchean</t>
  </si>
  <si>
    <t>ics:Mesoproterozoic</t>
  </si>
  <si>
    <t>ics:Mesozoic</t>
  </si>
  <si>
    <t>ics:Barremian</t>
  </si>
  <si>
    <t>ics:Berriasian</t>
  </si>
  <si>
    <t>ics:Toarcian</t>
  </si>
  <si>
    <t>ics:Aalenian</t>
  </si>
  <si>
    <t>ics:Bajocian</t>
  </si>
  <si>
    <t>ics:Bathonian</t>
  </si>
  <si>
    <t>ics:Rhaetian</t>
  </si>
  <si>
    <t>ics:Burdigalian</t>
  </si>
  <si>
    <t>ics:Mississippian?</t>
  </si>
  <si>
    <t>ics:Neoproterozoic</t>
  </si>
  <si>
    <t>ics:Paibian</t>
  </si>
  <si>
    <t>ics:Paleoproterozoic</t>
  </si>
  <si>
    <t>ics:Terreneuvian</t>
  </si>
  <si>
    <t>ics:Tournaisian</t>
  </si>
  <si>
    <t>ics:Visean</t>
  </si>
  <si>
    <t>ics:Artinskian</t>
  </si>
  <si>
    <t>ics:Kungurian</t>
  </si>
  <si>
    <t>ics:Capitanian</t>
  </si>
  <si>
    <t>ics:Changhsingian</t>
  </si>
  <si>
    <t>ics:Pragian</t>
  </si>
  <si>
    <t>ics:Precambrian</t>
  </si>
  <si>
    <t>ics:Calymmian</t>
  </si>
  <si>
    <t>ics:Stenian</t>
  </si>
  <si>
    <t>ics:Orosirian</t>
  </si>
  <si>
    <t>ics:Rhyacian</t>
  </si>
  <si>
    <t>ics:Siderian</t>
  </si>
  <si>
    <t>ics:Statherian</t>
  </si>
  <si>
    <t>ics:Chattian</t>
  </si>
  <si>
    <t>ics:Pridoli</t>
  </si>
  <si>
    <t>ics:Rhuddanian</t>
  </si>
  <si>
    <t>ics:Rupelian</t>
  </si>
  <si>
    <t>ics:Sandbian</t>
  </si>
  <si>
    <t>ics:Sheinwoodian</t>
  </si>
  <si>
    <t>ics:Telychian</t>
  </si>
  <si>
    <t>ics:Tonian</t>
  </si>
  <si>
    <t>ics:Tremadocian</t>
  </si>
  <si>
    <t>ics:Olenikian</t>
  </si>
  <si>
    <t>ics:Valanginian</t>
  </si>
  <si>
    <t>ics:Serravallian</t>
  </si>
  <si>
    <t>ics:Aeronian</t>
  </si>
  <si>
    <t>ics:Callovian</t>
  </si>
  <si>
    <t>ics:Ordovician?</t>
  </si>
  <si>
    <t>ics:CambrianSeries2</t>
  </si>
  <si>
    <t>ics:Fortunian</t>
  </si>
  <si>
    <t>ics:LowerOrdovician</t>
  </si>
  <si>
    <t>ics:Miaolingian</t>
  </si>
  <si>
    <t>ics:Moscovian</t>
  </si>
  <si>
    <t>age_qualifier</t>
  </si>
  <si>
    <t>ics:UpperJurassic</t>
  </si>
  <si>
    <t>ics:Carnian</t>
  </si>
  <si>
    <t>ics:Cenozoic</t>
  </si>
  <si>
    <t>uncertain</t>
  </si>
  <si>
    <t>ics:Tortonian</t>
  </si>
  <si>
    <t>ics:Selandian</t>
  </si>
  <si>
    <t>ics:Cennomanian</t>
  </si>
  <si>
    <t>uncertain, reworked</t>
  </si>
  <si>
    <t>contaminated</t>
  </si>
  <si>
    <t>ics:LowerCretaceous</t>
  </si>
  <si>
    <t>ics:UpperCretaceous</t>
  </si>
  <si>
    <t>inferred</t>
  </si>
  <si>
    <t>metamorphic age</t>
  </si>
  <si>
    <t>ics:UpperPennsylvanian</t>
  </si>
  <si>
    <t>ics:LowerDevonian</t>
  </si>
  <si>
    <t>ics:UpperDevonian</t>
  </si>
  <si>
    <t>ics:MiddleDevonian</t>
  </si>
  <si>
    <t>ics:LowerJurassic</t>
  </si>
  <si>
    <t>ics:MiddleJurassic</t>
  </si>
  <si>
    <t>ics:MiddleOrdovician</t>
  </si>
  <si>
    <t>ics:UpperOrdovician</t>
  </si>
  <si>
    <t>ics:UpperTriassic</t>
  </si>
  <si>
    <t>ics:Asselian</t>
  </si>
  <si>
    <t>ics:LowerTriassic</t>
  </si>
  <si>
    <t>ics:MiddleTriassic</t>
  </si>
  <si>
    <t>ics:Eoarchaen</t>
  </si>
  <si>
    <t>ics:Paleoarchaen</t>
  </si>
  <si>
    <t>ics:Induan</t>
  </si>
  <si>
    <t>ics:Gelasian</t>
  </si>
  <si>
    <t>uncertain or contamination</t>
  </si>
  <si>
    <t>probable</t>
  </si>
  <si>
    <t>contaminated?</t>
  </si>
  <si>
    <t>historic</t>
  </si>
  <si>
    <t>ics:Hettangian</t>
  </si>
  <si>
    <t>ics:Chibanian</t>
  </si>
  <si>
    <t>ics:Neoarchaen</t>
  </si>
  <si>
    <t>ics:UpperPleistocene</t>
  </si>
  <si>
    <t>ics:Llandovery</t>
  </si>
  <si>
    <t>ics:Piacenzian</t>
  </si>
  <si>
    <t>ics:Bashkirian</t>
  </si>
  <si>
    <t>ics:Northgrippian</t>
  </si>
  <si>
    <t>ics:Serpukhovian</t>
  </si>
  <si>
    <t>mesoproterozoic detritus</t>
  </si>
  <si>
    <t>ics:Paleozoi</t>
  </si>
  <si>
    <t>not applicable</t>
  </si>
  <si>
    <t>uncertain, inferred</t>
  </si>
  <si>
    <t>ics:Guadalupian</t>
  </si>
  <si>
    <t>ics:Lopingian</t>
  </si>
  <si>
    <t>metamorphism</t>
  </si>
  <si>
    <t>ics:Cenozoi</t>
  </si>
  <si>
    <t>reworked Oligocene</t>
  </si>
  <si>
    <t>should be…</t>
  </si>
  <si>
    <t>ics:Wenlock</t>
  </si>
  <si>
    <t>maybe</t>
  </si>
  <si>
    <t>[editor can't interpret]</t>
  </si>
  <si>
    <t>missing</t>
  </si>
  <si>
    <t>unknon</t>
  </si>
  <si>
    <t>[ediotr can't interpret]</t>
  </si>
  <si>
    <t>assume mean Ma</t>
  </si>
  <si>
    <t>assume Ma; maximum depositional age</t>
  </si>
  <si>
    <t>assume is years</t>
  </si>
  <si>
    <t>years</t>
  </si>
  <si>
    <t>Common Era (CE)</t>
  </si>
  <si>
    <t>AD</t>
  </si>
  <si>
    <t>million years (Ma)</t>
  </si>
  <si>
    <t>cal yr BP</t>
  </si>
  <si>
    <t>Ka</t>
  </si>
  <si>
    <t>AD years</t>
  </si>
  <si>
    <t>ka</t>
  </si>
  <si>
    <t>years before present</t>
  </si>
  <si>
    <t>cal yrs BP</t>
  </si>
  <si>
    <t>Thousand years (ka)</t>
  </si>
  <si>
    <t>Historical</t>
  </si>
  <si>
    <t>yrs CE</t>
  </si>
  <si>
    <t>1000 yrs</t>
  </si>
  <si>
    <t>yr</t>
  </si>
  <si>
    <t>a</t>
  </si>
  <si>
    <t>Years</t>
  </si>
  <si>
    <t>Ga</t>
  </si>
  <si>
    <t>upper Paleocene</t>
  </si>
  <si>
    <t>Upper Miocene - Tortonian</t>
  </si>
  <si>
    <t>Upper Miocene - Messinian</t>
  </si>
  <si>
    <t xml:space="preserve">Upper Miocene - late Messinian </t>
  </si>
  <si>
    <t>Upper Miocene -  Messinian</t>
  </si>
  <si>
    <t>upper Eocene</t>
  </si>
  <si>
    <t>Triassic?</t>
  </si>
  <si>
    <t xml:space="preserve">Triassic </t>
  </si>
  <si>
    <t>Tertiary (?)</t>
  </si>
  <si>
    <t>Silurian-Devonian?</t>
  </si>
  <si>
    <t>kyrs</t>
  </si>
  <si>
    <t>Million years (Ma)</t>
  </si>
  <si>
    <t>kyr</t>
  </si>
  <si>
    <t xml:space="preserve">Pennsylvanian </t>
  </si>
  <si>
    <t>Ordovician-Silurian?</t>
  </si>
  <si>
    <t>A.D</t>
  </si>
  <si>
    <t>Miocene (?)</t>
  </si>
  <si>
    <t>Late Mesozoic</t>
  </si>
  <si>
    <t>Late-Pleistocene to Holocene</t>
  </si>
  <si>
    <t>ka BP</t>
  </si>
  <si>
    <t>Early Zanclean</t>
  </si>
  <si>
    <t>early Cambrian</t>
  </si>
  <si>
    <t>Devonian, Frasnian</t>
  </si>
  <si>
    <t>Devonian, Framennian</t>
  </si>
  <si>
    <t>Cretaceous?</t>
  </si>
  <si>
    <t>Cretaceous, Turonian</t>
  </si>
  <si>
    <t>Cretaceous, Berriasian</t>
  </si>
  <si>
    <t xml:space="preserve">Campanian </t>
  </si>
  <si>
    <t xml:space="preserve">Archean </t>
  </si>
  <si>
    <t>Archaen - Proterozoic</t>
  </si>
  <si>
    <t>Million Years (Ma)</t>
  </si>
  <si>
    <t>?</t>
  </si>
  <si>
    <t>age_unit</t>
  </si>
  <si>
    <t>age_max</t>
  </si>
  <si>
    <t>age_min</t>
  </si>
  <si>
    <t/>
  </si>
  <si>
    <t>ics:Dapingian</t>
  </si>
  <si>
    <t>ics:Darriwilian</t>
  </si>
  <si>
    <t>ics:Eifelian</t>
  </si>
  <si>
    <t>ics:Jiangshanian</t>
  </si>
  <si>
    <t>vnumeric_age_max</t>
  </si>
  <si>
    <t>vnumeric_age_min</t>
  </si>
  <si>
    <t>vnumeric_age_unit</t>
  </si>
  <si>
    <t>year, Common Era (CE)</t>
  </si>
  <si>
    <t>Year, AD</t>
  </si>
  <si>
    <t>Year, before present (BP)</t>
  </si>
  <si>
    <t>year, before present?</t>
  </si>
  <si>
    <t>assume verbatim age is yrbp</t>
  </si>
  <si>
    <t>negative value for yrbp changed to positive</t>
  </si>
  <si>
    <t>age unit interpred to be year, AD</t>
  </si>
  <si>
    <t>infer age unit, change sign</t>
  </si>
  <si>
    <t>infer age unit, change sign on min bound</t>
  </si>
  <si>
    <t>infer age unit</t>
  </si>
  <si>
    <t>cannot infer age unit</t>
  </si>
  <si>
    <t>infer age unit, min and max reversed</t>
  </si>
  <si>
    <t>Ma?</t>
  </si>
  <si>
    <t>year, before present</t>
  </si>
  <si>
    <t>assume year, before present</t>
  </si>
  <si>
    <t>assume year, before present, convert to Ma</t>
  </si>
  <si>
    <t>40Ar/39Ar on biotite</t>
  </si>
  <si>
    <t>reworked</t>
  </si>
  <si>
    <t>metamorphic</t>
  </si>
  <si>
    <t>contamination</t>
  </si>
  <si>
    <t>uncertain or contaminated</t>
  </si>
  <si>
    <t>Uncertain, inferred</t>
  </si>
  <si>
    <t>infer that q means Quaternary</t>
  </si>
  <si>
    <t>Saxonian basin?</t>
  </si>
  <si>
    <t>meaning unclear</t>
  </si>
  <si>
    <t>Uncertain</t>
  </si>
  <si>
    <t>numeric age not consistent with Pleistocene</t>
  </si>
  <si>
    <t>geologic_age_older_uri</t>
  </si>
  <si>
    <t>geologic_age_younger_uri</t>
  </si>
  <si>
    <t>ics:Paleoarchean</t>
  </si>
  <si>
    <t>ics:Eoarchean</t>
  </si>
  <si>
    <t>ics:MiddlePleistocene</t>
  </si>
  <si>
    <t>ics:Olenekian</t>
  </si>
  <si>
    <t>update geologic age assume numeric age Ka correct</t>
  </si>
  <si>
    <t>numeric age inconsistent with geologic age</t>
  </si>
  <si>
    <t>1466 ± 17 maximum depositional age</t>
  </si>
  <si>
    <t>1798 ± 24 (a maximum depositional age)</t>
  </si>
  <si>
    <t>1084 ± 5 Ma</t>
  </si>
  <si>
    <t>288.17 ± 0.78</t>
  </si>
  <si>
    <t>288.44 ± 0.70</t>
  </si>
  <si>
    <t>Permo–Carboniferous</t>
  </si>
  <si>
    <t>Late Cretaceous–Eocene</t>
  </si>
  <si>
    <t>Jurassic–Cretaceous</t>
  </si>
  <si>
    <t>Priabonian–Chattian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</si>
</sst>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quotePrefix="1"/>
    <xf numFmtId="0" fontId="0" fillId="33" borderId="0" xfId="0" applyFill="1"/>
    <xf numFmtId="0" fontId="0" fillId="34" borderId="0" xfId="0" applyFill="1"/>
    <xf numFmtId="0" fontId="18" fillId="0" borderId="0" xfId="0" applyFont="1" applyAlignment="1">
      <alignment vertical="center"/>
    </xf>
    <xf numFmtId="164" fontId="0" fillId="0" borderId="0" xfId="0" applyNumberFormat="1"/>
    <xf numFmtId="11" fontId="0" fillId="0" borderId="0" xfId="0" quotePrefix="1" applyNumberFormat="1"/>
    <xf numFmtId="1" fontId="0" fillId="0" borderId="0" xfId="0" applyNumberFormat="1"/>
    <xf numFmtId="165" fontId="0" fillId="34" borderId="0" xfId="0" applyNumberFormat="1" applyFill="1"/>
    <xf numFmtId="165" fontId="0" fillId="0" borderId="0" xfId="0" applyNumberFormat="1"/>
    <xf numFmtId="165" fontId="0" fillId="0" borderId="0" xfId="0" quotePrefix="1" applyNumberFormat="1"/>
    <xf numFmtId="165" fontId="18" fillId="0" borderId="0" xfId="0" applyNumberFormat="1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ephen Richard" id="{EC35F595-794A-4641-ACC9-9D632EA74AEC}" userId="944a82e2ddcde9eb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06T13:56:21.93" personId="{EC35F595-794A-4641-ACC9-9D632EA74AEC}" id="{F4DAA56C-E144-41A2-9750-B4DA9B36D9C8}">
    <text>SELECT distinct geological_age,age_min,age_max,age_unit from sample 
order by geological_age
From Legacy SESAR 20241209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0E16-CE78-4D17-8378-027997FA2AB3}">
  <dimension ref="A1:P4670"/>
  <sheetViews>
    <sheetView topLeftCell="F1" workbookViewId="0">
      <pane ySplit="1" topLeftCell="A2" activePane="bottomLeft" state="frozen"/>
      <selection pane="bottomLeft" activeCell="L1" sqref="L1:L1048576"/>
    </sheetView>
  </sheetViews>
  <sheetFormatPr defaultRowHeight="15" x14ac:dyDescent="0.25"/>
  <cols>
    <col min="1" max="1" width="26.5703125" customWidth="1"/>
    <col min="2" max="2" width="22.85546875" style="11" customWidth="1"/>
    <col min="3" max="3" width="23.5703125" style="11" customWidth="1"/>
    <col min="4" max="6" width="19.5703125" customWidth="1"/>
    <col min="7" max="7" width="24.85546875" customWidth="1"/>
    <col min="8" max="8" width="18.42578125" customWidth="1"/>
    <col min="9" max="9" width="51" customWidth="1"/>
    <col min="10" max="10" width="17" bestFit="1" customWidth="1"/>
    <col min="11" max="11" width="17.85546875" customWidth="1"/>
    <col min="12" max="12" width="26.5703125" customWidth="1"/>
    <col min="13" max="13" width="29" customWidth="1"/>
    <col min="14" max="15" width="19" bestFit="1" customWidth="1"/>
  </cols>
  <sheetData>
    <row r="1" spans="1:16" x14ac:dyDescent="0.25">
      <c r="A1" s="5" t="s">
        <v>0</v>
      </c>
      <c r="B1" s="10" t="s">
        <v>909</v>
      </c>
      <c r="C1" s="10" t="s">
        <v>908</v>
      </c>
      <c r="D1" s="5" t="s">
        <v>907</v>
      </c>
      <c r="E1" s="4" t="s">
        <v>673</v>
      </c>
      <c r="F1" s="4" t="s">
        <v>674</v>
      </c>
      <c r="G1" s="4" t="s">
        <v>945</v>
      </c>
      <c r="H1" s="4" t="s">
        <v>946</v>
      </c>
      <c r="I1" s="4" t="s">
        <v>795</v>
      </c>
      <c r="J1" s="4" t="s">
        <v>670</v>
      </c>
      <c r="K1" s="4" t="s">
        <v>671</v>
      </c>
      <c r="L1" s="4" t="s">
        <v>672</v>
      </c>
      <c r="M1" s="4" t="s">
        <v>915</v>
      </c>
      <c r="N1" s="4" t="s">
        <v>916</v>
      </c>
      <c r="O1" s="4" t="s">
        <v>917</v>
      </c>
    </row>
    <row r="2" spans="1:16" x14ac:dyDescent="0.25">
      <c r="A2" t="s">
        <v>213</v>
      </c>
      <c r="B2">
        <v>-64</v>
      </c>
      <c r="C2">
        <v>365</v>
      </c>
      <c r="D2" t="s">
        <v>857</v>
      </c>
      <c r="E2">
        <v>5</v>
      </c>
      <c r="F2">
        <v>5</v>
      </c>
      <c r="G2" t="s">
        <v>684</v>
      </c>
      <c r="H2" t="s">
        <v>684</v>
      </c>
      <c r="J2">
        <v>365</v>
      </c>
      <c r="K2">
        <v>-64</v>
      </c>
      <c r="L2" t="s">
        <v>921</v>
      </c>
      <c r="M2">
        <v>365</v>
      </c>
      <c r="N2">
        <v>-64</v>
      </c>
      <c r="O2" t="s">
        <v>921</v>
      </c>
      <c r="P2">
        <f>LEN(I2)</f>
        <v>0</v>
      </c>
    </row>
    <row r="3" spans="1:16" x14ac:dyDescent="0.25">
      <c r="A3" t="s">
        <v>592</v>
      </c>
      <c r="B3">
        <v>0</v>
      </c>
      <c r="C3">
        <v>0</v>
      </c>
      <c r="D3" t="s">
        <v>303</v>
      </c>
      <c r="E3">
        <v>5</v>
      </c>
      <c r="F3">
        <v>5</v>
      </c>
      <c r="G3" t="s">
        <v>684</v>
      </c>
      <c r="H3" t="s">
        <v>684</v>
      </c>
      <c r="M3">
        <v>0</v>
      </c>
      <c r="N3">
        <v>0</v>
      </c>
      <c r="O3" t="s">
        <v>303</v>
      </c>
      <c r="P3">
        <f t="shared" ref="P3:P66" si="0">LEN(I3)</f>
        <v>0</v>
      </c>
    </row>
    <row r="4" spans="1:16" x14ac:dyDescent="0.25">
      <c r="A4" t="s">
        <v>669</v>
      </c>
      <c r="B4">
        <v>0</v>
      </c>
      <c r="C4">
        <v>0</v>
      </c>
      <c r="D4" t="s">
        <v>303</v>
      </c>
      <c r="E4">
        <v>5</v>
      </c>
      <c r="F4">
        <v>5</v>
      </c>
      <c r="G4" t="s">
        <v>684</v>
      </c>
      <c r="H4" t="s">
        <v>684</v>
      </c>
      <c r="M4">
        <v>0</v>
      </c>
      <c r="N4">
        <v>0</v>
      </c>
      <c r="O4" t="s">
        <v>303</v>
      </c>
      <c r="P4">
        <f t="shared" si="0"/>
        <v>0</v>
      </c>
    </row>
    <row r="5" spans="1:16" x14ac:dyDescent="0.25">
      <c r="A5" t="s">
        <v>669</v>
      </c>
      <c r="B5">
        <v>0</v>
      </c>
      <c r="C5">
        <v>0</v>
      </c>
      <c r="D5" t="s">
        <v>860</v>
      </c>
      <c r="E5">
        <v>5</v>
      </c>
      <c r="F5">
        <v>5</v>
      </c>
      <c r="G5" t="s">
        <v>684</v>
      </c>
      <c r="H5" t="s">
        <v>684</v>
      </c>
      <c r="M5">
        <v>0</v>
      </c>
      <c r="N5">
        <v>0</v>
      </c>
      <c r="O5" t="s">
        <v>303</v>
      </c>
      <c r="P5">
        <f t="shared" si="0"/>
        <v>0</v>
      </c>
    </row>
    <row r="6" spans="1:16" x14ac:dyDescent="0.25">
      <c r="A6" t="s">
        <v>213</v>
      </c>
      <c r="B6">
        <v>-64</v>
      </c>
      <c r="C6">
        <v>530</v>
      </c>
      <c r="D6" t="s">
        <v>857</v>
      </c>
      <c r="E6">
        <v>5</v>
      </c>
      <c r="F6">
        <v>5</v>
      </c>
      <c r="G6" t="s">
        <v>684</v>
      </c>
      <c r="H6" t="s">
        <v>684</v>
      </c>
      <c r="J6">
        <v>530</v>
      </c>
      <c r="K6">
        <v>-64</v>
      </c>
      <c r="L6" t="s">
        <v>921</v>
      </c>
      <c r="M6">
        <v>530</v>
      </c>
      <c r="N6">
        <v>-64</v>
      </c>
      <c r="O6" t="s">
        <v>921</v>
      </c>
      <c r="P6">
        <f t="shared" si="0"/>
        <v>0</v>
      </c>
    </row>
    <row r="7" spans="1:16" x14ac:dyDescent="0.25">
      <c r="A7" t="s">
        <v>213</v>
      </c>
      <c r="B7">
        <v>-64</v>
      </c>
      <c r="C7">
        <v>1260</v>
      </c>
      <c r="D7" t="s">
        <v>857</v>
      </c>
      <c r="E7">
        <v>5</v>
      </c>
      <c r="F7">
        <v>5</v>
      </c>
      <c r="G7" t="s">
        <v>684</v>
      </c>
      <c r="H7" t="s">
        <v>684</v>
      </c>
      <c r="J7">
        <v>1260</v>
      </c>
      <c r="K7">
        <v>-64</v>
      </c>
      <c r="L7" t="s">
        <v>921</v>
      </c>
      <c r="M7">
        <v>1260</v>
      </c>
      <c r="N7">
        <v>-64</v>
      </c>
      <c r="O7" t="s">
        <v>921</v>
      </c>
      <c r="P7">
        <f t="shared" si="0"/>
        <v>0</v>
      </c>
    </row>
    <row r="8" spans="1:16" x14ac:dyDescent="0.25">
      <c r="A8" t="s">
        <v>213</v>
      </c>
      <c r="B8">
        <v>-64</v>
      </c>
      <c r="C8">
        <v>2750</v>
      </c>
      <c r="D8" t="s">
        <v>857</v>
      </c>
      <c r="E8">
        <v>5</v>
      </c>
      <c r="F8">
        <v>5</v>
      </c>
      <c r="G8" t="s">
        <v>684</v>
      </c>
      <c r="H8" t="s">
        <v>684</v>
      </c>
      <c r="J8">
        <v>2750</v>
      </c>
      <c r="K8">
        <v>-64</v>
      </c>
      <c r="L8" t="s">
        <v>921</v>
      </c>
      <c r="M8">
        <v>2750</v>
      </c>
      <c r="N8">
        <v>-64</v>
      </c>
      <c r="O8" t="s">
        <v>921</v>
      </c>
      <c r="P8">
        <f t="shared" si="0"/>
        <v>0</v>
      </c>
    </row>
    <row r="9" spans="1:16" x14ac:dyDescent="0.25">
      <c r="A9" t="s">
        <v>669</v>
      </c>
      <c r="B9">
        <v>0</v>
      </c>
      <c r="C9">
        <v>15</v>
      </c>
      <c r="D9" t="s">
        <v>857</v>
      </c>
      <c r="E9">
        <v>5</v>
      </c>
      <c r="F9">
        <v>5</v>
      </c>
      <c r="G9" t="s">
        <v>684</v>
      </c>
      <c r="H9" t="s">
        <v>684</v>
      </c>
      <c r="J9">
        <v>15</v>
      </c>
      <c r="K9">
        <v>0</v>
      </c>
      <c r="L9" t="s">
        <v>921</v>
      </c>
      <c r="M9">
        <v>15</v>
      </c>
      <c r="N9">
        <v>0</v>
      </c>
      <c r="O9" t="s">
        <v>921</v>
      </c>
      <c r="P9">
        <f t="shared" si="0"/>
        <v>0</v>
      </c>
    </row>
    <row r="10" spans="1:16" x14ac:dyDescent="0.25">
      <c r="A10" t="s">
        <v>669</v>
      </c>
      <c r="B10">
        <v>0</v>
      </c>
      <c r="C10">
        <v>20</v>
      </c>
      <c r="D10" t="s">
        <v>857</v>
      </c>
      <c r="E10">
        <v>5</v>
      </c>
      <c r="F10">
        <v>5</v>
      </c>
      <c r="G10" t="s">
        <v>684</v>
      </c>
      <c r="H10" t="s">
        <v>684</v>
      </c>
      <c r="J10">
        <v>20</v>
      </c>
      <c r="K10">
        <v>0</v>
      </c>
      <c r="L10" t="s">
        <v>921</v>
      </c>
      <c r="M10">
        <v>20</v>
      </c>
      <c r="N10">
        <v>0</v>
      </c>
      <c r="O10" t="s">
        <v>921</v>
      </c>
      <c r="P10">
        <f t="shared" si="0"/>
        <v>0</v>
      </c>
    </row>
    <row r="11" spans="1:16" x14ac:dyDescent="0.25">
      <c r="A11" t="s">
        <v>669</v>
      </c>
      <c r="B11">
        <v>0</v>
      </c>
      <c r="C11">
        <v>30</v>
      </c>
      <c r="D11" t="s">
        <v>857</v>
      </c>
      <c r="E11">
        <v>5</v>
      </c>
      <c r="F11">
        <v>5</v>
      </c>
      <c r="G11" t="s">
        <v>684</v>
      </c>
      <c r="H11" t="s">
        <v>684</v>
      </c>
      <c r="J11">
        <v>30</v>
      </c>
      <c r="K11">
        <v>0</v>
      </c>
      <c r="L11" t="s">
        <v>921</v>
      </c>
      <c r="M11">
        <v>30</v>
      </c>
      <c r="N11">
        <v>0</v>
      </c>
      <c r="O11" t="s">
        <v>921</v>
      </c>
      <c r="P11">
        <f t="shared" si="0"/>
        <v>0</v>
      </c>
    </row>
    <row r="12" spans="1:16" x14ac:dyDescent="0.25">
      <c r="A12" t="s">
        <v>214</v>
      </c>
      <c r="B12">
        <v>0</v>
      </c>
      <c r="C12">
        <v>200</v>
      </c>
      <c r="D12" t="s">
        <v>857</v>
      </c>
      <c r="E12">
        <v>5</v>
      </c>
      <c r="F12">
        <v>5</v>
      </c>
      <c r="G12" t="s">
        <v>684</v>
      </c>
      <c r="H12" t="s">
        <v>684</v>
      </c>
      <c r="J12">
        <v>200</v>
      </c>
      <c r="K12">
        <v>0</v>
      </c>
      <c r="L12" t="s">
        <v>921</v>
      </c>
      <c r="M12">
        <v>200</v>
      </c>
      <c r="N12">
        <v>0</v>
      </c>
      <c r="O12" t="s">
        <v>921</v>
      </c>
      <c r="P12">
        <f t="shared" si="0"/>
        <v>0</v>
      </c>
    </row>
    <row r="13" spans="1:16" x14ac:dyDescent="0.25">
      <c r="A13" t="s">
        <v>669</v>
      </c>
      <c r="B13">
        <v>0</v>
      </c>
      <c r="C13">
        <v>200</v>
      </c>
      <c r="D13" t="s">
        <v>857</v>
      </c>
      <c r="E13">
        <v>5</v>
      </c>
      <c r="F13">
        <v>5</v>
      </c>
      <c r="G13" t="s">
        <v>684</v>
      </c>
      <c r="H13" t="s">
        <v>684</v>
      </c>
      <c r="J13">
        <v>200</v>
      </c>
      <c r="K13">
        <v>0</v>
      </c>
      <c r="L13" t="s">
        <v>921</v>
      </c>
      <c r="M13">
        <v>200</v>
      </c>
      <c r="N13">
        <v>0</v>
      </c>
      <c r="O13" t="s">
        <v>921</v>
      </c>
      <c r="P13">
        <f t="shared" si="0"/>
        <v>0</v>
      </c>
    </row>
    <row r="14" spans="1:16" x14ac:dyDescent="0.25">
      <c r="A14" t="s">
        <v>669</v>
      </c>
      <c r="B14">
        <v>14</v>
      </c>
      <c r="C14" t="s">
        <v>669</v>
      </c>
      <c r="D14" t="s">
        <v>862</v>
      </c>
      <c r="E14">
        <v>8</v>
      </c>
      <c r="F14">
        <v>8</v>
      </c>
      <c r="G14" t="s">
        <v>687</v>
      </c>
      <c r="H14" t="s">
        <v>687</v>
      </c>
      <c r="K14">
        <v>1.4E-2</v>
      </c>
      <c r="L14" t="s">
        <v>303</v>
      </c>
      <c r="N14">
        <v>14</v>
      </c>
      <c r="O14" t="s">
        <v>862</v>
      </c>
      <c r="P14">
        <f t="shared" si="0"/>
        <v>0</v>
      </c>
    </row>
    <row r="15" spans="1:16" x14ac:dyDescent="0.25">
      <c r="A15" t="s">
        <v>669</v>
      </c>
      <c r="B15">
        <v>24</v>
      </c>
      <c r="C15" t="s">
        <v>669</v>
      </c>
      <c r="D15" t="s">
        <v>862</v>
      </c>
      <c r="E15">
        <v>8</v>
      </c>
      <c r="F15">
        <v>8</v>
      </c>
      <c r="G15" t="s">
        <v>687</v>
      </c>
      <c r="H15" t="s">
        <v>687</v>
      </c>
      <c r="K15">
        <v>2.4E-2</v>
      </c>
      <c r="L15" t="s">
        <v>303</v>
      </c>
      <c r="N15">
        <v>24</v>
      </c>
      <c r="O15" t="s">
        <v>862</v>
      </c>
      <c r="P15">
        <f t="shared" si="0"/>
        <v>0</v>
      </c>
    </row>
    <row r="16" spans="1:16" x14ac:dyDescent="0.25">
      <c r="A16" t="s">
        <v>669</v>
      </c>
      <c r="B16">
        <v>225</v>
      </c>
      <c r="C16" t="s">
        <v>669</v>
      </c>
      <c r="D16" t="s">
        <v>862</v>
      </c>
      <c r="E16">
        <v>8</v>
      </c>
      <c r="F16">
        <v>8</v>
      </c>
      <c r="G16" t="s">
        <v>687</v>
      </c>
      <c r="H16" t="s">
        <v>687</v>
      </c>
      <c r="K16">
        <v>0.22500000000000001</v>
      </c>
      <c r="L16" t="s">
        <v>303</v>
      </c>
      <c r="N16">
        <v>225</v>
      </c>
      <c r="O16" t="s">
        <v>862</v>
      </c>
      <c r="P16">
        <f t="shared" si="0"/>
        <v>0</v>
      </c>
    </row>
    <row r="17" spans="1:16" x14ac:dyDescent="0.25">
      <c r="A17" t="s">
        <v>669</v>
      </c>
      <c r="B17">
        <v>255</v>
      </c>
      <c r="C17" t="s">
        <v>669</v>
      </c>
      <c r="D17" t="s">
        <v>862</v>
      </c>
      <c r="E17">
        <v>8</v>
      </c>
      <c r="F17">
        <v>8</v>
      </c>
      <c r="G17" t="s">
        <v>687</v>
      </c>
      <c r="H17" t="s">
        <v>687</v>
      </c>
      <c r="K17">
        <v>0.255</v>
      </c>
      <c r="L17" t="s">
        <v>303</v>
      </c>
      <c r="N17">
        <v>255</v>
      </c>
      <c r="O17" t="s">
        <v>862</v>
      </c>
      <c r="P17">
        <f t="shared" si="0"/>
        <v>0</v>
      </c>
    </row>
    <row r="18" spans="1:16" x14ac:dyDescent="0.25">
      <c r="A18" t="s">
        <v>527</v>
      </c>
      <c r="B18">
        <v>492.47699999999998</v>
      </c>
      <c r="C18" t="s">
        <v>669</v>
      </c>
      <c r="D18" t="s">
        <v>864</v>
      </c>
      <c r="E18">
        <v>8</v>
      </c>
      <c r="F18">
        <v>8</v>
      </c>
      <c r="G18" t="s">
        <v>687</v>
      </c>
      <c r="H18" t="s">
        <v>687</v>
      </c>
      <c r="K18">
        <v>0.492477</v>
      </c>
      <c r="L18" t="s">
        <v>303</v>
      </c>
      <c r="N18">
        <v>492.47699999999998</v>
      </c>
      <c r="O18" t="s">
        <v>862</v>
      </c>
      <c r="P18">
        <f t="shared" si="0"/>
        <v>0</v>
      </c>
    </row>
    <row r="19" spans="1:16" x14ac:dyDescent="0.25">
      <c r="A19" t="s">
        <v>669</v>
      </c>
      <c r="B19">
        <v>1200</v>
      </c>
      <c r="C19" t="s">
        <v>669</v>
      </c>
      <c r="D19" t="s">
        <v>862</v>
      </c>
      <c r="E19">
        <v>8</v>
      </c>
      <c r="F19">
        <v>8</v>
      </c>
      <c r="G19" t="s">
        <v>687</v>
      </c>
      <c r="H19" t="s">
        <v>687</v>
      </c>
      <c r="K19">
        <v>1.2</v>
      </c>
      <c r="L19" t="s">
        <v>303</v>
      </c>
      <c r="N19">
        <v>1200</v>
      </c>
      <c r="O19" t="s">
        <v>862</v>
      </c>
      <c r="P19">
        <f t="shared" si="0"/>
        <v>0</v>
      </c>
    </row>
    <row r="20" spans="1:16" x14ac:dyDescent="0.25">
      <c r="A20" t="s">
        <v>59</v>
      </c>
      <c r="B20">
        <v>0</v>
      </c>
      <c r="C20">
        <v>1</v>
      </c>
      <c r="D20" t="s">
        <v>862</v>
      </c>
      <c r="E20">
        <v>5</v>
      </c>
      <c r="F20">
        <v>5</v>
      </c>
      <c r="G20" t="s">
        <v>684</v>
      </c>
      <c r="H20" t="s">
        <v>684</v>
      </c>
      <c r="J20">
        <v>1000</v>
      </c>
      <c r="K20">
        <v>0</v>
      </c>
      <c r="L20" t="s">
        <v>931</v>
      </c>
      <c r="M20">
        <v>1</v>
      </c>
      <c r="N20">
        <v>0</v>
      </c>
      <c r="O20" t="s">
        <v>862</v>
      </c>
      <c r="P20">
        <f t="shared" si="0"/>
        <v>0</v>
      </c>
    </row>
    <row r="21" spans="1:16" x14ac:dyDescent="0.25">
      <c r="A21" t="s">
        <v>669</v>
      </c>
      <c r="B21">
        <v>1</v>
      </c>
      <c r="C21">
        <v>1</v>
      </c>
      <c r="D21" t="s">
        <v>857</v>
      </c>
      <c r="E21">
        <v>5</v>
      </c>
      <c r="F21">
        <v>5</v>
      </c>
      <c r="G21" t="s">
        <v>684</v>
      </c>
      <c r="H21" t="s">
        <v>684</v>
      </c>
      <c r="J21">
        <v>1</v>
      </c>
      <c r="K21">
        <v>1</v>
      </c>
      <c r="L21" t="s">
        <v>921</v>
      </c>
      <c r="M21">
        <v>1</v>
      </c>
      <c r="N21">
        <v>1</v>
      </c>
      <c r="O21" t="s">
        <v>921</v>
      </c>
      <c r="P21">
        <f t="shared" si="0"/>
        <v>0</v>
      </c>
    </row>
    <row r="22" spans="1:16" x14ac:dyDescent="0.25">
      <c r="A22" t="s">
        <v>669</v>
      </c>
      <c r="B22">
        <v>1</v>
      </c>
      <c r="C22">
        <v>11</v>
      </c>
      <c r="D22" t="s">
        <v>872</v>
      </c>
      <c r="E22">
        <v>5</v>
      </c>
      <c r="F22">
        <v>5</v>
      </c>
      <c r="G22" t="s">
        <v>684</v>
      </c>
      <c r="H22" t="s">
        <v>684</v>
      </c>
      <c r="J22">
        <v>11</v>
      </c>
      <c r="K22">
        <v>1</v>
      </c>
      <c r="L22" t="s">
        <v>921</v>
      </c>
      <c r="M22">
        <v>11</v>
      </c>
      <c r="N22">
        <v>1</v>
      </c>
      <c r="O22" t="s">
        <v>921</v>
      </c>
      <c r="P22">
        <f t="shared" si="0"/>
        <v>0</v>
      </c>
    </row>
    <row r="23" spans="1:16" x14ac:dyDescent="0.25">
      <c r="A23" t="s">
        <v>669</v>
      </c>
      <c r="B23">
        <v>1</v>
      </c>
      <c r="C23">
        <v>22</v>
      </c>
      <c r="D23" t="s">
        <v>872</v>
      </c>
      <c r="E23">
        <v>5</v>
      </c>
      <c r="F23">
        <v>5</v>
      </c>
      <c r="G23" t="s">
        <v>684</v>
      </c>
      <c r="H23" t="s">
        <v>684</v>
      </c>
      <c r="J23">
        <v>22</v>
      </c>
      <c r="K23">
        <v>1</v>
      </c>
      <c r="L23" t="s">
        <v>921</v>
      </c>
      <c r="M23">
        <v>22</v>
      </c>
      <c r="N23">
        <v>1</v>
      </c>
      <c r="O23" t="s">
        <v>921</v>
      </c>
      <c r="P23">
        <f t="shared" si="0"/>
        <v>0</v>
      </c>
    </row>
    <row r="24" spans="1:16" x14ac:dyDescent="0.25">
      <c r="A24" t="s">
        <v>669</v>
      </c>
      <c r="B24">
        <v>5.3200000000000003E-4</v>
      </c>
      <c r="C24">
        <v>5.3200000000000003E-4</v>
      </c>
      <c r="D24" t="s">
        <v>303</v>
      </c>
      <c r="E24" t="s">
        <v>910</v>
      </c>
      <c r="F24" t="s">
        <v>910</v>
      </c>
      <c r="J24">
        <v>5.3200000000000003E-4</v>
      </c>
      <c r="K24">
        <v>5.3200000000000003E-4</v>
      </c>
      <c r="L24" t="s">
        <v>303</v>
      </c>
      <c r="M24">
        <v>5.3200000000000003E-4</v>
      </c>
      <c r="N24">
        <v>5.3200000000000003E-4</v>
      </c>
      <c r="O24" t="s">
        <v>303</v>
      </c>
      <c r="P24">
        <f t="shared" si="0"/>
        <v>0</v>
      </c>
    </row>
    <row r="25" spans="1:16" x14ac:dyDescent="0.25">
      <c r="A25" t="s">
        <v>669</v>
      </c>
      <c r="B25">
        <v>1</v>
      </c>
      <c r="C25" t="s">
        <v>669</v>
      </c>
      <c r="D25" t="s">
        <v>857</v>
      </c>
      <c r="E25" t="s">
        <v>910</v>
      </c>
      <c r="F25">
        <v>5</v>
      </c>
      <c r="H25" t="s">
        <v>684</v>
      </c>
      <c r="I25" t="s">
        <v>932</v>
      </c>
      <c r="K25">
        <v>1</v>
      </c>
      <c r="L25" t="s">
        <v>920</v>
      </c>
      <c r="N25">
        <v>1</v>
      </c>
      <c r="O25" t="s">
        <v>857</v>
      </c>
      <c r="P25">
        <f t="shared" si="0"/>
        <v>27</v>
      </c>
    </row>
    <row r="26" spans="1:16" x14ac:dyDescent="0.25">
      <c r="A26" t="s">
        <v>669</v>
      </c>
      <c r="B26">
        <v>5.9999999999999995E-4</v>
      </c>
      <c r="C26">
        <v>5.9999999999999995E-4</v>
      </c>
      <c r="D26" t="s">
        <v>303</v>
      </c>
      <c r="E26" t="s">
        <v>910</v>
      </c>
      <c r="F26" t="s">
        <v>910</v>
      </c>
      <c r="J26">
        <v>5.9999999999999995E-4</v>
      </c>
      <c r="K26">
        <v>5.9999999999999995E-4</v>
      </c>
      <c r="L26" t="s">
        <v>303</v>
      </c>
      <c r="M26">
        <v>5.9999999999999995E-4</v>
      </c>
      <c r="N26">
        <v>5.9999999999999995E-4</v>
      </c>
      <c r="O26" t="s">
        <v>303</v>
      </c>
      <c r="P26">
        <f t="shared" si="0"/>
        <v>0</v>
      </c>
    </row>
    <row r="27" spans="1:16" x14ac:dyDescent="0.25">
      <c r="A27" t="s">
        <v>23</v>
      </c>
      <c r="B27">
        <v>5</v>
      </c>
      <c r="C27">
        <v>5</v>
      </c>
      <c r="D27" t="s">
        <v>857</v>
      </c>
      <c r="E27">
        <v>5</v>
      </c>
      <c r="F27">
        <v>5</v>
      </c>
      <c r="G27" t="s">
        <v>684</v>
      </c>
      <c r="H27" t="s">
        <v>684</v>
      </c>
      <c r="J27">
        <v>5</v>
      </c>
      <c r="K27">
        <v>5</v>
      </c>
      <c r="L27" t="s">
        <v>921</v>
      </c>
      <c r="M27">
        <v>5</v>
      </c>
      <c r="N27">
        <v>5</v>
      </c>
      <c r="O27" t="s">
        <v>921</v>
      </c>
      <c r="P27">
        <f t="shared" si="0"/>
        <v>0</v>
      </c>
    </row>
    <row r="28" spans="1:16" x14ac:dyDescent="0.25">
      <c r="A28" t="s">
        <v>669</v>
      </c>
      <c r="B28">
        <v>5</v>
      </c>
      <c r="C28">
        <v>5</v>
      </c>
      <c r="D28" t="s">
        <v>872</v>
      </c>
      <c r="E28">
        <v>5</v>
      </c>
      <c r="F28">
        <v>5</v>
      </c>
      <c r="G28" t="s">
        <v>684</v>
      </c>
      <c r="H28" t="s">
        <v>684</v>
      </c>
      <c r="J28">
        <v>5</v>
      </c>
      <c r="K28">
        <v>5</v>
      </c>
      <c r="L28" t="s">
        <v>921</v>
      </c>
      <c r="M28">
        <v>5</v>
      </c>
      <c r="N28">
        <v>5</v>
      </c>
      <c r="O28" t="s">
        <v>921</v>
      </c>
      <c r="P28">
        <f t="shared" si="0"/>
        <v>0</v>
      </c>
    </row>
    <row r="29" spans="1:16" x14ac:dyDescent="0.25">
      <c r="A29" t="s">
        <v>669</v>
      </c>
      <c r="B29">
        <v>5</v>
      </c>
      <c r="C29">
        <v>10</v>
      </c>
      <c r="D29" t="s">
        <v>873</v>
      </c>
      <c r="E29">
        <v>5</v>
      </c>
      <c r="F29">
        <v>5</v>
      </c>
      <c r="G29" t="s">
        <v>684</v>
      </c>
      <c r="H29" t="s">
        <v>684</v>
      </c>
      <c r="J29">
        <v>10</v>
      </c>
      <c r="K29">
        <v>5</v>
      </c>
      <c r="L29" t="s">
        <v>921</v>
      </c>
      <c r="M29">
        <v>10</v>
      </c>
      <c r="N29">
        <v>5</v>
      </c>
      <c r="O29" t="s">
        <v>921</v>
      </c>
      <c r="P29">
        <f t="shared" si="0"/>
        <v>0</v>
      </c>
    </row>
    <row r="30" spans="1:16" x14ac:dyDescent="0.25">
      <c r="A30" t="s">
        <v>669</v>
      </c>
      <c r="B30">
        <v>1.1000000000000001E-3</v>
      </c>
      <c r="C30">
        <v>1.1000000000000001E-3</v>
      </c>
      <c r="D30" t="s">
        <v>303</v>
      </c>
      <c r="E30" t="s">
        <v>910</v>
      </c>
      <c r="F30" t="s">
        <v>910</v>
      </c>
      <c r="J30">
        <v>1.1000000000000001E-3</v>
      </c>
      <c r="K30">
        <v>1.1000000000000001E-3</v>
      </c>
      <c r="L30" t="s">
        <v>303</v>
      </c>
      <c r="M30">
        <v>1.1000000000000001E-3</v>
      </c>
      <c r="N30">
        <v>1.1000000000000001E-3</v>
      </c>
      <c r="O30" t="s">
        <v>303</v>
      </c>
      <c r="P30">
        <f t="shared" si="0"/>
        <v>0</v>
      </c>
    </row>
    <row r="31" spans="1:16" x14ac:dyDescent="0.25">
      <c r="A31" t="s">
        <v>669</v>
      </c>
      <c r="B31">
        <v>6.5</v>
      </c>
      <c r="C31">
        <v>13</v>
      </c>
      <c r="D31" t="s">
        <v>857</v>
      </c>
      <c r="E31">
        <v>5</v>
      </c>
      <c r="F31">
        <v>5</v>
      </c>
      <c r="G31" t="s">
        <v>684</v>
      </c>
      <c r="H31" t="s">
        <v>684</v>
      </c>
      <c r="J31">
        <v>13</v>
      </c>
      <c r="K31">
        <v>6.5</v>
      </c>
      <c r="L31" t="s">
        <v>921</v>
      </c>
      <c r="M31">
        <v>13</v>
      </c>
      <c r="N31">
        <v>6.5</v>
      </c>
      <c r="O31" t="s">
        <v>921</v>
      </c>
      <c r="P31">
        <f t="shared" si="0"/>
        <v>0</v>
      </c>
    </row>
    <row r="32" spans="1:16" x14ac:dyDescent="0.25">
      <c r="A32" t="s">
        <v>669</v>
      </c>
      <c r="B32">
        <v>1.1379999999999999E-3</v>
      </c>
      <c r="C32">
        <v>1.1379999999999999E-3</v>
      </c>
      <c r="D32" t="s">
        <v>303</v>
      </c>
      <c r="E32" t="s">
        <v>910</v>
      </c>
      <c r="F32" t="s">
        <v>910</v>
      </c>
      <c r="J32">
        <v>1.1379999999999999E-3</v>
      </c>
      <c r="K32">
        <v>1.1379999999999999E-3</v>
      </c>
      <c r="L32" t="s">
        <v>303</v>
      </c>
      <c r="M32">
        <v>1.1379999999999999E-3</v>
      </c>
      <c r="N32">
        <v>1.1379999999999999E-3</v>
      </c>
      <c r="O32" t="s">
        <v>303</v>
      </c>
      <c r="P32">
        <f t="shared" si="0"/>
        <v>0</v>
      </c>
    </row>
    <row r="33" spans="1:16" x14ac:dyDescent="0.25">
      <c r="A33" t="s">
        <v>669</v>
      </c>
      <c r="B33">
        <v>1.253E-3</v>
      </c>
      <c r="C33">
        <v>1.253E-3</v>
      </c>
      <c r="D33" t="s">
        <v>303</v>
      </c>
      <c r="E33" t="s">
        <v>910</v>
      </c>
      <c r="F33" t="s">
        <v>910</v>
      </c>
      <c r="J33">
        <v>1.253E-3</v>
      </c>
      <c r="K33">
        <v>1.253E-3</v>
      </c>
      <c r="L33" t="s">
        <v>303</v>
      </c>
      <c r="M33">
        <v>1.253E-3</v>
      </c>
      <c r="N33">
        <v>1.253E-3</v>
      </c>
      <c r="O33" t="s">
        <v>303</v>
      </c>
      <c r="P33">
        <f t="shared" si="0"/>
        <v>0</v>
      </c>
    </row>
    <row r="34" spans="1:16" x14ac:dyDescent="0.25">
      <c r="A34" t="s">
        <v>669</v>
      </c>
      <c r="B34">
        <v>1.2999999999999999E-3</v>
      </c>
      <c r="C34">
        <v>1.2999999999999999E-3</v>
      </c>
      <c r="D34" t="s">
        <v>303</v>
      </c>
      <c r="E34" t="s">
        <v>910</v>
      </c>
      <c r="F34" t="s">
        <v>910</v>
      </c>
      <c r="J34">
        <v>1.2999999999999999E-3</v>
      </c>
      <c r="K34">
        <v>1.2999999999999999E-3</v>
      </c>
      <c r="L34" t="s">
        <v>303</v>
      </c>
      <c r="M34">
        <v>1.2999999999999999E-3</v>
      </c>
      <c r="N34">
        <v>1.2999999999999999E-3</v>
      </c>
      <c r="O34" t="s">
        <v>303</v>
      </c>
      <c r="P34">
        <f t="shared" si="0"/>
        <v>0</v>
      </c>
    </row>
    <row r="35" spans="1:16" x14ac:dyDescent="0.25">
      <c r="A35" t="s">
        <v>669</v>
      </c>
      <c r="B35">
        <v>10</v>
      </c>
      <c r="C35">
        <v>20</v>
      </c>
      <c r="D35" t="s">
        <v>872</v>
      </c>
      <c r="E35">
        <v>5</v>
      </c>
      <c r="F35">
        <v>5</v>
      </c>
      <c r="G35" t="s">
        <v>684</v>
      </c>
      <c r="H35" t="s">
        <v>684</v>
      </c>
      <c r="J35">
        <v>20</v>
      </c>
      <c r="K35">
        <v>10</v>
      </c>
      <c r="L35" t="s">
        <v>921</v>
      </c>
      <c r="M35">
        <v>20</v>
      </c>
      <c r="N35">
        <v>10</v>
      </c>
      <c r="O35" t="s">
        <v>921</v>
      </c>
      <c r="P35">
        <f t="shared" si="0"/>
        <v>0</v>
      </c>
    </row>
    <row r="36" spans="1:16" x14ac:dyDescent="0.25">
      <c r="A36" t="s">
        <v>211</v>
      </c>
      <c r="B36">
        <v>18</v>
      </c>
      <c r="C36">
        <v>18</v>
      </c>
      <c r="D36" t="s">
        <v>857</v>
      </c>
      <c r="E36">
        <v>5</v>
      </c>
      <c r="F36">
        <v>5</v>
      </c>
      <c r="G36" t="s">
        <v>684</v>
      </c>
      <c r="H36" t="s">
        <v>684</v>
      </c>
      <c r="J36">
        <v>18</v>
      </c>
      <c r="K36">
        <v>18</v>
      </c>
      <c r="L36" t="s">
        <v>921</v>
      </c>
      <c r="M36">
        <v>18</v>
      </c>
      <c r="N36">
        <v>18</v>
      </c>
      <c r="O36" t="s">
        <v>921</v>
      </c>
      <c r="P36">
        <f t="shared" si="0"/>
        <v>0</v>
      </c>
    </row>
    <row r="37" spans="1:16" x14ac:dyDescent="0.25">
      <c r="A37" t="s">
        <v>669</v>
      </c>
      <c r="B37">
        <v>1.4E-3</v>
      </c>
      <c r="C37">
        <v>1.4E-3</v>
      </c>
      <c r="D37" t="s">
        <v>303</v>
      </c>
      <c r="E37" t="s">
        <v>910</v>
      </c>
      <c r="F37" t="s">
        <v>910</v>
      </c>
      <c r="J37">
        <v>1.4E-3</v>
      </c>
      <c r="K37">
        <v>1.4E-3</v>
      </c>
      <c r="L37" t="s">
        <v>303</v>
      </c>
      <c r="M37">
        <v>1.4E-3</v>
      </c>
      <c r="N37">
        <v>1.4E-3</v>
      </c>
      <c r="O37" t="s">
        <v>303</v>
      </c>
      <c r="P37">
        <f t="shared" si="0"/>
        <v>0</v>
      </c>
    </row>
    <row r="38" spans="1:16" x14ac:dyDescent="0.25">
      <c r="A38" t="s">
        <v>669</v>
      </c>
      <c r="B38">
        <v>19</v>
      </c>
      <c r="C38" t="s">
        <v>669</v>
      </c>
      <c r="D38" t="s">
        <v>857</v>
      </c>
      <c r="E38" t="s">
        <v>910</v>
      </c>
      <c r="F38">
        <v>5</v>
      </c>
      <c r="H38" t="s">
        <v>684</v>
      </c>
      <c r="I38" t="s">
        <v>932</v>
      </c>
      <c r="K38">
        <v>19</v>
      </c>
      <c r="L38" t="s">
        <v>920</v>
      </c>
      <c r="N38">
        <v>19</v>
      </c>
      <c r="O38" t="s">
        <v>857</v>
      </c>
      <c r="P38">
        <f t="shared" si="0"/>
        <v>27</v>
      </c>
    </row>
    <row r="39" spans="1:16" x14ac:dyDescent="0.25">
      <c r="A39" t="s">
        <v>669</v>
      </c>
      <c r="B39">
        <v>20</v>
      </c>
      <c r="C39" t="s">
        <v>669</v>
      </c>
      <c r="D39" t="s">
        <v>857</v>
      </c>
      <c r="E39" t="s">
        <v>910</v>
      </c>
      <c r="F39">
        <v>5</v>
      </c>
      <c r="H39" t="s">
        <v>684</v>
      </c>
      <c r="I39" t="s">
        <v>932</v>
      </c>
      <c r="K39">
        <v>20</v>
      </c>
      <c r="L39" t="s">
        <v>920</v>
      </c>
      <c r="N39">
        <v>20</v>
      </c>
      <c r="O39" t="s">
        <v>857</v>
      </c>
      <c r="P39">
        <f t="shared" si="0"/>
        <v>27</v>
      </c>
    </row>
    <row r="40" spans="1:16" x14ac:dyDescent="0.25">
      <c r="A40" t="s">
        <v>669</v>
      </c>
      <c r="B40">
        <v>36</v>
      </c>
      <c r="C40">
        <v>36</v>
      </c>
      <c r="D40" t="s">
        <v>857</v>
      </c>
      <c r="E40">
        <v>5</v>
      </c>
      <c r="F40">
        <v>5</v>
      </c>
      <c r="G40" t="s">
        <v>684</v>
      </c>
      <c r="H40" t="s">
        <v>684</v>
      </c>
      <c r="J40">
        <v>36</v>
      </c>
      <c r="K40">
        <v>36</v>
      </c>
      <c r="L40" t="s">
        <v>921</v>
      </c>
      <c r="M40">
        <v>36</v>
      </c>
      <c r="N40">
        <v>36</v>
      </c>
      <c r="O40" t="s">
        <v>921</v>
      </c>
      <c r="P40">
        <f t="shared" si="0"/>
        <v>0</v>
      </c>
    </row>
    <row r="41" spans="1:16" x14ac:dyDescent="0.25">
      <c r="A41" t="s">
        <v>669</v>
      </c>
      <c r="B41">
        <v>37</v>
      </c>
      <c r="C41" t="s">
        <v>669</v>
      </c>
      <c r="D41" t="s">
        <v>857</v>
      </c>
      <c r="E41" t="s">
        <v>910</v>
      </c>
      <c r="F41">
        <v>5</v>
      </c>
      <c r="H41" t="s">
        <v>684</v>
      </c>
      <c r="I41" t="s">
        <v>932</v>
      </c>
      <c r="K41">
        <v>37</v>
      </c>
      <c r="L41" t="s">
        <v>920</v>
      </c>
      <c r="N41">
        <v>37</v>
      </c>
      <c r="O41" t="s">
        <v>857</v>
      </c>
      <c r="P41">
        <f t="shared" si="0"/>
        <v>27</v>
      </c>
    </row>
    <row r="42" spans="1:16" x14ac:dyDescent="0.25">
      <c r="A42" t="s">
        <v>669</v>
      </c>
      <c r="B42">
        <v>2.3999999999999998E-3</v>
      </c>
      <c r="C42">
        <v>2.3999999999999998E-3</v>
      </c>
      <c r="D42" t="s">
        <v>303</v>
      </c>
      <c r="E42" t="s">
        <v>910</v>
      </c>
      <c r="F42" t="s">
        <v>910</v>
      </c>
      <c r="J42">
        <v>2.3999999999999998E-3</v>
      </c>
      <c r="K42">
        <v>2.3999999999999998E-3</v>
      </c>
      <c r="L42" t="s">
        <v>303</v>
      </c>
      <c r="M42">
        <v>2.3999999999999998E-3</v>
      </c>
      <c r="N42">
        <v>2.3999999999999998E-3</v>
      </c>
      <c r="O42" t="s">
        <v>303</v>
      </c>
      <c r="P42">
        <f t="shared" si="0"/>
        <v>0</v>
      </c>
    </row>
    <row r="43" spans="1:16" x14ac:dyDescent="0.25">
      <c r="A43" t="s">
        <v>669</v>
      </c>
      <c r="B43">
        <v>-38</v>
      </c>
      <c r="C43" t="s">
        <v>669</v>
      </c>
      <c r="D43" t="s">
        <v>865</v>
      </c>
      <c r="E43" t="s">
        <v>910</v>
      </c>
      <c r="F43">
        <v>5</v>
      </c>
      <c r="H43" t="s">
        <v>684</v>
      </c>
      <c r="I43" t="s">
        <v>923</v>
      </c>
      <c r="K43">
        <v>38</v>
      </c>
      <c r="L43" t="s">
        <v>920</v>
      </c>
      <c r="N43">
        <v>-38</v>
      </c>
      <c r="O43" t="s">
        <v>931</v>
      </c>
      <c r="P43">
        <f t="shared" si="0"/>
        <v>43</v>
      </c>
    </row>
    <row r="44" spans="1:16" x14ac:dyDescent="0.25">
      <c r="A44" t="s">
        <v>669</v>
      </c>
      <c r="B44">
        <v>2.6710000000000002E-3</v>
      </c>
      <c r="C44">
        <v>2.6710000000000002E-3</v>
      </c>
      <c r="D44" t="s">
        <v>303</v>
      </c>
      <c r="E44" t="s">
        <v>910</v>
      </c>
      <c r="F44" t="s">
        <v>910</v>
      </c>
      <c r="J44">
        <v>2.6710000000000002E-3</v>
      </c>
      <c r="K44">
        <v>2.6710000000000002E-3</v>
      </c>
      <c r="L44" t="s">
        <v>303</v>
      </c>
      <c r="M44">
        <v>2.6710000000000002E-3</v>
      </c>
      <c r="N44">
        <v>2.6710000000000002E-3</v>
      </c>
      <c r="O44" t="s">
        <v>303</v>
      </c>
      <c r="P44">
        <f t="shared" si="0"/>
        <v>0</v>
      </c>
    </row>
    <row r="45" spans="1:16" x14ac:dyDescent="0.25">
      <c r="A45" t="s">
        <v>669</v>
      </c>
      <c r="B45">
        <v>2.7000000000000001E-3</v>
      </c>
      <c r="C45">
        <v>2.7000000000000001E-3</v>
      </c>
      <c r="D45" t="s">
        <v>303</v>
      </c>
      <c r="E45" t="s">
        <v>910</v>
      </c>
      <c r="F45" t="s">
        <v>910</v>
      </c>
      <c r="J45">
        <v>2.7000000000000001E-3</v>
      </c>
      <c r="K45">
        <v>2.7000000000000001E-3</v>
      </c>
      <c r="L45" t="s">
        <v>303</v>
      </c>
      <c r="M45">
        <v>2.7000000000000001E-3</v>
      </c>
      <c r="N45">
        <v>2.7000000000000001E-3</v>
      </c>
      <c r="O45" t="s">
        <v>303</v>
      </c>
      <c r="P45">
        <f t="shared" si="0"/>
        <v>0</v>
      </c>
    </row>
    <row r="46" spans="1:16" x14ac:dyDescent="0.25">
      <c r="A46" t="s">
        <v>669</v>
      </c>
      <c r="B46">
        <v>40</v>
      </c>
      <c r="C46" t="s">
        <v>669</v>
      </c>
      <c r="D46" t="s">
        <v>857</v>
      </c>
      <c r="E46" t="s">
        <v>910</v>
      </c>
      <c r="F46">
        <v>5</v>
      </c>
      <c r="H46" t="s">
        <v>684</v>
      </c>
      <c r="I46" t="s">
        <v>932</v>
      </c>
      <c r="K46">
        <v>40</v>
      </c>
      <c r="L46" t="s">
        <v>920</v>
      </c>
      <c r="N46">
        <v>40</v>
      </c>
      <c r="O46" t="s">
        <v>857</v>
      </c>
      <c r="P46">
        <f t="shared" si="0"/>
        <v>27</v>
      </c>
    </row>
    <row r="47" spans="1:16" x14ac:dyDescent="0.25">
      <c r="A47" t="s">
        <v>669</v>
      </c>
      <c r="B47">
        <v>45</v>
      </c>
      <c r="C47" t="s">
        <v>669</v>
      </c>
      <c r="D47" t="s">
        <v>857</v>
      </c>
      <c r="E47" t="s">
        <v>910</v>
      </c>
      <c r="F47">
        <v>5</v>
      </c>
      <c r="H47" t="s">
        <v>684</v>
      </c>
      <c r="I47" t="s">
        <v>932</v>
      </c>
      <c r="K47">
        <v>45</v>
      </c>
      <c r="L47" t="s">
        <v>920</v>
      </c>
      <c r="N47">
        <v>45</v>
      </c>
      <c r="O47" t="s">
        <v>857</v>
      </c>
      <c r="P47">
        <f t="shared" si="0"/>
        <v>27</v>
      </c>
    </row>
    <row r="48" spans="1:16" x14ac:dyDescent="0.25">
      <c r="A48" t="s">
        <v>669</v>
      </c>
      <c r="B48">
        <v>50</v>
      </c>
      <c r="C48">
        <v>52</v>
      </c>
      <c r="D48" t="s">
        <v>871</v>
      </c>
      <c r="E48">
        <v>5</v>
      </c>
      <c r="F48">
        <v>5</v>
      </c>
      <c r="G48" t="s">
        <v>684</v>
      </c>
      <c r="H48" t="s">
        <v>684</v>
      </c>
      <c r="J48">
        <v>52</v>
      </c>
      <c r="K48">
        <v>50</v>
      </c>
      <c r="L48" t="s">
        <v>921</v>
      </c>
      <c r="M48">
        <v>52</v>
      </c>
      <c r="N48">
        <v>50</v>
      </c>
      <c r="O48" t="s">
        <v>921</v>
      </c>
      <c r="P48">
        <f t="shared" si="0"/>
        <v>0</v>
      </c>
    </row>
    <row r="49" spans="1:16" x14ac:dyDescent="0.25">
      <c r="A49" t="s">
        <v>669</v>
      </c>
      <c r="B49">
        <v>50</v>
      </c>
      <c r="C49" t="s">
        <v>669</v>
      </c>
      <c r="D49" t="s">
        <v>865</v>
      </c>
      <c r="E49" t="s">
        <v>910</v>
      </c>
      <c r="F49">
        <v>5</v>
      </c>
      <c r="H49" t="s">
        <v>684</v>
      </c>
      <c r="K49">
        <v>50</v>
      </c>
      <c r="L49" t="s">
        <v>920</v>
      </c>
      <c r="N49">
        <v>50</v>
      </c>
      <c r="O49" t="s">
        <v>931</v>
      </c>
      <c r="P49">
        <f t="shared" si="0"/>
        <v>0</v>
      </c>
    </row>
    <row r="50" spans="1:16" x14ac:dyDescent="0.25">
      <c r="A50" t="s">
        <v>669</v>
      </c>
      <c r="B50">
        <v>4.705E-3</v>
      </c>
      <c r="C50">
        <v>4.705E-3</v>
      </c>
      <c r="D50" t="s">
        <v>303</v>
      </c>
      <c r="E50" t="s">
        <v>910</v>
      </c>
      <c r="F50" t="s">
        <v>910</v>
      </c>
      <c r="J50">
        <v>4.705E-3</v>
      </c>
      <c r="K50">
        <v>4.705E-3</v>
      </c>
      <c r="L50" t="s">
        <v>303</v>
      </c>
      <c r="M50">
        <v>4.705E-3</v>
      </c>
      <c r="N50">
        <v>4.705E-3</v>
      </c>
      <c r="O50" t="s">
        <v>303</v>
      </c>
      <c r="P50">
        <f t="shared" si="0"/>
        <v>0</v>
      </c>
    </row>
    <row r="51" spans="1:16" x14ac:dyDescent="0.25">
      <c r="A51" t="s">
        <v>669</v>
      </c>
      <c r="B51">
        <v>56</v>
      </c>
      <c r="C51">
        <v>56</v>
      </c>
      <c r="D51" t="s">
        <v>872</v>
      </c>
      <c r="E51">
        <v>5</v>
      </c>
      <c r="F51">
        <v>5</v>
      </c>
      <c r="G51" t="s">
        <v>684</v>
      </c>
      <c r="H51" t="s">
        <v>684</v>
      </c>
      <c r="J51">
        <v>56</v>
      </c>
      <c r="K51">
        <v>56</v>
      </c>
      <c r="L51" t="s">
        <v>921</v>
      </c>
      <c r="M51">
        <v>56</v>
      </c>
      <c r="N51">
        <v>56</v>
      </c>
      <c r="O51" t="s">
        <v>921</v>
      </c>
      <c r="P51">
        <f t="shared" si="0"/>
        <v>0</v>
      </c>
    </row>
    <row r="52" spans="1:16" x14ac:dyDescent="0.25">
      <c r="A52" t="s">
        <v>669</v>
      </c>
      <c r="B52">
        <v>5.4000000000000003E-3</v>
      </c>
      <c r="C52">
        <v>5.4000000000000003E-3</v>
      </c>
      <c r="D52" t="s">
        <v>303</v>
      </c>
      <c r="E52" t="s">
        <v>910</v>
      </c>
      <c r="F52" t="s">
        <v>910</v>
      </c>
      <c r="J52">
        <v>5.4000000000000003E-3</v>
      </c>
      <c r="K52">
        <v>5.4000000000000003E-3</v>
      </c>
      <c r="L52" t="s">
        <v>303</v>
      </c>
      <c r="M52">
        <v>5.4000000000000003E-3</v>
      </c>
      <c r="N52">
        <v>5.4000000000000003E-3</v>
      </c>
      <c r="O52" t="s">
        <v>303</v>
      </c>
      <c r="P52">
        <f t="shared" si="0"/>
        <v>0</v>
      </c>
    </row>
    <row r="53" spans="1:16" x14ac:dyDescent="0.25">
      <c r="A53" t="s">
        <v>669</v>
      </c>
      <c r="B53">
        <v>6.025E-3</v>
      </c>
      <c r="C53">
        <v>6.025E-3</v>
      </c>
      <c r="D53" t="s">
        <v>303</v>
      </c>
      <c r="E53" t="s">
        <v>910</v>
      </c>
      <c r="F53" t="s">
        <v>910</v>
      </c>
      <c r="J53">
        <v>6.025E-3</v>
      </c>
      <c r="K53">
        <v>6.025E-3</v>
      </c>
      <c r="L53" t="s">
        <v>303</v>
      </c>
      <c r="M53">
        <v>6.025E-3</v>
      </c>
      <c r="N53">
        <v>6.025E-3</v>
      </c>
      <c r="O53" t="s">
        <v>303</v>
      </c>
      <c r="P53">
        <f t="shared" si="0"/>
        <v>0</v>
      </c>
    </row>
    <row r="54" spans="1:16" x14ac:dyDescent="0.25">
      <c r="A54" t="s">
        <v>669</v>
      </c>
      <c r="B54">
        <v>57</v>
      </c>
      <c r="C54">
        <v>57</v>
      </c>
      <c r="D54" t="s">
        <v>857</v>
      </c>
      <c r="E54">
        <v>5</v>
      </c>
      <c r="F54">
        <v>5</v>
      </c>
      <c r="G54" t="s">
        <v>684</v>
      </c>
      <c r="H54" t="s">
        <v>684</v>
      </c>
      <c r="J54">
        <v>57</v>
      </c>
      <c r="K54">
        <v>57</v>
      </c>
      <c r="L54" t="s">
        <v>921</v>
      </c>
      <c r="M54">
        <v>57</v>
      </c>
      <c r="N54">
        <v>57</v>
      </c>
      <c r="O54" t="s">
        <v>921</v>
      </c>
      <c r="P54">
        <f t="shared" si="0"/>
        <v>0</v>
      </c>
    </row>
    <row r="55" spans="1:16" x14ac:dyDescent="0.25">
      <c r="A55" t="s">
        <v>669</v>
      </c>
      <c r="B55">
        <v>8.0590000000000002E-3</v>
      </c>
      <c r="C55">
        <v>8.0590000000000002E-3</v>
      </c>
      <c r="D55" t="s">
        <v>303</v>
      </c>
      <c r="E55" t="s">
        <v>910</v>
      </c>
      <c r="F55" t="s">
        <v>910</v>
      </c>
      <c r="J55">
        <v>8.0590000000000002E-3</v>
      </c>
      <c r="K55">
        <v>8.0590000000000002E-3</v>
      </c>
      <c r="L55" t="s">
        <v>303</v>
      </c>
      <c r="M55">
        <v>8.0590000000000002E-3</v>
      </c>
      <c r="N55">
        <v>8.0590000000000002E-3</v>
      </c>
      <c r="O55" t="s">
        <v>303</v>
      </c>
      <c r="P55">
        <f t="shared" si="0"/>
        <v>0</v>
      </c>
    </row>
    <row r="56" spans="1:16" x14ac:dyDescent="0.25">
      <c r="A56" t="s">
        <v>669</v>
      </c>
      <c r="B56">
        <v>58</v>
      </c>
      <c r="C56" t="s">
        <v>669</v>
      </c>
      <c r="D56" t="s">
        <v>857</v>
      </c>
      <c r="E56" t="s">
        <v>910</v>
      </c>
      <c r="F56">
        <v>5</v>
      </c>
      <c r="H56" t="s">
        <v>684</v>
      </c>
      <c r="I56" t="s">
        <v>932</v>
      </c>
      <c r="K56">
        <v>58</v>
      </c>
      <c r="L56" t="s">
        <v>920</v>
      </c>
      <c r="N56">
        <v>58</v>
      </c>
      <c r="O56" t="s">
        <v>857</v>
      </c>
      <c r="P56">
        <f t="shared" si="0"/>
        <v>27</v>
      </c>
    </row>
    <row r="57" spans="1:16" x14ac:dyDescent="0.25">
      <c r="A57" t="s">
        <v>669</v>
      </c>
      <c r="B57">
        <v>9.3790000000000002E-3</v>
      </c>
      <c r="C57">
        <v>9.3790000000000002E-3</v>
      </c>
      <c r="D57" t="s">
        <v>303</v>
      </c>
      <c r="E57" t="s">
        <v>910</v>
      </c>
      <c r="F57" t="s">
        <v>910</v>
      </c>
      <c r="J57">
        <v>9.3790000000000002E-3</v>
      </c>
      <c r="K57">
        <v>9.3790000000000002E-3</v>
      </c>
      <c r="L57" t="s">
        <v>303</v>
      </c>
      <c r="M57">
        <v>9.3790000000000002E-3</v>
      </c>
      <c r="N57">
        <v>9.3790000000000002E-3</v>
      </c>
      <c r="O57" t="s">
        <v>303</v>
      </c>
      <c r="P57">
        <f t="shared" si="0"/>
        <v>0</v>
      </c>
    </row>
    <row r="58" spans="1:16" x14ac:dyDescent="0.25">
      <c r="A58" t="s">
        <v>90</v>
      </c>
      <c r="B58">
        <v>0</v>
      </c>
      <c r="C58">
        <v>0.01</v>
      </c>
      <c r="D58" t="s">
        <v>303</v>
      </c>
      <c r="E58">
        <v>4</v>
      </c>
      <c r="F58">
        <v>4</v>
      </c>
      <c r="G58" t="s">
        <v>701</v>
      </c>
      <c r="H58" t="s">
        <v>701</v>
      </c>
      <c r="J58">
        <v>0.01</v>
      </c>
      <c r="K58">
        <v>0</v>
      </c>
      <c r="L58" t="s">
        <v>303</v>
      </c>
      <c r="M58">
        <v>0.01</v>
      </c>
      <c r="N58">
        <v>0</v>
      </c>
      <c r="O58" t="s">
        <v>303</v>
      </c>
      <c r="P58">
        <f t="shared" si="0"/>
        <v>0</v>
      </c>
    </row>
    <row r="59" spans="1:16" x14ac:dyDescent="0.25">
      <c r="A59" t="s">
        <v>213</v>
      </c>
      <c r="B59">
        <v>0</v>
      </c>
      <c r="C59">
        <v>0.01</v>
      </c>
      <c r="D59" t="s">
        <v>303</v>
      </c>
      <c r="E59">
        <v>4</v>
      </c>
      <c r="F59">
        <v>4</v>
      </c>
      <c r="G59" t="s">
        <v>701</v>
      </c>
      <c r="H59" t="s">
        <v>701</v>
      </c>
      <c r="J59">
        <v>0.01</v>
      </c>
      <c r="K59">
        <v>0</v>
      </c>
      <c r="L59" t="s">
        <v>303</v>
      </c>
      <c r="M59">
        <v>0.01</v>
      </c>
      <c r="N59">
        <v>0</v>
      </c>
      <c r="O59" t="s">
        <v>303</v>
      </c>
      <c r="P59">
        <f t="shared" si="0"/>
        <v>0</v>
      </c>
    </row>
    <row r="60" spans="1:16" x14ac:dyDescent="0.25">
      <c r="A60" t="s">
        <v>669</v>
      </c>
      <c r="B60">
        <v>0</v>
      </c>
      <c r="C60">
        <v>0.01</v>
      </c>
      <c r="D60" t="s">
        <v>303</v>
      </c>
      <c r="E60" t="s">
        <v>910</v>
      </c>
      <c r="F60" t="s">
        <v>910</v>
      </c>
      <c r="J60">
        <v>0.01</v>
      </c>
      <c r="K60">
        <v>0</v>
      </c>
      <c r="L60" t="s">
        <v>303</v>
      </c>
      <c r="M60">
        <v>0.01</v>
      </c>
      <c r="N60">
        <v>0</v>
      </c>
      <c r="O60" t="s">
        <v>303</v>
      </c>
      <c r="P60">
        <f t="shared" si="0"/>
        <v>0</v>
      </c>
    </row>
    <row r="61" spans="1:16" x14ac:dyDescent="0.25">
      <c r="A61" t="s">
        <v>669</v>
      </c>
      <c r="B61">
        <v>60</v>
      </c>
      <c r="C61" t="s">
        <v>669</v>
      </c>
      <c r="D61" t="s">
        <v>857</v>
      </c>
      <c r="E61" t="s">
        <v>910</v>
      </c>
      <c r="F61">
        <v>5</v>
      </c>
      <c r="H61" t="s">
        <v>684</v>
      </c>
      <c r="I61" t="s">
        <v>932</v>
      </c>
      <c r="K61">
        <v>60</v>
      </c>
      <c r="L61" t="s">
        <v>920</v>
      </c>
      <c r="N61">
        <v>60</v>
      </c>
      <c r="O61" t="s">
        <v>857</v>
      </c>
      <c r="P61">
        <f t="shared" si="0"/>
        <v>27</v>
      </c>
    </row>
    <row r="62" spans="1:16" x14ac:dyDescent="0.25">
      <c r="A62" t="s">
        <v>669</v>
      </c>
      <c r="B62" s="8">
        <v>6.3999999999999997E-5</v>
      </c>
      <c r="C62" t="s">
        <v>669</v>
      </c>
      <c r="D62" t="s">
        <v>860</v>
      </c>
      <c r="E62" t="s">
        <v>910</v>
      </c>
      <c r="F62">
        <v>5</v>
      </c>
      <c r="H62" t="s">
        <v>684</v>
      </c>
      <c r="K62" s="9">
        <v>64</v>
      </c>
      <c r="L62" t="s">
        <v>921</v>
      </c>
      <c r="N62">
        <v>6.3999999999999997E-5</v>
      </c>
      <c r="O62" t="s">
        <v>303</v>
      </c>
      <c r="P62">
        <f t="shared" si="0"/>
        <v>0</v>
      </c>
    </row>
    <row r="63" spans="1:16" x14ac:dyDescent="0.25">
      <c r="A63" t="s">
        <v>669</v>
      </c>
      <c r="B63">
        <v>65</v>
      </c>
      <c r="C63" t="s">
        <v>669</v>
      </c>
      <c r="D63" t="s">
        <v>857</v>
      </c>
      <c r="E63" t="s">
        <v>910</v>
      </c>
      <c r="F63">
        <v>5</v>
      </c>
      <c r="H63" t="s">
        <v>684</v>
      </c>
      <c r="I63" t="s">
        <v>932</v>
      </c>
      <c r="K63">
        <v>65</v>
      </c>
      <c r="L63" t="s">
        <v>920</v>
      </c>
      <c r="N63">
        <v>65</v>
      </c>
      <c r="O63" t="s">
        <v>857</v>
      </c>
      <c r="P63">
        <f t="shared" si="0"/>
        <v>27</v>
      </c>
    </row>
    <row r="64" spans="1:16" x14ac:dyDescent="0.25">
      <c r="A64" t="s">
        <v>669</v>
      </c>
      <c r="B64">
        <v>1.03E-2</v>
      </c>
      <c r="C64">
        <v>1.03E-2</v>
      </c>
      <c r="D64" t="s">
        <v>303</v>
      </c>
      <c r="E64" t="s">
        <v>910</v>
      </c>
      <c r="F64" t="s">
        <v>910</v>
      </c>
      <c r="J64">
        <v>1.03E-2</v>
      </c>
      <c r="K64">
        <v>1.03E-2</v>
      </c>
      <c r="L64" t="s">
        <v>303</v>
      </c>
      <c r="M64">
        <v>1.03E-2</v>
      </c>
      <c r="N64">
        <v>1.03E-2</v>
      </c>
      <c r="O64" t="s">
        <v>303</v>
      </c>
      <c r="P64">
        <f t="shared" si="0"/>
        <v>0</v>
      </c>
    </row>
    <row r="65" spans="1:16" x14ac:dyDescent="0.25">
      <c r="A65" t="s">
        <v>669</v>
      </c>
      <c r="B65">
        <v>1.1413E-2</v>
      </c>
      <c r="C65">
        <v>1.1413E-2</v>
      </c>
      <c r="D65" t="s">
        <v>303</v>
      </c>
      <c r="E65" t="s">
        <v>910</v>
      </c>
      <c r="F65" t="s">
        <v>910</v>
      </c>
      <c r="J65">
        <v>1.1413E-2</v>
      </c>
      <c r="K65">
        <v>1.1413E-2</v>
      </c>
      <c r="L65" t="s">
        <v>303</v>
      </c>
      <c r="M65">
        <v>1.1413E-2</v>
      </c>
      <c r="N65">
        <v>1.1413E-2</v>
      </c>
      <c r="O65" t="s">
        <v>303</v>
      </c>
      <c r="P65">
        <f t="shared" si="0"/>
        <v>0</v>
      </c>
    </row>
    <row r="66" spans="1:16" x14ac:dyDescent="0.25">
      <c r="A66" t="s">
        <v>213</v>
      </c>
      <c r="B66">
        <v>-68</v>
      </c>
      <c r="C66" t="s">
        <v>669</v>
      </c>
      <c r="D66" t="s">
        <v>857</v>
      </c>
      <c r="E66" t="s">
        <v>910</v>
      </c>
      <c r="F66">
        <v>5</v>
      </c>
      <c r="H66" t="s">
        <v>684</v>
      </c>
      <c r="I66" t="s">
        <v>923</v>
      </c>
      <c r="K66">
        <v>68</v>
      </c>
      <c r="L66" t="s">
        <v>920</v>
      </c>
      <c r="N66">
        <v>-68</v>
      </c>
      <c r="O66" t="s">
        <v>857</v>
      </c>
      <c r="P66">
        <f t="shared" si="0"/>
        <v>43</v>
      </c>
    </row>
    <row r="67" spans="1:16" x14ac:dyDescent="0.25">
      <c r="A67" t="s">
        <v>669</v>
      </c>
      <c r="B67" s="7">
        <v>-7.2000000000000002E-5</v>
      </c>
      <c r="C67" s="7">
        <v>-7.2000000000000002E-5</v>
      </c>
      <c r="D67" t="s">
        <v>669</v>
      </c>
      <c r="E67">
        <v>5</v>
      </c>
      <c r="F67">
        <v>5</v>
      </c>
      <c r="G67" t="s">
        <v>684</v>
      </c>
      <c r="H67" t="s">
        <v>684</v>
      </c>
      <c r="I67" t="s">
        <v>925</v>
      </c>
      <c r="J67">
        <v>72</v>
      </c>
      <c r="K67">
        <v>72</v>
      </c>
      <c r="L67" t="s">
        <v>921</v>
      </c>
      <c r="M67">
        <v>-7.2000000000000002E-5</v>
      </c>
      <c r="N67">
        <v>-7.2000000000000002E-5</v>
      </c>
      <c r="P67">
        <f t="shared" ref="P67:P130" si="1">LEN(I67)</f>
        <v>27</v>
      </c>
    </row>
    <row r="68" spans="1:16" x14ac:dyDescent="0.25">
      <c r="A68" t="s">
        <v>213</v>
      </c>
      <c r="B68">
        <v>0</v>
      </c>
      <c r="C68">
        <v>12000</v>
      </c>
      <c r="D68" t="s">
        <v>857</v>
      </c>
      <c r="E68">
        <v>4</v>
      </c>
      <c r="F68">
        <v>5</v>
      </c>
      <c r="G68" t="s">
        <v>701</v>
      </c>
      <c r="H68" t="s">
        <v>684</v>
      </c>
      <c r="J68">
        <v>1.2E-2</v>
      </c>
      <c r="K68">
        <v>0</v>
      </c>
      <c r="L68" t="s">
        <v>303</v>
      </c>
      <c r="M68">
        <v>12000</v>
      </c>
      <c r="N68">
        <v>0</v>
      </c>
      <c r="O68" t="s">
        <v>303</v>
      </c>
      <c r="P68">
        <f t="shared" si="1"/>
        <v>0</v>
      </c>
    </row>
    <row r="69" spans="1:16" x14ac:dyDescent="0.25">
      <c r="A69" t="s">
        <v>213</v>
      </c>
      <c r="B69" t="s">
        <v>669</v>
      </c>
      <c r="C69">
        <v>12000</v>
      </c>
      <c r="D69" t="s">
        <v>857</v>
      </c>
      <c r="E69">
        <v>4</v>
      </c>
      <c r="F69">
        <v>4</v>
      </c>
      <c r="G69" t="s">
        <v>701</v>
      </c>
      <c r="H69" t="s">
        <v>701</v>
      </c>
      <c r="J69">
        <v>1.2E-2</v>
      </c>
      <c r="K69">
        <v>0</v>
      </c>
      <c r="L69" t="s">
        <v>303</v>
      </c>
      <c r="M69">
        <v>12000</v>
      </c>
      <c r="O69" t="s">
        <v>303</v>
      </c>
      <c r="P69">
        <f t="shared" si="1"/>
        <v>0</v>
      </c>
    </row>
    <row r="70" spans="1:16" x14ac:dyDescent="0.25">
      <c r="A70" t="s">
        <v>669</v>
      </c>
      <c r="B70">
        <v>1.21E-2</v>
      </c>
      <c r="C70">
        <v>1.21E-2</v>
      </c>
      <c r="D70" t="s">
        <v>303</v>
      </c>
      <c r="E70">
        <v>4</v>
      </c>
      <c r="F70">
        <v>4</v>
      </c>
      <c r="G70" t="s">
        <v>701</v>
      </c>
      <c r="H70" t="s">
        <v>701</v>
      </c>
      <c r="J70">
        <v>1.21E-2</v>
      </c>
      <c r="K70">
        <v>1.21E-2</v>
      </c>
      <c r="L70" t="s">
        <v>303</v>
      </c>
      <c r="M70">
        <v>1.21E-2</v>
      </c>
      <c r="N70">
        <v>1.21E-2</v>
      </c>
      <c r="O70" t="s">
        <v>303</v>
      </c>
      <c r="P70">
        <f t="shared" si="1"/>
        <v>0</v>
      </c>
    </row>
    <row r="71" spans="1:16" x14ac:dyDescent="0.25">
      <c r="A71" t="s">
        <v>669</v>
      </c>
      <c r="B71">
        <v>11739</v>
      </c>
      <c r="C71">
        <v>12417</v>
      </c>
      <c r="D71" t="s">
        <v>866</v>
      </c>
      <c r="E71">
        <v>4</v>
      </c>
      <c r="F71">
        <v>4</v>
      </c>
      <c r="G71" t="s">
        <v>701</v>
      </c>
      <c r="H71" t="s">
        <v>701</v>
      </c>
      <c r="J71">
        <v>1.2416999999999999E-2</v>
      </c>
      <c r="K71">
        <v>1.1738999999999999E-2</v>
      </c>
      <c r="L71" t="s">
        <v>303</v>
      </c>
      <c r="M71">
        <v>12417</v>
      </c>
      <c r="N71">
        <v>11739</v>
      </c>
      <c r="O71" t="s">
        <v>303</v>
      </c>
      <c r="P71">
        <f t="shared" si="1"/>
        <v>0</v>
      </c>
    </row>
    <row r="72" spans="1:16" x14ac:dyDescent="0.25">
      <c r="A72" t="s">
        <v>669</v>
      </c>
      <c r="B72">
        <v>1.26E-2</v>
      </c>
      <c r="C72">
        <v>1.26E-2</v>
      </c>
      <c r="D72" t="s">
        <v>303</v>
      </c>
      <c r="E72">
        <v>4</v>
      </c>
      <c r="F72">
        <v>4</v>
      </c>
      <c r="G72" t="s">
        <v>701</v>
      </c>
      <c r="H72" t="s">
        <v>701</v>
      </c>
      <c r="J72">
        <v>1.26E-2</v>
      </c>
      <c r="K72">
        <v>1.26E-2</v>
      </c>
      <c r="L72" t="s">
        <v>303</v>
      </c>
      <c r="M72">
        <v>1.26E-2</v>
      </c>
      <c r="N72">
        <v>1.26E-2</v>
      </c>
      <c r="O72" t="s">
        <v>303</v>
      </c>
      <c r="P72">
        <f t="shared" si="1"/>
        <v>0</v>
      </c>
    </row>
    <row r="73" spans="1:16" x14ac:dyDescent="0.25">
      <c r="A73" t="s">
        <v>669</v>
      </c>
      <c r="B73">
        <v>12198</v>
      </c>
      <c r="C73">
        <v>12672</v>
      </c>
      <c r="D73" t="s">
        <v>866</v>
      </c>
      <c r="E73">
        <v>4</v>
      </c>
      <c r="F73">
        <v>4</v>
      </c>
      <c r="G73" t="s">
        <v>701</v>
      </c>
      <c r="H73" t="s">
        <v>701</v>
      </c>
      <c r="J73">
        <v>1.2671999999999999E-2</v>
      </c>
      <c r="K73">
        <v>1.2198000000000001E-2</v>
      </c>
      <c r="L73" t="s">
        <v>303</v>
      </c>
      <c r="M73">
        <v>12672</v>
      </c>
      <c r="N73">
        <v>12198</v>
      </c>
      <c r="O73" t="s">
        <v>303</v>
      </c>
      <c r="P73">
        <f t="shared" si="1"/>
        <v>0</v>
      </c>
    </row>
    <row r="74" spans="1:16" x14ac:dyDescent="0.25">
      <c r="A74" t="s">
        <v>89</v>
      </c>
      <c r="B74">
        <v>11600</v>
      </c>
      <c r="C74">
        <v>12728</v>
      </c>
      <c r="D74" t="s">
        <v>857</v>
      </c>
      <c r="E74">
        <v>4</v>
      </c>
      <c r="F74">
        <v>4</v>
      </c>
      <c r="G74" t="s">
        <v>701</v>
      </c>
      <c r="H74" t="s">
        <v>701</v>
      </c>
      <c r="J74">
        <v>1.2728E-2</v>
      </c>
      <c r="K74">
        <v>1.1599999999999999E-2</v>
      </c>
      <c r="L74" t="s">
        <v>303</v>
      </c>
      <c r="M74">
        <v>12728</v>
      </c>
      <c r="N74">
        <v>11600</v>
      </c>
      <c r="O74" t="s">
        <v>303</v>
      </c>
      <c r="P74">
        <f t="shared" si="1"/>
        <v>0</v>
      </c>
    </row>
    <row r="75" spans="1:16" x14ac:dyDescent="0.25">
      <c r="A75" t="s">
        <v>669</v>
      </c>
      <c r="B75">
        <v>12747</v>
      </c>
      <c r="C75">
        <v>12832</v>
      </c>
      <c r="D75" t="s">
        <v>866</v>
      </c>
      <c r="E75">
        <v>4</v>
      </c>
      <c r="F75">
        <v>4</v>
      </c>
      <c r="G75" t="s">
        <v>701</v>
      </c>
      <c r="H75" t="s">
        <v>701</v>
      </c>
      <c r="J75">
        <v>1.2832E-2</v>
      </c>
      <c r="K75">
        <v>1.2747E-2</v>
      </c>
      <c r="L75" t="s">
        <v>303</v>
      </c>
      <c r="M75">
        <v>12832</v>
      </c>
      <c r="N75">
        <v>12747</v>
      </c>
      <c r="O75" t="s">
        <v>303</v>
      </c>
      <c r="P75">
        <f t="shared" si="1"/>
        <v>0</v>
      </c>
    </row>
    <row r="76" spans="1:16" x14ac:dyDescent="0.25">
      <c r="A76" t="s">
        <v>669</v>
      </c>
      <c r="B76">
        <v>12746</v>
      </c>
      <c r="C76">
        <v>12907</v>
      </c>
      <c r="D76" t="s">
        <v>866</v>
      </c>
      <c r="E76">
        <v>4</v>
      </c>
      <c r="F76">
        <v>4</v>
      </c>
      <c r="G76" t="s">
        <v>701</v>
      </c>
      <c r="H76" t="s">
        <v>701</v>
      </c>
      <c r="J76">
        <v>1.2907E-2</v>
      </c>
      <c r="K76">
        <v>1.2746E-2</v>
      </c>
      <c r="L76" t="s">
        <v>303</v>
      </c>
      <c r="M76">
        <v>12907</v>
      </c>
      <c r="N76">
        <v>12746</v>
      </c>
      <c r="O76" t="s">
        <v>303</v>
      </c>
      <c r="P76">
        <f t="shared" si="1"/>
        <v>0</v>
      </c>
    </row>
    <row r="77" spans="1:16" x14ac:dyDescent="0.25">
      <c r="A77" t="s">
        <v>213</v>
      </c>
      <c r="B77" t="s">
        <v>669</v>
      </c>
      <c r="C77">
        <v>13000</v>
      </c>
      <c r="D77" t="s">
        <v>857</v>
      </c>
      <c r="E77">
        <v>8</v>
      </c>
      <c r="F77">
        <v>4</v>
      </c>
      <c r="G77" t="s">
        <v>687</v>
      </c>
      <c r="H77" t="s">
        <v>701</v>
      </c>
      <c r="J77">
        <v>1.2999999999999999E-2</v>
      </c>
      <c r="K77">
        <v>0</v>
      </c>
      <c r="L77" t="s">
        <v>303</v>
      </c>
      <c r="M77">
        <v>13000</v>
      </c>
      <c r="O77" t="s">
        <v>303</v>
      </c>
      <c r="P77">
        <f t="shared" si="1"/>
        <v>0</v>
      </c>
    </row>
    <row r="78" spans="1:16" x14ac:dyDescent="0.25">
      <c r="A78" t="s">
        <v>669</v>
      </c>
      <c r="B78">
        <v>11306</v>
      </c>
      <c r="C78">
        <v>13065</v>
      </c>
      <c r="D78" t="s">
        <v>669</v>
      </c>
      <c r="E78">
        <v>8</v>
      </c>
      <c r="F78">
        <v>4</v>
      </c>
      <c r="G78" t="s">
        <v>687</v>
      </c>
      <c r="H78" t="s">
        <v>701</v>
      </c>
      <c r="I78" t="s">
        <v>927</v>
      </c>
      <c r="J78">
        <v>1.3065E-2</v>
      </c>
      <c r="K78">
        <v>1.1306E-2</v>
      </c>
      <c r="L78" t="s">
        <v>930</v>
      </c>
      <c r="M78">
        <v>13065</v>
      </c>
      <c r="N78">
        <v>11306</v>
      </c>
      <c r="P78">
        <f t="shared" si="1"/>
        <v>14</v>
      </c>
    </row>
    <row r="79" spans="1:16" x14ac:dyDescent="0.25">
      <c r="A79" t="s">
        <v>669</v>
      </c>
      <c r="B79">
        <v>13065</v>
      </c>
      <c r="C79">
        <v>13171</v>
      </c>
      <c r="D79" t="s">
        <v>669</v>
      </c>
      <c r="E79">
        <v>8</v>
      </c>
      <c r="F79">
        <v>8</v>
      </c>
      <c r="G79" t="s">
        <v>687</v>
      </c>
      <c r="H79" t="s">
        <v>687</v>
      </c>
      <c r="I79" t="s">
        <v>927</v>
      </c>
      <c r="J79">
        <v>1.3171E-2</v>
      </c>
      <c r="K79">
        <v>1.3065E-2</v>
      </c>
      <c r="L79" t="s">
        <v>930</v>
      </c>
      <c r="M79">
        <v>13171</v>
      </c>
      <c r="N79">
        <v>13065</v>
      </c>
      <c r="P79">
        <f t="shared" si="1"/>
        <v>14</v>
      </c>
    </row>
    <row r="80" spans="1:16" x14ac:dyDescent="0.25">
      <c r="A80" t="s">
        <v>669</v>
      </c>
      <c r="B80">
        <v>1.3202E-2</v>
      </c>
      <c r="C80">
        <v>1.3202E-2</v>
      </c>
      <c r="D80" t="s">
        <v>303</v>
      </c>
      <c r="E80" t="s">
        <v>910</v>
      </c>
      <c r="F80" t="s">
        <v>910</v>
      </c>
      <c r="J80">
        <v>1.3202E-2</v>
      </c>
      <c r="K80">
        <v>1.3202E-2</v>
      </c>
      <c r="L80" t="s">
        <v>303</v>
      </c>
      <c r="M80">
        <v>1.3202E-2</v>
      </c>
      <c r="N80">
        <v>1.3202E-2</v>
      </c>
      <c r="O80" t="s">
        <v>303</v>
      </c>
      <c r="P80">
        <f t="shared" si="1"/>
        <v>0</v>
      </c>
    </row>
    <row r="81" spans="1:16" x14ac:dyDescent="0.25">
      <c r="A81" t="s">
        <v>669</v>
      </c>
      <c r="B81">
        <v>13207</v>
      </c>
      <c r="C81">
        <v>13298</v>
      </c>
      <c r="D81" t="s">
        <v>669</v>
      </c>
      <c r="E81">
        <v>8</v>
      </c>
      <c r="F81">
        <v>8</v>
      </c>
      <c r="G81" t="s">
        <v>687</v>
      </c>
      <c r="H81" t="s">
        <v>687</v>
      </c>
      <c r="I81" t="s">
        <v>927</v>
      </c>
      <c r="J81">
        <v>1.3298000000000001E-2</v>
      </c>
      <c r="K81">
        <v>1.3207E-2</v>
      </c>
      <c r="L81" t="s">
        <v>930</v>
      </c>
      <c r="M81">
        <v>13298</v>
      </c>
      <c r="N81">
        <v>13207</v>
      </c>
      <c r="P81">
        <f t="shared" si="1"/>
        <v>14</v>
      </c>
    </row>
    <row r="82" spans="1:16" x14ac:dyDescent="0.25">
      <c r="A82" t="s">
        <v>669</v>
      </c>
      <c r="B82">
        <v>13298</v>
      </c>
      <c r="C82">
        <v>13453</v>
      </c>
      <c r="D82" t="s">
        <v>669</v>
      </c>
      <c r="E82">
        <v>8</v>
      </c>
      <c r="F82">
        <v>8</v>
      </c>
      <c r="G82" t="s">
        <v>687</v>
      </c>
      <c r="H82" t="s">
        <v>687</v>
      </c>
      <c r="I82" t="s">
        <v>927</v>
      </c>
      <c r="J82">
        <v>1.3453E-2</v>
      </c>
      <c r="K82">
        <v>1.3298000000000001E-2</v>
      </c>
      <c r="L82" t="s">
        <v>930</v>
      </c>
      <c r="M82">
        <v>13453</v>
      </c>
      <c r="N82">
        <v>13298</v>
      </c>
      <c r="P82">
        <f t="shared" si="1"/>
        <v>14</v>
      </c>
    </row>
    <row r="83" spans="1:16" x14ac:dyDescent="0.25">
      <c r="A83" t="s">
        <v>669</v>
      </c>
      <c r="B83">
        <v>13339</v>
      </c>
      <c r="C83">
        <v>13585</v>
      </c>
      <c r="D83" t="s">
        <v>866</v>
      </c>
      <c r="E83" t="s">
        <v>910</v>
      </c>
      <c r="F83" t="s">
        <v>910</v>
      </c>
      <c r="J83">
        <v>1.3585E-2</v>
      </c>
      <c r="K83">
        <v>1.3339E-2</v>
      </c>
      <c r="L83" t="s">
        <v>303</v>
      </c>
      <c r="M83">
        <v>13585</v>
      </c>
      <c r="N83">
        <v>13339</v>
      </c>
      <c r="O83" t="s">
        <v>303</v>
      </c>
      <c r="P83">
        <f t="shared" si="1"/>
        <v>0</v>
      </c>
    </row>
    <row r="84" spans="1:16" x14ac:dyDescent="0.25">
      <c r="A84" t="s">
        <v>669</v>
      </c>
      <c r="B84">
        <v>13453</v>
      </c>
      <c r="C84">
        <v>13676</v>
      </c>
      <c r="D84" t="s">
        <v>669</v>
      </c>
      <c r="E84">
        <v>8</v>
      </c>
      <c r="F84">
        <v>8</v>
      </c>
      <c r="G84" t="s">
        <v>687</v>
      </c>
      <c r="H84" t="s">
        <v>687</v>
      </c>
      <c r="I84" t="s">
        <v>927</v>
      </c>
      <c r="J84">
        <v>1.3676000000000001E-2</v>
      </c>
      <c r="K84">
        <v>1.3453E-2</v>
      </c>
      <c r="L84" t="s">
        <v>930</v>
      </c>
      <c r="M84">
        <v>13676</v>
      </c>
      <c r="N84">
        <v>13453</v>
      </c>
      <c r="P84">
        <f t="shared" si="1"/>
        <v>14</v>
      </c>
    </row>
    <row r="85" spans="1:16" x14ac:dyDescent="0.25">
      <c r="A85" t="s">
        <v>669</v>
      </c>
      <c r="B85">
        <v>13676</v>
      </c>
      <c r="C85">
        <v>13995</v>
      </c>
      <c r="D85" t="s">
        <v>669</v>
      </c>
      <c r="E85">
        <v>8</v>
      </c>
      <c r="F85">
        <v>8</v>
      </c>
      <c r="G85" t="s">
        <v>687</v>
      </c>
      <c r="H85" t="s">
        <v>687</v>
      </c>
      <c r="I85" t="s">
        <v>927</v>
      </c>
      <c r="J85">
        <v>1.3995E-2</v>
      </c>
      <c r="K85">
        <v>1.3676000000000001E-2</v>
      </c>
      <c r="L85" t="s">
        <v>930</v>
      </c>
      <c r="M85">
        <v>13995</v>
      </c>
      <c r="N85">
        <v>13676</v>
      </c>
      <c r="P85">
        <f t="shared" si="1"/>
        <v>14</v>
      </c>
    </row>
    <row r="86" spans="1:16" x14ac:dyDescent="0.25">
      <c r="A86" t="s">
        <v>669</v>
      </c>
      <c r="B86">
        <v>77</v>
      </c>
      <c r="C86" t="s">
        <v>669</v>
      </c>
      <c r="D86" t="s">
        <v>857</v>
      </c>
      <c r="E86" t="s">
        <v>910</v>
      </c>
      <c r="F86">
        <v>5</v>
      </c>
      <c r="H86" t="s">
        <v>684</v>
      </c>
      <c r="I86" t="s">
        <v>932</v>
      </c>
      <c r="K86">
        <v>77</v>
      </c>
      <c r="L86" t="s">
        <v>920</v>
      </c>
      <c r="N86">
        <v>77</v>
      </c>
      <c r="O86" t="s">
        <v>857</v>
      </c>
      <c r="P86">
        <f t="shared" si="1"/>
        <v>27</v>
      </c>
    </row>
    <row r="87" spans="1:16" x14ac:dyDescent="0.25">
      <c r="A87" t="s">
        <v>669</v>
      </c>
      <c r="B87">
        <v>14</v>
      </c>
      <c r="C87">
        <v>14</v>
      </c>
      <c r="D87" t="s">
        <v>862</v>
      </c>
      <c r="E87">
        <v>8</v>
      </c>
      <c r="F87">
        <v>8</v>
      </c>
      <c r="G87" t="s">
        <v>687</v>
      </c>
      <c r="H87" t="s">
        <v>687</v>
      </c>
      <c r="J87">
        <v>1.4E-2</v>
      </c>
      <c r="K87">
        <v>1.4E-2</v>
      </c>
      <c r="L87" t="s">
        <v>303</v>
      </c>
      <c r="M87">
        <v>14</v>
      </c>
      <c r="N87">
        <v>14</v>
      </c>
      <c r="O87" t="s">
        <v>862</v>
      </c>
      <c r="P87">
        <f t="shared" si="1"/>
        <v>0</v>
      </c>
    </row>
    <row r="88" spans="1:16" x14ac:dyDescent="0.25">
      <c r="A88" t="s">
        <v>669</v>
      </c>
      <c r="B88">
        <v>14201</v>
      </c>
      <c r="C88">
        <v>14294</v>
      </c>
      <c r="D88" t="s">
        <v>669</v>
      </c>
      <c r="E88">
        <v>8</v>
      </c>
      <c r="F88">
        <v>8</v>
      </c>
      <c r="G88" t="s">
        <v>687</v>
      </c>
      <c r="H88" t="s">
        <v>687</v>
      </c>
      <c r="I88" t="s">
        <v>927</v>
      </c>
      <c r="J88">
        <v>1.4293999999999999E-2</v>
      </c>
      <c r="K88">
        <v>1.4201E-2</v>
      </c>
      <c r="L88" t="s">
        <v>930</v>
      </c>
      <c r="M88">
        <v>14294</v>
      </c>
      <c r="N88">
        <v>14201</v>
      </c>
      <c r="P88">
        <f t="shared" si="1"/>
        <v>14</v>
      </c>
    </row>
    <row r="89" spans="1:16" x14ac:dyDescent="0.25">
      <c r="A89" t="s">
        <v>669</v>
      </c>
      <c r="B89">
        <v>1.4342000000000001E-2</v>
      </c>
      <c r="C89">
        <v>1.4342000000000001E-2</v>
      </c>
      <c r="D89" t="s">
        <v>303</v>
      </c>
      <c r="E89" t="s">
        <v>910</v>
      </c>
      <c r="F89" t="s">
        <v>910</v>
      </c>
      <c r="J89">
        <v>1.4342000000000001E-2</v>
      </c>
      <c r="K89">
        <v>1.4342000000000001E-2</v>
      </c>
      <c r="L89" t="s">
        <v>303</v>
      </c>
      <c r="M89">
        <v>1.4342000000000001E-2</v>
      </c>
      <c r="N89">
        <v>1.4342000000000001E-2</v>
      </c>
      <c r="O89" t="s">
        <v>303</v>
      </c>
      <c r="P89">
        <f t="shared" si="1"/>
        <v>0</v>
      </c>
    </row>
    <row r="90" spans="1:16" x14ac:dyDescent="0.25">
      <c r="A90" t="s">
        <v>669</v>
      </c>
      <c r="B90">
        <v>14294</v>
      </c>
      <c r="C90">
        <v>14524</v>
      </c>
      <c r="D90" t="s">
        <v>669</v>
      </c>
      <c r="E90">
        <v>8</v>
      </c>
      <c r="F90">
        <v>8</v>
      </c>
      <c r="G90" t="s">
        <v>687</v>
      </c>
      <c r="H90" t="s">
        <v>687</v>
      </c>
      <c r="I90" t="s">
        <v>927</v>
      </c>
      <c r="J90">
        <v>1.4524E-2</v>
      </c>
      <c r="K90">
        <v>1.4293999999999999E-2</v>
      </c>
      <c r="L90" t="s">
        <v>930</v>
      </c>
      <c r="M90">
        <v>14524</v>
      </c>
      <c r="N90">
        <v>14294</v>
      </c>
      <c r="P90">
        <f t="shared" si="1"/>
        <v>14</v>
      </c>
    </row>
    <row r="91" spans="1:16" x14ac:dyDescent="0.25">
      <c r="A91" t="s">
        <v>669</v>
      </c>
      <c r="B91">
        <v>14524</v>
      </c>
      <c r="C91">
        <v>14757</v>
      </c>
      <c r="D91" t="s">
        <v>669</v>
      </c>
      <c r="E91">
        <v>8</v>
      </c>
      <c r="F91">
        <v>8</v>
      </c>
      <c r="G91" t="s">
        <v>687</v>
      </c>
      <c r="H91" t="s">
        <v>687</v>
      </c>
      <c r="I91" t="s">
        <v>927</v>
      </c>
      <c r="J91">
        <v>1.4756999999999999E-2</v>
      </c>
      <c r="K91">
        <v>1.4524E-2</v>
      </c>
      <c r="L91" t="s">
        <v>930</v>
      </c>
      <c r="M91">
        <v>14757</v>
      </c>
      <c r="N91">
        <v>14524</v>
      </c>
      <c r="P91">
        <f t="shared" si="1"/>
        <v>14</v>
      </c>
    </row>
    <row r="92" spans="1:16" x14ac:dyDescent="0.25">
      <c r="A92" t="s">
        <v>669</v>
      </c>
      <c r="B92">
        <v>1.4973999999999999E-2</v>
      </c>
      <c r="C92">
        <v>1.4973999999999999E-2</v>
      </c>
      <c r="D92" t="s">
        <v>303</v>
      </c>
      <c r="E92" t="s">
        <v>910</v>
      </c>
      <c r="F92" t="s">
        <v>910</v>
      </c>
      <c r="J92">
        <v>1.4973999999999999E-2</v>
      </c>
      <c r="K92">
        <v>1.4973999999999999E-2</v>
      </c>
      <c r="L92" t="s">
        <v>303</v>
      </c>
      <c r="M92">
        <v>1.4973999999999999E-2</v>
      </c>
      <c r="N92">
        <v>1.4973999999999999E-2</v>
      </c>
      <c r="O92" t="s">
        <v>303</v>
      </c>
      <c r="P92">
        <f t="shared" si="1"/>
        <v>0</v>
      </c>
    </row>
    <row r="93" spans="1:16" x14ac:dyDescent="0.25">
      <c r="A93" t="s">
        <v>578</v>
      </c>
      <c r="B93">
        <v>1.372E-2</v>
      </c>
      <c r="C93">
        <v>1.542E-2</v>
      </c>
      <c r="D93" t="s">
        <v>669</v>
      </c>
      <c r="E93">
        <v>8</v>
      </c>
      <c r="F93">
        <v>8</v>
      </c>
      <c r="G93" t="s">
        <v>687</v>
      </c>
      <c r="H93" t="s">
        <v>687</v>
      </c>
      <c r="I93" t="s">
        <v>927</v>
      </c>
      <c r="J93">
        <v>1.542E-2</v>
      </c>
      <c r="K93">
        <v>1.372E-2</v>
      </c>
      <c r="L93" t="s">
        <v>930</v>
      </c>
      <c r="M93">
        <v>1.542E-2</v>
      </c>
      <c r="N93">
        <v>1.372E-2</v>
      </c>
      <c r="P93">
        <f t="shared" si="1"/>
        <v>14</v>
      </c>
    </row>
    <row r="94" spans="1:16" x14ac:dyDescent="0.25">
      <c r="A94" t="s">
        <v>669</v>
      </c>
      <c r="B94">
        <v>1.5448999999999999E-2</v>
      </c>
      <c r="C94">
        <v>1.5448999999999999E-2</v>
      </c>
      <c r="D94" t="s">
        <v>303</v>
      </c>
      <c r="E94" t="s">
        <v>910</v>
      </c>
      <c r="F94" t="s">
        <v>910</v>
      </c>
      <c r="J94">
        <v>1.5448999999999999E-2</v>
      </c>
      <c r="K94">
        <v>1.5448999999999999E-2</v>
      </c>
      <c r="L94" t="s">
        <v>303</v>
      </c>
      <c r="M94">
        <v>1.5448999999999999E-2</v>
      </c>
      <c r="N94">
        <v>1.5448999999999999E-2</v>
      </c>
      <c r="O94" t="s">
        <v>303</v>
      </c>
      <c r="P94">
        <f t="shared" si="1"/>
        <v>0</v>
      </c>
    </row>
    <row r="95" spans="1:16" x14ac:dyDescent="0.25">
      <c r="A95" t="s">
        <v>669</v>
      </c>
      <c r="B95">
        <v>14757</v>
      </c>
      <c r="C95">
        <v>15473</v>
      </c>
      <c r="D95" t="s">
        <v>669</v>
      </c>
      <c r="E95">
        <v>8</v>
      </c>
      <c r="F95">
        <v>8</v>
      </c>
      <c r="G95" t="s">
        <v>687</v>
      </c>
      <c r="H95" t="s">
        <v>687</v>
      </c>
      <c r="I95" t="s">
        <v>927</v>
      </c>
      <c r="J95">
        <v>1.5473000000000001E-2</v>
      </c>
      <c r="K95">
        <v>1.4756999999999999E-2</v>
      </c>
      <c r="L95" t="s">
        <v>930</v>
      </c>
      <c r="M95">
        <v>15473</v>
      </c>
      <c r="N95">
        <v>14757</v>
      </c>
      <c r="P95">
        <f t="shared" si="1"/>
        <v>14</v>
      </c>
    </row>
    <row r="96" spans="1:16" x14ac:dyDescent="0.25">
      <c r="A96" t="s">
        <v>669</v>
      </c>
      <c r="B96">
        <v>15473</v>
      </c>
      <c r="C96">
        <v>15488</v>
      </c>
      <c r="D96" t="s">
        <v>669</v>
      </c>
      <c r="E96">
        <v>8</v>
      </c>
      <c r="F96">
        <v>8</v>
      </c>
      <c r="G96" t="s">
        <v>687</v>
      </c>
      <c r="H96" t="s">
        <v>687</v>
      </c>
      <c r="I96" t="s">
        <v>927</v>
      </c>
      <c r="J96">
        <v>1.5488E-2</v>
      </c>
      <c r="K96">
        <v>1.5473000000000001E-2</v>
      </c>
      <c r="L96" t="s">
        <v>930</v>
      </c>
      <c r="M96">
        <v>15488</v>
      </c>
      <c r="N96">
        <v>15473</v>
      </c>
      <c r="P96">
        <f t="shared" si="1"/>
        <v>14</v>
      </c>
    </row>
    <row r="97" spans="1:16" x14ac:dyDescent="0.25">
      <c r="A97" t="s">
        <v>669</v>
      </c>
      <c r="B97">
        <v>15488</v>
      </c>
      <c r="C97">
        <v>15506</v>
      </c>
      <c r="D97" t="s">
        <v>669</v>
      </c>
      <c r="E97">
        <v>8</v>
      </c>
      <c r="F97">
        <v>8</v>
      </c>
      <c r="G97" t="s">
        <v>687</v>
      </c>
      <c r="H97" t="s">
        <v>687</v>
      </c>
      <c r="I97" t="s">
        <v>927</v>
      </c>
      <c r="J97">
        <v>1.5506000000000001E-2</v>
      </c>
      <c r="K97">
        <v>1.5488E-2</v>
      </c>
      <c r="L97" t="s">
        <v>930</v>
      </c>
      <c r="M97">
        <v>15506</v>
      </c>
      <c r="N97">
        <v>15488</v>
      </c>
      <c r="P97">
        <f t="shared" si="1"/>
        <v>14</v>
      </c>
    </row>
    <row r="98" spans="1:16" x14ac:dyDescent="0.25">
      <c r="A98" t="s">
        <v>669</v>
      </c>
      <c r="B98">
        <v>15524</v>
      </c>
      <c r="C98">
        <v>15541</v>
      </c>
      <c r="D98" t="s">
        <v>669</v>
      </c>
      <c r="E98">
        <v>8</v>
      </c>
      <c r="F98">
        <v>8</v>
      </c>
      <c r="G98" t="s">
        <v>687</v>
      </c>
      <c r="H98" t="s">
        <v>687</v>
      </c>
      <c r="I98" t="s">
        <v>927</v>
      </c>
      <c r="J98">
        <v>1.5540999999999999E-2</v>
      </c>
      <c r="K98">
        <v>1.5524E-2</v>
      </c>
      <c r="L98" t="s">
        <v>930</v>
      </c>
      <c r="M98">
        <v>15541</v>
      </c>
      <c r="N98">
        <v>15524</v>
      </c>
      <c r="P98">
        <f t="shared" si="1"/>
        <v>14</v>
      </c>
    </row>
    <row r="99" spans="1:16" x14ac:dyDescent="0.25">
      <c r="A99" t="s">
        <v>669</v>
      </c>
      <c r="B99">
        <v>15541</v>
      </c>
      <c r="C99">
        <v>15661</v>
      </c>
      <c r="D99" t="s">
        <v>669</v>
      </c>
      <c r="E99">
        <v>8</v>
      </c>
      <c r="F99">
        <v>8</v>
      </c>
      <c r="G99" t="s">
        <v>687</v>
      </c>
      <c r="H99" t="s">
        <v>687</v>
      </c>
      <c r="I99" t="s">
        <v>927</v>
      </c>
      <c r="J99">
        <v>1.5661000000000001E-2</v>
      </c>
      <c r="K99">
        <v>1.5540999999999999E-2</v>
      </c>
      <c r="L99" t="s">
        <v>930</v>
      </c>
      <c r="M99">
        <v>15661</v>
      </c>
      <c r="N99">
        <v>15541</v>
      </c>
      <c r="P99">
        <f t="shared" si="1"/>
        <v>14</v>
      </c>
    </row>
    <row r="100" spans="1:16" x14ac:dyDescent="0.25">
      <c r="A100" t="s">
        <v>669</v>
      </c>
      <c r="B100">
        <v>15661</v>
      </c>
      <c r="C100">
        <v>15758</v>
      </c>
      <c r="D100" t="s">
        <v>669</v>
      </c>
      <c r="E100">
        <v>8</v>
      </c>
      <c r="F100">
        <v>8</v>
      </c>
      <c r="G100" t="s">
        <v>687</v>
      </c>
      <c r="H100" t="s">
        <v>687</v>
      </c>
      <c r="I100" t="s">
        <v>927</v>
      </c>
      <c r="J100">
        <v>1.5758000000000001E-2</v>
      </c>
      <c r="K100">
        <v>1.5661000000000001E-2</v>
      </c>
      <c r="L100" t="s">
        <v>930</v>
      </c>
      <c r="M100">
        <v>15758</v>
      </c>
      <c r="N100">
        <v>15661</v>
      </c>
      <c r="P100">
        <f t="shared" si="1"/>
        <v>14</v>
      </c>
    </row>
    <row r="101" spans="1:16" x14ac:dyDescent="0.25">
      <c r="A101" t="s">
        <v>669</v>
      </c>
      <c r="B101">
        <v>15758</v>
      </c>
      <c r="C101">
        <v>15873</v>
      </c>
      <c r="D101" t="s">
        <v>669</v>
      </c>
      <c r="E101">
        <v>8</v>
      </c>
      <c r="F101">
        <v>8</v>
      </c>
      <c r="G101" t="s">
        <v>687</v>
      </c>
      <c r="H101" t="s">
        <v>687</v>
      </c>
      <c r="I101" t="s">
        <v>927</v>
      </c>
      <c r="J101">
        <v>1.5873000000000002E-2</v>
      </c>
      <c r="K101">
        <v>1.5758000000000001E-2</v>
      </c>
      <c r="L101" t="s">
        <v>930</v>
      </c>
      <c r="M101">
        <v>15873</v>
      </c>
      <c r="N101">
        <v>15758</v>
      </c>
      <c r="P101">
        <f t="shared" si="1"/>
        <v>14</v>
      </c>
    </row>
    <row r="102" spans="1:16" x14ac:dyDescent="0.25">
      <c r="A102" t="s">
        <v>669</v>
      </c>
      <c r="B102">
        <v>1.5913E-2</v>
      </c>
      <c r="C102">
        <v>1.5913E-2</v>
      </c>
      <c r="D102" t="s">
        <v>303</v>
      </c>
      <c r="E102" t="s">
        <v>910</v>
      </c>
      <c r="F102" t="s">
        <v>910</v>
      </c>
      <c r="J102">
        <v>1.5913E-2</v>
      </c>
      <c r="K102">
        <v>1.5913E-2</v>
      </c>
      <c r="L102" t="s">
        <v>303</v>
      </c>
      <c r="M102">
        <v>1.5913E-2</v>
      </c>
      <c r="N102">
        <v>1.5913E-2</v>
      </c>
      <c r="O102" t="s">
        <v>303</v>
      </c>
      <c r="P102">
        <f t="shared" si="1"/>
        <v>0</v>
      </c>
    </row>
    <row r="103" spans="1:16" x14ac:dyDescent="0.25">
      <c r="A103" t="s">
        <v>213</v>
      </c>
      <c r="B103">
        <v>0</v>
      </c>
      <c r="C103">
        <v>16000</v>
      </c>
      <c r="D103" t="s">
        <v>857</v>
      </c>
      <c r="E103">
        <v>4</v>
      </c>
      <c r="F103">
        <v>4</v>
      </c>
      <c r="G103" t="s">
        <v>701</v>
      </c>
      <c r="H103" t="s">
        <v>701</v>
      </c>
      <c r="J103">
        <v>1.6E-2</v>
      </c>
      <c r="K103">
        <v>0</v>
      </c>
      <c r="L103" t="s">
        <v>303</v>
      </c>
      <c r="M103">
        <v>16000</v>
      </c>
      <c r="N103">
        <v>0</v>
      </c>
      <c r="O103" t="s">
        <v>303</v>
      </c>
      <c r="P103">
        <f t="shared" si="1"/>
        <v>0</v>
      </c>
    </row>
    <row r="104" spans="1:16" x14ac:dyDescent="0.25">
      <c r="A104" t="s">
        <v>669</v>
      </c>
      <c r="B104">
        <v>1.6056000000000001E-2</v>
      </c>
      <c r="C104">
        <v>1.6056000000000001E-2</v>
      </c>
      <c r="D104" t="s">
        <v>303</v>
      </c>
      <c r="E104" t="s">
        <v>910</v>
      </c>
      <c r="F104" t="s">
        <v>910</v>
      </c>
      <c r="J104">
        <v>1.6056000000000001E-2</v>
      </c>
      <c r="K104">
        <v>1.6056000000000001E-2</v>
      </c>
      <c r="L104" t="s">
        <v>303</v>
      </c>
      <c r="M104">
        <v>1.6056000000000001E-2</v>
      </c>
      <c r="N104">
        <v>1.6056000000000001E-2</v>
      </c>
      <c r="O104" t="s">
        <v>303</v>
      </c>
      <c r="P104">
        <f t="shared" si="1"/>
        <v>0</v>
      </c>
    </row>
    <row r="105" spans="1:16" x14ac:dyDescent="0.25">
      <c r="A105" t="s">
        <v>578</v>
      </c>
      <c r="B105">
        <v>1.455E-2</v>
      </c>
      <c r="C105">
        <v>1.653E-2</v>
      </c>
      <c r="D105" t="s">
        <v>669</v>
      </c>
      <c r="E105">
        <v>8</v>
      </c>
      <c r="F105">
        <v>8</v>
      </c>
      <c r="G105" t="s">
        <v>687</v>
      </c>
      <c r="H105" t="s">
        <v>687</v>
      </c>
      <c r="I105" t="s">
        <v>927</v>
      </c>
      <c r="J105">
        <v>1.653E-2</v>
      </c>
      <c r="K105">
        <v>1.455E-2</v>
      </c>
      <c r="L105" t="s">
        <v>930</v>
      </c>
      <c r="M105">
        <v>1.653E-2</v>
      </c>
      <c r="N105">
        <v>1.455E-2</v>
      </c>
      <c r="P105">
        <f t="shared" si="1"/>
        <v>14</v>
      </c>
    </row>
    <row r="106" spans="1:16" x14ac:dyDescent="0.25">
      <c r="A106" t="s">
        <v>669</v>
      </c>
      <c r="B106">
        <v>15873</v>
      </c>
      <c r="C106">
        <v>16669</v>
      </c>
      <c r="D106" t="s">
        <v>669</v>
      </c>
      <c r="E106">
        <v>8</v>
      </c>
      <c r="F106">
        <v>8</v>
      </c>
      <c r="G106" t="s">
        <v>687</v>
      </c>
      <c r="H106" t="s">
        <v>687</v>
      </c>
      <c r="I106" t="s">
        <v>927</v>
      </c>
      <c r="J106">
        <v>1.6669E-2</v>
      </c>
      <c r="K106">
        <v>1.5873000000000002E-2</v>
      </c>
      <c r="L106" t="s">
        <v>930</v>
      </c>
      <c r="M106">
        <v>16669</v>
      </c>
      <c r="N106">
        <v>15873</v>
      </c>
      <c r="P106">
        <f t="shared" si="1"/>
        <v>14</v>
      </c>
    </row>
    <row r="107" spans="1:16" x14ac:dyDescent="0.25">
      <c r="A107" t="s">
        <v>669</v>
      </c>
      <c r="B107">
        <v>1.6722000000000001E-2</v>
      </c>
      <c r="C107">
        <v>1.6722000000000001E-2</v>
      </c>
      <c r="D107" t="s">
        <v>303</v>
      </c>
      <c r="E107" t="s">
        <v>910</v>
      </c>
      <c r="F107" t="s">
        <v>910</v>
      </c>
      <c r="J107">
        <v>1.6722000000000001E-2</v>
      </c>
      <c r="K107">
        <v>1.6722000000000001E-2</v>
      </c>
      <c r="L107" t="s">
        <v>303</v>
      </c>
      <c r="M107">
        <v>1.6722000000000001E-2</v>
      </c>
      <c r="N107">
        <v>1.6722000000000001E-2</v>
      </c>
      <c r="O107" t="s">
        <v>303</v>
      </c>
      <c r="P107">
        <f t="shared" si="1"/>
        <v>0</v>
      </c>
    </row>
    <row r="108" spans="1:16" x14ac:dyDescent="0.25">
      <c r="A108" t="s">
        <v>669</v>
      </c>
      <c r="B108">
        <v>16745</v>
      </c>
      <c r="C108">
        <v>16879</v>
      </c>
      <c r="D108" t="s">
        <v>669</v>
      </c>
      <c r="E108">
        <v>8</v>
      </c>
      <c r="F108">
        <v>8</v>
      </c>
      <c r="G108" t="s">
        <v>687</v>
      </c>
      <c r="H108" t="s">
        <v>687</v>
      </c>
      <c r="I108" t="s">
        <v>927</v>
      </c>
      <c r="J108">
        <v>1.6879000000000002E-2</v>
      </c>
      <c r="K108">
        <v>1.6744999999999999E-2</v>
      </c>
      <c r="L108" t="s">
        <v>930</v>
      </c>
      <c r="M108">
        <v>16879</v>
      </c>
      <c r="N108">
        <v>16745</v>
      </c>
      <c r="P108">
        <f t="shared" si="1"/>
        <v>14</v>
      </c>
    </row>
    <row r="109" spans="1:16" x14ac:dyDescent="0.25">
      <c r="A109" t="s">
        <v>669</v>
      </c>
      <c r="B109">
        <v>16879</v>
      </c>
      <c r="C109">
        <v>17026</v>
      </c>
      <c r="D109" t="s">
        <v>669</v>
      </c>
      <c r="E109">
        <v>8</v>
      </c>
      <c r="F109">
        <v>8</v>
      </c>
      <c r="G109" t="s">
        <v>687</v>
      </c>
      <c r="H109" t="s">
        <v>687</v>
      </c>
      <c r="I109" t="s">
        <v>927</v>
      </c>
      <c r="J109">
        <v>1.7025999999999999E-2</v>
      </c>
      <c r="K109">
        <v>1.6879000000000002E-2</v>
      </c>
      <c r="L109" t="s">
        <v>930</v>
      </c>
      <c r="M109">
        <v>17026</v>
      </c>
      <c r="N109">
        <v>16879</v>
      </c>
      <c r="P109">
        <f t="shared" si="1"/>
        <v>14</v>
      </c>
    </row>
    <row r="110" spans="1:16" x14ac:dyDescent="0.25">
      <c r="A110" t="s">
        <v>669</v>
      </c>
      <c r="B110">
        <v>17026</v>
      </c>
      <c r="C110">
        <v>17182</v>
      </c>
      <c r="D110" t="s">
        <v>669</v>
      </c>
      <c r="E110">
        <v>8</v>
      </c>
      <c r="F110">
        <v>8</v>
      </c>
      <c r="G110" t="s">
        <v>687</v>
      </c>
      <c r="H110" t="s">
        <v>687</v>
      </c>
      <c r="I110" t="s">
        <v>927</v>
      </c>
      <c r="J110">
        <v>1.7181999999999999E-2</v>
      </c>
      <c r="K110">
        <v>1.7025999999999999E-2</v>
      </c>
      <c r="L110" t="s">
        <v>930</v>
      </c>
      <c r="M110">
        <v>17182</v>
      </c>
      <c r="N110">
        <v>17026</v>
      </c>
      <c r="P110">
        <f t="shared" si="1"/>
        <v>14</v>
      </c>
    </row>
    <row r="111" spans="1:16" x14ac:dyDescent="0.25">
      <c r="A111" t="s">
        <v>669</v>
      </c>
      <c r="B111">
        <v>1.7243000000000001E-2</v>
      </c>
      <c r="C111">
        <v>1.7243000000000001E-2</v>
      </c>
      <c r="D111" t="s">
        <v>303</v>
      </c>
      <c r="E111" t="s">
        <v>910</v>
      </c>
      <c r="F111" t="s">
        <v>910</v>
      </c>
      <c r="J111">
        <v>1.7243000000000001E-2</v>
      </c>
      <c r="K111">
        <v>1.7243000000000001E-2</v>
      </c>
      <c r="L111" t="s">
        <v>303</v>
      </c>
      <c r="M111">
        <v>1.7243000000000001E-2</v>
      </c>
      <c r="N111">
        <v>1.7243000000000001E-2</v>
      </c>
      <c r="O111" t="s">
        <v>303</v>
      </c>
      <c r="P111">
        <f t="shared" si="1"/>
        <v>0</v>
      </c>
    </row>
    <row r="112" spans="1:16" x14ac:dyDescent="0.25">
      <c r="A112" t="s">
        <v>669</v>
      </c>
      <c r="B112">
        <v>1.7680999999999999E-2</v>
      </c>
      <c r="C112">
        <v>1.7680999999999999E-2</v>
      </c>
      <c r="D112" t="s">
        <v>303</v>
      </c>
      <c r="E112" t="s">
        <v>910</v>
      </c>
      <c r="F112" t="s">
        <v>910</v>
      </c>
      <c r="J112">
        <v>1.7680999999999999E-2</v>
      </c>
      <c r="K112">
        <v>1.7680999999999999E-2</v>
      </c>
      <c r="L112" t="s">
        <v>303</v>
      </c>
      <c r="M112">
        <v>1.7680999999999999E-2</v>
      </c>
      <c r="N112">
        <v>1.7680999999999999E-2</v>
      </c>
      <c r="O112" t="s">
        <v>303</v>
      </c>
      <c r="P112">
        <f t="shared" si="1"/>
        <v>0</v>
      </c>
    </row>
    <row r="113" spans="1:16" x14ac:dyDescent="0.25">
      <c r="A113" t="s">
        <v>669</v>
      </c>
      <c r="B113">
        <v>1.77E-2</v>
      </c>
      <c r="C113">
        <v>1.77E-2</v>
      </c>
      <c r="D113" t="s">
        <v>303</v>
      </c>
      <c r="E113" t="s">
        <v>910</v>
      </c>
      <c r="F113" t="s">
        <v>910</v>
      </c>
      <c r="J113">
        <v>1.77E-2</v>
      </c>
      <c r="K113">
        <v>1.77E-2</v>
      </c>
      <c r="L113" t="s">
        <v>303</v>
      </c>
      <c r="M113">
        <v>1.77E-2</v>
      </c>
      <c r="N113">
        <v>1.77E-2</v>
      </c>
      <c r="O113" t="s">
        <v>303</v>
      </c>
      <c r="P113">
        <f t="shared" si="1"/>
        <v>0</v>
      </c>
    </row>
    <row r="114" spans="1:16" x14ac:dyDescent="0.25">
      <c r="A114" t="s">
        <v>669</v>
      </c>
      <c r="B114">
        <v>1.8107000000000002E-2</v>
      </c>
      <c r="C114">
        <v>1.8107000000000002E-2</v>
      </c>
      <c r="D114" t="s">
        <v>303</v>
      </c>
      <c r="E114" t="s">
        <v>910</v>
      </c>
      <c r="F114" t="s">
        <v>910</v>
      </c>
      <c r="J114">
        <v>1.8107000000000002E-2</v>
      </c>
      <c r="K114">
        <v>1.8107000000000002E-2</v>
      </c>
      <c r="L114" t="s">
        <v>303</v>
      </c>
      <c r="M114">
        <v>1.8107000000000002E-2</v>
      </c>
      <c r="N114">
        <v>1.8107000000000002E-2</v>
      </c>
      <c r="O114" t="s">
        <v>303</v>
      </c>
      <c r="P114">
        <f t="shared" si="1"/>
        <v>0</v>
      </c>
    </row>
    <row r="115" spans="1:16" x14ac:dyDescent="0.25">
      <c r="A115" t="s">
        <v>669</v>
      </c>
      <c r="B115">
        <v>1.8551000000000002E-2</v>
      </c>
      <c r="C115">
        <v>1.8551000000000002E-2</v>
      </c>
      <c r="D115" t="s">
        <v>303</v>
      </c>
      <c r="E115" t="s">
        <v>910</v>
      </c>
      <c r="F115" t="s">
        <v>910</v>
      </c>
      <c r="J115">
        <v>1.8551000000000002E-2</v>
      </c>
      <c r="K115">
        <v>1.8551000000000002E-2</v>
      </c>
      <c r="L115" t="s">
        <v>303</v>
      </c>
      <c r="M115">
        <v>1.8551000000000002E-2</v>
      </c>
      <c r="N115">
        <v>1.8551000000000002E-2</v>
      </c>
      <c r="O115" t="s">
        <v>303</v>
      </c>
      <c r="P115">
        <f t="shared" si="1"/>
        <v>0</v>
      </c>
    </row>
    <row r="116" spans="1:16" x14ac:dyDescent="0.25">
      <c r="A116" t="s">
        <v>669</v>
      </c>
      <c r="B116">
        <v>1.8976E-2</v>
      </c>
      <c r="C116">
        <v>1.8976E-2</v>
      </c>
      <c r="D116" t="s">
        <v>303</v>
      </c>
      <c r="E116" t="s">
        <v>910</v>
      </c>
      <c r="F116" t="s">
        <v>910</v>
      </c>
      <c r="J116">
        <v>1.8976E-2</v>
      </c>
      <c r="K116">
        <v>1.8976E-2</v>
      </c>
      <c r="L116" t="s">
        <v>303</v>
      </c>
      <c r="M116">
        <v>1.8976E-2</v>
      </c>
      <c r="N116">
        <v>1.8976E-2</v>
      </c>
      <c r="O116" t="s">
        <v>303</v>
      </c>
      <c r="P116">
        <f t="shared" si="1"/>
        <v>0</v>
      </c>
    </row>
    <row r="117" spans="1:16" x14ac:dyDescent="0.25">
      <c r="A117" t="s">
        <v>213</v>
      </c>
      <c r="B117" t="s">
        <v>669</v>
      </c>
      <c r="C117">
        <v>19000</v>
      </c>
      <c r="D117" t="s">
        <v>857</v>
      </c>
      <c r="E117">
        <v>4</v>
      </c>
      <c r="F117">
        <v>4</v>
      </c>
      <c r="G117" t="s">
        <v>701</v>
      </c>
      <c r="H117" t="s">
        <v>701</v>
      </c>
      <c r="J117">
        <v>1.9E-2</v>
      </c>
      <c r="K117">
        <v>0</v>
      </c>
      <c r="L117" t="s">
        <v>303</v>
      </c>
      <c r="M117">
        <v>19000</v>
      </c>
      <c r="O117" t="s">
        <v>303</v>
      </c>
      <c r="P117">
        <f t="shared" si="1"/>
        <v>0</v>
      </c>
    </row>
    <row r="118" spans="1:16" x14ac:dyDescent="0.25">
      <c r="A118" t="s">
        <v>669</v>
      </c>
      <c r="B118">
        <v>16126</v>
      </c>
      <c r="C118">
        <v>19290</v>
      </c>
      <c r="D118" t="s">
        <v>669</v>
      </c>
      <c r="E118">
        <v>8</v>
      </c>
      <c r="F118">
        <v>8</v>
      </c>
      <c r="G118" t="s">
        <v>687</v>
      </c>
      <c r="H118" t="s">
        <v>687</v>
      </c>
      <c r="I118" t="s">
        <v>927</v>
      </c>
      <c r="J118">
        <v>1.9290000000000002E-2</v>
      </c>
      <c r="K118">
        <v>1.6126000000000001E-2</v>
      </c>
      <c r="L118" t="s">
        <v>930</v>
      </c>
      <c r="M118">
        <v>19290</v>
      </c>
      <c r="N118">
        <v>16126</v>
      </c>
      <c r="P118">
        <f t="shared" si="1"/>
        <v>14</v>
      </c>
    </row>
    <row r="119" spans="1:16" x14ac:dyDescent="0.25">
      <c r="A119" t="s">
        <v>669</v>
      </c>
      <c r="B119">
        <v>1.9414000000000001E-2</v>
      </c>
      <c r="C119">
        <v>1.9414000000000001E-2</v>
      </c>
      <c r="D119" t="s">
        <v>303</v>
      </c>
      <c r="E119" t="s">
        <v>910</v>
      </c>
      <c r="F119" t="s">
        <v>910</v>
      </c>
      <c r="J119">
        <v>1.9414000000000001E-2</v>
      </c>
      <c r="K119">
        <v>1.9414000000000001E-2</v>
      </c>
      <c r="L119" t="s">
        <v>303</v>
      </c>
      <c r="M119">
        <v>1.9414000000000001E-2</v>
      </c>
      <c r="N119">
        <v>1.9414000000000001E-2</v>
      </c>
      <c r="O119" t="s">
        <v>303</v>
      </c>
      <c r="P119">
        <f t="shared" si="1"/>
        <v>0</v>
      </c>
    </row>
    <row r="120" spans="1:16" x14ac:dyDescent="0.25">
      <c r="A120" t="s">
        <v>669</v>
      </c>
      <c r="B120">
        <v>1.984E-2</v>
      </c>
      <c r="C120">
        <v>1.984E-2</v>
      </c>
      <c r="D120" t="s">
        <v>303</v>
      </c>
      <c r="E120" t="s">
        <v>910</v>
      </c>
      <c r="F120" t="s">
        <v>910</v>
      </c>
      <c r="J120">
        <v>1.984E-2</v>
      </c>
      <c r="K120">
        <v>1.984E-2</v>
      </c>
      <c r="L120" t="s">
        <v>303</v>
      </c>
      <c r="M120">
        <v>1.984E-2</v>
      </c>
      <c r="N120">
        <v>1.984E-2</v>
      </c>
      <c r="O120" t="s">
        <v>303</v>
      </c>
      <c r="P120">
        <f t="shared" si="1"/>
        <v>0</v>
      </c>
    </row>
    <row r="121" spans="1:16" x14ac:dyDescent="0.25">
      <c r="A121" t="s">
        <v>669</v>
      </c>
      <c r="B121">
        <v>1E-3</v>
      </c>
      <c r="C121">
        <v>0.02</v>
      </c>
      <c r="D121" t="s">
        <v>860</v>
      </c>
      <c r="E121" t="s">
        <v>910</v>
      </c>
      <c r="F121" t="s">
        <v>910</v>
      </c>
      <c r="J121">
        <v>0.02</v>
      </c>
      <c r="K121">
        <v>1E-3</v>
      </c>
      <c r="L121" t="s">
        <v>303</v>
      </c>
      <c r="M121">
        <v>0.02</v>
      </c>
      <c r="N121">
        <v>1E-3</v>
      </c>
      <c r="O121" t="s">
        <v>303</v>
      </c>
      <c r="P121">
        <f t="shared" si="1"/>
        <v>0</v>
      </c>
    </row>
    <row r="122" spans="1:16" x14ac:dyDescent="0.25">
      <c r="A122" t="s">
        <v>669</v>
      </c>
      <c r="B122">
        <v>0</v>
      </c>
      <c r="C122">
        <v>20000</v>
      </c>
      <c r="D122" t="s">
        <v>857</v>
      </c>
      <c r="E122" t="s">
        <v>910</v>
      </c>
      <c r="F122" t="s">
        <v>910</v>
      </c>
      <c r="J122">
        <v>0.02</v>
      </c>
      <c r="K122">
        <v>0</v>
      </c>
      <c r="L122" t="s">
        <v>303</v>
      </c>
      <c r="M122">
        <v>20000</v>
      </c>
      <c r="N122">
        <v>0</v>
      </c>
      <c r="O122" t="s">
        <v>303</v>
      </c>
      <c r="P122">
        <f t="shared" si="1"/>
        <v>0</v>
      </c>
    </row>
    <row r="123" spans="1:16" x14ac:dyDescent="0.25">
      <c r="A123" t="s">
        <v>213</v>
      </c>
      <c r="B123" t="s">
        <v>669</v>
      </c>
      <c r="C123">
        <v>20000</v>
      </c>
      <c r="D123" t="s">
        <v>857</v>
      </c>
      <c r="E123">
        <v>4</v>
      </c>
      <c r="F123">
        <v>4</v>
      </c>
      <c r="G123" t="s">
        <v>701</v>
      </c>
      <c r="H123" t="s">
        <v>701</v>
      </c>
      <c r="J123">
        <v>0.02</v>
      </c>
      <c r="K123">
        <v>0</v>
      </c>
      <c r="L123" t="s">
        <v>303</v>
      </c>
      <c r="M123">
        <v>20000</v>
      </c>
      <c r="O123" t="s">
        <v>303</v>
      </c>
      <c r="P123">
        <f t="shared" si="1"/>
        <v>0</v>
      </c>
    </row>
    <row r="124" spans="1:16" x14ac:dyDescent="0.25">
      <c r="A124" t="s">
        <v>669</v>
      </c>
      <c r="B124" t="s">
        <v>669</v>
      </c>
      <c r="C124">
        <v>20000</v>
      </c>
      <c r="D124" t="s">
        <v>857</v>
      </c>
      <c r="E124" t="s">
        <v>910</v>
      </c>
      <c r="F124" t="s">
        <v>910</v>
      </c>
      <c r="J124">
        <v>0.02</v>
      </c>
      <c r="K124">
        <v>0</v>
      </c>
      <c r="L124" t="s">
        <v>303</v>
      </c>
      <c r="M124">
        <v>20000</v>
      </c>
      <c r="O124" t="s">
        <v>303</v>
      </c>
      <c r="P124">
        <f t="shared" si="1"/>
        <v>0</v>
      </c>
    </row>
    <row r="125" spans="1:16" x14ac:dyDescent="0.25">
      <c r="A125" t="s">
        <v>669</v>
      </c>
      <c r="B125">
        <v>2.0917000000000002E-2</v>
      </c>
      <c r="C125">
        <v>2.0917000000000002E-2</v>
      </c>
      <c r="D125" t="s">
        <v>303</v>
      </c>
      <c r="E125" t="s">
        <v>910</v>
      </c>
      <c r="F125" t="s">
        <v>910</v>
      </c>
      <c r="J125">
        <v>2.0917000000000002E-2</v>
      </c>
      <c r="K125">
        <v>2.0917000000000002E-2</v>
      </c>
      <c r="L125" t="s">
        <v>303</v>
      </c>
      <c r="M125">
        <v>2.0917000000000002E-2</v>
      </c>
      <c r="N125">
        <v>2.0917000000000002E-2</v>
      </c>
      <c r="O125" t="s">
        <v>303</v>
      </c>
      <c r="P125">
        <f t="shared" si="1"/>
        <v>0</v>
      </c>
    </row>
    <row r="126" spans="1:16" x14ac:dyDescent="0.25">
      <c r="A126" t="s">
        <v>578</v>
      </c>
      <c r="B126" s="11">
        <v>0.02</v>
      </c>
      <c r="C126" s="11">
        <v>2.1000000000000001E-2</v>
      </c>
      <c r="D126" t="s">
        <v>886</v>
      </c>
      <c r="E126">
        <v>3</v>
      </c>
      <c r="F126">
        <v>3</v>
      </c>
      <c r="G126" t="s">
        <v>700</v>
      </c>
      <c r="H126" t="s">
        <v>700</v>
      </c>
      <c r="J126">
        <v>2.1000000000000001E-2</v>
      </c>
      <c r="K126">
        <v>0.02</v>
      </c>
      <c r="L126" t="s">
        <v>303</v>
      </c>
      <c r="M126">
        <v>2.1000000000000001E-2</v>
      </c>
      <c r="N126">
        <v>0.02</v>
      </c>
      <c r="O126" t="s">
        <v>303</v>
      </c>
      <c r="P126">
        <f t="shared" si="1"/>
        <v>0</v>
      </c>
    </row>
    <row r="127" spans="1:16" x14ac:dyDescent="0.25">
      <c r="A127" t="s">
        <v>669</v>
      </c>
      <c r="B127">
        <v>20369</v>
      </c>
      <c r="C127">
        <v>21268</v>
      </c>
      <c r="D127" t="s">
        <v>669</v>
      </c>
      <c r="E127">
        <v>8</v>
      </c>
      <c r="F127">
        <v>8</v>
      </c>
      <c r="G127" t="s">
        <v>687</v>
      </c>
      <c r="H127" t="s">
        <v>687</v>
      </c>
      <c r="I127" t="s">
        <v>927</v>
      </c>
      <c r="J127">
        <v>2.1267999999999999E-2</v>
      </c>
      <c r="K127">
        <v>2.0369000000000002E-2</v>
      </c>
      <c r="L127" t="s">
        <v>930</v>
      </c>
      <c r="M127">
        <v>21268</v>
      </c>
      <c r="N127">
        <v>20369</v>
      </c>
      <c r="P127">
        <f t="shared" si="1"/>
        <v>14</v>
      </c>
    </row>
    <row r="128" spans="1:16" x14ac:dyDescent="0.25">
      <c r="A128" t="s">
        <v>669</v>
      </c>
      <c r="B128">
        <v>21268</v>
      </c>
      <c r="C128">
        <v>21735</v>
      </c>
      <c r="D128" t="s">
        <v>669</v>
      </c>
      <c r="E128">
        <v>8</v>
      </c>
      <c r="F128">
        <v>8</v>
      </c>
      <c r="G128" t="s">
        <v>687</v>
      </c>
      <c r="H128" t="s">
        <v>687</v>
      </c>
      <c r="I128" t="s">
        <v>927</v>
      </c>
      <c r="J128">
        <v>2.1735000000000001E-2</v>
      </c>
      <c r="K128">
        <v>2.1267999999999999E-2</v>
      </c>
      <c r="L128" t="s">
        <v>930</v>
      </c>
      <c r="M128">
        <v>21735</v>
      </c>
      <c r="N128">
        <v>21268</v>
      </c>
      <c r="P128">
        <f t="shared" si="1"/>
        <v>14</v>
      </c>
    </row>
    <row r="129" spans="1:16" x14ac:dyDescent="0.25">
      <c r="A129" t="s">
        <v>669</v>
      </c>
      <c r="B129">
        <v>17947</v>
      </c>
      <c r="C129">
        <v>21925</v>
      </c>
      <c r="D129" t="s">
        <v>669</v>
      </c>
      <c r="E129">
        <v>8</v>
      </c>
      <c r="F129">
        <v>8</v>
      </c>
      <c r="G129" t="s">
        <v>687</v>
      </c>
      <c r="H129" t="s">
        <v>687</v>
      </c>
      <c r="I129" t="s">
        <v>927</v>
      </c>
      <c r="J129">
        <v>2.1925E-2</v>
      </c>
      <c r="K129">
        <v>1.7947000000000001E-2</v>
      </c>
      <c r="L129" t="s">
        <v>930</v>
      </c>
      <c r="M129">
        <v>21925</v>
      </c>
      <c r="N129">
        <v>17947</v>
      </c>
      <c r="P129">
        <f t="shared" si="1"/>
        <v>14</v>
      </c>
    </row>
    <row r="130" spans="1:16" x14ac:dyDescent="0.25">
      <c r="A130" t="s">
        <v>669</v>
      </c>
      <c r="B130">
        <v>21735</v>
      </c>
      <c r="C130">
        <v>22314</v>
      </c>
      <c r="D130" t="s">
        <v>669</v>
      </c>
      <c r="E130">
        <v>8</v>
      </c>
      <c r="F130">
        <v>8</v>
      </c>
      <c r="G130" t="s">
        <v>687</v>
      </c>
      <c r="H130" t="s">
        <v>687</v>
      </c>
      <c r="I130" t="s">
        <v>927</v>
      </c>
      <c r="J130">
        <v>2.2314000000000001E-2</v>
      </c>
      <c r="K130">
        <v>2.1735000000000001E-2</v>
      </c>
      <c r="L130" t="s">
        <v>930</v>
      </c>
      <c r="M130">
        <v>22314</v>
      </c>
      <c r="N130">
        <v>21735</v>
      </c>
      <c r="P130">
        <f t="shared" si="1"/>
        <v>14</v>
      </c>
    </row>
    <row r="131" spans="1:16" x14ac:dyDescent="0.25">
      <c r="A131" t="s">
        <v>669</v>
      </c>
      <c r="B131">
        <v>2.2341E-2</v>
      </c>
      <c r="C131">
        <v>2.2341E-2</v>
      </c>
      <c r="D131" t="s">
        <v>303</v>
      </c>
      <c r="E131" t="s">
        <v>910</v>
      </c>
      <c r="F131" t="s">
        <v>910</v>
      </c>
      <c r="J131">
        <v>2.2341E-2</v>
      </c>
      <c r="K131">
        <v>2.2341E-2</v>
      </c>
      <c r="L131" t="s">
        <v>303</v>
      </c>
      <c r="M131">
        <v>2.2341E-2</v>
      </c>
      <c r="N131">
        <v>2.2341E-2</v>
      </c>
      <c r="O131" t="s">
        <v>303</v>
      </c>
      <c r="P131">
        <f t="shared" ref="P131:P194" si="2">LEN(I131)</f>
        <v>0</v>
      </c>
    </row>
    <row r="132" spans="1:16" x14ac:dyDescent="0.25">
      <c r="A132" t="s">
        <v>669</v>
      </c>
      <c r="B132">
        <v>22314</v>
      </c>
      <c r="C132">
        <v>22479</v>
      </c>
      <c r="D132" t="s">
        <v>669</v>
      </c>
      <c r="E132">
        <v>8</v>
      </c>
      <c r="F132">
        <v>8</v>
      </c>
      <c r="G132" t="s">
        <v>687</v>
      </c>
      <c r="H132" t="s">
        <v>687</v>
      </c>
      <c r="I132" t="s">
        <v>927</v>
      </c>
      <c r="J132">
        <v>2.2478999999999999E-2</v>
      </c>
      <c r="K132">
        <v>2.2314000000000001E-2</v>
      </c>
      <c r="L132" t="s">
        <v>930</v>
      </c>
      <c r="M132">
        <v>22479</v>
      </c>
      <c r="N132">
        <v>22314</v>
      </c>
      <c r="P132">
        <f t="shared" si="2"/>
        <v>14</v>
      </c>
    </row>
    <row r="133" spans="1:16" x14ac:dyDescent="0.25">
      <c r="A133" t="s">
        <v>669</v>
      </c>
      <c r="B133">
        <v>19041</v>
      </c>
      <c r="C133">
        <v>22561</v>
      </c>
      <c r="D133" t="s">
        <v>669</v>
      </c>
      <c r="E133">
        <v>8</v>
      </c>
      <c r="F133">
        <v>8</v>
      </c>
      <c r="G133" t="s">
        <v>687</v>
      </c>
      <c r="H133" t="s">
        <v>687</v>
      </c>
      <c r="I133" t="s">
        <v>927</v>
      </c>
      <c r="J133">
        <v>2.2561000000000001E-2</v>
      </c>
      <c r="K133">
        <v>1.9040999999999999E-2</v>
      </c>
      <c r="L133" t="s">
        <v>930</v>
      </c>
      <c r="M133">
        <v>22561</v>
      </c>
      <c r="N133">
        <v>19041</v>
      </c>
      <c r="P133">
        <f t="shared" si="2"/>
        <v>14</v>
      </c>
    </row>
    <row r="134" spans="1:16" x14ac:dyDescent="0.25">
      <c r="A134" t="s">
        <v>669</v>
      </c>
      <c r="B134">
        <v>22643</v>
      </c>
      <c r="C134">
        <v>22890</v>
      </c>
      <c r="D134" t="s">
        <v>669</v>
      </c>
      <c r="E134">
        <v>8</v>
      </c>
      <c r="F134">
        <v>8</v>
      </c>
      <c r="G134" t="s">
        <v>687</v>
      </c>
      <c r="H134" t="s">
        <v>687</v>
      </c>
      <c r="I134" t="s">
        <v>927</v>
      </c>
      <c r="J134">
        <v>2.2890000000000001E-2</v>
      </c>
      <c r="K134">
        <v>2.2643E-2</v>
      </c>
      <c r="L134" t="s">
        <v>930</v>
      </c>
      <c r="M134">
        <v>22890</v>
      </c>
      <c r="N134">
        <v>22643</v>
      </c>
      <c r="P134">
        <f t="shared" si="2"/>
        <v>14</v>
      </c>
    </row>
    <row r="135" spans="1:16" x14ac:dyDescent="0.25">
      <c r="A135" t="s">
        <v>669</v>
      </c>
      <c r="B135">
        <v>22890</v>
      </c>
      <c r="C135">
        <v>23220</v>
      </c>
      <c r="D135" t="s">
        <v>669</v>
      </c>
      <c r="E135">
        <v>8</v>
      </c>
      <c r="F135">
        <v>8</v>
      </c>
      <c r="G135" t="s">
        <v>687</v>
      </c>
      <c r="H135" t="s">
        <v>687</v>
      </c>
      <c r="I135" t="s">
        <v>927</v>
      </c>
      <c r="J135">
        <v>2.3220000000000001E-2</v>
      </c>
      <c r="K135">
        <v>2.2890000000000001E-2</v>
      </c>
      <c r="L135" t="s">
        <v>930</v>
      </c>
      <c r="M135">
        <v>23220</v>
      </c>
      <c r="N135">
        <v>22890</v>
      </c>
      <c r="P135">
        <f t="shared" si="2"/>
        <v>14</v>
      </c>
    </row>
    <row r="136" spans="1:16" x14ac:dyDescent="0.25">
      <c r="A136" t="s">
        <v>669</v>
      </c>
      <c r="B136">
        <v>2.3785000000000001E-2</v>
      </c>
      <c r="C136">
        <v>2.3785000000000001E-2</v>
      </c>
      <c r="D136" t="s">
        <v>303</v>
      </c>
      <c r="E136" t="s">
        <v>910</v>
      </c>
      <c r="F136" t="s">
        <v>910</v>
      </c>
      <c r="J136">
        <v>2.3785000000000001E-2</v>
      </c>
      <c r="K136">
        <v>2.3785000000000001E-2</v>
      </c>
      <c r="L136" t="s">
        <v>303</v>
      </c>
      <c r="M136">
        <v>2.3785000000000001E-2</v>
      </c>
      <c r="N136">
        <v>2.3785000000000001E-2</v>
      </c>
      <c r="O136" t="s">
        <v>303</v>
      </c>
      <c r="P136">
        <f t="shared" si="2"/>
        <v>0</v>
      </c>
    </row>
    <row r="137" spans="1:16" x14ac:dyDescent="0.25">
      <c r="A137" t="s">
        <v>669</v>
      </c>
      <c r="B137">
        <v>23929</v>
      </c>
      <c r="C137">
        <v>23961</v>
      </c>
      <c r="D137" t="s">
        <v>669</v>
      </c>
      <c r="E137">
        <v>8</v>
      </c>
      <c r="F137">
        <v>8</v>
      </c>
      <c r="G137" t="s">
        <v>687</v>
      </c>
      <c r="H137" t="s">
        <v>687</v>
      </c>
      <c r="I137" t="s">
        <v>927</v>
      </c>
      <c r="J137">
        <v>2.3961E-2</v>
      </c>
      <c r="K137">
        <v>2.3928999999999999E-2</v>
      </c>
      <c r="L137" t="s">
        <v>930</v>
      </c>
      <c r="M137">
        <v>23961</v>
      </c>
      <c r="N137">
        <v>23929</v>
      </c>
      <c r="P137">
        <f t="shared" si="2"/>
        <v>14</v>
      </c>
    </row>
    <row r="138" spans="1:16" x14ac:dyDescent="0.25">
      <c r="A138" t="s">
        <v>669</v>
      </c>
      <c r="B138">
        <v>24</v>
      </c>
      <c r="C138">
        <v>24</v>
      </c>
      <c r="D138" t="s">
        <v>862</v>
      </c>
      <c r="E138">
        <v>8</v>
      </c>
      <c r="F138">
        <v>8</v>
      </c>
      <c r="G138" t="s">
        <v>687</v>
      </c>
      <c r="H138" t="s">
        <v>687</v>
      </c>
      <c r="J138">
        <v>2.4E-2</v>
      </c>
      <c r="K138">
        <v>2.4E-2</v>
      </c>
      <c r="L138" t="s">
        <v>303</v>
      </c>
      <c r="M138">
        <v>24</v>
      </c>
      <c r="N138">
        <v>24</v>
      </c>
      <c r="O138" t="s">
        <v>862</v>
      </c>
      <c r="P138">
        <f t="shared" si="2"/>
        <v>0</v>
      </c>
    </row>
    <row r="139" spans="1:16" x14ac:dyDescent="0.25">
      <c r="A139" t="s">
        <v>669</v>
      </c>
      <c r="B139">
        <v>23961</v>
      </c>
      <c r="C139">
        <v>24041</v>
      </c>
      <c r="D139" t="s">
        <v>669</v>
      </c>
      <c r="E139">
        <v>8</v>
      </c>
      <c r="F139">
        <v>8</v>
      </c>
      <c r="G139" t="s">
        <v>687</v>
      </c>
      <c r="H139" t="s">
        <v>687</v>
      </c>
      <c r="I139" t="s">
        <v>927</v>
      </c>
      <c r="J139">
        <v>2.4041E-2</v>
      </c>
      <c r="K139">
        <v>2.3961E-2</v>
      </c>
      <c r="L139" t="s">
        <v>930</v>
      </c>
      <c r="M139">
        <v>24041</v>
      </c>
      <c r="N139">
        <v>23961</v>
      </c>
      <c r="P139">
        <f t="shared" si="2"/>
        <v>14</v>
      </c>
    </row>
    <row r="140" spans="1:16" x14ac:dyDescent="0.25">
      <c r="A140" t="s">
        <v>669</v>
      </c>
      <c r="B140">
        <v>2.4799999999999999E-2</v>
      </c>
      <c r="C140">
        <v>2.4799999999999999E-2</v>
      </c>
      <c r="D140" t="s">
        <v>303</v>
      </c>
      <c r="E140" t="s">
        <v>910</v>
      </c>
      <c r="F140" t="s">
        <v>910</v>
      </c>
      <c r="J140">
        <v>2.4799999999999999E-2</v>
      </c>
      <c r="K140">
        <v>2.4799999999999999E-2</v>
      </c>
      <c r="L140" t="s">
        <v>303</v>
      </c>
      <c r="M140">
        <v>2.4799999999999999E-2</v>
      </c>
      <c r="N140">
        <v>2.4799999999999999E-2</v>
      </c>
      <c r="O140" t="s">
        <v>303</v>
      </c>
      <c r="P140">
        <f t="shared" si="2"/>
        <v>0</v>
      </c>
    </row>
    <row r="141" spans="1:16" x14ac:dyDescent="0.25">
      <c r="A141" t="s">
        <v>669</v>
      </c>
      <c r="B141">
        <v>21264</v>
      </c>
      <c r="C141">
        <v>24921</v>
      </c>
      <c r="D141" t="s">
        <v>669</v>
      </c>
      <c r="E141">
        <v>8</v>
      </c>
      <c r="F141">
        <v>8</v>
      </c>
      <c r="G141" t="s">
        <v>687</v>
      </c>
      <c r="H141" t="s">
        <v>687</v>
      </c>
      <c r="I141" t="s">
        <v>927</v>
      </c>
      <c r="J141">
        <v>2.4920999999999999E-2</v>
      </c>
      <c r="K141">
        <v>2.1264000000000002E-2</v>
      </c>
      <c r="L141" t="s">
        <v>930</v>
      </c>
      <c r="M141">
        <v>24921</v>
      </c>
      <c r="N141">
        <v>21264</v>
      </c>
      <c r="P141">
        <f t="shared" si="2"/>
        <v>14</v>
      </c>
    </row>
    <row r="142" spans="1:16" x14ac:dyDescent="0.25">
      <c r="A142" t="s">
        <v>669</v>
      </c>
      <c r="B142">
        <v>20811</v>
      </c>
      <c r="C142">
        <v>25179</v>
      </c>
      <c r="D142" t="s">
        <v>669</v>
      </c>
      <c r="E142">
        <v>8</v>
      </c>
      <c r="F142">
        <v>8</v>
      </c>
      <c r="G142" t="s">
        <v>687</v>
      </c>
      <c r="H142" t="s">
        <v>687</v>
      </c>
      <c r="I142" t="s">
        <v>927</v>
      </c>
      <c r="J142">
        <v>2.5179E-2</v>
      </c>
      <c r="K142">
        <v>2.0811E-2</v>
      </c>
      <c r="L142" t="s">
        <v>930</v>
      </c>
      <c r="M142">
        <v>25179</v>
      </c>
      <c r="N142">
        <v>20811</v>
      </c>
      <c r="P142">
        <f t="shared" si="2"/>
        <v>14</v>
      </c>
    </row>
    <row r="143" spans="1:16" x14ac:dyDescent="0.25">
      <c r="A143" t="s">
        <v>669</v>
      </c>
      <c r="B143">
        <v>2.5189E-2</v>
      </c>
      <c r="C143">
        <v>2.5189E-2</v>
      </c>
      <c r="D143" t="s">
        <v>303</v>
      </c>
      <c r="E143" t="s">
        <v>910</v>
      </c>
      <c r="F143" t="s">
        <v>910</v>
      </c>
      <c r="J143">
        <v>2.5189E-2</v>
      </c>
      <c r="K143">
        <v>2.5189E-2</v>
      </c>
      <c r="L143" t="s">
        <v>303</v>
      </c>
      <c r="M143">
        <v>2.5189E-2</v>
      </c>
      <c r="N143">
        <v>2.5189E-2</v>
      </c>
      <c r="O143" t="s">
        <v>303</v>
      </c>
      <c r="P143">
        <f t="shared" si="2"/>
        <v>0</v>
      </c>
    </row>
    <row r="144" spans="1:16" x14ac:dyDescent="0.25">
      <c r="A144" t="s">
        <v>669</v>
      </c>
      <c r="B144">
        <v>19295</v>
      </c>
      <c r="C144">
        <v>25208</v>
      </c>
      <c r="D144" t="s">
        <v>669</v>
      </c>
      <c r="E144">
        <v>8</v>
      </c>
      <c r="F144">
        <v>8</v>
      </c>
      <c r="G144" t="s">
        <v>687</v>
      </c>
      <c r="H144" t="s">
        <v>687</v>
      </c>
      <c r="I144" t="s">
        <v>927</v>
      </c>
      <c r="J144">
        <v>2.5208000000000001E-2</v>
      </c>
      <c r="K144">
        <v>1.9295E-2</v>
      </c>
      <c r="L144" t="s">
        <v>930</v>
      </c>
      <c r="M144">
        <v>25208</v>
      </c>
      <c r="N144">
        <v>19295</v>
      </c>
      <c r="P144">
        <f t="shared" si="2"/>
        <v>14</v>
      </c>
    </row>
    <row r="145" spans="1:16" x14ac:dyDescent="0.25">
      <c r="A145" t="s">
        <v>669</v>
      </c>
      <c r="B145">
        <v>20668</v>
      </c>
      <c r="C145">
        <v>25316</v>
      </c>
      <c r="D145" t="s">
        <v>669</v>
      </c>
      <c r="E145">
        <v>8</v>
      </c>
      <c r="F145">
        <v>8</v>
      </c>
      <c r="G145" t="s">
        <v>687</v>
      </c>
      <c r="H145" t="s">
        <v>687</v>
      </c>
      <c r="I145" t="s">
        <v>927</v>
      </c>
      <c r="J145">
        <v>2.5316000000000002E-2</v>
      </c>
      <c r="K145">
        <v>2.0667999999999999E-2</v>
      </c>
      <c r="L145" t="s">
        <v>930</v>
      </c>
      <c r="M145">
        <v>25316</v>
      </c>
      <c r="N145">
        <v>20668</v>
      </c>
      <c r="P145">
        <f t="shared" si="2"/>
        <v>14</v>
      </c>
    </row>
    <row r="146" spans="1:16" x14ac:dyDescent="0.25">
      <c r="A146" t="s">
        <v>669</v>
      </c>
      <c r="B146">
        <v>21449</v>
      </c>
      <c r="C146">
        <v>25715</v>
      </c>
      <c r="D146" t="s">
        <v>669</v>
      </c>
      <c r="E146">
        <v>8</v>
      </c>
      <c r="F146">
        <v>8</v>
      </c>
      <c r="G146" t="s">
        <v>687</v>
      </c>
      <c r="H146" t="s">
        <v>687</v>
      </c>
      <c r="I146" t="s">
        <v>927</v>
      </c>
      <c r="J146">
        <v>2.5714999999999998E-2</v>
      </c>
      <c r="K146">
        <v>2.1448999999999999E-2</v>
      </c>
      <c r="L146" t="s">
        <v>930</v>
      </c>
      <c r="M146">
        <v>25715</v>
      </c>
      <c r="N146">
        <v>21449</v>
      </c>
      <c r="P146">
        <f t="shared" si="2"/>
        <v>14</v>
      </c>
    </row>
    <row r="147" spans="1:16" x14ac:dyDescent="0.25">
      <c r="A147" t="s">
        <v>669</v>
      </c>
      <c r="B147">
        <v>2.6633E-2</v>
      </c>
      <c r="C147">
        <v>2.6633E-2</v>
      </c>
      <c r="D147" t="s">
        <v>303</v>
      </c>
      <c r="E147" t="s">
        <v>910</v>
      </c>
      <c r="F147" t="s">
        <v>910</v>
      </c>
      <c r="J147">
        <v>2.6633E-2</v>
      </c>
      <c r="K147">
        <v>2.6633E-2</v>
      </c>
      <c r="L147" t="s">
        <v>303</v>
      </c>
      <c r="M147">
        <v>2.6633E-2</v>
      </c>
      <c r="N147">
        <v>2.6633E-2</v>
      </c>
      <c r="O147" t="s">
        <v>303</v>
      </c>
      <c r="P147">
        <f t="shared" si="2"/>
        <v>0</v>
      </c>
    </row>
    <row r="148" spans="1:16" x14ac:dyDescent="0.25">
      <c r="A148" t="s">
        <v>669</v>
      </c>
      <c r="B148">
        <v>2.7296000000000001E-2</v>
      </c>
      <c r="C148">
        <v>2.7296000000000001E-2</v>
      </c>
      <c r="D148" t="s">
        <v>303</v>
      </c>
      <c r="E148" t="s">
        <v>910</v>
      </c>
      <c r="F148" t="s">
        <v>910</v>
      </c>
      <c r="J148">
        <v>2.7296000000000001E-2</v>
      </c>
      <c r="K148">
        <v>2.7296000000000001E-2</v>
      </c>
      <c r="L148" t="s">
        <v>303</v>
      </c>
      <c r="M148">
        <v>2.7296000000000001E-2</v>
      </c>
      <c r="N148">
        <v>2.7296000000000001E-2</v>
      </c>
      <c r="O148" t="s">
        <v>303</v>
      </c>
      <c r="P148">
        <f t="shared" si="2"/>
        <v>0</v>
      </c>
    </row>
    <row r="149" spans="1:16" x14ac:dyDescent="0.25">
      <c r="A149" t="s">
        <v>669</v>
      </c>
      <c r="B149">
        <v>2.7400000000000001E-2</v>
      </c>
      <c r="C149">
        <v>2.7400000000000001E-2</v>
      </c>
      <c r="D149" t="s">
        <v>303</v>
      </c>
      <c r="E149" t="s">
        <v>910</v>
      </c>
      <c r="F149" t="s">
        <v>910</v>
      </c>
      <c r="J149">
        <v>2.7400000000000001E-2</v>
      </c>
      <c r="K149">
        <v>2.7400000000000001E-2</v>
      </c>
      <c r="L149" t="s">
        <v>303</v>
      </c>
      <c r="M149">
        <v>2.7400000000000001E-2</v>
      </c>
      <c r="N149">
        <v>2.7400000000000001E-2</v>
      </c>
      <c r="O149" t="s">
        <v>303</v>
      </c>
      <c r="P149">
        <f t="shared" si="2"/>
        <v>0</v>
      </c>
    </row>
    <row r="150" spans="1:16" x14ac:dyDescent="0.25">
      <c r="A150" t="s">
        <v>669</v>
      </c>
      <c r="B150">
        <v>2.76E-2</v>
      </c>
      <c r="C150">
        <v>2.76E-2</v>
      </c>
      <c r="D150" t="s">
        <v>303</v>
      </c>
      <c r="E150" t="s">
        <v>910</v>
      </c>
      <c r="F150" t="s">
        <v>910</v>
      </c>
      <c r="J150">
        <v>2.76E-2</v>
      </c>
      <c r="K150">
        <v>2.76E-2</v>
      </c>
      <c r="L150" t="s">
        <v>303</v>
      </c>
      <c r="M150">
        <v>2.76E-2</v>
      </c>
      <c r="N150">
        <v>2.76E-2</v>
      </c>
      <c r="O150" t="s">
        <v>303</v>
      </c>
      <c r="P150">
        <f t="shared" si="2"/>
        <v>0</v>
      </c>
    </row>
    <row r="151" spans="1:16" x14ac:dyDescent="0.25">
      <c r="A151" t="s">
        <v>669</v>
      </c>
      <c r="B151">
        <v>2.7699999999999999E-2</v>
      </c>
      <c r="C151">
        <v>2.7699999999999999E-2</v>
      </c>
      <c r="D151" t="s">
        <v>303</v>
      </c>
      <c r="E151" t="s">
        <v>910</v>
      </c>
      <c r="F151" t="s">
        <v>910</v>
      </c>
      <c r="J151">
        <v>2.7699999999999999E-2</v>
      </c>
      <c r="K151">
        <v>2.7699999999999999E-2</v>
      </c>
      <c r="L151" t="s">
        <v>303</v>
      </c>
      <c r="M151">
        <v>2.7699999999999999E-2</v>
      </c>
      <c r="N151">
        <v>2.7699999999999999E-2</v>
      </c>
      <c r="O151" t="s">
        <v>303</v>
      </c>
      <c r="P151">
        <f t="shared" si="2"/>
        <v>0</v>
      </c>
    </row>
    <row r="152" spans="1:16" x14ac:dyDescent="0.25">
      <c r="A152" t="s">
        <v>669</v>
      </c>
      <c r="B152">
        <v>24314</v>
      </c>
      <c r="C152">
        <v>28326</v>
      </c>
      <c r="D152" t="s">
        <v>669</v>
      </c>
      <c r="E152">
        <v>8</v>
      </c>
      <c r="F152">
        <v>8</v>
      </c>
      <c r="G152" t="s">
        <v>687</v>
      </c>
      <c r="H152" t="s">
        <v>687</v>
      </c>
      <c r="I152" t="s">
        <v>927</v>
      </c>
      <c r="J152">
        <v>2.8326E-2</v>
      </c>
      <c r="K152">
        <v>2.4313999999999999E-2</v>
      </c>
      <c r="L152" t="s">
        <v>930</v>
      </c>
      <c r="M152">
        <v>28326</v>
      </c>
      <c r="N152">
        <v>24314</v>
      </c>
      <c r="P152">
        <f t="shared" si="2"/>
        <v>14</v>
      </c>
    </row>
    <row r="153" spans="1:16" x14ac:dyDescent="0.25">
      <c r="A153" t="s">
        <v>669</v>
      </c>
      <c r="B153">
        <v>2.8368999999999998E-2</v>
      </c>
      <c r="C153">
        <v>2.8368999999999998E-2</v>
      </c>
      <c r="D153" t="s">
        <v>303</v>
      </c>
      <c r="E153" t="s">
        <v>910</v>
      </c>
      <c r="F153" t="s">
        <v>910</v>
      </c>
      <c r="J153">
        <v>2.8368999999999998E-2</v>
      </c>
      <c r="K153">
        <v>2.8368999999999998E-2</v>
      </c>
      <c r="L153" t="s">
        <v>303</v>
      </c>
      <c r="M153">
        <v>2.8368999999999998E-2</v>
      </c>
      <c r="N153">
        <v>2.8368999999999998E-2</v>
      </c>
      <c r="O153" t="s">
        <v>303</v>
      </c>
      <c r="P153">
        <f t="shared" si="2"/>
        <v>0</v>
      </c>
    </row>
    <row r="154" spans="1:16" x14ac:dyDescent="0.25">
      <c r="A154" t="s">
        <v>669</v>
      </c>
      <c r="B154" t="s">
        <v>669</v>
      </c>
      <c r="C154">
        <v>29</v>
      </c>
      <c r="D154" t="s">
        <v>864</v>
      </c>
      <c r="E154">
        <v>8</v>
      </c>
      <c r="F154">
        <v>5</v>
      </c>
      <c r="G154" t="s">
        <v>687</v>
      </c>
      <c r="H154" t="s">
        <v>684</v>
      </c>
      <c r="J154">
        <v>2.9000000000000001E-2</v>
      </c>
      <c r="K154">
        <v>0</v>
      </c>
      <c r="L154" t="s">
        <v>303</v>
      </c>
      <c r="M154">
        <v>29</v>
      </c>
      <c r="O154" t="s">
        <v>862</v>
      </c>
      <c r="P154">
        <f t="shared" si="2"/>
        <v>0</v>
      </c>
    </row>
    <row r="155" spans="1:16" x14ac:dyDescent="0.25">
      <c r="A155" t="s">
        <v>578</v>
      </c>
      <c r="B155">
        <v>8.6999999999999993</v>
      </c>
      <c r="C155">
        <v>29.7</v>
      </c>
      <c r="D155" t="s">
        <v>862</v>
      </c>
      <c r="E155">
        <v>8</v>
      </c>
      <c r="F155">
        <v>8</v>
      </c>
      <c r="G155" t="s">
        <v>687</v>
      </c>
      <c r="H155" t="s">
        <v>687</v>
      </c>
      <c r="J155">
        <v>2.9700000000000001E-2</v>
      </c>
      <c r="K155">
        <v>8.6999999999999994E-3</v>
      </c>
      <c r="L155" t="s">
        <v>303</v>
      </c>
      <c r="M155">
        <v>29.7</v>
      </c>
      <c r="N155">
        <v>8.6999999999999993</v>
      </c>
      <c r="O155" t="s">
        <v>862</v>
      </c>
      <c r="P155">
        <f t="shared" si="2"/>
        <v>0</v>
      </c>
    </row>
    <row r="156" spans="1:16" x14ac:dyDescent="0.25">
      <c r="A156" t="s">
        <v>578</v>
      </c>
      <c r="B156">
        <v>2.826E-2</v>
      </c>
      <c r="C156">
        <v>2.98E-2</v>
      </c>
      <c r="D156" t="s">
        <v>669</v>
      </c>
      <c r="E156">
        <v>8</v>
      </c>
      <c r="F156">
        <v>8</v>
      </c>
      <c r="G156" t="s">
        <v>687</v>
      </c>
      <c r="H156" t="s">
        <v>687</v>
      </c>
      <c r="I156" t="s">
        <v>927</v>
      </c>
      <c r="J156">
        <v>2.98E-2</v>
      </c>
      <c r="K156">
        <v>2.826E-2</v>
      </c>
      <c r="L156" t="s">
        <v>930</v>
      </c>
      <c r="M156">
        <v>2.98E-2</v>
      </c>
      <c r="N156">
        <v>2.826E-2</v>
      </c>
      <c r="P156">
        <f t="shared" si="2"/>
        <v>14</v>
      </c>
    </row>
    <row r="157" spans="1:16" x14ac:dyDescent="0.25">
      <c r="A157" t="s">
        <v>669</v>
      </c>
      <c r="B157">
        <v>3.0523999999999999E-2</v>
      </c>
      <c r="C157">
        <v>3.0523999999999999E-2</v>
      </c>
      <c r="D157" t="s">
        <v>303</v>
      </c>
      <c r="E157" t="s">
        <v>910</v>
      </c>
      <c r="F157" t="s">
        <v>910</v>
      </c>
      <c r="J157">
        <v>3.0523999999999999E-2</v>
      </c>
      <c r="K157">
        <v>3.0523999999999999E-2</v>
      </c>
      <c r="L157" t="s">
        <v>303</v>
      </c>
      <c r="M157">
        <v>3.0523999999999999E-2</v>
      </c>
      <c r="N157">
        <v>3.0523999999999999E-2</v>
      </c>
      <c r="O157" t="s">
        <v>303</v>
      </c>
      <c r="P157">
        <f t="shared" si="2"/>
        <v>0</v>
      </c>
    </row>
    <row r="158" spans="1:16" x14ac:dyDescent="0.25">
      <c r="A158" t="s">
        <v>669</v>
      </c>
      <c r="B158">
        <v>19150</v>
      </c>
      <c r="C158">
        <v>31035</v>
      </c>
      <c r="D158" t="s">
        <v>669</v>
      </c>
      <c r="E158">
        <v>8</v>
      </c>
      <c r="F158">
        <v>8</v>
      </c>
      <c r="G158" t="s">
        <v>687</v>
      </c>
      <c r="H158" t="s">
        <v>687</v>
      </c>
      <c r="I158" t="s">
        <v>927</v>
      </c>
      <c r="J158">
        <v>3.1035E-2</v>
      </c>
      <c r="K158">
        <v>1.915E-2</v>
      </c>
      <c r="L158" t="s">
        <v>930</v>
      </c>
      <c r="M158">
        <v>31035</v>
      </c>
      <c r="N158">
        <v>19150</v>
      </c>
      <c r="P158">
        <f t="shared" si="2"/>
        <v>14</v>
      </c>
    </row>
    <row r="159" spans="1:16" x14ac:dyDescent="0.25">
      <c r="A159" t="s">
        <v>669</v>
      </c>
      <c r="B159">
        <v>3.1426000000000003E-2</v>
      </c>
      <c r="C159">
        <v>3.1426000000000003E-2</v>
      </c>
      <c r="D159" t="s">
        <v>303</v>
      </c>
      <c r="E159" t="s">
        <v>910</v>
      </c>
      <c r="F159" t="s">
        <v>910</v>
      </c>
      <c r="J159">
        <v>3.1426000000000003E-2</v>
      </c>
      <c r="K159">
        <v>3.1426000000000003E-2</v>
      </c>
      <c r="L159" t="s">
        <v>303</v>
      </c>
      <c r="M159">
        <v>3.1426000000000003E-2</v>
      </c>
      <c r="N159">
        <v>3.1426000000000003E-2</v>
      </c>
      <c r="O159" t="s">
        <v>303</v>
      </c>
      <c r="P159">
        <f t="shared" si="2"/>
        <v>0</v>
      </c>
    </row>
    <row r="160" spans="1:16" x14ac:dyDescent="0.25">
      <c r="A160" t="s">
        <v>669</v>
      </c>
      <c r="B160">
        <v>3.3238999999999998E-2</v>
      </c>
      <c r="C160">
        <v>3.3238999999999998E-2</v>
      </c>
      <c r="D160" t="s">
        <v>303</v>
      </c>
      <c r="E160" t="s">
        <v>910</v>
      </c>
      <c r="F160" t="s">
        <v>910</v>
      </c>
      <c r="J160">
        <v>3.3238999999999998E-2</v>
      </c>
      <c r="K160">
        <v>3.3238999999999998E-2</v>
      </c>
      <c r="L160" t="s">
        <v>303</v>
      </c>
      <c r="M160">
        <v>3.3238999999999998E-2</v>
      </c>
      <c r="N160">
        <v>3.3238999999999998E-2</v>
      </c>
      <c r="O160" t="s">
        <v>303</v>
      </c>
      <c r="P160">
        <f t="shared" si="2"/>
        <v>0</v>
      </c>
    </row>
    <row r="161" spans="1:16" x14ac:dyDescent="0.25">
      <c r="A161" t="s">
        <v>669</v>
      </c>
      <c r="B161">
        <v>3.4206E-2</v>
      </c>
      <c r="C161">
        <v>3.4206E-2</v>
      </c>
      <c r="D161" t="s">
        <v>303</v>
      </c>
      <c r="E161" t="s">
        <v>910</v>
      </c>
      <c r="F161" t="s">
        <v>910</v>
      </c>
      <c r="J161">
        <v>3.4206E-2</v>
      </c>
      <c r="K161">
        <v>3.4206E-2</v>
      </c>
      <c r="L161" t="s">
        <v>303</v>
      </c>
      <c r="M161">
        <v>3.4206E-2</v>
      </c>
      <c r="N161">
        <v>3.4206E-2</v>
      </c>
      <c r="O161" t="s">
        <v>303</v>
      </c>
      <c r="P161">
        <f t="shared" si="2"/>
        <v>0</v>
      </c>
    </row>
    <row r="162" spans="1:16" x14ac:dyDescent="0.25">
      <c r="A162" t="s">
        <v>669</v>
      </c>
      <c r="B162">
        <v>3.5915000000000002E-2</v>
      </c>
      <c r="C162">
        <v>3.5915000000000002E-2</v>
      </c>
      <c r="D162" t="s">
        <v>303</v>
      </c>
      <c r="E162" t="s">
        <v>910</v>
      </c>
      <c r="F162" t="s">
        <v>910</v>
      </c>
      <c r="J162">
        <v>3.5915000000000002E-2</v>
      </c>
      <c r="K162">
        <v>3.5915000000000002E-2</v>
      </c>
      <c r="L162" t="s">
        <v>303</v>
      </c>
      <c r="M162">
        <v>3.5915000000000002E-2</v>
      </c>
      <c r="N162">
        <v>3.5915000000000002E-2</v>
      </c>
      <c r="O162" t="s">
        <v>303</v>
      </c>
      <c r="P162">
        <f t="shared" si="2"/>
        <v>0</v>
      </c>
    </row>
    <row r="163" spans="1:16" x14ac:dyDescent="0.25">
      <c r="A163" t="s">
        <v>669</v>
      </c>
      <c r="B163">
        <v>24947</v>
      </c>
      <c r="C163">
        <v>36728</v>
      </c>
      <c r="D163" t="s">
        <v>669</v>
      </c>
      <c r="E163">
        <v>8</v>
      </c>
      <c r="F163">
        <v>8</v>
      </c>
      <c r="G163" t="s">
        <v>687</v>
      </c>
      <c r="H163" t="s">
        <v>687</v>
      </c>
      <c r="I163" t="s">
        <v>927</v>
      </c>
      <c r="J163">
        <v>3.6727999999999997E-2</v>
      </c>
      <c r="K163">
        <v>2.4947E-2</v>
      </c>
      <c r="L163" t="s">
        <v>930</v>
      </c>
      <c r="M163">
        <v>36728</v>
      </c>
      <c r="N163">
        <v>24947</v>
      </c>
      <c r="P163">
        <f t="shared" si="2"/>
        <v>14</v>
      </c>
    </row>
    <row r="164" spans="1:16" x14ac:dyDescent="0.25">
      <c r="A164" t="s">
        <v>669</v>
      </c>
      <c r="B164">
        <v>25</v>
      </c>
      <c r="C164">
        <v>37</v>
      </c>
      <c r="D164" t="s">
        <v>864</v>
      </c>
      <c r="E164">
        <v>8</v>
      </c>
      <c r="F164">
        <v>8</v>
      </c>
      <c r="G164" t="s">
        <v>687</v>
      </c>
      <c r="H164" t="s">
        <v>687</v>
      </c>
      <c r="J164">
        <v>3.6999999999999998E-2</v>
      </c>
      <c r="K164">
        <v>2.5000000000000001E-2</v>
      </c>
      <c r="L164" t="s">
        <v>303</v>
      </c>
      <c r="M164">
        <v>37</v>
      </c>
      <c r="N164">
        <v>25</v>
      </c>
      <c r="O164" t="s">
        <v>862</v>
      </c>
      <c r="P164">
        <f t="shared" si="2"/>
        <v>0</v>
      </c>
    </row>
    <row r="165" spans="1:16" x14ac:dyDescent="0.25">
      <c r="A165" t="s">
        <v>669</v>
      </c>
      <c r="B165">
        <v>3.7116999999999997E-2</v>
      </c>
      <c r="C165">
        <v>3.7116999999999997E-2</v>
      </c>
      <c r="D165" t="s">
        <v>303</v>
      </c>
      <c r="E165" t="s">
        <v>910</v>
      </c>
      <c r="F165" t="s">
        <v>910</v>
      </c>
      <c r="J165">
        <v>3.7116999999999997E-2</v>
      </c>
      <c r="K165">
        <v>3.7116999999999997E-2</v>
      </c>
      <c r="L165" t="s">
        <v>303</v>
      </c>
      <c r="M165">
        <v>3.7116999999999997E-2</v>
      </c>
      <c r="N165">
        <v>3.7116999999999997E-2</v>
      </c>
      <c r="O165" t="s">
        <v>303</v>
      </c>
      <c r="P165">
        <f t="shared" si="2"/>
        <v>0</v>
      </c>
    </row>
    <row r="166" spans="1:16" x14ac:dyDescent="0.25">
      <c r="A166" t="s">
        <v>669</v>
      </c>
      <c r="B166">
        <v>3.7499999999999999E-2</v>
      </c>
      <c r="C166">
        <v>3.7499999999999999E-2</v>
      </c>
      <c r="D166" t="s">
        <v>303</v>
      </c>
      <c r="E166" t="s">
        <v>910</v>
      </c>
      <c r="F166" t="s">
        <v>910</v>
      </c>
      <c r="J166">
        <v>3.7499999999999999E-2</v>
      </c>
      <c r="K166">
        <v>3.7499999999999999E-2</v>
      </c>
      <c r="L166" t="s">
        <v>303</v>
      </c>
      <c r="M166">
        <v>3.7499999999999999E-2</v>
      </c>
      <c r="N166">
        <v>3.7499999999999999E-2</v>
      </c>
      <c r="O166" t="s">
        <v>303</v>
      </c>
      <c r="P166">
        <f t="shared" si="2"/>
        <v>0</v>
      </c>
    </row>
    <row r="167" spans="1:16" x14ac:dyDescent="0.25">
      <c r="A167" t="s">
        <v>527</v>
      </c>
      <c r="B167">
        <v>35</v>
      </c>
      <c r="C167">
        <v>39</v>
      </c>
      <c r="D167" t="s">
        <v>864</v>
      </c>
      <c r="E167">
        <v>8</v>
      </c>
      <c r="F167">
        <v>8</v>
      </c>
      <c r="G167" t="s">
        <v>687</v>
      </c>
      <c r="H167" t="s">
        <v>687</v>
      </c>
      <c r="J167">
        <v>3.9E-2</v>
      </c>
      <c r="K167">
        <v>3.5000000000000003E-2</v>
      </c>
      <c r="L167" t="s">
        <v>303</v>
      </c>
      <c r="M167">
        <v>39</v>
      </c>
      <c r="N167">
        <v>35</v>
      </c>
      <c r="O167" t="s">
        <v>862</v>
      </c>
      <c r="P167">
        <f t="shared" si="2"/>
        <v>0</v>
      </c>
    </row>
    <row r="168" spans="1:16" x14ac:dyDescent="0.25">
      <c r="A168" t="s">
        <v>669</v>
      </c>
      <c r="B168">
        <v>3.9195000000000001E-2</v>
      </c>
      <c r="C168">
        <v>3.9195000000000001E-2</v>
      </c>
      <c r="D168" t="s">
        <v>303</v>
      </c>
      <c r="E168" t="s">
        <v>910</v>
      </c>
      <c r="F168" t="s">
        <v>910</v>
      </c>
      <c r="J168">
        <v>3.9195000000000001E-2</v>
      </c>
      <c r="K168">
        <v>3.9195000000000001E-2</v>
      </c>
      <c r="L168" t="s">
        <v>303</v>
      </c>
      <c r="M168">
        <v>3.9195000000000001E-2</v>
      </c>
      <c r="N168">
        <v>3.9195000000000001E-2</v>
      </c>
      <c r="O168" t="s">
        <v>303</v>
      </c>
      <c r="P168">
        <f t="shared" si="2"/>
        <v>0</v>
      </c>
    </row>
    <row r="169" spans="1:16" x14ac:dyDescent="0.25">
      <c r="A169" t="s">
        <v>59</v>
      </c>
      <c r="B169" t="s">
        <v>669</v>
      </c>
      <c r="C169">
        <v>40</v>
      </c>
      <c r="D169" t="s">
        <v>862</v>
      </c>
      <c r="E169">
        <v>8</v>
      </c>
      <c r="F169">
        <v>5</v>
      </c>
      <c r="G169" t="s">
        <v>687</v>
      </c>
      <c r="H169" t="s">
        <v>684</v>
      </c>
      <c r="J169">
        <v>0.04</v>
      </c>
      <c r="K169">
        <v>0</v>
      </c>
      <c r="L169" t="s">
        <v>303</v>
      </c>
      <c r="M169">
        <v>40</v>
      </c>
      <c r="O169" t="s">
        <v>862</v>
      </c>
      <c r="P169">
        <f t="shared" si="2"/>
        <v>0</v>
      </c>
    </row>
    <row r="170" spans="1:16" x14ac:dyDescent="0.25">
      <c r="A170" t="s">
        <v>669</v>
      </c>
      <c r="B170" t="s">
        <v>669</v>
      </c>
      <c r="C170">
        <v>40</v>
      </c>
      <c r="D170" t="s">
        <v>862</v>
      </c>
      <c r="E170">
        <v>8</v>
      </c>
      <c r="F170">
        <v>5</v>
      </c>
      <c r="G170" t="s">
        <v>687</v>
      </c>
      <c r="H170" t="s">
        <v>684</v>
      </c>
      <c r="J170">
        <v>0.04</v>
      </c>
      <c r="K170">
        <v>0</v>
      </c>
      <c r="L170" t="s">
        <v>303</v>
      </c>
      <c r="M170">
        <v>40</v>
      </c>
      <c r="O170" t="s">
        <v>862</v>
      </c>
      <c r="P170">
        <f t="shared" si="2"/>
        <v>0</v>
      </c>
    </row>
    <row r="171" spans="1:16" x14ac:dyDescent="0.25">
      <c r="A171" t="s">
        <v>578</v>
      </c>
      <c r="B171">
        <v>3.993E-2</v>
      </c>
      <c r="C171">
        <v>4.061E-2</v>
      </c>
      <c r="D171" t="s">
        <v>669</v>
      </c>
      <c r="E171">
        <v>8</v>
      </c>
      <c r="F171">
        <v>8</v>
      </c>
      <c r="G171" t="s">
        <v>687</v>
      </c>
      <c r="H171" t="s">
        <v>687</v>
      </c>
      <c r="I171" t="s">
        <v>927</v>
      </c>
      <c r="J171">
        <v>4.061E-2</v>
      </c>
      <c r="K171">
        <v>3.993E-2</v>
      </c>
      <c r="L171" t="s">
        <v>930</v>
      </c>
      <c r="M171">
        <v>4.061E-2</v>
      </c>
      <c r="N171">
        <v>3.993E-2</v>
      </c>
      <c r="P171">
        <f t="shared" si="2"/>
        <v>14</v>
      </c>
    </row>
    <row r="172" spans="1:16" x14ac:dyDescent="0.25">
      <c r="A172" t="s">
        <v>669</v>
      </c>
      <c r="B172">
        <v>4.0913999999999999E-2</v>
      </c>
      <c r="C172">
        <v>4.0913999999999999E-2</v>
      </c>
      <c r="D172" t="s">
        <v>303</v>
      </c>
      <c r="E172" t="s">
        <v>910</v>
      </c>
      <c r="F172" t="s">
        <v>910</v>
      </c>
      <c r="J172">
        <v>4.0913999999999999E-2</v>
      </c>
      <c r="K172">
        <v>4.0913999999999999E-2</v>
      </c>
      <c r="L172" t="s">
        <v>303</v>
      </c>
      <c r="M172">
        <v>4.0913999999999999E-2</v>
      </c>
      <c r="N172">
        <v>4.0913999999999999E-2</v>
      </c>
      <c r="O172" t="s">
        <v>303</v>
      </c>
      <c r="P172">
        <f t="shared" si="2"/>
        <v>0</v>
      </c>
    </row>
    <row r="173" spans="1:16" x14ac:dyDescent="0.25">
      <c r="A173" t="s">
        <v>669</v>
      </c>
      <c r="B173">
        <v>4.3215999999999997E-2</v>
      </c>
      <c r="C173">
        <v>4.3215999999999997E-2</v>
      </c>
      <c r="D173" t="s">
        <v>303</v>
      </c>
      <c r="E173" t="s">
        <v>910</v>
      </c>
      <c r="F173" t="s">
        <v>910</v>
      </c>
      <c r="J173">
        <v>4.3215999999999997E-2</v>
      </c>
      <c r="K173">
        <v>4.3215999999999997E-2</v>
      </c>
      <c r="L173" t="s">
        <v>303</v>
      </c>
      <c r="M173">
        <v>4.3215999999999997E-2</v>
      </c>
      <c r="N173">
        <v>4.3215999999999997E-2</v>
      </c>
      <c r="O173" t="s">
        <v>303</v>
      </c>
      <c r="P173">
        <f t="shared" si="2"/>
        <v>0</v>
      </c>
    </row>
    <row r="174" spans="1:16" x14ac:dyDescent="0.25">
      <c r="A174" t="s">
        <v>91</v>
      </c>
      <c r="B174">
        <v>3.1899999999999998E-2</v>
      </c>
      <c r="C174">
        <v>4.3299999999999998E-2</v>
      </c>
      <c r="D174" t="s">
        <v>860</v>
      </c>
      <c r="E174">
        <v>8</v>
      </c>
      <c r="F174">
        <v>8</v>
      </c>
      <c r="G174" t="s">
        <v>687</v>
      </c>
      <c r="H174" t="s">
        <v>687</v>
      </c>
      <c r="J174">
        <v>4.3299999999999998E-2</v>
      </c>
      <c r="K174">
        <v>3.1899999999999998E-2</v>
      </c>
      <c r="L174" t="s">
        <v>303</v>
      </c>
      <c r="M174">
        <v>4.3299999999999998E-2</v>
      </c>
      <c r="N174">
        <v>3.1899999999999998E-2</v>
      </c>
      <c r="O174" t="s">
        <v>303</v>
      </c>
      <c r="P174">
        <f t="shared" si="2"/>
        <v>0</v>
      </c>
    </row>
    <row r="175" spans="1:16" x14ac:dyDescent="0.25">
      <c r="A175" t="s">
        <v>669</v>
      </c>
      <c r="B175">
        <v>39600</v>
      </c>
      <c r="C175">
        <v>43600</v>
      </c>
      <c r="D175" t="s">
        <v>669</v>
      </c>
      <c r="E175">
        <v>8</v>
      </c>
      <c r="F175">
        <v>8</v>
      </c>
      <c r="G175" t="s">
        <v>687</v>
      </c>
      <c r="H175" t="s">
        <v>687</v>
      </c>
      <c r="I175" t="s">
        <v>927</v>
      </c>
      <c r="J175">
        <v>4.36E-2</v>
      </c>
      <c r="K175">
        <v>3.9600000000000003E-2</v>
      </c>
      <c r="L175" t="s">
        <v>930</v>
      </c>
      <c r="M175">
        <v>43600</v>
      </c>
      <c r="N175">
        <v>39600</v>
      </c>
      <c r="P175">
        <f t="shared" si="2"/>
        <v>14</v>
      </c>
    </row>
    <row r="176" spans="1:16" x14ac:dyDescent="0.25">
      <c r="A176" t="s">
        <v>669</v>
      </c>
      <c r="B176">
        <v>4.6477999999999998E-2</v>
      </c>
      <c r="C176">
        <v>4.6477999999999998E-2</v>
      </c>
      <c r="D176" t="s">
        <v>303</v>
      </c>
      <c r="E176" t="s">
        <v>910</v>
      </c>
      <c r="F176" t="s">
        <v>910</v>
      </c>
      <c r="J176">
        <v>4.6477999999999998E-2</v>
      </c>
      <c r="K176">
        <v>4.6477999999999998E-2</v>
      </c>
      <c r="L176" t="s">
        <v>303</v>
      </c>
      <c r="M176">
        <v>4.6477999999999998E-2</v>
      </c>
      <c r="N176">
        <v>4.6477999999999998E-2</v>
      </c>
      <c r="O176" t="s">
        <v>303</v>
      </c>
      <c r="P176">
        <f t="shared" si="2"/>
        <v>0</v>
      </c>
    </row>
    <row r="177" spans="1:16" x14ac:dyDescent="0.25">
      <c r="A177" t="s">
        <v>669</v>
      </c>
      <c r="B177">
        <v>4.7995999999999997E-2</v>
      </c>
      <c r="C177">
        <v>4.7995999999999997E-2</v>
      </c>
      <c r="D177" t="s">
        <v>303</v>
      </c>
      <c r="E177" t="s">
        <v>910</v>
      </c>
      <c r="F177" t="s">
        <v>910</v>
      </c>
      <c r="J177">
        <v>4.7995999999999997E-2</v>
      </c>
      <c r="K177">
        <v>4.7995999999999997E-2</v>
      </c>
      <c r="L177" t="s">
        <v>303</v>
      </c>
      <c r="M177">
        <v>4.7995999999999997E-2</v>
      </c>
      <c r="N177">
        <v>4.7995999999999997E-2</v>
      </c>
      <c r="O177" t="s">
        <v>303</v>
      </c>
      <c r="P177">
        <f t="shared" si="2"/>
        <v>0</v>
      </c>
    </row>
    <row r="178" spans="1:16" x14ac:dyDescent="0.25">
      <c r="A178" t="s">
        <v>669</v>
      </c>
      <c r="B178">
        <v>4.8099999999999997E-2</v>
      </c>
      <c r="C178">
        <v>4.8099999999999997E-2</v>
      </c>
      <c r="D178" t="s">
        <v>303</v>
      </c>
      <c r="E178" t="s">
        <v>910</v>
      </c>
      <c r="F178" t="s">
        <v>910</v>
      </c>
      <c r="J178">
        <v>4.8099999999999997E-2</v>
      </c>
      <c r="K178">
        <v>4.8099999999999997E-2</v>
      </c>
      <c r="L178" t="s">
        <v>303</v>
      </c>
      <c r="M178">
        <v>4.8099999999999997E-2</v>
      </c>
      <c r="N178">
        <v>4.8099999999999997E-2</v>
      </c>
      <c r="O178" t="s">
        <v>303</v>
      </c>
      <c r="P178">
        <f t="shared" si="2"/>
        <v>0</v>
      </c>
    </row>
    <row r="179" spans="1:16" x14ac:dyDescent="0.25">
      <c r="A179" t="s">
        <v>669</v>
      </c>
      <c r="B179">
        <v>0.05</v>
      </c>
      <c r="C179">
        <v>0.05</v>
      </c>
      <c r="D179" t="s">
        <v>860</v>
      </c>
      <c r="E179" t="s">
        <v>910</v>
      </c>
      <c r="F179" t="s">
        <v>910</v>
      </c>
      <c r="J179">
        <v>0.05</v>
      </c>
      <c r="K179">
        <v>0.05</v>
      </c>
      <c r="L179" t="s">
        <v>303</v>
      </c>
      <c r="M179">
        <v>0.05</v>
      </c>
      <c r="N179">
        <v>0.05</v>
      </c>
      <c r="O179" t="s">
        <v>303</v>
      </c>
      <c r="P179">
        <f t="shared" si="2"/>
        <v>0</v>
      </c>
    </row>
    <row r="180" spans="1:16" x14ac:dyDescent="0.25">
      <c r="A180" t="s">
        <v>669</v>
      </c>
      <c r="B180">
        <v>7000</v>
      </c>
      <c r="C180">
        <v>50000</v>
      </c>
      <c r="D180" t="s">
        <v>857</v>
      </c>
      <c r="E180" t="s">
        <v>910</v>
      </c>
      <c r="F180" t="s">
        <v>910</v>
      </c>
      <c r="J180">
        <v>0.05</v>
      </c>
      <c r="K180">
        <v>7.0000000000000001E-3</v>
      </c>
      <c r="L180" t="s">
        <v>303</v>
      </c>
      <c r="M180">
        <v>50000</v>
      </c>
      <c r="N180">
        <v>7000</v>
      </c>
      <c r="O180" t="s">
        <v>303</v>
      </c>
      <c r="P180">
        <f t="shared" si="2"/>
        <v>0</v>
      </c>
    </row>
    <row r="181" spans="1:16" x14ac:dyDescent="0.25">
      <c r="A181" t="s">
        <v>669</v>
      </c>
      <c r="B181">
        <v>5.0869999999999999E-2</v>
      </c>
      <c r="C181">
        <v>5.0869999999999999E-2</v>
      </c>
      <c r="D181" t="s">
        <v>303</v>
      </c>
      <c r="E181" t="s">
        <v>910</v>
      </c>
      <c r="F181" t="s">
        <v>910</v>
      </c>
      <c r="J181">
        <v>5.0869999999999999E-2</v>
      </c>
      <c r="K181">
        <v>5.0869999999999999E-2</v>
      </c>
      <c r="L181" t="s">
        <v>303</v>
      </c>
      <c r="M181">
        <v>5.0869999999999999E-2</v>
      </c>
      <c r="N181">
        <v>5.0869999999999999E-2</v>
      </c>
      <c r="O181" t="s">
        <v>303</v>
      </c>
      <c r="P181">
        <f t="shared" si="2"/>
        <v>0</v>
      </c>
    </row>
    <row r="182" spans="1:16" x14ac:dyDescent="0.25">
      <c r="A182" t="s">
        <v>669</v>
      </c>
      <c r="B182" t="s">
        <v>669</v>
      </c>
      <c r="C182">
        <v>51000</v>
      </c>
      <c r="D182" t="s">
        <v>857</v>
      </c>
      <c r="E182" t="s">
        <v>910</v>
      </c>
      <c r="F182" t="s">
        <v>910</v>
      </c>
      <c r="J182">
        <v>5.0999999999999997E-2</v>
      </c>
      <c r="K182">
        <v>0</v>
      </c>
      <c r="L182" t="s">
        <v>303</v>
      </c>
      <c r="M182">
        <v>51000</v>
      </c>
      <c r="O182" t="s">
        <v>303</v>
      </c>
      <c r="P182">
        <f t="shared" si="2"/>
        <v>0</v>
      </c>
    </row>
    <row r="183" spans="1:16" x14ac:dyDescent="0.25">
      <c r="A183" t="s">
        <v>669</v>
      </c>
      <c r="B183">
        <v>5.11E-2</v>
      </c>
      <c r="C183">
        <v>5.11E-2</v>
      </c>
      <c r="D183" t="s">
        <v>303</v>
      </c>
      <c r="E183" t="s">
        <v>910</v>
      </c>
      <c r="F183" t="s">
        <v>910</v>
      </c>
      <c r="J183">
        <v>5.11E-2</v>
      </c>
      <c r="K183">
        <v>5.11E-2</v>
      </c>
      <c r="L183" t="s">
        <v>303</v>
      </c>
      <c r="M183">
        <v>5.11E-2</v>
      </c>
      <c r="N183">
        <v>5.11E-2</v>
      </c>
      <c r="O183" t="s">
        <v>303</v>
      </c>
      <c r="P183">
        <f t="shared" si="2"/>
        <v>0</v>
      </c>
    </row>
    <row r="184" spans="1:16" x14ac:dyDescent="0.25">
      <c r="A184" t="s">
        <v>527</v>
      </c>
      <c r="B184">
        <v>51.345039999999997</v>
      </c>
      <c r="C184">
        <v>51.345039999999997</v>
      </c>
      <c r="D184" t="s">
        <v>887</v>
      </c>
      <c r="E184">
        <v>8</v>
      </c>
      <c r="F184">
        <v>8</v>
      </c>
      <c r="G184" t="s">
        <v>687</v>
      </c>
      <c r="H184" t="s">
        <v>687</v>
      </c>
      <c r="J184">
        <v>5.1345039999999995E-2</v>
      </c>
      <c r="K184">
        <v>5.1345039999999995E-2</v>
      </c>
      <c r="L184" t="s">
        <v>303</v>
      </c>
      <c r="M184">
        <v>51.345039999999997</v>
      </c>
      <c r="N184">
        <v>51.345039999999997</v>
      </c>
      <c r="O184" t="s">
        <v>862</v>
      </c>
      <c r="P184">
        <f t="shared" si="2"/>
        <v>0</v>
      </c>
    </row>
    <row r="185" spans="1:16" x14ac:dyDescent="0.25">
      <c r="A185" t="s">
        <v>527</v>
      </c>
      <c r="B185">
        <v>52.88355</v>
      </c>
      <c r="C185">
        <v>52.88355</v>
      </c>
      <c r="D185" t="s">
        <v>887</v>
      </c>
      <c r="E185">
        <v>8</v>
      </c>
      <c r="F185">
        <v>8</v>
      </c>
      <c r="G185" t="s">
        <v>687</v>
      </c>
      <c r="H185" t="s">
        <v>687</v>
      </c>
      <c r="J185">
        <v>5.2883550000000001E-2</v>
      </c>
      <c r="K185">
        <v>5.2883550000000001E-2</v>
      </c>
      <c r="L185" t="s">
        <v>303</v>
      </c>
      <c r="M185">
        <v>52.88355</v>
      </c>
      <c r="N185">
        <v>52.88355</v>
      </c>
      <c r="O185" t="s">
        <v>862</v>
      </c>
      <c r="P185">
        <f t="shared" si="2"/>
        <v>0</v>
      </c>
    </row>
    <row r="186" spans="1:16" x14ac:dyDescent="0.25">
      <c r="A186" t="s">
        <v>527</v>
      </c>
      <c r="B186">
        <v>49</v>
      </c>
      <c r="C186">
        <v>53</v>
      </c>
      <c r="D186" t="s">
        <v>864</v>
      </c>
      <c r="E186">
        <v>8</v>
      </c>
      <c r="F186">
        <v>8</v>
      </c>
      <c r="G186" t="s">
        <v>687</v>
      </c>
      <c r="H186" t="s">
        <v>687</v>
      </c>
      <c r="J186">
        <v>5.2999999999999999E-2</v>
      </c>
      <c r="K186">
        <v>4.9000000000000002E-2</v>
      </c>
      <c r="L186" t="s">
        <v>303</v>
      </c>
      <c r="M186">
        <v>53</v>
      </c>
      <c r="N186">
        <v>49</v>
      </c>
      <c r="O186" t="s">
        <v>862</v>
      </c>
      <c r="P186">
        <f t="shared" si="2"/>
        <v>0</v>
      </c>
    </row>
    <row r="187" spans="1:16" x14ac:dyDescent="0.25">
      <c r="A187" t="s">
        <v>669</v>
      </c>
      <c r="B187">
        <v>5.4519999999999999E-2</v>
      </c>
      <c r="C187">
        <v>5.4519999999999999E-2</v>
      </c>
      <c r="D187" t="s">
        <v>303</v>
      </c>
      <c r="E187" t="s">
        <v>910</v>
      </c>
      <c r="F187" t="s">
        <v>910</v>
      </c>
      <c r="J187">
        <v>5.4519999999999999E-2</v>
      </c>
      <c r="K187">
        <v>5.4519999999999999E-2</v>
      </c>
      <c r="L187" t="s">
        <v>303</v>
      </c>
      <c r="M187">
        <v>5.4519999999999999E-2</v>
      </c>
      <c r="N187">
        <v>5.4519999999999999E-2</v>
      </c>
      <c r="O187" t="s">
        <v>303</v>
      </c>
      <c r="P187">
        <f t="shared" si="2"/>
        <v>0</v>
      </c>
    </row>
    <row r="188" spans="1:16" x14ac:dyDescent="0.25">
      <c r="A188" t="s">
        <v>669</v>
      </c>
      <c r="B188">
        <v>48520</v>
      </c>
      <c r="C188">
        <v>56045</v>
      </c>
      <c r="D188" t="s">
        <v>669</v>
      </c>
      <c r="E188">
        <v>8</v>
      </c>
      <c r="F188">
        <v>8</v>
      </c>
      <c r="G188" t="s">
        <v>687</v>
      </c>
      <c r="H188" t="s">
        <v>687</v>
      </c>
      <c r="I188" t="s">
        <v>927</v>
      </c>
      <c r="J188">
        <v>5.6044999999999998E-2</v>
      </c>
      <c r="K188">
        <v>4.8520000000000001E-2</v>
      </c>
      <c r="L188" t="s">
        <v>930</v>
      </c>
      <c r="M188">
        <v>56045</v>
      </c>
      <c r="N188">
        <v>48520</v>
      </c>
      <c r="P188">
        <f t="shared" si="2"/>
        <v>14</v>
      </c>
    </row>
    <row r="189" spans="1:16" x14ac:dyDescent="0.25">
      <c r="A189" t="s">
        <v>669</v>
      </c>
      <c r="B189">
        <v>5.6231999999999997E-2</v>
      </c>
      <c r="C189">
        <v>5.6231999999999997E-2</v>
      </c>
      <c r="D189" t="s">
        <v>303</v>
      </c>
      <c r="E189" t="s">
        <v>910</v>
      </c>
      <c r="F189" t="s">
        <v>910</v>
      </c>
      <c r="J189">
        <v>5.6231999999999997E-2</v>
      </c>
      <c r="K189">
        <v>5.6231999999999997E-2</v>
      </c>
      <c r="L189" t="s">
        <v>303</v>
      </c>
      <c r="M189">
        <v>5.6231999999999997E-2</v>
      </c>
      <c r="N189">
        <v>5.6231999999999997E-2</v>
      </c>
      <c r="O189" t="s">
        <v>303</v>
      </c>
      <c r="P189">
        <f t="shared" si="2"/>
        <v>0</v>
      </c>
    </row>
    <row r="190" spans="1:16" x14ac:dyDescent="0.25">
      <c r="A190" t="s">
        <v>669</v>
      </c>
      <c r="B190">
        <v>5.6899999999999999E-2</v>
      </c>
      <c r="C190">
        <v>5.6899999999999999E-2</v>
      </c>
      <c r="D190" t="s">
        <v>303</v>
      </c>
      <c r="E190" t="s">
        <v>910</v>
      </c>
      <c r="F190" t="s">
        <v>910</v>
      </c>
      <c r="J190">
        <v>5.6899999999999999E-2</v>
      </c>
      <c r="K190">
        <v>5.6899999999999999E-2</v>
      </c>
      <c r="L190" t="s">
        <v>303</v>
      </c>
      <c r="M190">
        <v>5.6899999999999999E-2</v>
      </c>
      <c r="N190">
        <v>5.6899999999999999E-2</v>
      </c>
      <c r="O190" t="s">
        <v>303</v>
      </c>
      <c r="P190">
        <f t="shared" si="2"/>
        <v>0</v>
      </c>
    </row>
    <row r="191" spans="1:16" x14ac:dyDescent="0.25">
      <c r="A191" t="s">
        <v>669</v>
      </c>
      <c r="B191">
        <v>49559</v>
      </c>
      <c r="C191">
        <v>57232</v>
      </c>
      <c r="D191" t="s">
        <v>669</v>
      </c>
      <c r="E191">
        <v>8</v>
      </c>
      <c r="F191">
        <v>8</v>
      </c>
      <c r="G191" t="s">
        <v>687</v>
      </c>
      <c r="H191" t="s">
        <v>687</v>
      </c>
      <c r="I191" t="s">
        <v>927</v>
      </c>
      <c r="J191">
        <v>5.7231999999999998E-2</v>
      </c>
      <c r="K191">
        <v>4.9558999999999999E-2</v>
      </c>
      <c r="L191" t="s">
        <v>930</v>
      </c>
      <c r="M191">
        <v>57232</v>
      </c>
      <c r="N191">
        <v>49559</v>
      </c>
      <c r="P191">
        <f t="shared" si="2"/>
        <v>14</v>
      </c>
    </row>
    <row r="192" spans="1:16" x14ac:dyDescent="0.25">
      <c r="A192" t="s">
        <v>669</v>
      </c>
      <c r="B192">
        <v>5.7299999999999997E-2</v>
      </c>
      <c r="C192">
        <v>5.7299999999999997E-2</v>
      </c>
      <c r="D192" t="s">
        <v>303</v>
      </c>
      <c r="E192" t="s">
        <v>910</v>
      </c>
      <c r="F192" t="s">
        <v>910</v>
      </c>
      <c r="J192">
        <v>5.7299999999999997E-2</v>
      </c>
      <c r="K192">
        <v>5.7299999999999997E-2</v>
      </c>
      <c r="L192" t="s">
        <v>303</v>
      </c>
      <c r="M192">
        <v>5.7299999999999997E-2</v>
      </c>
      <c r="N192">
        <v>5.7299999999999997E-2</v>
      </c>
      <c r="O192" t="s">
        <v>303</v>
      </c>
      <c r="P192">
        <f t="shared" si="2"/>
        <v>0</v>
      </c>
    </row>
    <row r="193" spans="1:16" x14ac:dyDescent="0.25">
      <c r="A193" t="s">
        <v>669</v>
      </c>
      <c r="B193">
        <v>5.9107E-2</v>
      </c>
      <c r="C193">
        <v>5.9107E-2</v>
      </c>
      <c r="D193" t="s">
        <v>303</v>
      </c>
      <c r="E193" t="s">
        <v>910</v>
      </c>
      <c r="F193" t="s">
        <v>910</v>
      </c>
      <c r="J193">
        <v>5.9107E-2</v>
      </c>
      <c r="K193">
        <v>5.9107E-2</v>
      </c>
      <c r="L193" t="s">
        <v>303</v>
      </c>
      <c r="M193">
        <v>5.9107E-2</v>
      </c>
      <c r="N193">
        <v>5.9107E-2</v>
      </c>
      <c r="O193" t="s">
        <v>303</v>
      </c>
      <c r="P193">
        <f t="shared" si="2"/>
        <v>0</v>
      </c>
    </row>
    <row r="194" spans="1:16" x14ac:dyDescent="0.25">
      <c r="A194" t="s">
        <v>669</v>
      </c>
      <c r="B194">
        <v>0.06</v>
      </c>
      <c r="C194">
        <v>0.06</v>
      </c>
      <c r="D194" t="s">
        <v>303</v>
      </c>
      <c r="E194" t="s">
        <v>910</v>
      </c>
      <c r="F194" t="s">
        <v>910</v>
      </c>
      <c r="J194">
        <v>0.06</v>
      </c>
      <c r="K194">
        <v>0.06</v>
      </c>
      <c r="L194" t="s">
        <v>303</v>
      </c>
      <c r="M194">
        <v>0.06</v>
      </c>
      <c r="N194">
        <v>0.06</v>
      </c>
      <c r="O194" t="s">
        <v>303</v>
      </c>
      <c r="P194">
        <f t="shared" si="2"/>
        <v>0</v>
      </c>
    </row>
    <row r="195" spans="1:16" x14ac:dyDescent="0.25">
      <c r="A195" t="s">
        <v>527</v>
      </c>
      <c r="B195">
        <v>50000</v>
      </c>
      <c r="C195">
        <v>60000</v>
      </c>
      <c r="D195" t="s">
        <v>857</v>
      </c>
      <c r="E195">
        <v>8</v>
      </c>
      <c r="F195">
        <v>8</v>
      </c>
      <c r="G195" t="s">
        <v>687</v>
      </c>
      <c r="H195" t="s">
        <v>687</v>
      </c>
      <c r="J195">
        <v>0.06</v>
      </c>
      <c r="K195">
        <v>0.05</v>
      </c>
      <c r="L195" t="s">
        <v>303</v>
      </c>
      <c r="M195">
        <v>60000</v>
      </c>
      <c r="N195">
        <v>50000</v>
      </c>
      <c r="O195" t="s">
        <v>303</v>
      </c>
      <c r="P195">
        <f t="shared" ref="P195:P258" si="3">LEN(I195)</f>
        <v>0</v>
      </c>
    </row>
    <row r="196" spans="1:16" x14ac:dyDescent="0.25">
      <c r="A196" t="s">
        <v>669</v>
      </c>
      <c r="B196">
        <v>6.0818999999999998E-2</v>
      </c>
      <c r="C196">
        <v>6.0818999999999998E-2</v>
      </c>
      <c r="D196" t="s">
        <v>303</v>
      </c>
      <c r="E196" t="s">
        <v>910</v>
      </c>
      <c r="F196" t="s">
        <v>910</v>
      </c>
      <c r="J196">
        <v>6.0818999999999998E-2</v>
      </c>
      <c r="K196">
        <v>6.0818999999999998E-2</v>
      </c>
      <c r="L196" t="s">
        <v>303</v>
      </c>
      <c r="M196">
        <v>6.0818999999999998E-2</v>
      </c>
      <c r="N196">
        <v>6.0818999999999998E-2</v>
      </c>
      <c r="O196" t="s">
        <v>303</v>
      </c>
      <c r="P196">
        <f t="shared" si="3"/>
        <v>0</v>
      </c>
    </row>
    <row r="197" spans="1:16" x14ac:dyDescent="0.25">
      <c r="A197" t="s">
        <v>669</v>
      </c>
      <c r="B197">
        <v>52439</v>
      </c>
      <c r="C197">
        <v>62472</v>
      </c>
      <c r="D197" t="s">
        <v>669</v>
      </c>
      <c r="E197">
        <v>8</v>
      </c>
      <c r="F197">
        <v>8</v>
      </c>
      <c r="G197" t="s">
        <v>687</v>
      </c>
      <c r="H197" t="s">
        <v>687</v>
      </c>
      <c r="I197" t="s">
        <v>927</v>
      </c>
      <c r="J197">
        <v>6.2472E-2</v>
      </c>
      <c r="K197">
        <v>5.2439E-2</v>
      </c>
      <c r="L197" t="s">
        <v>930</v>
      </c>
      <c r="M197">
        <v>62472</v>
      </c>
      <c r="N197">
        <v>52439</v>
      </c>
      <c r="P197">
        <f t="shared" si="3"/>
        <v>14</v>
      </c>
    </row>
    <row r="198" spans="1:16" x14ac:dyDescent="0.25">
      <c r="A198" t="s">
        <v>669</v>
      </c>
      <c r="B198">
        <v>6.25E-2</v>
      </c>
      <c r="C198">
        <v>6.25E-2</v>
      </c>
      <c r="D198" t="s">
        <v>303</v>
      </c>
      <c r="E198" t="s">
        <v>910</v>
      </c>
      <c r="F198" t="s">
        <v>910</v>
      </c>
      <c r="J198">
        <v>6.25E-2</v>
      </c>
      <c r="K198">
        <v>6.25E-2</v>
      </c>
      <c r="L198" t="s">
        <v>303</v>
      </c>
      <c r="M198">
        <v>6.25E-2</v>
      </c>
      <c r="N198">
        <v>6.25E-2</v>
      </c>
      <c r="O198" t="s">
        <v>303</v>
      </c>
      <c r="P198">
        <f t="shared" si="3"/>
        <v>0</v>
      </c>
    </row>
    <row r="199" spans="1:16" x14ac:dyDescent="0.25">
      <c r="A199" t="s">
        <v>533</v>
      </c>
      <c r="B199">
        <v>0</v>
      </c>
      <c r="C199">
        <v>63000</v>
      </c>
      <c r="D199" t="s">
        <v>857</v>
      </c>
      <c r="E199">
        <v>8</v>
      </c>
      <c r="F199">
        <v>4</v>
      </c>
      <c r="G199" t="s">
        <v>687</v>
      </c>
      <c r="H199" t="s">
        <v>701</v>
      </c>
      <c r="J199">
        <v>6.3E-2</v>
      </c>
      <c r="K199">
        <v>0</v>
      </c>
      <c r="L199" t="s">
        <v>303</v>
      </c>
      <c r="M199">
        <v>63000</v>
      </c>
      <c r="N199">
        <v>0</v>
      </c>
      <c r="O199" t="s">
        <v>303</v>
      </c>
      <c r="P199">
        <f t="shared" si="3"/>
        <v>0</v>
      </c>
    </row>
    <row r="200" spans="1:16" x14ac:dyDescent="0.25">
      <c r="A200" t="s">
        <v>669</v>
      </c>
      <c r="B200">
        <v>6.3822000000000004E-2</v>
      </c>
      <c r="C200">
        <v>6.3822000000000004E-2</v>
      </c>
      <c r="D200" t="s">
        <v>303</v>
      </c>
      <c r="E200" t="s">
        <v>910</v>
      </c>
      <c r="F200" t="s">
        <v>910</v>
      </c>
      <c r="J200">
        <v>6.3822000000000004E-2</v>
      </c>
      <c r="K200">
        <v>6.3822000000000004E-2</v>
      </c>
      <c r="L200" t="s">
        <v>303</v>
      </c>
      <c r="M200">
        <v>6.3822000000000004E-2</v>
      </c>
      <c r="N200">
        <v>6.3822000000000004E-2</v>
      </c>
      <c r="O200" t="s">
        <v>303</v>
      </c>
      <c r="P200">
        <f t="shared" si="3"/>
        <v>0</v>
      </c>
    </row>
    <row r="201" spans="1:16" x14ac:dyDescent="0.25">
      <c r="A201" t="s">
        <v>527</v>
      </c>
      <c r="B201" t="s">
        <v>669</v>
      </c>
      <c r="C201">
        <v>65</v>
      </c>
      <c r="D201" t="s">
        <v>862</v>
      </c>
      <c r="E201">
        <v>8</v>
      </c>
      <c r="F201">
        <v>5</v>
      </c>
      <c r="G201" t="s">
        <v>687</v>
      </c>
      <c r="H201" t="s">
        <v>684</v>
      </c>
      <c r="J201">
        <v>6.5000000000000002E-2</v>
      </c>
      <c r="K201">
        <v>0</v>
      </c>
      <c r="L201" t="s">
        <v>303</v>
      </c>
      <c r="M201">
        <v>65</v>
      </c>
      <c r="O201" t="s">
        <v>862</v>
      </c>
      <c r="P201">
        <f t="shared" si="3"/>
        <v>0</v>
      </c>
    </row>
    <row r="202" spans="1:16" x14ac:dyDescent="0.25">
      <c r="A202" t="s">
        <v>669</v>
      </c>
      <c r="B202" t="s">
        <v>669</v>
      </c>
      <c r="C202">
        <v>65</v>
      </c>
      <c r="D202" t="s">
        <v>862</v>
      </c>
      <c r="E202">
        <v>8</v>
      </c>
      <c r="F202">
        <v>5</v>
      </c>
      <c r="G202" t="s">
        <v>687</v>
      </c>
      <c r="H202" t="s">
        <v>684</v>
      </c>
      <c r="J202">
        <v>6.5000000000000002E-2</v>
      </c>
      <c r="K202">
        <v>0</v>
      </c>
      <c r="L202" t="s">
        <v>303</v>
      </c>
      <c r="M202">
        <v>65</v>
      </c>
      <c r="O202" t="s">
        <v>862</v>
      </c>
      <c r="P202">
        <f t="shared" si="3"/>
        <v>0</v>
      </c>
    </row>
    <row r="203" spans="1:16" x14ac:dyDescent="0.25">
      <c r="A203" t="s">
        <v>669</v>
      </c>
      <c r="B203">
        <v>6.6988000000000006E-2</v>
      </c>
      <c r="C203">
        <v>6.6988000000000006E-2</v>
      </c>
      <c r="D203" t="s">
        <v>303</v>
      </c>
      <c r="E203" t="s">
        <v>910</v>
      </c>
      <c r="F203" t="s">
        <v>910</v>
      </c>
      <c r="J203">
        <v>6.6988000000000006E-2</v>
      </c>
      <c r="K203">
        <v>6.6988000000000006E-2</v>
      </c>
      <c r="L203" t="s">
        <v>303</v>
      </c>
      <c r="M203">
        <v>6.6988000000000006E-2</v>
      </c>
      <c r="N203">
        <v>6.6988000000000006E-2</v>
      </c>
      <c r="O203" t="s">
        <v>303</v>
      </c>
      <c r="P203">
        <f t="shared" si="3"/>
        <v>0</v>
      </c>
    </row>
    <row r="204" spans="1:16" x14ac:dyDescent="0.25">
      <c r="A204" t="s">
        <v>669</v>
      </c>
      <c r="B204">
        <v>26.6</v>
      </c>
      <c r="C204">
        <v>67.2</v>
      </c>
      <c r="D204" t="s">
        <v>870</v>
      </c>
      <c r="E204">
        <v>8</v>
      </c>
      <c r="F204">
        <v>8</v>
      </c>
      <c r="G204" t="s">
        <v>687</v>
      </c>
      <c r="H204" t="s">
        <v>687</v>
      </c>
      <c r="J204">
        <v>6.720000000000001E-2</v>
      </c>
      <c r="K204">
        <v>2.6600000000000002E-2</v>
      </c>
      <c r="L204" t="s">
        <v>303</v>
      </c>
      <c r="M204">
        <v>67.2</v>
      </c>
      <c r="N204">
        <v>26.6</v>
      </c>
      <c r="O204" t="s">
        <v>862</v>
      </c>
      <c r="P204">
        <f t="shared" si="3"/>
        <v>0</v>
      </c>
    </row>
    <row r="205" spans="1:16" x14ac:dyDescent="0.25">
      <c r="A205" t="s">
        <v>669</v>
      </c>
      <c r="B205">
        <v>6.7900000000000002E-2</v>
      </c>
      <c r="C205">
        <v>6.7900000000000002E-2</v>
      </c>
      <c r="D205" t="s">
        <v>303</v>
      </c>
      <c r="E205" t="s">
        <v>910</v>
      </c>
      <c r="F205" t="s">
        <v>910</v>
      </c>
      <c r="J205">
        <v>6.7900000000000002E-2</v>
      </c>
      <c r="K205">
        <v>6.7900000000000002E-2</v>
      </c>
      <c r="L205" t="s">
        <v>303</v>
      </c>
      <c r="M205">
        <v>6.7900000000000002E-2</v>
      </c>
      <c r="N205">
        <v>6.7900000000000002E-2</v>
      </c>
      <c r="O205" t="s">
        <v>303</v>
      </c>
      <c r="P205">
        <f t="shared" si="3"/>
        <v>0</v>
      </c>
    </row>
    <row r="206" spans="1:16" x14ac:dyDescent="0.25">
      <c r="A206" t="s">
        <v>580</v>
      </c>
      <c r="B206" t="s">
        <v>669</v>
      </c>
      <c r="C206">
        <v>69</v>
      </c>
      <c r="D206" t="s">
        <v>885</v>
      </c>
      <c r="E206">
        <v>8</v>
      </c>
      <c r="F206">
        <v>5</v>
      </c>
      <c r="G206" t="s">
        <v>687</v>
      </c>
      <c r="H206" t="s">
        <v>684</v>
      </c>
      <c r="J206">
        <v>6.9000000000000006E-2</v>
      </c>
      <c r="K206">
        <v>0</v>
      </c>
      <c r="L206" t="s">
        <v>303</v>
      </c>
      <c r="M206">
        <v>69</v>
      </c>
      <c r="O206" t="s">
        <v>862</v>
      </c>
      <c r="P206">
        <f t="shared" si="3"/>
        <v>0</v>
      </c>
    </row>
    <row r="207" spans="1:16" x14ac:dyDescent="0.25">
      <c r="A207" t="s">
        <v>59</v>
      </c>
      <c r="B207">
        <v>20</v>
      </c>
      <c r="C207">
        <v>70</v>
      </c>
      <c r="D207" t="s">
        <v>862</v>
      </c>
      <c r="E207">
        <v>8</v>
      </c>
      <c r="F207">
        <v>8</v>
      </c>
      <c r="G207" t="s">
        <v>687</v>
      </c>
      <c r="H207" t="s">
        <v>687</v>
      </c>
      <c r="J207">
        <v>7.0000000000000007E-2</v>
      </c>
      <c r="K207">
        <v>0.02</v>
      </c>
      <c r="L207" t="s">
        <v>303</v>
      </c>
      <c r="M207">
        <v>70</v>
      </c>
      <c r="N207">
        <v>20</v>
      </c>
      <c r="O207" t="s">
        <v>862</v>
      </c>
      <c r="P207">
        <f t="shared" si="3"/>
        <v>0</v>
      </c>
    </row>
    <row r="208" spans="1:16" x14ac:dyDescent="0.25">
      <c r="A208" t="s">
        <v>669</v>
      </c>
      <c r="B208">
        <v>40</v>
      </c>
      <c r="C208">
        <v>70</v>
      </c>
      <c r="D208" t="s">
        <v>862</v>
      </c>
      <c r="E208">
        <v>8</v>
      </c>
      <c r="F208">
        <v>8</v>
      </c>
      <c r="G208" t="s">
        <v>687</v>
      </c>
      <c r="H208" t="s">
        <v>687</v>
      </c>
      <c r="J208">
        <v>7.0000000000000007E-2</v>
      </c>
      <c r="K208">
        <v>0.04</v>
      </c>
      <c r="L208" t="s">
        <v>303</v>
      </c>
      <c r="M208">
        <v>70</v>
      </c>
      <c r="N208">
        <v>40</v>
      </c>
      <c r="O208" t="s">
        <v>862</v>
      </c>
      <c r="P208">
        <f t="shared" si="3"/>
        <v>0</v>
      </c>
    </row>
    <row r="209" spans="1:16" x14ac:dyDescent="0.25">
      <c r="A209" t="s">
        <v>580</v>
      </c>
      <c r="B209" t="s">
        <v>669</v>
      </c>
      <c r="C209">
        <v>70</v>
      </c>
      <c r="D209" t="s">
        <v>885</v>
      </c>
      <c r="E209">
        <v>8</v>
      </c>
      <c r="F209">
        <v>5</v>
      </c>
      <c r="G209" t="s">
        <v>687</v>
      </c>
      <c r="H209" t="s">
        <v>684</v>
      </c>
      <c r="J209">
        <v>7.0000000000000007E-2</v>
      </c>
      <c r="K209">
        <v>0</v>
      </c>
      <c r="L209" t="s">
        <v>303</v>
      </c>
      <c r="M209">
        <v>70</v>
      </c>
      <c r="O209" t="s">
        <v>862</v>
      </c>
      <c r="P209">
        <f t="shared" si="3"/>
        <v>0</v>
      </c>
    </row>
    <row r="210" spans="1:16" x14ac:dyDescent="0.25">
      <c r="A210" t="s">
        <v>533</v>
      </c>
      <c r="B210">
        <v>0</v>
      </c>
      <c r="C210">
        <v>70000</v>
      </c>
      <c r="D210" t="s">
        <v>857</v>
      </c>
      <c r="E210">
        <v>8</v>
      </c>
      <c r="F210">
        <v>4</v>
      </c>
      <c r="G210" t="s">
        <v>687</v>
      </c>
      <c r="H210" t="s">
        <v>701</v>
      </c>
      <c r="J210">
        <v>7.0000000000000007E-2</v>
      </c>
      <c r="K210">
        <v>0</v>
      </c>
      <c r="L210" t="s">
        <v>303</v>
      </c>
      <c r="M210">
        <v>70000</v>
      </c>
      <c r="N210">
        <v>0</v>
      </c>
      <c r="O210" t="s">
        <v>303</v>
      </c>
      <c r="P210">
        <f t="shared" si="3"/>
        <v>0</v>
      </c>
    </row>
    <row r="211" spans="1:16" x14ac:dyDescent="0.25">
      <c r="A211" t="s">
        <v>669</v>
      </c>
      <c r="B211">
        <v>7.0360000000000006E-2</v>
      </c>
      <c r="C211">
        <v>7.0360000000000006E-2</v>
      </c>
      <c r="D211" t="s">
        <v>303</v>
      </c>
      <c r="E211" t="s">
        <v>910</v>
      </c>
      <c r="F211" t="s">
        <v>910</v>
      </c>
      <c r="J211">
        <v>7.0360000000000006E-2</v>
      </c>
      <c r="K211">
        <v>7.0360000000000006E-2</v>
      </c>
      <c r="L211" t="s">
        <v>303</v>
      </c>
      <c r="M211">
        <v>7.0360000000000006E-2</v>
      </c>
      <c r="N211">
        <v>7.0360000000000006E-2</v>
      </c>
      <c r="O211" t="s">
        <v>303</v>
      </c>
      <c r="P211">
        <f t="shared" si="3"/>
        <v>0</v>
      </c>
    </row>
    <row r="212" spans="1:16" x14ac:dyDescent="0.25">
      <c r="A212" t="s">
        <v>669</v>
      </c>
      <c r="B212">
        <v>7.1999999999999995E-2</v>
      </c>
      <c r="C212">
        <v>7.1999999999999995E-2</v>
      </c>
      <c r="D212" t="s">
        <v>303</v>
      </c>
      <c r="E212" t="s">
        <v>910</v>
      </c>
      <c r="F212" t="s">
        <v>910</v>
      </c>
      <c r="J212">
        <v>7.1999999999999995E-2</v>
      </c>
      <c r="K212">
        <v>7.1999999999999995E-2</v>
      </c>
      <c r="L212" t="s">
        <v>303</v>
      </c>
      <c r="M212">
        <v>7.1999999999999995E-2</v>
      </c>
      <c r="N212">
        <v>7.1999999999999995E-2</v>
      </c>
      <c r="O212" t="s">
        <v>303</v>
      </c>
      <c r="P212">
        <f t="shared" si="3"/>
        <v>0</v>
      </c>
    </row>
    <row r="213" spans="1:16" x14ac:dyDescent="0.25">
      <c r="A213" t="s">
        <v>533</v>
      </c>
      <c r="B213">
        <v>0</v>
      </c>
      <c r="C213">
        <v>72000</v>
      </c>
      <c r="D213" t="s">
        <v>857</v>
      </c>
      <c r="E213">
        <v>8</v>
      </c>
      <c r="F213">
        <v>4</v>
      </c>
      <c r="G213" t="s">
        <v>687</v>
      </c>
      <c r="H213" t="s">
        <v>701</v>
      </c>
      <c r="J213">
        <v>7.1999999999999995E-2</v>
      </c>
      <c r="K213">
        <v>0</v>
      </c>
      <c r="L213" t="s">
        <v>303</v>
      </c>
      <c r="M213">
        <v>72000</v>
      </c>
      <c r="N213">
        <v>0</v>
      </c>
      <c r="O213" t="s">
        <v>303</v>
      </c>
      <c r="P213">
        <f t="shared" si="3"/>
        <v>0</v>
      </c>
    </row>
    <row r="214" spans="1:16" x14ac:dyDescent="0.25">
      <c r="A214" t="s">
        <v>669</v>
      </c>
      <c r="B214">
        <v>7.2595999999999994E-2</v>
      </c>
      <c r="C214">
        <v>7.2595999999999994E-2</v>
      </c>
      <c r="D214" t="s">
        <v>303</v>
      </c>
      <c r="E214" t="s">
        <v>910</v>
      </c>
      <c r="F214" t="s">
        <v>910</v>
      </c>
      <c r="J214">
        <v>7.2595999999999994E-2</v>
      </c>
      <c r="K214">
        <v>7.2595999999999994E-2</v>
      </c>
      <c r="L214" t="s">
        <v>303</v>
      </c>
      <c r="M214">
        <v>7.2595999999999994E-2</v>
      </c>
      <c r="N214">
        <v>7.2595999999999994E-2</v>
      </c>
      <c r="O214" t="s">
        <v>303</v>
      </c>
      <c r="P214">
        <f t="shared" si="3"/>
        <v>0</v>
      </c>
    </row>
    <row r="215" spans="1:16" x14ac:dyDescent="0.25">
      <c r="A215" t="s">
        <v>213</v>
      </c>
      <c r="B215">
        <v>0</v>
      </c>
      <c r="C215">
        <v>73000</v>
      </c>
      <c r="D215" t="s">
        <v>857</v>
      </c>
      <c r="E215">
        <v>4</v>
      </c>
      <c r="F215">
        <v>4</v>
      </c>
      <c r="G215" t="s">
        <v>701</v>
      </c>
      <c r="H215" t="s">
        <v>701</v>
      </c>
      <c r="J215">
        <v>7.2999999999999995E-2</v>
      </c>
      <c r="K215">
        <v>0</v>
      </c>
      <c r="L215" t="s">
        <v>303</v>
      </c>
      <c r="M215">
        <v>73000</v>
      </c>
      <c r="N215">
        <v>0</v>
      </c>
      <c r="O215" t="s">
        <v>303</v>
      </c>
      <c r="P215">
        <f t="shared" si="3"/>
        <v>0</v>
      </c>
    </row>
    <row r="216" spans="1:16" x14ac:dyDescent="0.25">
      <c r="A216" t="s">
        <v>213</v>
      </c>
      <c r="B216">
        <v>0</v>
      </c>
      <c r="C216">
        <v>74000</v>
      </c>
      <c r="D216" t="s">
        <v>857</v>
      </c>
      <c r="E216">
        <v>4</v>
      </c>
      <c r="F216">
        <v>4</v>
      </c>
      <c r="G216" t="s">
        <v>701</v>
      </c>
      <c r="H216" t="s">
        <v>701</v>
      </c>
      <c r="J216">
        <v>7.3999999999999996E-2</v>
      </c>
      <c r="K216">
        <v>0</v>
      </c>
      <c r="L216" t="s">
        <v>303</v>
      </c>
      <c r="M216">
        <v>74000</v>
      </c>
      <c r="N216">
        <v>0</v>
      </c>
      <c r="O216" t="s">
        <v>303</v>
      </c>
      <c r="P216">
        <f t="shared" si="3"/>
        <v>0</v>
      </c>
    </row>
    <row r="217" spans="1:16" x14ac:dyDescent="0.25">
      <c r="A217" t="s">
        <v>533</v>
      </c>
      <c r="B217">
        <v>0</v>
      </c>
      <c r="C217">
        <v>74000</v>
      </c>
      <c r="D217" t="s">
        <v>857</v>
      </c>
      <c r="E217">
        <v>8</v>
      </c>
      <c r="F217">
        <v>4</v>
      </c>
      <c r="G217" t="s">
        <v>687</v>
      </c>
      <c r="H217" t="s">
        <v>701</v>
      </c>
      <c r="J217">
        <v>7.3999999999999996E-2</v>
      </c>
      <c r="K217">
        <v>0</v>
      </c>
      <c r="L217" t="s">
        <v>303</v>
      </c>
      <c r="M217">
        <v>74000</v>
      </c>
      <c r="N217">
        <v>0</v>
      </c>
      <c r="O217" t="s">
        <v>303</v>
      </c>
      <c r="P217">
        <f t="shared" si="3"/>
        <v>0</v>
      </c>
    </row>
    <row r="218" spans="1:16" x14ac:dyDescent="0.25">
      <c r="A218" t="s">
        <v>580</v>
      </c>
      <c r="B218" t="s">
        <v>669</v>
      </c>
      <c r="C218">
        <v>75</v>
      </c>
      <c r="D218" t="s">
        <v>885</v>
      </c>
      <c r="E218">
        <v>8</v>
      </c>
      <c r="F218">
        <v>5</v>
      </c>
      <c r="G218" t="s">
        <v>687</v>
      </c>
      <c r="H218" t="s">
        <v>684</v>
      </c>
      <c r="J218">
        <v>7.4999999999999997E-2</v>
      </c>
      <c r="K218">
        <v>0</v>
      </c>
      <c r="L218" t="s">
        <v>303</v>
      </c>
      <c r="M218">
        <v>75</v>
      </c>
      <c r="O218" t="s">
        <v>862</v>
      </c>
      <c r="P218">
        <f t="shared" si="3"/>
        <v>0</v>
      </c>
    </row>
    <row r="219" spans="1:16" x14ac:dyDescent="0.25">
      <c r="A219" t="s">
        <v>669</v>
      </c>
      <c r="B219">
        <v>64000</v>
      </c>
      <c r="C219">
        <v>75000</v>
      </c>
      <c r="D219" t="s">
        <v>857</v>
      </c>
      <c r="E219" t="s">
        <v>910</v>
      </c>
      <c r="F219" t="s">
        <v>910</v>
      </c>
      <c r="J219">
        <v>7.4999999999999997E-2</v>
      </c>
      <c r="K219">
        <v>6.4000000000000001E-2</v>
      </c>
      <c r="L219" t="s">
        <v>303</v>
      </c>
      <c r="M219">
        <v>75000</v>
      </c>
      <c r="N219">
        <v>64000</v>
      </c>
      <c r="O219" t="s">
        <v>303</v>
      </c>
      <c r="P219">
        <f t="shared" si="3"/>
        <v>0</v>
      </c>
    </row>
    <row r="220" spans="1:16" x14ac:dyDescent="0.25">
      <c r="A220" t="s">
        <v>578</v>
      </c>
      <c r="B220">
        <v>52</v>
      </c>
      <c r="C220">
        <v>76</v>
      </c>
      <c r="D220" t="s">
        <v>862</v>
      </c>
      <c r="E220">
        <v>8</v>
      </c>
      <c r="F220">
        <v>8</v>
      </c>
      <c r="G220" t="s">
        <v>687</v>
      </c>
      <c r="H220" t="s">
        <v>687</v>
      </c>
      <c r="J220">
        <v>7.5999999999999998E-2</v>
      </c>
      <c r="K220">
        <v>5.1999999999999998E-2</v>
      </c>
      <c r="L220" t="s">
        <v>303</v>
      </c>
      <c r="M220">
        <v>76</v>
      </c>
      <c r="N220">
        <v>52</v>
      </c>
      <c r="O220" t="s">
        <v>862</v>
      </c>
      <c r="P220">
        <f t="shared" si="3"/>
        <v>0</v>
      </c>
    </row>
    <row r="221" spans="1:16" x14ac:dyDescent="0.25">
      <c r="A221" t="s">
        <v>669</v>
      </c>
      <c r="B221">
        <v>54</v>
      </c>
      <c r="C221">
        <v>76</v>
      </c>
      <c r="D221" t="s">
        <v>870</v>
      </c>
      <c r="E221">
        <v>8</v>
      </c>
      <c r="F221">
        <v>8</v>
      </c>
      <c r="G221" t="s">
        <v>687</v>
      </c>
      <c r="H221" t="s">
        <v>687</v>
      </c>
      <c r="J221">
        <v>7.5999999999999998E-2</v>
      </c>
      <c r="K221">
        <v>5.3999999999999999E-2</v>
      </c>
      <c r="L221" t="s">
        <v>303</v>
      </c>
      <c r="M221">
        <v>76</v>
      </c>
      <c r="N221">
        <v>54</v>
      </c>
      <c r="O221" t="s">
        <v>862</v>
      </c>
      <c r="P221">
        <f t="shared" si="3"/>
        <v>0</v>
      </c>
    </row>
    <row r="222" spans="1:16" x14ac:dyDescent="0.25">
      <c r="A222" t="s">
        <v>669</v>
      </c>
      <c r="B222">
        <v>7.6874999999999999E-2</v>
      </c>
      <c r="C222">
        <v>7.6874999999999999E-2</v>
      </c>
      <c r="D222" t="s">
        <v>303</v>
      </c>
      <c r="E222" t="s">
        <v>910</v>
      </c>
      <c r="F222" t="s">
        <v>910</v>
      </c>
      <c r="J222">
        <v>7.6874999999999999E-2</v>
      </c>
      <c r="K222">
        <v>7.6874999999999999E-2</v>
      </c>
      <c r="L222" t="s">
        <v>303</v>
      </c>
      <c r="M222">
        <v>7.6874999999999999E-2</v>
      </c>
      <c r="N222">
        <v>7.6874999999999999E-2</v>
      </c>
      <c r="O222" t="s">
        <v>303</v>
      </c>
      <c r="P222">
        <f t="shared" si="3"/>
        <v>0</v>
      </c>
    </row>
    <row r="223" spans="1:16" x14ac:dyDescent="0.25">
      <c r="A223" t="s">
        <v>669</v>
      </c>
      <c r="B223">
        <v>33</v>
      </c>
      <c r="C223">
        <v>77</v>
      </c>
      <c r="D223" t="s">
        <v>864</v>
      </c>
      <c r="E223">
        <v>8</v>
      </c>
      <c r="F223">
        <v>8</v>
      </c>
      <c r="G223" t="s">
        <v>687</v>
      </c>
      <c r="H223" t="s">
        <v>687</v>
      </c>
      <c r="J223">
        <v>7.6999999999999999E-2</v>
      </c>
      <c r="K223">
        <v>3.3000000000000002E-2</v>
      </c>
      <c r="L223" t="s">
        <v>303</v>
      </c>
      <c r="M223">
        <v>77</v>
      </c>
      <c r="N223">
        <v>33</v>
      </c>
      <c r="O223" t="s">
        <v>862</v>
      </c>
      <c r="P223">
        <f t="shared" si="3"/>
        <v>0</v>
      </c>
    </row>
    <row r="224" spans="1:16" x14ac:dyDescent="0.25">
      <c r="A224" t="s">
        <v>669</v>
      </c>
      <c r="B224">
        <v>7.7299999999999994E-2</v>
      </c>
      <c r="C224">
        <v>7.7299999999999994E-2</v>
      </c>
      <c r="D224" t="s">
        <v>303</v>
      </c>
      <c r="E224" t="s">
        <v>910</v>
      </c>
      <c r="F224" t="s">
        <v>910</v>
      </c>
      <c r="J224">
        <v>7.7299999999999994E-2</v>
      </c>
      <c r="K224">
        <v>7.7299999999999994E-2</v>
      </c>
      <c r="L224" t="s">
        <v>303</v>
      </c>
      <c r="M224">
        <v>7.7299999999999994E-2</v>
      </c>
      <c r="N224">
        <v>7.7299999999999994E-2</v>
      </c>
      <c r="O224" t="s">
        <v>303</v>
      </c>
      <c r="P224">
        <f t="shared" si="3"/>
        <v>0</v>
      </c>
    </row>
    <row r="225" spans="1:16" x14ac:dyDescent="0.25">
      <c r="A225" t="s">
        <v>669</v>
      </c>
      <c r="B225">
        <v>7.7700000000000005E-2</v>
      </c>
      <c r="C225">
        <v>7.7700000000000005E-2</v>
      </c>
      <c r="D225" t="s">
        <v>303</v>
      </c>
      <c r="E225" t="s">
        <v>910</v>
      </c>
      <c r="F225" t="s">
        <v>910</v>
      </c>
      <c r="J225">
        <v>7.7700000000000005E-2</v>
      </c>
      <c r="K225">
        <v>7.7700000000000005E-2</v>
      </c>
      <c r="L225" t="s">
        <v>303</v>
      </c>
      <c r="M225">
        <v>7.7700000000000005E-2</v>
      </c>
      <c r="N225">
        <v>7.7700000000000005E-2</v>
      </c>
      <c r="O225" t="s">
        <v>303</v>
      </c>
      <c r="P225">
        <f t="shared" si="3"/>
        <v>0</v>
      </c>
    </row>
    <row r="226" spans="1:16" x14ac:dyDescent="0.25">
      <c r="A226" t="s">
        <v>669</v>
      </c>
      <c r="B226">
        <v>7.9142000000000004E-2</v>
      </c>
      <c r="C226">
        <v>7.9142000000000004E-2</v>
      </c>
      <c r="D226" t="s">
        <v>303</v>
      </c>
      <c r="E226" t="s">
        <v>910</v>
      </c>
      <c r="F226" t="s">
        <v>910</v>
      </c>
      <c r="J226">
        <v>7.9142000000000004E-2</v>
      </c>
      <c r="K226">
        <v>7.9142000000000004E-2</v>
      </c>
      <c r="L226" t="s">
        <v>303</v>
      </c>
      <c r="M226">
        <v>7.9142000000000004E-2</v>
      </c>
      <c r="N226">
        <v>7.9142000000000004E-2</v>
      </c>
      <c r="O226" t="s">
        <v>303</v>
      </c>
      <c r="P226">
        <f t="shared" si="3"/>
        <v>0</v>
      </c>
    </row>
    <row r="227" spans="1:16" x14ac:dyDescent="0.25">
      <c r="A227" t="s">
        <v>669</v>
      </c>
      <c r="B227">
        <v>7.9399999999999998E-2</v>
      </c>
      <c r="C227">
        <v>7.9399999999999998E-2</v>
      </c>
      <c r="D227" t="s">
        <v>303</v>
      </c>
      <c r="E227" t="s">
        <v>910</v>
      </c>
      <c r="F227" t="s">
        <v>910</v>
      </c>
      <c r="J227">
        <v>7.9399999999999998E-2</v>
      </c>
      <c r="K227">
        <v>7.9399999999999998E-2</v>
      </c>
      <c r="L227" t="s">
        <v>303</v>
      </c>
      <c r="M227">
        <v>7.9399999999999998E-2</v>
      </c>
      <c r="N227">
        <v>7.9399999999999998E-2</v>
      </c>
      <c r="O227" t="s">
        <v>303</v>
      </c>
      <c r="P227">
        <f t="shared" si="3"/>
        <v>0</v>
      </c>
    </row>
    <row r="228" spans="1:16" x14ac:dyDescent="0.25">
      <c r="A228" t="s">
        <v>669</v>
      </c>
      <c r="B228">
        <v>62</v>
      </c>
      <c r="C228">
        <v>80</v>
      </c>
      <c r="D228" t="s">
        <v>870</v>
      </c>
      <c r="E228">
        <v>8</v>
      </c>
      <c r="F228">
        <v>8</v>
      </c>
      <c r="G228" t="s">
        <v>687</v>
      </c>
      <c r="H228" t="s">
        <v>687</v>
      </c>
      <c r="J228">
        <v>0.08</v>
      </c>
      <c r="K228">
        <v>6.2E-2</v>
      </c>
      <c r="L228" t="s">
        <v>303</v>
      </c>
      <c r="M228">
        <v>80</v>
      </c>
      <c r="N228">
        <v>62</v>
      </c>
      <c r="O228" t="s">
        <v>862</v>
      </c>
      <c r="P228">
        <f t="shared" si="3"/>
        <v>0</v>
      </c>
    </row>
    <row r="229" spans="1:16" x14ac:dyDescent="0.25">
      <c r="A229" t="s">
        <v>59</v>
      </c>
      <c r="B229" t="s">
        <v>669</v>
      </c>
      <c r="C229">
        <v>80</v>
      </c>
      <c r="D229" t="s">
        <v>862</v>
      </c>
      <c r="E229">
        <v>8</v>
      </c>
      <c r="F229">
        <v>5</v>
      </c>
      <c r="G229" t="s">
        <v>687</v>
      </c>
      <c r="H229" t="s">
        <v>684</v>
      </c>
      <c r="J229">
        <v>0.08</v>
      </c>
      <c r="K229">
        <v>0</v>
      </c>
      <c r="L229" t="s">
        <v>303</v>
      </c>
      <c r="M229">
        <v>80</v>
      </c>
      <c r="O229" t="s">
        <v>862</v>
      </c>
      <c r="P229">
        <f t="shared" si="3"/>
        <v>0</v>
      </c>
    </row>
    <row r="230" spans="1:16" x14ac:dyDescent="0.25">
      <c r="A230" t="s">
        <v>669</v>
      </c>
      <c r="B230" t="s">
        <v>669</v>
      </c>
      <c r="C230">
        <v>80</v>
      </c>
      <c r="D230" t="s">
        <v>862</v>
      </c>
      <c r="E230">
        <v>8</v>
      </c>
      <c r="F230">
        <v>5</v>
      </c>
      <c r="G230" t="s">
        <v>687</v>
      </c>
      <c r="H230" t="s">
        <v>684</v>
      </c>
      <c r="J230">
        <v>0.08</v>
      </c>
      <c r="K230">
        <v>0</v>
      </c>
      <c r="L230" t="s">
        <v>303</v>
      </c>
      <c r="M230">
        <v>80</v>
      </c>
      <c r="O230" t="s">
        <v>862</v>
      </c>
      <c r="P230">
        <f t="shared" si="3"/>
        <v>0</v>
      </c>
    </row>
    <row r="231" spans="1:16" x14ac:dyDescent="0.25">
      <c r="A231" t="s">
        <v>669</v>
      </c>
      <c r="B231">
        <v>8.0799999999999997E-2</v>
      </c>
      <c r="C231">
        <v>8.0799999999999997E-2</v>
      </c>
      <c r="D231" t="s">
        <v>303</v>
      </c>
      <c r="E231" t="s">
        <v>910</v>
      </c>
      <c r="F231" t="s">
        <v>910</v>
      </c>
      <c r="J231">
        <v>8.0799999999999997E-2</v>
      </c>
      <c r="K231">
        <v>8.0799999999999997E-2</v>
      </c>
      <c r="L231" t="s">
        <v>303</v>
      </c>
      <c r="M231">
        <v>8.0799999999999997E-2</v>
      </c>
      <c r="N231">
        <v>8.0799999999999997E-2</v>
      </c>
      <c r="O231" t="s">
        <v>303</v>
      </c>
      <c r="P231">
        <f t="shared" si="3"/>
        <v>0</v>
      </c>
    </row>
    <row r="232" spans="1:16" x14ac:dyDescent="0.25">
      <c r="A232" t="s">
        <v>669</v>
      </c>
      <c r="B232">
        <v>8.1699999999999995E-2</v>
      </c>
      <c r="C232">
        <v>8.1699999999999995E-2</v>
      </c>
      <c r="D232" t="s">
        <v>303</v>
      </c>
      <c r="E232" t="s">
        <v>910</v>
      </c>
      <c r="F232" t="s">
        <v>910</v>
      </c>
      <c r="J232">
        <v>8.1699999999999995E-2</v>
      </c>
      <c r="K232">
        <v>8.1699999999999995E-2</v>
      </c>
      <c r="L232" t="s">
        <v>303</v>
      </c>
      <c r="M232">
        <v>8.1699999999999995E-2</v>
      </c>
      <c r="N232">
        <v>8.1699999999999995E-2</v>
      </c>
      <c r="O232" t="s">
        <v>303</v>
      </c>
      <c r="P232">
        <f t="shared" si="3"/>
        <v>0</v>
      </c>
    </row>
    <row r="233" spans="1:16" x14ac:dyDescent="0.25">
      <c r="A233" t="s">
        <v>669</v>
      </c>
      <c r="B233">
        <v>54</v>
      </c>
      <c r="C233">
        <v>82</v>
      </c>
      <c r="D233" t="s">
        <v>862</v>
      </c>
      <c r="E233">
        <v>8</v>
      </c>
      <c r="F233">
        <v>8</v>
      </c>
      <c r="G233" t="s">
        <v>687</v>
      </c>
      <c r="H233" t="s">
        <v>687</v>
      </c>
      <c r="J233">
        <v>8.2000000000000003E-2</v>
      </c>
      <c r="K233">
        <v>5.3999999999999999E-2</v>
      </c>
      <c r="L233" t="s">
        <v>303</v>
      </c>
      <c r="M233">
        <v>82</v>
      </c>
      <c r="N233">
        <v>54</v>
      </c>
      <c r="O233" t="s">
        <v>862</v>
      </c>
      <c r="P233">
        <f t="shared" si="3"/>
        <v>0</v>
      </c>
    </row>
    <row r="234" spans="1:16" x14ac:dyDescent="0.25">
      <c r="A234" t="s">
        <v>669</v>
      </c>
      <c r="B234">
        <v>70</v>
      </c>
      <c r="C234">
        <v>82</v>
      </c>
      <c r="D234" t="s">
        <v>870</v>
      </c>
      <c r="E234">
        <v>8</v>
      </c>
      <c r="F234">
        <v>8</v>
      </c>
      <c r="G234" t="s">
        <v>687</v>
      </c>
      <c r="H234" t="s">
        <v>687</v>
      </c>
      <c r="J234">
        <v>8.2000000000000003E-2</v>
      </c>
      <c r="K234">
        <v>7.0000000000000007E-2</v>
      </c>
      <c r="L234" t="s">
        <v>303</v>
      </c>
      <c r="M234">
        <v>82</v>
      </c>
      <c r="N234">
        <v>70</v>
      </c>
      <c r="O234" t="s">
        <v>862</v>
      </c>
      <c r="P234">
        <f t="shared" si="3"/>
        <v>0</v>
      </c>
    </row>
    <row r="235" spans="1:16" x14ac:dyDescent="0.25">
      <c r="A235" t="s">
        <v>669</v>
      </c>
      <c r="B235">
        <v>8.3077999999999999E-2</v>
      </c>
      <c r="C235">
        <v>8.3077999999999999E-2</v>
      </c>
      <c r="D235" t="s">
        <v>303</v>
      </c>
      <c r="E235" t="s">
        <v>910</v>
      </c>
      <c r="F235" t="s">
        <v>910</v>
      </c>
      <c r="J235">
        <v>8.3077999999999999E-2</v>
      </c>
      <c r="K235">
        <v>8.3077999999999999E-2</v>
      </c>
      <c r="L235" t="s">
        <v>303</v>
      </c>
      <c r="M235">
        <v>8.3077999999999999E-2</v>
      </c>
      <c r="N235">
        <v>8.3077999999999999E-2</v>
      </c>
      <c r="O235" t="s">
        <v>303</v>
      </c>
      <c r="P235">
        <f t="shared" si="3"/>
        <v>0</v>
      </c>
    </row>
    <row r="236" spans="1:16" x14ac:dyDescent="0.25">
      <c r="A236" t="s">
        <v>669</v>
      </c>
      <c r="B236">
        <v>72827</v>
      </c>
      <c r="C236">
        <v>83654</v>
      </c>
      <c r="D236" t="s">
        <v>669</v>
      </c>
      <c r="E236">
        <v>8</v>
      </c>
      <c r="F236">
        <v>8</v>
      </c>
      <c r="G236" t="s">
        <v>687</v>
      </c>
      <c r="H236" t="s">
        <v>687</v>
      </c>
      <c r="I236" t="s">
        <v>927</v>
      </c>
      <c r="J236">
        <v>8.3654000000000006E-2</v>
      </c>
      <c r="K236">
        <v>7.2827000000000003E-2</v>
      </c>
      <c r="L236" t="s">
        <v>930</v>
      </c>
      <c r="M236">
        <v>83654</v>
      </c>
      <c r="N236">
        <v>72827</v>
      </c>
      <c r="P236">
        <f t="shared" si="3"/>
        <v>14</v>
      </c>
    </row>
    <row r="237" spans="1:16" x14ac:dyDescent="0.25">
      <c r="A237" t="s">
        <v>669</v>
      </c>
      <c r="B237">
        <v>60000</v>
      </c>
      <c r="C237">
        <v>85000</v>
      </c>
      <c r="D237" t="s">
        <v>857</v>
      </c>
      <c r="E237" t="s">
        <v>910</v>
      </c>
      <c r="F237" t="s">
        <v>910</v>
      </c>
      <c r="J237">
        <v>8.5000000000000006E-2</v>
      </c>
      <c r="K237">
        <v>0.06</v>
      </c>
      <c r="L237" t="s">
        <v>303</v>
      </c>
      <c r="M237">
        <v>85000</v>
      </c>
      <c r="N237">
        <v>60000</v>
      </c>
      <c r="O237" t="s">
        <v>303</v>
      </c>
      <c r="P237">
        <f t="shared" si="3"/>
        <v>0</v>
      </c>
    </row>
    <row r="238" spans="1:16" x14ac:dyDescent="0.25">
      <c r="A238" t="s">
        <v>669</v>
      </c>
      <c r="B238">
        <v>8.5346000000000005E-2</v>
      </c>
      <c r="C238">
        <v>8.5346000000000005E-2</v>
      </c>
      <c r="D238" t="s">
        <v>303</v>
      </c>
      <c r="E238" t="s">
        <v>910</v>
      </c>
      <c r="F238" t="s">
        <v>910</v>
      </c>
      <c r="J238">
        <v>8.5346000000000005E-2</v>
      </c>
      <c r="K238">
        <v>8.5346000000000005E-2</v>
      </c>
      <c r="L238" t="s">
        <v>303</v>
      </c>
      <c r="M238">
        <v>8.5346000000000005E-2</v>
      </c>
      <c r="N238">
        <v>8.5346000000000005E-2</v>
      </c>
      <c r="O238" t="s">
        <v>303</v>
      </c>
      <c r="P238">
        <f t="shared" si="3"/>
        <v>0</v>
      </c>
    </row>
    <row r="239" spans="1:16" x14ac:dyDescent="0.25">
      <c r="A239" t="s">
        <v>527</v>
      </c>
      <c r="B239">
        <v>85.641220000000004</v>
      </c>
      <c r="C239">
        <v>85.641220000000004</v>
      </c>
      <c r="D239" t="s">
        <v>887</v>
      </c>
      <c r="E239">
        <v>8</v>
      </c>
      <c r="F239">
        <v>8</v>
      </c>
      <c r="G239" t="s">
        <v>687</v>
      </c>
      <c r="H239" t="s">
        <v>687</v>
      </c>
      <c r="J239">
        <v>8.5641220000000004E-2</v>
      </c>
      <c r="K239">
        <v>8.5641220000000004E-2</v>
      </c>
      <c r="L239" t="s">
        <v>303</v>
      </c>
      <c r="M239">
        <v>85.641220000000004</v>
      </c>
      <c r="N239">
        <v>85.641220000000004</v>
      </c>
      <c r="O239" t="s">
        <v>862</v>
      </c>
      <c r="P239">
        <f t="shared" si="3"/>
        <v>0</v>
      </c>
    </row>
    <row r="240" spans="1:16" x14ac:dyDescent="0.25">
      <c r="A240" t="s">
        <v>669</v>
      </c>
      <c r="B240">
        <v>8.7499999999999994E-2</v>
      </c>
      <c r="C240">
        <v>8.7499999999999994E-2</v>
      </c>
      <c r="D240" t="s">
        <v>303</v>
      </c>
      <c r="E240" t="s">
        <v>910</v>
      </c>
      <c r="F240" t="s">
        <v>910</v>
      </c>
      <c r="J240">
        <v>8.7499999999999994E-2</v>
      </c>
      <c r="K240">
        <v>8.7499999999999994E-2</v>
      </c>
      <c r="L240" t="s">
        <v>303</v>
      </c>
      <c r="M240">
        <v>8.7499999999999994E-2</v>
      </c>
      <c r="N240">
        <v>8.7499999999999994E-2</v>
      </c>
      <c r="O240" t="s">
        <v>303</v>
      </c>
      <c r="P240">
        <f t="shared" si="3"/>
        <v>0</v>
      </c>
    </row>
    <row r="241" spans="1:16" x14ac:dyDescent="0.25">
      <c r="A241" t="s">
        <v>669</v>
      </c>
      <c r="B241">
        <v>8.8318999999999995E-2</v>
      </c>
      <c r="C241">
        <v>8.8318999999999995E-2</v>
      </c>
      <c r="D241" t="s">
        <v>303</v>
      </c>
      <c r="E241" t="s">
        <v>910</v>
      </c>
      <c r="F241" t="s">
        <v>910</v>
      </c>
      <c r="J241">
        <v>8.8318999999999995E-2</v>
      </c>
      <c r="K241">
        <v>8.8318999999999995E-2</v>
      </c>
      <c r="L241" t="s">
        <v>303</v>
      </c>
      <c r="M241">
        <v>8.8318999999999995E-2</v>
      </c>
      <c r="N241">
        <v>8.8318999999999995E-2</v>
      </c>
      <c r="O241" t="s">
        <v>303</v>
      </c>
      <c r="P241">
        <f t="shared" si="3"/>
        <v>0</v>
      </c>
    </row>
    <row r="242" spans="1:16" x14ac:dyDescent="0.25">
      <c r="A242" t="s">
        <v>669</v>
      </c>
      <c r="B242">
        <v>43</v>
      </c>
      <c r="C242">
        <v>89</v>
      </c>
      <c r="D242" t="s">
        <v>864</v>
      </c>
      <c r="E242">
        <v>8</v>
      </c>
      <c r="F242">
        <v>8</v>
      </c>
      <c r="G242" t="s">
        <v>687</v>
      </c>
      <c r="H242" t="s">
        <v>687</v>
      </c>
      <c r="J242">
        <v>8.8999999999999996E-2</v>
      </c>
      <c r="K242">
        <v>4.2999999999999997E-2</v>
      </c>
      <c r="L242" t="s">
        <v>303</v>
      </c>
      <c r="M242">
        <v>89</v>
      </c>
      <c r="N242">
        <v>43</v>
      </c>
      <c r="O242" t="s">
        <v>862</v>
      </c>
      <c r="P242">
        <f t="shared" si="3"/>
        <v>0</v>
      </c>
    </row>
    <row r="243" spans="1:16" x14ac:dyDescent="0.25">
      <c r="A243" t="s">
        <v>669</v>
      </c>
      <c r="B243">
        <v>0.02</v>
      </c>
      <c r="C243">
        <v>0.09</v>
      </c>
      <c r="D243" t="s">
        <v>860</v>
      </c>
      <c r="E243" t="s">
        <v>910</v>
      </c>
      <c r="F243" t="s">
        <v>910</v>
      </c>
      <c r="J243">
        <v>0.09</v>
      </c>
      <c r="K243">
        <v>0.02</v>
      </c>
      <c r="L243" t="s">
        <v>303</v>
      </c>
      <c r="M243">
        <v>0.09</v>
      </c>
      <c r="N243">
        <v>0.02</v>
      </c>
      <c r="O243" t="s">
        <v>303</v>
      </c>
      <c r="P243">
        <f t="shared" si="3"/>
        <v>0</v>
      </c>
    </row>
    <row r="244" spans="1:16" x14ac:dyDescent="0.25">
      <c r="A244" t="s">
        <v>669</v>
      </c>
      <c r="B244">
        <v>0.05</v>
      </c>
      <c r="C244">
        <v>0.09</v>
      </c>
      <c r="D244" t="s">
        <v>669</v>
      </c>
      <c r="E244">
        <v>8</v>
      </c>
      <c r="F244">
        <v>8</v>
      </c>
      <c r="G244" t="s">
        <v>687</v>
      </c>
      <c r="H244" t="s">
        <v>687</v>
      </c>
      <c r="I244" t="s">
        <v>927</v>
      </c>
      <c r="J244">
        <v>0.09</v>
      </c>
      <c r="K244">
        <v>0.05</v>
      </c>
      <c r="L244" t="s">
        <v>930</v>
      </c>
      <c r="M244">
        <v>0.09</v>
      </c>
      <c r="N244">
        <v>0.05</v>
      </c>
      <c r="P244">
        <f t="shared" si="3"/>
        <v>14</v>
      </c>
    </row>
    <row r="245" spans="1:16" x14ac:dyDescent="0.25">
      <c r="A245" t="s">
        <v>669</v>
      </c>
      <c r="B245">
        <v>50000</v>
      </c>
      <c r="C245">
        <v>90000</v>
      </c>
      <c r="D245" t="s">
        <v>857</v>
      </c>
      <c r="E245" t="s">
        <v>910</v>
      </c>
      <c r="F245" t="s">
        <v>910</v>
      </c>
      <c r="J245">
        <v>0.09</v>
      </c>
      <c r="K245">
        <v>0.05</v>
      </c>
      <c r="L245" t="s">
        <v>303</v>
      </c>
      <c r="M245">
        <v>90000</v>
      </c>
      <c r="N245">
        <v>50000</v>
      </c>
      <c r="O245" t="s">
        <v>303</v>
      </c>
      <c r="P245">
        <f t="shared" si="3"/>
        <v>0</v>
      </c>
    </row>
    <row r="246" spans="1:16" x14ac:dyDescent="0.25">
      <c r="A246" t="s">
        <v>669</v>
      </c>
      <c r="B246">
        <v>9.0265999999999999E-2</v>
      </c>
      <c r="C246">
        <v>9.0265999999999999E-2</v>
      </c>
      <c r="D246" t="s">
        <v>303</v>
      </c>
      <c r="E246" t="s">
        <v>910</v>
      </c>
      <c r="F246" t="s">
        <v>910</v>
      </c>
      <c r="J246">
        <v>9.0265999999999999E-2</v>
      </c>
      <c r="K246">
        <v>9.0265999999999999E-2</v>
      </c>
      <c r="L246" t="s">
        <v>303</v>
      </c>
      <c r="M246">
        <v>9.0265999999999999E-2</v>
      </c>
      <c r="N246">
        <v>9.0265999999999999E-2</v>
      </c>
      <c r="O246" t="s">
        <v>303</v>
      </c>
      <c r="P246">
        <f t="shared" si="3"/>
        <v>0</v>
      </c>
    </row>
    <row r="247" spans="1:16" x14ac:dyDescent="0.25">
      <c r="A247" t="s">
        <v>669</v>
      </c>
      <c r="B247">
        <v>9.1300000000000006E-2</v>
      </c>
      <c r="C247">
        <v>9.1300000000000006E-2</v>
      </c>
      <c r="D247" t="s">
        <v>303</v>
      </c>
      <c r="E247" t="s">
        <v>910</v>
      </c>
      <c r="F247" t="s">
        <v>910</v>
      </c>
      <c r="J247">
        <v>9.1300000000000006E-2</v>
      </c>
      <c r="K247">
        <v>9.1300000000000006E-2</v>
      </c>
      <c r="L247" t="s">
        <v>303</v>
      </c>
      <c r="M247">
        <v>9.1300000000000006E-2</v>
      </c>
      <c r="N247">
        <v>9.1300000000000006E-2</v>
      </c>
      <c r="O247" t="s">
        <v>303</v>
      </c>
      <c r="P247">
        <f t="shared" si="3"/>
        <v>0</v>
      </c>
    </row>
    <row r="248" spans="1:16" x14ac:dyDescent="0.25">
      <c r="A248" t="s">
        <v>669</v>
      </c>
      <c r="B248">
        <v>9.2200000000000004E-2</v>
      </c>
      <c r="C248">
        <v>9.2200000000000004E-2</v>
      </c>
      <c r="D248" t="s">
        <v>303</v>
      </c>
      <c r="E248" t="s">
        <v>910</v>
      </c>
      <c r="F248" t="s">
        <v>910</v>
      </c>
      <c r="J248">
        <v>9.2200000000000004E-2</v>
      </c>
      <c r="K248">
        <v>9.2200000000000004E-2</v>
      </c>
      <c r="L248" t="s">
        <v>303</v>
      </c>
      <c r="M248">
        <v>9.2200000000000004E-2</v>
      </c>
      <c r="N248">
        <v>9.2200000000000004E-2</v>
      </c>
      <c r="O248" t="s">
        <v>303</v>
      </c>
      <c r="P248">
        <f t="shared" si="3"/>
        <v>0</v>
      </c>
    </row>
    <row r="249" spans="1:16" x14ac:dyDescent="0.25">
      <c r="A249" t="s">
        <v>669</v>
      </c>
      <c r="B249">
        <v>9.4031000000000003E-2</v>
      </c>
      <c r="C249">
        <v>9.4031000000000003E-2</v>
      </c>
      <c r="D249" t="s">
        <v>303</v>
      </c>
      <c r="E249" t="s">
        <v>910</v>
      </c>
      <c r="F249" t="s">
        <v>910</v>
      </c>
      <c r="J249">
        <v>9.4031000000000003E-2</v>
      </c>
      <c r="K249">
        <v>9.4031000000000003E-2</v>
      </c>
      <c r="L249" t="s">
        <v>303</v>
      </c>
      <c r="M249">
        <v>9.4031000000000003E-2</v>
      </c>
      <c r="N249">
        <v>9.4031000000000003E-2</v>
      </c>
      <c r="O249" t="s">
        <v>303</v>
      </c>
      <c r="P249">
        <f t="shared" si="3"/>
        <v>0</v>
      </c>
    </row>
    <row r="250" spans="1:16" x14ac:dyDescent="0.25">
      <c r="A250" t="s">
        <v>388</v>
      </c>
      <c r="B250">
        <v>78000</v>
      </c>
      <c r="C250">
        <v>96000</v>
      </c>
      <c r="D250" t="s">
        <v>857</v>
      </c>
      <c r="E250">
        <v>6</v>
      </c>
      <c r="F250">
        <v>6</v>
      </c>
      <c r="G250" t="s">
        <v>836</v>
      </c>
      <c r="H250" t="s">
        <v>836</v>
      </c>
      <c r="J250">
        <v>9.6000000000000002E-2</v>
      </c>
      <c r="K250">
        <v>7.8E-2</v>
      </c>
      <c r="L250" t="s">
        <v>303</v>
      </c>
      <c r="M250">
        <v>96000</v>
      </c>
      <c r="N250">
        <v>78000</v>
      </c>
      <c r="O250" t="s">
        <v>303</v>
      </c>
      <c r="P250">
        <f t="shared" si="3"/>
        <v>0</v>
      </c>
    </row>
    <row r="251" spans="1:16" x14ac:dyDescent="0.25">
      <c r="A251" t="s">
        <v>669</v>
      </c>
      <c r="B251">
        <v>9.6254999999999993E-2</v>
      </c>
      <c r="C251">
        <v>9.6254999999999993E-2</v>
      </c>
      <c r="D251" t="s">
        <v>303</v>
      </c>
      <c r="E251" t="s">
        <v>910</v>
      </c>
      <c r="F251" t="s">
        <v>910</v>
      </c>
      <c r="J251">
        <v>9.6254999999999993E-2</v>
      </c>
      <c r="K251">
        <v>9.6254999999999993E-2</v>
      </c>
      <c r="L251" t="s">
        <v>303</v>
      </c>
      <c r="M251">
        <v>9.6254999999999993E-2</v>
      </c>
      <c r="N251">
        <v>9.6254999999999993E-2</v>
      </c>
      <c r="O251" t="s">
        <v>303</v>
      </c>
      <c r="P251">
        <f t="shared" si="3"/>
        <v>0</v>
      </c>
    </row>
    <row r="252" spans="1:16" x14ac:dyDescent="0.25">
      <c r="A252" t="s">
        <v>578</v>
      </c>
      <c r="B252">
        <v>0</v>
      </c>
      <c r="C252">
        <v>100000</v>
      </c>
      <c r="D252" t="s">
        <v>857</v>
      </c>
      <c r="E252">
        <v>3</v>
      </c>
      <c r="F252">
        <v>3</v>
      </c>
      <c r="G252" t="s">
        <v>700</v>
      </c>
      <c r="H252" t="s">
        <v>700</v>
      </c>
      <c r="J252">
        <v>0.1</v>
      </c>
      <c r="K252">
        <v>0</v>
      </c>
      <c r="L252" t="s">
        <v>303</v>
      </c>
      <c r="M252">
        <v>100000</v>
      </c>
      <c r="N252">
        <v>0</v>
      </c>
      <c r="O252" t="s">
        <v>303</v>
      </c>
      <c r="P252">
        <f t="shared" si="3"/>
        <v>0</v>
      </c>
    </row>
    <row r="253" spans="1:16" x14ac:dyDescent="0.25">
      <c r="A253" t="s">
        <v>527</v>
      </c>
      <c r="B253">
        <v>50000</v>
      </c>
      <c r="C253">
        <v>100000</v>
      </c>
      <c r="D253" t="s">
        <v>857</v>
      </c>
      <c r="E253">
        <v>8</v>
      </c>
      <c r="F253">
        <v>8</v>
      </c>
      <c r="G253" t="s">
        <v>687</v>
      </c>
      <c r="H253" t="s">
        <v>687</v>
      </c>
      <c r="J253">
        <v>0.1</v>
      </c>
      <c r="K253">
        <v>0.05</v>
      </c>
      <c r="L253" t="s">
        <v>303</v>
      </c>
      <c r="M253">
        <v>100000</v>
      </c>
      <c r="N253">
        <v>50000</v>
      </c>
      <c r="O253" t="s">
        <v>303</v>
      </c>
      <c r="P253">
        <f t="shared" si="3"/>
        <v>0</v>
      </c>
    </row>
    <row r="254" spans="1:16" x14ac:dyDescent="0.25">
      <c r="A254" t="s">
        <v>669</v>
      </c>
      <c r="B254">
        <v>100000</v>
      </c>
      <c r="C254">
        <v>100000</v>
      </c>
      <c r="D254" t="s">
        <v>857</v>
      </c>
      <c r="E254" t="s">
        <v>910</v>
      </c>
      <c r="F254" t="s">
        <v>910</v>
      </c>
      <c r="J254">
        <v>0.1</v>
      </c>
      <c r="K254">
        <v>0.1</v>
      </c>
      <c r="L254" t="s">
        <v>303</v>
      </c>
      <c r="M254">
        <v>100000</v>
      </c>
      <c r="N254">
        <v>100000</v>
      </c>
      <c r="O254" t="s">
        <v>303</v>
      </c>
      <c r="P254">
        <f t="shared" si="3"/>
        <v>0</v>
      </c>
    </row>
    <row r="255" spans="1:16" x14ac:dyDescent="0.25">
      <c r="A255" t="s">
        <v>669</v>
      </c>
      <c r="B255" t="s">
        <v>669</v>
      </c>
      <c r="C255">
        <v>0.1</v>
      </c>
      <c r="D255" t="s">
        <v>303</v>
      </c>
      <c r="E255" t="s">
        <v>910</v>
      </c>
      <c r="F255" t="s">
        <v>910</v>
      </c>
      <c r="J255">
        <v>0.1</v>
      </c>
      <c r="L255" t="s">
        <v>303</v>
      </c>
      <c r="M255">
        <v>0.1</v>
      </c>
      <c r="O255" t="s">
        <v>303</v>
      </c>
      <c r="P255">
        <f t="shared" si="3"/>
        <v>0</v>
      </c>
    </row>
    <row r="256" spans="1:16" x14ac:dyDescent="0.25">
      <c r="A256" t="s">
        <v>669</v>
      </c>
      <c r="B256">
        <v>0.10002</v>
      </c>
      <c r="C256">
        <v>0.10002</v>
      </c>
      <c r="D256" t="s">
        <v>303</v>
      </c>
      <c r="E256" t="s">
        <v>910</v>
      </c>
      <c r="F256" t="s">
        <v>910</v>
      </c>
      <c r="J256">
        <v>0.10002</v>
      </c>
      <c r="K256">
        <v>0.10002</v>
      </c>
      <c r="L256" t="s">
        <v>303</v>
      </c>
      <c r="M256">
        <v>0.10002</v>
      </c>
      <c r="N256">
        <v>0.10002</v>
      </c>
      <c r="O256" t="s">
        <v>303</v>
      </c>
      <c r="P256">
        <f t="shared" si="3"/>
        <v>0</v>
      </c>
    </row>
    <row r="257" spans="1:16" x14ac:dyDescent="0.25">
      <c r="A257" t="s">
        <v>527</v>
      </c>
      <c r="B257">
        <v>100.0305</v>
      </c>
      <c r="C257">
        <v>100.0305</v>
      </c>
      <c r="D257" t="s">
        <v>887</v>
      </c>
      <c r="E257">
        <v>8</v>
      </c>
      <c r="F257">
        <v>8</v>
      </c>
      <c r="G257" t="s">
        <v>687</v>
      </c>
      <c r="H257" t="s">
        <v>687</v>
      </c>
      <c r="J257">
        <v>0.10003050000000001</v>
      </c>
      <c r="K257">
        <v>0.10003050000000001</v>
      </c>
      <c r="L257" t="s">
        <v>303</v>
      </c>
      <c r="M257">
        <v>100.0305</v>
      </c>
      <c r="N257">
        <v>100.0305</v>
      </c>
      <c r="O257" t="s">
        <v>862</v>
      </c>
      <c r="P257">
        <f t="shared" si="3"/>
        <v>0</v>
      </c>
    </row>
    <row r="258" spans="1:16" x14ac:dyDescent="0.25">
      <c r="A258" t="s">
        <v>669</v>
      </c>
      <c r="B258">
        <v>0.10222299999999999</v>
      </c>
      <c r="C258">
        <v>0.10222299999999999</v>
      </c>
      <c r="D258" t="s">
        <v>303</v>
      </c>
      <c r="E258" t="s">
        <v>910</v>
      </c>
      <c r="F258" t="s">
        <v>910</v>
      </c>
      <c r="J258">
        <v>0.10222299999999999</v>
      </c>
      <c r="K258">
        <v>0.10222299999999999</v>
      </c>
      <c r="L258" t="s">
        <v>303</v>
      </c>
      <c r="M258">
        <v>0.10222299999999999</v>
      </c>
      <c r="N258">
        <v>0.10222299999999999</v>
      </c>
      <c r="O258" t="s">
        <v>303</v>
      </c>
      <c r="P258">
        <f t="shared" si="3"/>
        <v>0</v>
      </c>
    </row>
    <row r="259" spans="1:16" x14ac:dyDescent="0.25">
      <c r="A259" t="s">
        <v>669</v>
      </c>
      <c r="B259">
        <v>0.104</v>
      </c>
      <c r="C259">
        <v>0.104</v>
      </c>
      <c r="D259" t="s">
        <v>303</v>
      </c>
      <c r="E259" t="s">
        <v>910</v>
      </c>
      <c r="F259" t="s">
        <v>910</v>
      </c>
      <c r="J259">
        <v>0.104</v>
      </c>
      <c r="K259">
        <v>0.104</v>
      </c>
      <c r="L259" t="s">
        <v>303</v>
      </c>
      <c r="M259">
        <v>0.104</v>
      </c>
      <c r="N259">
        <v>0.104</v>
      </c>
      <c r="O259" t="s">
        <v>303</v>
      </c>
      <c r="P259">
        <f t="shared" ref="P259:P322" si="4">LEN(I259)</f>
        <v>0</v>
      </c>
    </row>
    <row r="260" spans="1:16" x14ac:dyDescent="0.25">
      <c r="A260" t="s">
        <v>578</v>
      </c>
      <c r="B260">
        <v>9.9019999999999997E-2</v>
      </c>
      <c r="C260">
        <v>0.1052</v>
      </c>
      <c r="D260" t="s">
        <v>669</v>
      </c>
      <c r="E260">
        <v>8</v>
      </c>
      <c r="F260">
        <v>8</v>
      </c>
      <c r="G260" t="s">
        <v>687</v>
      </c>
      <c r="H260" t="s">
        <v>687</v>
      </c>
      <c r="I260" t="s">
        <v>927</v>
      </c>
      <c r="J260">
        <v>0.1052</v>
      </c>
      <c r="K260">
        <v>9.9019999999999997E-2</v>
      </c>
      <c r="L260" t="s">
        <v>930</v>
      </c>
      <c r="M260">
        <v>0.1052</v>
      </c>
      <c r="N260">
        <v>9.9019999999999997E-2</v>
      </c>
      <c r="P260">
        <f t="shared" si="4"/>
        <v>14</v>
      </c>
    </row>
    <row r="261" spans="1:16" x14ac:dyDescent="0.25">
      <c r="A261" t="s">
        <v>669</v>
      </c>
      <c r="B261">
        <v>0.10600999999999999</v>
      </c>
      <c r="C261">
        <v>0.10600999999999999</v>
      </c>
      <c r="D261" t="s">
        <v>303</v>
      </c>
      <c r="E261" t="s">
        <v>910</v>
      </c>
      <c r="F261" t="s">
        <v>910</v>
      </c>
      <c r="J261">
        <v>0.10600999999999999</v>
      </c>
      <c r="K261">
        <v>0.10600999999999999</v>
      </c>
      <c r="L261" t="s">
        <v>303</v>
      </c>
      <c r="M261">
        <v>0.10600999999999999</v>
      </c>
      <c r="N261">
        <v>0.10600999999999999</v>
      </c>
      <c r="O261" t="s">
        <v>303</v>
      </c>
      <c r="P261">
        <f t="shared" si="4"/>
        <v>0</v>
      </c>
    </row>
    <row r="262" spans="1:16" x14ac:dyDescent="0.25">
      <c r="A262" t="s">
        <v>669</v>
      </c>
      <c r="B262">
        <v>0.108363</v>
      </c>
      <c r="C262">
        <v>0.108363</v>
      </c>
      <c r="D262" t="s">
        <v>303</v>
      </c>
      <c r="E262" t="s">
        <v>910</v>
      </c>
      <c r="F262" t="s">
        <v>910</v>
      </c>
      <c r="J262">
        <v>0.108363</v>
      </c>
      <c r="K262">
        <v>0.108363</v>
      </c>
      <c r="L262" t="s">
        <v>303</v>
      </c>
      <c r="M262">
        <v>0.108363</v>
      </c>
      <c r="N262">
        <v>0.108363</v>
      </c>
      <c r="O262" t="s">
        <v>303</v>
      </c>
      <c r="P262">
        <f t="shared" si="4"/>
        <v>0</v>
      </c>
    </row>
    <row r="263" spans="1:16" x14ac:dyDescent="0.25">
      <c r="A263" t="s">
        <v>669</v>
      </c>
      <c r="B263">
        <v>0.10920000000000001</v>
      </c>
      <c r="C263">
        <v>0.10920000000000001</v>
      </c>
      <c r="D263" t="s">
        <v>303</v>
      </c>
      <c r="E263" t="s">
        <v>910</v>
      </c>
      <c r="F263" t="s">
        <v>910</v>
      </c>
      <c r="J263">
        <v>0.10920000000000001</v>
      </c>
      <c r="K263">
        <v>0.10920000000000001</v>
      </c>
      <c r="L263" t="s">
        <v>303</v>
      </c>
      <c r="M263">
        <v>0.10920000000000001</v>
      </c>
      <c r="N263">
        <v>0.10920000000000001</v>
      </c>
      <c r="O263" t="s">
        <v>303</v>
      </c>
      <c r="P263">
        <f t="shared" si="4"/>
        <v>0</v>
      </c>
    </row>
    <row r="264" spans="1:16" x14ac:dyDescent="0.25">
      <c r="A264" t="s">
        <v>669</v>
      </c>
      <c r="B264">
        <v>0.11</v>
      </c>
      <c r="C264">
        <v>0.11</v>
      </c>
      <c r="D264" t="s">
        <v>303</v>
      </c>
      <c r="E264" t="s">
        <v>910</v>
      </c>
      <c r="F264" t="s">
        <v>910</v>
      </c>
      <c r="J264">
        <v>0.11</v>
      </c>
      <c r="K264">
        <v>0.11</v>
      </c>
      <c r="L264" t="s">
        <v>303</v>
      </c>
      <c r="M264">
        <v>0.11</v>
      </c>
      <c r="N264">
        <v>0.11</v>
      </c>
      <c r="O264" t="s">
        <v>303</v>
      </c>
      <c r="P264">
        <f t="shared" si="4"/>
        <v>0</v>
      </c>
    </row>
    <row r="265" spans="1:16" x14ac:dyDescent="0.25">
      <c r="A265" t="s">
        <v>669</v>
      </c>
      <c r="B265">
        <v>95205</v>
      </c>
      <c r="C265">
        <v>110253</v>
      </c>
      <c r="D265" t="s">
        <v>669</v>
      </c>
      <c r="E265">
        <v>8</v>
      </c>
      <c r="F265">
        <v>8</v>
      </c>
      <c r="G265" t="s">
        <v>687</v>
      </c>
      <c r="H265" t="s">
        <v>687</v>
      </c>
      <c r="I265" t="s">
        <v>927</v>
      </c>
      <c r="J265">
        <v>0.110253</v>
      </c>
      <c r="K265">
        <v>9.5204999999999998E-2</v>
      </c>
      <c r="L265" t="s">
        <v>930</v>
      </c>
      <c r="M265">
        <v>110253</v>
      </c>
      <c r="N265">
        <v>95205</v>
      </c>
      <c r="P265">
        <f t="shared" si="4"/>
        <v>14</v>
      </c>
    </row>
    <row r="266" spans="1:16" x14ac:dyDescent="0.25">
      <c r="A266" t="s">
        <v>669</v>
      </c>
      <c r="B266">
        <v>11</v>
      </c>
      <c r="C266">
        <v>111</v>
      </c>
      <c r="D266" t="s">
        <v>862</v>
      </c>
      <c r="E266">
        <v>8</v>
      </c>
      <c r="F266">
        <v>8</v>
      </c>
      <c r="G266" t="s">
        <v>687</v>
      </c>
      <c r="H266" t="s">
        <v>687</v>
      </c>
      <c r="J266">
        <v>0.111</v>
      </c>
      <c r="K266">
        <v>1.0999999999999999E-2</v>
      </c>
      <c r="L266" t="s">
        <v>303</v>
      </c>
      <c r="M266">
        <v>111</v>
      </c>
      <c r="N266">
        <v>11</v>
      </c>
      <c r="O266" t="s">
        <v>862</v>
      </c>
      <c r="P266">
        <f t="shared" si="4"/>
        <v>0</v>
      </c>
    </row>
    <row r="267" spans="1:16" x14ac:dyDescent="0.25">
      <c r="A267" t="s">
        <v>578</v>
      </c>
      <c r="B267">
        <v>0.10763</v>
      </c>
      <c r="C267">
        <v>0.11126999999999999</v>
      </c>
      <c r="D267" t="s">
        <v>669</v>
      </c>
      <c r="E267">
        <v>8</v>
      </c>
      <c r="F267">
        <v>8</v>
      </c>
      <c r="G267" t="s">
        <v>687</v>
      </c>
      <c r="H267" t="s">
        <v>687</v>
      </c>
      <c r="I267" t="s">
        <v>927</v>
      </c>
      <c r="J267">
        <v>0.11126999999999999</v>
      </c>
      <c r="K267">
        <v>0.10763</v>
      </c>
      <c r="L267" t="s">
        <v>930</v>
      </c>
      <c r="M267">
        <v>0.11126999999999999</v>
      </c>
      <c r="N267">
        <v>0.10763</v>
      </c>
      <c r="P267">
        <f t="shared" si="4"/>
        <v>14</v>
      </c>
    </row>
    <row r="268" spans="1:16" x14ac:dyDescent="0.25">
      <c r="A268" t="s">
        <v>527</v>
      </c>
      <c r="B268">
        <v>111.6742</v>
      </c>
      <c r="C268">
        <v>111.6742</v>
      </c>
      <c r="D268" t="s">
        <v>887</v>
      </c>
      <c r="E268">
        <v>8</v>
      </c>
      <c r="F268">
        <v>8</v>
      </c>
      <c r="G268" t="s">
        <v>687</v>
      </c>
      <c r="H268" t="s">
        <v>687</v>
      </c>
      <c r="J268">
        <v>0.1116742</v>
      </c>
      <c r="K268">
        <v>0.1116742</v>
      </c>
      <c r="L268" t="s">
        <v>303</v>
      </c>
      <c r="M268">
        <v>111.6742</v>
      </c>
      <c r="N268">
        <v>111.6742</v>
      </c>
      <c r="O268" t="s">
        <v>862</v>
      </c>
      <c r="P268">
        <f t="shared" si="4"/>
        <v>0</v>
      </c>
    </row>
    <row r="269" spans="1:16" x14ac:dyDescent="0.25">
      <c r="A269" t="s">
        <v>669</v>
      </c>
      <c r="B269">
        <v>0.11225599999999999</v>
      </c>
      <c r="C269">
        <v>0.11225599999999999</v>
      </c>
      <c r="D269" t="s">
        <v>303</v>
      </c>
      <c r="E269" t="s">
        <v>910</v>
      </c>
      <c r="F269" t="s">
        <v>910</v>
      </c>
      <c r="J269">
        <v>0.11225599999999999</v>
      </c>
      <c r="K269">
        <v>0.11225599999999999</v>
      </c>
      <c r="L269" t="s">
        <v>303</v>
      </c>
      <c r="M269">
        <v>0.11225599999999999</v>
      </c>
      <c r="N269">
        <v>0.11225599999999999</v>
      </c>
      <c r="O269" t="s">
        <v>303</v>
      </c>
      <c r="P269">
        <f t="shared" si="4"/>
        <v>0</v>
      </c>
    </row>
    <row r="270" spans="1:16" x14ac:dyDescent="0.25">
      <c r="A270" t="s">
        <v>669</v>
      </c>
      <c r="B270">
        <v>98080</v>
      </c>
      <c r="C270">
        <v>112681</v>
      </c>
      <c r="D270" t="s">
        <v>669</v>
      </c>
      <c r="E270">
        <v>8</v>
      </c>
      <c r="F270">
        <v>8</v>
      </c>
      <c r="G270" t="s">
        <v>687</v>
      </c>
      <c r="H270" t="s">
        <v>687</v>
      </c>
      <c r="I270" t="s">
        <v>927</v>
      </c>
      <c r="J270">
        <v>0.112681</v>
      </c>
      <c r="K270">
        <v>9.8080000000000001E-2</v>
      </c>
      <c r="L270" t="s">
        <v>930</v>
      </c>
      <c r="M270">
        <v>112681</v>
      </c>
      <c r="N270">
        <v>98080</v>
      </c>
      <c r="P270">
        <f t="shared" si="4"/>
        <v>14</v>
      </c>
    </row>
    <row r="271" spans="1:16" x14ac:dyDescent="0.25">
      <c r="A271" t="s">
        <v>669</v>
      </c>
      <c r="B271">
        <v>0.113</v>
      </c>
      <c r="C271">
        <v>0.113</v>
      </c>
      <c r="D271" t="s">
        <v>303</v>
      </c>
      <c r="E271" t="s">
        <v>910</v>
      </c>
      <c r="F271" t="s">
        <v>910</v>
      </c>
      <c r="J271">
        <v>0.113</v>
      </c>
      <c r="K271">
        <v>0.113</v>
      </c>
      <c r="L271" t="s">
        <v>303</v>
      </c>
      <c r="M271">
        <v>0.113</v>
      </c>
      <c r="N271">
        <v>0.113</v>
      </c>
      <c r="O271" t="s">
        <v>303</v>
      </c>
      <c r="P271">
        <f t="shared" si="4"/>
        <v>0</v>
      </c>
    </row>
    <row r="272" spans="1:16" x14ac:dyDescent="0.25">
      <c r="A272" t="s">
        <v>669</v>
      </c>
      <c r="B272">
        <v>0.114395</v>
      </c>
      <c r="C272">
        <v>0.114395</v>
      </c>
      <c r="D272" t="s">
        <v>303</v>
      </c>
      <c r="E272" t="s">
        <v>910</v>
      </c>
      <c r="F272" t="s">
        <v>910</v>
      </c>
      <c r="J272">
        <v>0.114395</v>
      </c>
      <c r="K272">
        <v>0.114395</v>
      </c>
      <c r="L272" t="s">
        <v>303</v>
      </c>
      <c r="M272">
        <v>0.114395</v>
      </c>
      <c r="N272">
        <v>0.114395</v>
      </c>
      <c r="O272" t="s">
        <v>303</v>
      </c>
      <c r="P272">
        <f t="shared" si="4"/>
        <v>0</v>
      </c>
    </row>
    <row r="273" spans="1:16" x14ac:dyDescent="0.25">
      <c r="A273" t="s">
        <v>669</v>
      </c>
      <c r="B273">
        <v>0.115</v>
      </c>
      <c r="C273">
        <v>0.115</v>
      </c>
      <c r="D273" t="s">
        <v>303</v>
      </c>
      <c r="E273" t="s">
        <v>910</v>
      </c>
      <c r="F273" t="s">
        <v>910</v>
      </c>
      <c r="J273">
        <v>0.115</v>
      </c>
      <c r="K273">
        <v>0.115</v>
      </c>
      <c r="L273" t="s">
        <v>303</v>
      </c>
      <c r="M273">
        <v>0.115</v>
      </c>
      <c r="N273">
        <v>0.115</v>
      </c>
      <c r="O273" t="s">
        <v>303</v>
      </c>
      <c r="P273">
        <f t="shared" si="4"/>
        <v>0</v>
      </c>
    </row>
    <row r="274" spans="1:16" x14ac:dyDescent="0.25">
      <c r="A274" t="s">
        <v>669</v>
      </c>
      <c r="B274">
        <v>67000</v>
      </c>
      <c r="C274">
        <v>116000</v>
      </c>
      <c r="D274" t="s">
        <v>857</v>
      </c>
      <c r="E274" t="s">
        <v>910</v>
      </c>
      <c r="F274" t="s">
        <v>910</v>
      </c>
      <c r="J274">
        <v>0.11600000000000001</v>
      </c>
      <c r="K274">
        <v>6.7000000000000004E-2</v>
      </c>
      <c r="L274" t="s">
        <v>303</v>
      </c>
      <c r="M274">
        <v>116000</v>
      </c>
      <c r="N274">
        <v>67000</v>
      </c>
      <c r="O274" t="s">
        <v>303</v>
      </c>
      <c r="P274">
        <f t="shared" si="4"/>
        <v>0</v>
      </c>
    </row>
    <row r="275" spans="1:16" x14ac:dyDescent="0.25">
      <c r="A275" t="s">
        <v>669</v>
      </c>
      <c r="B275">
        <v>0.118246</v>
      </c>
      <c r="C275">
        <v>0.118246</v>
      </c>
      <c r="D275" t="s">
        <v>303</v>
      </c>
      <c r="E275" t="s">
        <v>910</v>
      </c>
      <c r="F275" t="s">
        <v>910</v>
      </c>
      <c r="J275">
        <v>0.118246</v>
      </c>
      <c r="K275">
        <v>0.118246</v>
      </c>
      <c r="L275" t="s">
        <v>303</v>
      </c>
      <c r="M275">
        <v>0.118246</v>
      </c>
      <c r="N275">
        <v>0.118246</v>
      </c>
      <c r="O275" t="s">
        <v>303</v>
      </c>
      <c r="P275">
        <f t="shared" si="4"/>
        <v>0</v>
      </c>
    </row>
    <row r="276" spans="1:16" x14ac:dyDescent="0.25">
      <c r="A276" t="s">
        <v>669</v>
      </c>
      <c r="B276">
        <v>0.12</v>
      </c>
      <c r="C276">
        <v>0.12</v>
      </c>
      <c r="D276" t="s">
        <v>860</v>
      </c>
      <c r="E276" t="s">
        <v>910</v>
      </c>
      <c r="F276" t="s">
        <v>910</v>
      </c>
      <c r="J276">
        <v>0.12</v>
      </c>
      <c r="K276">
        <v>0.12</v>
      </c>
      <c r="L276" t="s">
        <v>303</v>
      </c>
      <c r="M276">
        <v>0.12</v>
      </c>
      <c r="N276">
        <v>0.12</v>
      </c>
      <c r="O276" t="s">
        <v>303</v>
      </c>
      <c r="P276">
        <f t="shared" si="4"/>
        <v>0</v>
      </c>
    </row>
    <row r="277" spans="1:16" x14ac:dyDescent="0.25">
      <c r="A277" t="s">
        <v>669</v>
      </c>
      <c r="B277">
        <v>0.120342</v>
      </c>
      <c r="C277">
        <v>0.120342</v>
      </c>
      <c r="D277" t="s">
        <v>303</v>
      </c>
      <c r="E277" t="s">
        <v>910</v>
      </c>
      <c r="F277" t="s">
        <v>910</v>
      </c>
      <c r="J277">
        <v>0.120342</v>
      </c>
      <c r="K277">
        <v>0.120342</v>
      </c>
      <c r="L277" t="s">
        <v>303</v>
      </c>
      <c r="M277">
        <v>0.120342</v>
      </c>
      <c r="N277">
        <v>0.120342</v>
      </c>
      <c r="O277" t="s">
        <v>303</v>
      </c>
      <c r="P277">
        <f t="shared" si="4"/>
        <v>0</v>
      </c>
    </row>
    <row r="278" spans="1:16" x14ac:dyDescent="0.25">
      <c r="A278" t="s">
        <v>669</v>
      </c>
      <c r="B278">
        <v>0.1207</v>
      </c>
      <c r="C278">
        <v>0.1207</v>
      </c>
      <c r="D278" t="s">
        <v>303</v>
      </c>
      <c r="E278" t="s">
        <v>910</v>
      </c>
      <c r="F278" t="s">
        <v>910</v>
      </c>
      <c r="J278">
        <v>0.1207</v>
      </c>
      <c r="K278">
        <v>0.1207</v>
      </c>
      <c r="L278" t="s">
        <v>303</v>
      </c>
      <c r="M278">
        <v>0.1207</v>
      </c>
      <c r="N278">
        <v>0.1207</v>
      </c>
      <c r="O278" t="s">
        <v>303</v>
      </c>
      <c r="P278">
        <f t="shared" si="4"/>
        <v>0</v>
      </c>
    </row>
    <row r="279" spans="1:16" x14ac:dyDescent="0.25">
      <c r="A279" t="s">
        <v>578</v>
      </c>
      <c r="B279">
        <v>118.962</v>
      </c>
      <c r="C279">
        <v>120.98399999999999</v>
      </c>
      <c r="D279" t="s">
        <v>864</v>
      </c>
      <c r="E279">
        <v>8</v>
      </c>
      <c r="F279">
        <v>8</v>
      </c>
      <c r="G279" t="s">
        <v>687</v>
      </c>
      <c r="H279" t="s">
        <v>687</v>
      </c>
      <c r="J279">
        <v>0.12098399999999999</v>
      </c>
      <c r="K279">
        <v>0.118962</v>
      </c>
      <c r="L279" t="s">
        <v>303</v>
      </c>
      <c r="M279">
        <v>120.98399999999999</v>
      </c>
      <c r="N279">
        <v>118.962</v>
      </c>
      <c r="O279" t="s">
        <v>862</v>
      </c>
      <c r="P279">
        <f t="shared" si="4"/>
        <v>0</v>
      </c>
    </row>
    <row r="280" spans="1:16" x14ac:dyDescent="0.25">
      <c r="A280" t="s">
        <v>578</v>
      </c>
      <c r="B280">
        <v>119.021</v>
      </c>
      <c r="C280">
        <v>121.045</v>
      </c>
      <c r="D280" t="s">
        <v>864</v>
      </c>
      <c r="E280">
        <v>8</v>
      </c>
      <c r="F280">
        <v>8</v>
      </c>
      <c r="G280" t="s">
        <v>687</v>
      </c>
      <c r="H280" t="s">
        <v>687</v>
      </c>
      <c r="J280">
        <v>0.121045</v>
      </c>
      <c r="K280">
        <v>0.119021</v>
      </c>
      <c r="L280" t="s">
        <v>303</v>
      </c>
      <c r="M280">
        <v>121.045</v>
      </c>
      <c r="N280">
        <v>119.021</v>
      </c>
      <c r="O280" t="s">
        <v>862</v>
      </c>
      <c r="P280">
        <f t="shared" si="4"/>
        <v>0</v>
      </c>
    </row>
    <row r="281" spans="1:16" x14ac:dyDescent="0.25">
      <c r="A281" t="s">
        <v>578</v>
      </c>
      <c r="B281">
        <v>120.371</v>
      </c>
      <c r="C281">
        <v>121.334</v>
      </c>
      <c r="D281" t="s">
        <v>864</v>
      </c>
      <c r="E281">
        <v>8</v>
      </c>
      <c r="F281">
        <v>8</v>
      </c>
      <c r="G281" t="s">
        <v>687</v>
      </c>
      <c r="H281" t="s">
        <v>687</v>
      </c>
      <c r="J281">
        <v>0.121334</v>
      </c>
      <c r="K281">
        <v>0.12037099999999999</v>
      </c>
      <c r="L281" t="s">
        <v>303</v>
      </c>
      <c r="M281">
        <v>121.334</v>
      </c>
      <c r="N281">
        <v>120.371</v>
      </c>
      <c r="O281" t="s">
        <v>862</v>
      </c>
      <c r="P281">
        <f t="shared" si="4"/>
        <v>0</v>
      </c>
    </row>
    <row r="282" spans="1:16" x14ac:dyDescent="0.25">
      <c r="A282" t="s">
        <v>578</v>
      </c>
      <c r="B282">
        <v>119996.43121754</v>
      </c>
      <c r="C282">
        <v>122136.28978463</v>
      </c>
      <c r="D282" t="s">
        <v>864</v>
      </c>
      <c r="E282">
        <v>8</v>
      </c>
      <c r="F282">
        <v>8</v>
      </c>
      <c r="G282" t="s">
        <v>687</v>
      </c>
      <c r="H282" t="s">
        <v>687</v>
      </c>
      <c r="I282" t="s">
        <v>922</v>
      </c>
      <c r="J282">
        <v>0.12213628978463001</v>
      </c>
      <c r="K282">
        <v>0.11999643121754</v>
      </c>
      <c r="L282" t="s">
        <v>303</v>
      </c>
      <c r="M282">
        <v>122136.28978463</v>
      </c>
      <c r="N282">
        <v>119996.43121754</v>
      </c>
      <c r="O282" t="s">
        <v>862</v>
      </c>
      <c r="P282">
        <f t="shared" si="4"/>
        <v>27</v>
      </c>
    </row>
    <row r="283" spans="1:16" x14ac:dyDescent="0.25">
      <c r="A283" t="s">
        <v>578</v>
      </c>
      <c r="B283">
        <v>120.111</v>
      </c>
      <c r="C283">
        <v>122.166</v>
      </c>
      <c r="D283" t="s">
        <v>864</v>
      </c>
      <c r="E283">
        <v>8</v>
      </c>
      <c r="F283">
        <v>8</v>
      </c>
      <c r="G283" t="s">
        <v>687</v>
      </c>
      <c r="H283" t="s">
        <v>687</v>
      </c>
      <c r="J283">
        <v>0.122166</v>
      </c>
      <c r="K283">
        <v>0.12011100000000001</v>
      </c>
      <c r="L283" t="s">
        <v>303</v>
      </c>
      <c r="M283">
        <v>122.166</v>
      </c>
      <c r="N283">
        <v>120.111</v>
      </c>
      <c r="O283" t="s">
        <v>862</v>
      </c>
      <c r="P283">
        <f t="shared" si="4"/>
        <v>0</v>
      </c>
    </row>
    <row r="284" spans="1:16" x14ac:dyDescent="0.25">
      <c r="A284" t="s">
        <v>578</v>
      </c>
      <c r="B284">
        <v>121.22</v>
      </c>
      <c r="C284">
        <v>123.30500000000001</v>
      </c>
      <c r="D284" t="s">
        <v>864</v>
      </c>
      <c r="E284">
        <v>8</v>
      </c>
      <c r="F284">
        <v>8</v>
      </c>
      <c r="G284" t="s">
        <v>687</v>
      </c>
      <c r="H284" t="s">
        <v>687</v>
      </c>
      <c r="J284">
        <v>0.12330500000000001</v>
      </c>
      <c r="K284">
        <v>0.12121999999999999</v>
      </c>
      <c r="L284" t="s">
        <v>303</v>
      </c>
      <c r="M284">
        <v>123.30500000000001</v>
      </c>
      <c r="N284">
        <v>121.22</v>
      </c>
      <c r="O284" t="s">
        <v>862</v>
      </c>
      <c r="P284">
        <f t="shared" si="4"/>
        <v>0</v>
      </c>
    </row>
    <row r="285" spans="1:16" x14ac:dyDescent="0.25">
      <c r="A285" t="s">
        <v>669</v>
      </c>
      <c r="B285">
        <v>0.124235</v>
      </c>
      <c r="C285">
        <v>0.124235</v>
      </c>
      <c r="D285" t="s">
        <v>303</v>
      </c>
      <c r="E285" t="s">
        <v>910</v>
      </c>
      <c r="F285" t="s">
        <v>910</v>
      </c>
      <c r="J285">
        <v>0.124235</v>
      </c>
      <c r="K285">
        <v>0.124235</v>
      </c>
      <c r="L285" t="s">
        <v>303</v>
      </c>
      <c r="M285">
        <v>0.124235</v>
      </c>
      <c r="N285">
        <v>0.124235</v>
      </c>
      <c r="O285" t="s">
        <v>303</v>
      </c>
      <c r="P285">
        <f t="shared" si="4"/>
        <v>0</v>
      </c>
    </row>
    <row r="286" spans="1:16" x14ac:dyDescent="0.25">
      <c r="A286" t="s">
        <v>578</v>
      </c>
      <c r="B286">
        <v>122.429</v>
      </c>
      <c r="C286">
        <v>124.548</v>
      </c>
      <c r="D286" t="s">
        <v>864</v>
      </c>
      <c r="E286">
        <v>8</v>
      </c>
      <c r="F286">
        <v>8</v>
      </c>
      <c r="G286" t="s">
        <v>687</v>
      </c>
      <c r="H286" t="s">
        <v>687</v>
      </c>
      <c r="J286">
        <v>0.12454800000000001</v>
      </c>
      <c r="K286">
        <v>0.122429</v>
      </c>
      <c r="L286" t="s">
        <v>303</v>
      </c>
      <c r="M286">
        <v>124.548</v>
      </c>
      <c r="N286">
        <v>122.429</v>
      </c>
      <c r="O286" t="s">
        <v>862</v>
      </c>
      <c r="P286">
        <f t="shared" si="4"/>
        <v>0</v>
      </c>
    </row>
    <row r="287" spans="1:16" x14ac:dyDescent="0.25">
      <c r="A287" t="s">
        <v>669</v>
      </c>
      <c r="B287">
        <v>62</v>
      </c>
      <c r="C287">
        <v>126</v>
      </c>
      <c r="D287" t="s">
        <v>864</v>
      </c>
      <c r="E287">
        <v>8</v>
      </c>
      <c r="F287">
        <v>8</v>
      </c>
      <c r="G287" t="s">
        <v>687</v>
      </c>
      <c r="H287" t="s">
        <v>687</v>
      </c>
      <c r="J287">
        <v>0.126</v>
      </c>
      <c r="K287">
        <v>6.2E-2</v>
      </c>
      <c r="L287" t="s">
        <v>303</v>
      </c>
      <c r="M287">
        <v>126</v>
      </c>
      <c r="N287">
        <v>62</v>
      </c>
      <c r="O287" t="s">
        <v>862</v>
      </c>
      <c r="P287">
        <f t="shared" si="4"/>
        <v>0</v>
      </c>
    </row>
    <row r="288" spans="1:16" x14ac:dyDescent="0.25">
      <c r="A288" t="s">
        <v>669</v>
      </c>
      <c r="B288">
        <v>0.12609999999999999</v>
      </c>
      <c r="C288">
        <v>0.12609999999999999</v>
      </c>
      <c r="D288" t="s">
        <v>303</v>
      </c>
      <c r="E288" t="s">
        <v>910</v>
      </c>
      <c r="F288" t="s">
        <v>910</v>
      </c>
      <c r="J288">
        <v>0.12609999999999999</v>
      </c>
      <c r="K288">
        <v>0.12609999999999999</v>
      </c>
      <c r="L288" t="s">
        <v>303</v>
      </c>
      <c r="M288">
        <v>0.12609999999999999</v>
      </c>
      <c r="N288">
        <v>0.12609999999999999</v>
      </c>
      <c r="O288" t="s">
        <v>303</v>
      </c>
      <c r="P288">
        <f t="shared" si="4"/>
        <v>0</v>
      </c>
    </row>
    <row r="289" spans="1:16" x14ac:dyDescent="0.25">
      <c r="A289" t="s">
        <v>578</v>
      </c>
      <c r="B289">
        <v>124.17100000000001</v>
      </c>
      <c r="C289">
        <v>126.34099999999999</v>
      </c>
      <c r="D289" t="s">
        <v>864</v>
      </c>
      <c r="E289">
        <v>8</v>
      </c>
      <c r="F289">
        <v>8</v>
      </c>
      <c r="G289" t="s">
        <v>687</v>
      </c>
      <c r="H289" t="s">
        <v>687</v>
      </c>
      <c r="J289">
        <v>0.12634099999999998</v>
      </c>
      <c r="K289">
        <v>0.124171</v>
      </c>
      <c r="L289" t="s">
        <v>303</v>
      </c>
      <c r="M289">
        <v>126.34099999999999</v>
      </c>
      <c r="N289">
        <v>124.17100000000001</v>
      </c>
      <c r="O289" t="s">
        <v>862</v>
      </c>
      <c r="P289">
        <f t="shared" si="4"/>
        <v>0</v>
      </c>
    </row>
    <row r="290" spans="1:16" x14ac:dyDescent="0.25">
      <c r="A290" t="s">
        <v>669</v>
      </c>
      <c r="B290">
        <v>0.126417</v>
      </c>
      <c r="C290">
        <v>0.126417</v>
      </c>
      <c r="D290" t="s">
        <v>303</v>
      </c>
      <c r="E290" t="s">
        <v>910</v>
      </c>
      <c r="F290" t="s">
        <v>910</v>
      </c>
      <c r="J290">
        <v>0.126417</v>
      </c>
      <c r="K290">
        <v>0.126417</v>
      </c>
      <c r="L290" t="s">
        <v>303</v>
      </c>
      <c r="M290">
        <v>0.126417</v>
      </c>
      <c r="N290">
        <v>0.126417</v>
      </c>
      <c r="O290" t="s">
        <v>303</v>
      </c>
      <c r="P290">
        <f t="shared" si="4"/>
        <v>0</v>
      </c>
    </row>
    <row r="291" spans="1:16" x14ac:dyDescent="0.25">
      <c r="A291" t="s">
        <v>578</v>
      </c>
      <c r="B291">
        <v>124.432</v>
      </c>
      <c r="C291">
        <v>126.611</v>
      </c>
      <c r="D291" t="s">
        <v>864</v>
      </c>
      <c r="E291">
        <v>8</v>
      </c>
      <c r="F291">
        <v>8</v>
      </c>
      <c r="G291" t="s">
        <v>687</v>
      </c>
      <c r="H291" t="s">
        <v>687</v>
      </c>
      <c r="J291">
        <v>0.126611</v>
      </c>
      <c r="K291">
        <v>0.124432</v>
      </c>
      <c r="L291" t="s">
        <v>303</v>
      </c>
      <c r="M291">
        <v>126.611</v>
      </c>
      <c r="N291">
        <v>124.432</v>
      </c>
      <c r="O291" t="s">
        <v>862</v>
      </c>
      <c r="P291">
        <f t="shared" si="4"/>
        <v>0</v>
      </c>
    </row>
    <row r="292" spans="1:16" x14ac:dyDescent="0.25">
      <c r="A292" t="s">
        <v>669</v>
      </c>
      <c r="B292">
        <v>3.1E-2</v>
      </c>
      <c r="C292">
        <v>0.128</v>
      </c>
      <c r="D292" t="s">
        <v>860</v>
      </c>
      <c r="E292" t="s">
        <v>910</v>
      </c>
      <c r="F292" t="s">
        <v>910</v>
      </c>
      <c r="J292">
        <v>0.128</v>
      </c>
      <c r="K292">
        <v>3.1E-2</v>
      </c>
      <c r="L292" t="s">
        <v>303</v>
      </c>
      <c r="M292">
        <v>0.128</v>
      </c>
      <c r="N292">
        <v>3.1E-2</v>
      </c>
      <c r="O292" t="s">
        <v>303</v>
      </c>
      <c r="P292">
        <f t="shared" si="4"/>
        <v>0</v>
      </c>
    </row>
    <row r="293" spans="1:16" x14ac:dyDescent="0.25">
      <c r="A293" t="s">
        <v>669</v>
      </c>
      <c r="B293">
        <v>0.12804399999999999</v>
      </c>
      <c r="C293">
        <v>0.12804399999999999</v>
      </c>
      <c r="D293" t="s">
        <v>303</v>
      </c>
      <c r="E293" t="s">
        <v>910</v>
      </c>
      <c r="F293" t="s">
        <v>910</v>
      </c>
      <c r="J293">
        <v>0.12804399999999999</v>
      </c>
      <c r="K293">
        <v>0.12804399999999999</v>
      </c>
      <c r="L293" t="s">
        <v>303</v>
      </c>
      <c r="M293">
        <v>0.12804399999999999</v>
      </c>
      <c r="N293">
        <v>0.12804399999999999</v>
      </c>
      <c r="O293" t="s">
        <v>303</v>
      </c>
      <c r="P293">
        <f t="shared" si="4"/>
        <v>0</v>
      </c>
    </row>
    <row r="294" spans="1:16" x14ac:dyDescent="0.25">
      <c r="A294" t="s">
        <v>669</v>
      </c>
      <c r="B294">
        <v>0.129</v>
      </c>
      <c r="C294">
        <v>0.129</v>
      </c>
      <c r="D294" t="s">
        <v>303</v>
      </c>
      <c r="E294" t="s">
        <v>910</v>
      </c>
      <c r="F294" t="s">
        <v>910</v>
      </c>
      <c r="J294">
        <v>0.129</v>
      </c>
      <c r="K294">
        <v>0.129</v>
      </c>
      <c r="L294" t="s">
        <v>303</v>
      </c>
      <c r="M294">
        <v>0.129</v>
      </c>
      <c r="N294">
        <v>0.129</v>
      </c>
      <c r="O294" t="s">
        <v>303</v>
      </c>
      <c r="P294">
        <f t="shared" si="4"/>
        <v>0</v>
      </c>
    </row>
    <row r="295" spans="1:16" x14ac:dyDescent="0.25">
      <c r="A295" t="s">
        <v>669</v>
      </c>
      <c r="B295">
        <v>0.12909999999999999</v>
      </c>
      <c r="C295">
        <v>0.12909999999999999</v>
      </c>
      <c r="D295" t="s">
        <v>303</v>
      </c>
      <c r="E295" t="s">
        <v>910</v>
      </c>
      <c r="F295" t="s">
        <v>910</v>
      </c>
      <c r="J295">
        <v>0.12909999999999999</v>
      </c>
      <c r="K295">
        <v>0.12909999999999999</v>
      </c>
      <c r="L295" t="s">
        <v>303</v>
      </c>
      <c r="M295">
        <v>0.12909999999999999</v>
      </c>
      <c r="N295">
        <v>0.12909999999999999</v>
      </c>
      <c r="O295" t="s">
        <v>303</v>
      </c>
      <c r="P295">
        <f t="shared" si="4"/>
        <v>0</v>
      </c>
    </row>
    <row r="296" spans="1:16" x14ac:dyDescent="0.25">
      <c r="A296" t="s">
        <v>669</v>
      </c>
      <c r="B296">
        <v>0.12920000000000001</v>
      </c>
      <c r="C296">
        <v>0.12920000000000001</v>
      </c>
      <c r="D296" t="s">
        <v>303</v>
      </c>
      <c r="E296" t="s">
        <v>910</v>
      </c>
      <c r="F296" t="s">
        <v>910</v>
      </c>
      <c r="J296">
        <v>0.12920000000000001</v>
      </c>
      <c r="K296">
        <v>0.12920000000000001</v>
      </c>
      <c r="L296" t="s">
        <v>303</v>
      </c>
      <c r="M296">
        <v>0.12920000000000001</v>
      </c>
      <c r="N296">
        <v>0.12920000000000001</v>
      </c>
      <c r="O296" t="s">
        <v>303</v>
      </c>
      <c r="P296">
        <f t="shared" si="4"/>
        <v>0</v>
      </c>
    </row>
    <row r="297" spans="1:16" x14ac:dyDescent="0.25">
      <c r="A297" t="s">
        <v>669</v>
      </c>
      <c r="B297">
        <v>0.04</v>
      </c>
      <c r="C297">
        <v>0.13</v>
      </c>
      <c r="D297" t="s">
        <v>303</v>
      </c>
      <c r="E297" t="s">
        <v>910</v>
      </c>
      <c r="F297" t="s">
        <v>910</v>
      </c>
      <c r="J297">
        <v>0.13</v>
      </c>
      <c r="K297">
        <v>0.04</v>
      </c>
      <c r="L297" t="s">
        <v>303</v>
      </c>
      <c r="M297">
        <v>0.13</v>
      </c>
      <c r="N297">
        <v>0.04</v>
      </c>
      <c r="O297" t="s">
        <v>303</v>
      </c>
      <c r="P297">
        <f t="shared" si="4"/>
        <v>0</v>
      </c>
    </row>
    <row r="298" spans="1:16" x14ac:dyDescent="0.25">
      <c r="A298" t="s">
        <v>59</v>
      </c>
      <c r="B298" t="s">
        <v>669</v>
      </c>
      <c r="C298">
        <v>130</v>
      </c>
      <c r="D298" t="s">
        <v>862</v>
      </c>
      <c r="E298">
        <v>8</v>
      </c>
      <c r="F298">
        <v>5</v>
      </c>
      <c r="G298" t="s">
        <v>687</v>
      </c>
      <c r="H298" t="s">
        <v>684</v>
      </c>
      <c r="J298">
        <v>0.13</v>
      </c>
      <c r="K298">
        <v>0</v>
      </c>
      <c r="L298" t="s">
        <v>303</v>
      </c>
      <c r="M298">
        <v>130</v>
      </c>
      <c r="O298" t="s">
        <v>862</v>
      </c>
      <c r="P298">
        <f t="shared" si="4"/>
        <v>0</v>
      </c>
    </row>
    <row r="299" spans="1:16" x14ac:dyDescent="0.25">
      <c r="A299" t="s">
        <v>527</v>
      </c>
      <c r="B299">
        <v>80000</v>
      </c>
      <c r="C299">
        <v>130000</v>
      </c>
      <c r="D299" t="s">
        <v>857</v>
      </c>
      <c r="E299">
        <v>8</v>
      </c>
      <c r="F299">
        <v>8</v>
      </c>
      <c r="G299" t="s">
        <v>687</v>
      </c>
      <c r="H299" t="s">
        <v>687</v>
      </c>
      <c r="J299">
        <v>0.13</v>
      </c>
      <c r="K299">
        <v>0.08</v>
      </c>
      <c r="L299" t="s">
        <v>303</v>
      </c>
      <c r="M299">
        <v>130000</v>
      </c>
      <c r="N299">
        <v>80000</v>
      </c>
      <c r="O299" t="s">
        <v>303</v>
      </c>
      <c r="P299">
        <f t="shared" si="4"/>
        <v>0</v>
      </c>
    </row>
    <row r="300" spans="1:16" x14ac:dyDescent="0.25">
      <c r="A300" t="s">
        <v>527</v>
      </c>
      <c r="B300">
        <v>130.57560000000001</v>
      </c>
      <c r="C300">
        <v>130.57560000000001</v>
      </c>
      <c r="D300" t="s">
        <v>887</v>
      </c>
      <c r="E300">
        <v>8</v>
      </c>
      <c r="F300">
        <v>8</v>
      </c>
      <c r="G300" t="s">
        <v>687</v>
      </c>
      <c r="H300" t="s">
        <v>687</v>
      </c>
      <c r="J300">
        <v>0.13057560000000001</v>
      </c>
      <c r="K300">
        <v>0.13057560000000001</v>
      </c>
      <c r="L300" t="s">
        <v>303</v>
      </c>
      <c r="M300">
        <v>130.57560000000001</v>
      </c>
      <c r="N300">
        <v>130.57560000000001</v>
      </c>
      <c r="O300" t="s">
        <v>862</v>
      </c>
      <c r="P300">
        <f t="shared" si="4"/>
        <v>0</v>
      </c>
    </row>
    <row r="301" spans="1:16" x14ac:dyDescent="0.25">
      <c r="A301" t="s">
        <v>669</v>
      </c>
      <c r="B301">
        <v>0.13250000000000001</v>
      </c>
      <c r="C301">
        <v>0.13250000000000001</v>
      </c>
      <c r="D301" t="s">
        <v>303</v>
      </c>
      <c r="E301" t="s">
        <v>910</v>
      </c>
      <c r="F301" t="s">
        <v>910</v>
      </c>
      <c r="J301">
        <v>0.13250000000000001</v>
      </c>
      <c r="K301">
        <v>0.13250000000000001</v>
      </c>
      <c r="L301" t="s">
        <v>303</v>
      </c>
      <c r="M301">
        <v>0.13250000000000001</v>
      </c>
      <c r="N301">
        <v>0.13250000000000001</v>
      </c>
      <c r="O301" t="s">
        <v>303</v>
      </c>
      <c r="P301">
        <f t="shared" si="4"/>
        <v>0</v>
      </c>
    </row>
    <row r="302" spans="1:16" x14ac:dyDescent="0.25">
      <c r="A302" t="s">
        <v>669</v>
      </c>
      <c r="B302">
        <v>0.13353899999999999</v>
      </c>
      <c r="C302">
        <v>0.13353899999999999</v>
      </c>
      <c r="D302" t="s">
        <v>303</v>
      </c>
      <c r="E302" t="s">
        <v>910</v>
      </c>
      <c r="F302" t="s">
        <v>910</v>
      </c>
      <c r="J302">
        <v>0.13353899999999999</v>
      </c>
      <c r="K302">
        <v>0.13353899999999999</v>
      </c>
      <c r="L302" t="s">
        <v>303</v>
      </c>
      <c r="M302">
        <v>0.13353899999999999</v>
      </c>
      <c r="N302">
        <v>0.13353899999999999</v>
      </c>
      <c r="O302" t="s">
        <v>303</v>
      </c>
      <c r="P302">
        <f t="shared" si="4"/>
        <v>0</v>
      </c>
    </row>
    <row r="303" spans="1:16" x14ac:dyDescent="0.25">
      <c r="A303" t="s">
        <v>527</v>
      </c>
      <c r="B303" t="s">
        <v>669</v>
      </c>
      <c r="C303">
        <v>135</v>
      </c>
      <c r="D303" t="s">
        <v>864</v>
      </c>
      <c r="E303">
        <v>8</v>
      </c>
      <c r="F303">
        <v>5</v>
      </c>
      <c r="G303" t="s">
        <v>687</v>
      </c>
      <c r="H303" t="s">
        <v>684</v>
      </c>
      <c r="J303">
        <v>0.13500000000000001</v>
      </c>
      <c r="K303">
        <v>0</v>
      </c>
      <c r="L303" t="s">
        <v>303</v>
      </c>
      <c r="M303">
        <v>135</v>
      </c>
      <c r="O303" t="s">
        <v>862</v>
      </c>
      <c r="P303">
        <f t="shared" si="4"/>
        <v>0</v>
      </c>
    </row>
    <row r="304" spans="1:16" x14ac:dyDescent="0.25">
      <c r="A304" t="s">
        <v>669</v>
      </c>
      <c r="B304">
        <v>0.135736</v>
      </c>
      <c r="C304">
        <v>0.135736</v>
      </c>
      <c r="D304" t="s">
        <v>303</v>
      </c>
      <c r="E304" t="s">
        <v>910</v>
      </c>
      <c r="F304" t="s">
        <v>910</v>
      </c>
      <c r="J304">
        <v>0.135736</v>
      </c>
      <c r="K304">
        <v>0.135736</v>
      </c>
      <c r="L304" t="s">
        <v>303</v>
      </c>
      <c r="M304">
        <v>0.135736</v>
      </c>
      <c r="N304">
        <v>0.135736</v>
      </c>
      <c r="O304" t="s">
        <v>303</v>
      </c>
      <c r="P304">
        <f t="shared" si="4"/>
        <v>0</v>
      </c>
    </row>
    <row r="305" spans="1:16" x14ac:dyDescent="0.25">
      <c r="A305" t="s">
        <v>669</v>
      </c>
      <c r="B305">
        <v>118584</v>
      </c>
      <c r="C305">
        <v>135864</v>
      </c>
      <c r="D305" t="s">
        <v>669</v>
      </c>
      <c r="E305">
        <v>8</v>
      </c>
      <c r="F305">
        <v>8</v>
      </c>
      <c r="G305" t="s">
        <v>687</v>
      </c>
      <c r="H305" t="s">
        <v>687</v>
      </c>
      <c r="I305" t="s">
        <v>927</v>
      </c>
      <c r="J305">
        <v>0.13586400000000001</v>
      </c>
      <c r="K305">
        <v>0.11858399999999999</v>
      </c>
      <c r="L305" t="s">
        <v>930</v>
      </c>
      <c r="M305">
        <v>135864</v>
      </c>
      <c r="N305">
        <v>118584</v>
      </c>
      <c r="P305">
        <f t="shared" si="4"/>
        <v>14</v>
      </c>
    </row>
    <row r="306" spans="1:16" x14ac:dyDescent="0.25">
      <c r="A306" t="s">
        <v>669</v>
      </c>
      <c r="B306">
        <v>0.13589999999999999</v>
      </c>
      <c r="C306">
        <v>0.13589999999999999</v>
      </c>
      <c r="D306" t="s">
        <v>303</v>
      </c>
      <c r="E306" t="s">
        <v>910</v>
      </c>
      <c r="F306" t="s">
        <v>910</v>
      </c>
      <c r="J306">
        <v>0.13589999999999999</v>
      </c>
      <c r="K306">
        <v>0.13589999999999999</v>
      </c>
      <c r="L306" t="s">
        <v>303</v>
      </c>
      <c r="M306">
        <v>0.13589999999999999</v>
      </c>
      <c r="N306">
        <v>0.13589999999999999</v>
      </c>
      <c r="O306" t="s">
        <v>303</v>
      </c>
      <c r="P306">
        <f t="shared" si="4"/>
        <v>0</v>
      </c>
    </row>
    <row r="307" spans="1:16" x14ac:dyDescent="0.25">
      <c r="A307" t="s">
        <v>578</v>
      </c>
      <c r="B307">
        <v>0.13077</v>
      </c>
      <c r="C307">
        <v>0.13655</v>
      </c>
      <c r="D307" t="s">
        <v>669</v>
      </c>
      <c r="E307">
        <v>8</v>
      </c>
      <c r="F307">
        <v>8</v>
      </c>
      <c r="G307" t="s">
        <v>687</v>
      </c>
      <c r="H307" t="s">
        <v>687</v>
      </c>
      <c r="I307" t="s">
        <v>927</v>
      </c>
      <c r="J307">
        <v>0.13655</v>
      </c>
      <c r="K307">
        <v>0.13077</v>
      </c>
      <c r="L307" t="s">
        <v>930</v>
      </c>
      <c r="M307">
        <v>0.13655</v>
      </c>
      <c r="N307">
        <v>0.13077</v>
      </c>
      <c r="P307">
        <f t="shared" si="4"/>
        <v>14</v>
      </c>
    </row>
    <row r="308" spans="1:16" x14ac:dyDescent="0.25">
      <c r="A308" t="s">
        <v>669</v>
      </c>
      <c r="B308" t="s">
        <v>669</v>
      </c>
      <c r="C308">
        <v>137</v>
      </c>
      <c r="D308" t="s">
        <v>862</v>
      </c>
      <c r="E308">
        <v>8</v>
      </c>
      <c r="F308">
        <v>5</v>
      </c>
      <c r="G308" t="s">
        <v>687</v>
      </c>
      <c r="H308" t="s">
        <v>684</v>
      </c>
      <c r="J308">
        <v>0.13700000000000001</v>
      </c>
      <c r="K308">
        <v>0</v>
      </c>
      <c r="L308" t="s">
        <v>303</v>
      </c>
      <c r="M308">
        <v>137</v>
      </c>
      <c r="O308" t="s">
        <v>862</v>
      </c>
      <c r="P308">
        <f t="shared" si="4"/>
        <v>0</v>
      </c>
    </row>
    <row r="309" spans="1:16" x14ac:dyDescent="0.25">
      <c r="A309" t="s">
        <v>527</v>
      </c>
      <c r="B309" t="s">
        <v>669</v>
      </c>
      <c r="C309">
        <v>137</v>
      </c>
      <c r="D309" t="s">
        <v>862</v>
      </c>
      <c r="E309">
        <v>8</v>
      </c>
      <c r="F309">
        <v>5</v>
      </c>
      <c r="G309" t="s">
        <v>687</v>
      </c>
      <c r="H309" t="s">
        <v>684</v>
      </c>
      <c r="J309">
        <v>0.13700000000000001</v>
      </c>
      <c r="K309">
        <v>0</v>
      </c>
      <c r="L309" t="s">
        <v>303</v>
      </c>
      <c r="M309">
        <v>137</v>
      </c>
      <c r="O309" t="s">
        <v>862</v>
      </c>
      <c r="P309">
        <f t="shared" si="4"/>
        <v>0</v>
      </c>
    </row>
    <row r="310" spans="1:16" x14ac:dyDescent="0.25">
      <c r="A310" t="s">
        <v>669</v>
      </c>
      <c r="B310">
        <v>0.13800000000000001</v>
      </c>
      <c r="C310">
        <v>0.13800000000000001</v>
      </c>
      <c r="D310" t="s">
        <v>303</v>
      </c>
      <c r="E310" t="s">
        <v>910</v>
      </c>
      <c r="F310" t="s">
        <v>910</v>
      </c>
      <c r="J310">
        <v>0.13800000000000001</v>
      </c>
      <c r="K310">
        <v>0.13800000000000001</v>
      </c>
      <c r="L310" t="s">
        <v>303</v>
      </c>
      <c r="M310">
        <v>0.13800000000000001</v>
      </c>
      <c r="N310">
        <v>0.13800000000000001</v>
      </c>
      <c r="O310" t="s">
        <v>303</v>
      </c>
      <c r="P310">
        <f t="shared" si="4"/>
        <v>0</v>
      </c>
    </row>
    <row r="311" spans="1:16" x14ac:dyDescent="0.25">
      <c r="A311" t="s">
        <v>669</v>
      </c>
      <c r="B311">
        <v>121117</v>
      </c>
      <c r="C311">
        <v>138930</v>
      </c>
      <c r="D311" t="s">
        <v>669</v>
      </c>
      <c r="E311">
        <v>8</v>
      </c>
      <c r="F311">
        <v>8</v>
      </c>
      <c r="G311" t="s">
        <v>687</v>
      </c>
      <c r="H311" t="s">
        <v>687</v>
      </c>
      <c r="I311" t="s">
        <v>927</v>
      </c>
      <c r="J311">
        <v>0.13893</v>
      </c>
      <c r="K311">
        <v>0.121117</v>
      </c>
      <c r="L311" t="s">
        <v>930</v>
      </c>
      <c r="M311">
        <v>138930</v>
      </c>
      <c r="N311">
        <v>121117</v>
      </c>
      <c r="P311">
        <f t="shared" si="4"/>
        <v>14</v>
      </c>
    </row>
    <row r="312" spans="1:16" x14ac:dyDescent="0.25">
      <c r="A312" t="s">
        <v>578</v>
      </c>
      <c r="B312">
        <v>0.1313</v>
      </c>
      <c r="C312">
        <v>0.13941999999999999</v>
      </c>
      <c r="D312" t="s">
        <v>669</v>
      </c>
      <c r="E312">
        <v>8</v>
      </c>
      <c r="F312">
        <v>8</v>
      </c>
      <c r="G312" t="s">
        <v>687</v>
      </c>
      <c r="H312" t="s">
        <v>687</v>
      </c>
      <c r="I312" t="s">
        <v>927</v>
      </c>
      <c r="J312">
        <v>0.13941999999999999</v>
      </c>
      <c r="K312">
        <v>0.1313</v>
      </c>
      <c r="L312" t="s">
        <v>930</v>
      </c>
      <c r="M312">
        <v>0.13941999999999999</v>
      </c>
      <c r="N312">
        <v>0.1313</v>
      </c>
      <c r="P312">
        <f t="shared" si="4"/>
        <v>14</v>
      </c>
    </row>
    <row r="313" spans="1:16" x14ac:dyDescent="0.25">
      <c r="A313" t="s">
        <v>669</v>
      </c>
      <c r="B313">
        <v>0.13947300000000001</v>
      </c>
      <c r="C313">
        <v>0.13947300000000001</v>
      </c>
      <c r="D313" t="s">
        <v>303</v>
      </c>
      <c r="E313" t="s">
        <v>910</v>
      </c>
      <c r="F313" t="s">
        <v>910</v>
      </c>
      <c r="J313">
        <v>0.13947300000000001</v>
      </c>
      <c r="K313">
        <v>0.13947300000000001</v>
      </c>
      <c r="L313" t="s">
        <v>303</v>
      </c>
      <c r="M313">
        <v>0.13947300000000001</v>
      </c>
      <c r="N313">
        <v>0.13947300000000001</v>
      </c>
      <c r="O313" t="s">
        <v>303</v>
      </c>
      <c r="P313">
        <f t="shared" si="4"/>
        <v>0</v>
      </c>
    </row>
    <row r="314" spans="1:16" x14ac:dyDescent="0.25">
      <c r="A314" t="s">
        <v>669</v>
      </c>
      <c r="B314">
        <v>0.141231</v>
      </c>
      <c r="C314">
        <v>0.141231</v>
      </c>
      <c r="D314" t="s">
        <v>303</v>
      </c>
      <c r="E314" t="s">
        <v>910</v>
      </c>
      <c r="F314" t="s">
        <v>910</v>
      </c>
      <c r="J314">
        <v>0.141231</v>
      </c>
      <c r="K314">
        <v>0.141231</v>
      </c>
      <c r="L314" t="s">
        <v>303</v>
      </c>
      <c r="M314">
        <v>0.141231</v>
      </c>
      <c r="N314">
        <v>0.141231</v>
      </c>
      <c r="O314" t="s">
        <v>303</v>
      </c>
      <c r="P314">
        <f t="shared" si="4"/>
        <v>0</v>
      </c>
    </row>
    <row r="315" spans="1:16" x14ac:dyDescent="0.25">
      <c r="A315" t="s">
        <v>669</v>
      </c>
      <c r="B315">
        <v>0.14230000000000001</v>
      </c>
      <c r="C315">
        <v>0.14230000000000001</v>
      </c>
      <c r="D315" t="s">
        <v>303</v>
      </c>
      <c r="E315" t="s">
        <v>910</v>
      </c>
      <c r="F315" t="s">
        <v>910</v>
      </c>
      <c r="J315">
        <v>0.14230000000000001</v>
      </c>
      <c r="K315">
        <v>0.14230000000000001</v>
      </c>
      <c r="L315" t="s">
        <v>303</v>
      </c>
      <c r="M315">
        <v>0.14230000000000001</v>
      </c>
      <c r="N315">
        <v>0.14230000000000001</v>
      </c>
      <c r="O315" t="s">
        <v>303</v>
      </c>
      <c r="P315">
        <f t="shared" si="4"/>
        <v>0</v>
      </c>
    </row>
    <row r="316" spans="1:16" x14ac:dyDescent="0.25">
      <c r="A316" t="s">
        <v>669</v>
      </c>
      <c r="B316">
        <v>0.14538499999999999</v>
      </c>
      <c r="C316">
        <v>0.14538499999999999</v>
      </c>
      <c r="D316" t="s">
        <v>303</v>
      </c>
      <c r="E316" t="s">
        <v>910</v>
      </c>
      <c r="F316" t="s">
        <v>910</v>
      </c>
      <c r="J316">
        <v>0.14538499999999999</v>
      </c>
      <c r="K316">
        <v>0.14538499999999999</v>
      </c>
      <c r="L316" t="s">
        <v>303</v>
      </c>
      <c r="M316">
        <v>0.14538499999999999</v>
      </c>
      <c r="N316">
        <v>0.14538499999999999</v>
      </c>
      <c r="O316" t="s">
        <v>303</v>
      </c>
      <c r="P316">
        <f t="shared" si="4"/>
        <v>0</v>
      </c>
    </row>
    <row r="317" spans="1:16" x14ac:dyDescent="0.25">
      <c r="A317" t="s">
        <v>669</v>
      </c>
      <c r="B317">
        <v>0.1467</v>
      </c>
      <c r="C317">
        <v>0.1467</v>
      </c>
      <c r="D317" t="s">
        <v>303</v>
      </c>
      <c r="E317" t="s">
        <v>910</v>
      </c>
      <c r="F317" t="s">
        <v>910</v>
      </c>
      <c r="J317">
        <v>0.1467</v>
      </c>
      <c r="K317">
        <v>0.1467</v>
      </c>
      <c r="L317" t="s">
        <v>303</v>
      </c>
      <c r="M317">
        <v>0.1467</v>
      </c>
      <c r="N317">
        <v>0.1467</v>
      </c>
      <c r="O317" t="s">
        <v>303</v>
      </c>
      <c r="P317">
        <f t="shared" si="4"/>
        <v>0</v>
      </c>
    </row>
    <row r="318" spans="1:16" x14ac:dyDescent="0.25">
      <c r="A318" t="s">
        <v>527</v>
      </c>
      <c r="B318">
        <v>141</v>
      </c>
      <c r="C318">
        <v>147</v>
      </c>
      <c r="D318" t="s">
        <v>864</v>
      </c>
      <c r="E318">
        <v>8</v>
      </c>
      <c r="F318">
        <v>8</v>
      </c>
      <c r="G318" t="s">
        <v>687</v>
      </c>
      <c r="H318" t="s">
        <v>687</v>
      </c>
      <c r="J318">
        <v>0.14699999999999999</v>
      </c>
      <c r="K318">
        <v>0.14099999999999999</v>
      </c>
      <c r="L318" t="s">
        <v>303</v>
      </c>
      <c r="M318">
        <v>147</v>
      </c>
      <c r="N318">
        <v>141</v>
      </c>
      <c r="O318" t="s">
        <v>862</v>
      </c>
      <c r="P318">
        <f t="shared" si="4"/>
        <v>0</v>
      </c>
    </row>
    <row r="319" spans="1:16" x14ac:dyDescent="0.25">
      <c r="A319" t="s">
        <v>669</v>
      </c>
      <c r="B319">
        <v>0.14760400000000001</v>
      </c>
      <c r="C319">
        <v>0.14760400000000001</v>
      </c>
      <c r="D319" t="s">
        <v>303</v>
      </c>
      <c r="E319" t="s">
        <v>910</v>
      </c>
      <c r="F319" t="s">
        <v>910</v>
      </c>
      <c r="J319">
        <v>0.14760400000000001</v>
      </c>
      <c r="K319">
        <v>0.14760400000000001</v>
      </c>
      <c r="L319" t="s">
        <v>303</v>
      </c>
      <c r="M319">
        <v>0.14760400000000001</v>
      </c>
      <c r="N319">
        <v>0.14760400000000001</v>
      </c>
      <c r="O319" t="s">
        <v>303</v>
      </c>
      <c r="P319">
        <f t="shared" si="4"/>
        <v>0</v>
      </c>
    </row>
    <row r="320" spans="1:16" x14ac:dyDescent="0.25">
      <c r="A320" t="s">
        <v>669</v>
      </c>
      <c r="B320">
        <v>0.14979999999999999</v>
      </c>
      <c r="C320">
        <v>0.14979999999999999</v>
      </c>
      <c r="D320" t="s">
        <v>303</v>
      </c>
      <c r="E320" t="s">
        <v>910</v>
      </c>
      <c r="F320" t="s">
        <v>910</v>
      </c>
      <c r="J320">
        <v>0.14979999999999999</v>
      </c>
      <c r="K320">
        <v>0.14979999999999999</v>
      </c>
      <c r="L320" t="s">
        <v>303</v>
      </c>
      <c r="M320">
        <v>0.14979999999999999</v>
      </c>
      <c r="N320">
        <v>0.14979999999999999</v>
      </c>
      <c r="O320" t="s">
        <v>303</v>
      </c>
      <c r="P320">
        <f t="shared" si="4"/>
        <v>0</v>
      </c>
    </row>
    <row r="321" spans="1:16" x14ac:dyDescent="0.25">
      <c r="A321" t="s">
        <v>669</v>
      </c>
      <c r="B321">
        <v>0.14990000000000001</v>
      </c>
      <c r="C321">
        <v>0.14990000000000001</v>
      </c>
      <c r="D321" t="s">
        <v>303</v>
      </c>
      <c r="E321" t="s">
        <v>910</v>
      </c>
      <c r="F321" t="s">
        <v>910</v>
      </c>
      <c r="J321">
        <v>0.14990000000000001</v>
      </c>
      <c r="K321">
        <v>0.14990000000000001</v>
      </c>
      <c r="L321" t="s">
        <v>303</v>
      </c>
      <c r="M321">
        <v>0.14990000000000001</v>
      </c>
      <c r="N321">
        <v>0.14990000000000001</v>
      </c>
      <c r="O321" t="s">
        <v>303</v>
      </c>
      <c r="P321">
        <f t="shared" si="4"/>
        <v>0</v>
      </c>
    </row>
    <row r="322" spans="1:16" x14ac:dyDescent="0.25">
      <c r="A322" t="s">
        <v>669</v>
      </c>
      <c r="B322">
        <v>-0.03</v>
      </c>
      <c r="C322">
        <v>0.15</v>
      </c>
      <c r="D322" t="s">
        <v>669</v>
      </c>
      <c r="E322">
        <v>8</v>
      </c>
      <c r="F322">
        <v>8</v>
      </c>
      <c r="G322" t="s">
        <v>687</v>
      </c>
      <c r="H322" t="s">
        <v>687</v>
      </c>
      <c r="I322" t="s">
        <v>926</v>
      </c>
      <c r="J322">
        <v>0.15</v>
      </c>
      <c r="K322">
        <v>0.03</v>
      </c>
      <c r="L322" t="s">
        <v>930</v>
      </c>
      <c r="M322">
        <v>0.15</v>
      </c>
      <c r="N322">
        <v>-0.03</v>
      </c>
      <c r="P322">
        <f t="shared" si="4"/>
        <v>40</v>
      </c>
    </row>
    <row r="323" spans="1:16" x14ac:dyDescent="0.25">
      <c r="A323" t="s">
        <v>669</v>
      </c>
      <c r="B323">
        <v>0.1</v>
      </c>
      <c r="C323">
        <v>0.15</v>
      </c>
      <c r="D323" t="s">
        <v>669</v>
      </c>
      <c r="E323">
        <v>8</v>
      </c>
      <c r="F323">
        <v>8</v>
      </c>
      <c r="G323" t="s">
        <v>687</v>
      </c>
      <c r="H323" t="s">
        <v>687</v>
      </c>
      <c r="I323" t="s">
        <v>927</v>
      </c>
      <c r="J323">
        <v>0.15</v>
      </c>
      <c r="K323">
        <v>0.1</v>
      </c>
      <c r="L323" t="s">
        <v>930</v>
      </c>
      <c r="M323">
        <v>0.15</v>
      </c>
      <c r="N323">
        <v>0.1</v>
      </c>
      <c r="P323">
        <f t="shared" ref="P323:P386" si="5">LEN(I323)</f>
        <v>14</v>
      </c>
    </row>
    <row r="324" spans="1:16" x14ac:dyDescent="0.25">
      <c r="A324" t="s">
        <v>669</v>
      </c>
      <c r="B324">
        <v>0.15</v>
      </c>
      <c r="C324">
        <v>0.15</v>
      </c>
      <c r="D324" t="s">
        <v>860</v>
      </c>
      <c r="E324" t="s">
        <v>910</v>
      </c>
      <c r="F324" t="s">
        <v>910</v>
      </c>
      <c r="J324">
        <v>0.15</v>
      </c>
      <c r="K324">
        <v>0.15</v>
      </c>
      <c r="L324" t="s">
        <v>303</v>
      </c>
      <c r="M324">
        <v>0.15</v>
      </c>
      <c r="N324">
        <v>0.15</v>
      </c>
      <c r="O324" t="s">
        <v>303</v>
      </c>
      <c r="P324">
        <f t="shared" si="5"/>
        <v>0</v>
      </c>
    </row>
    <row r="325" spans="1:16" x14ac:dyDescent="0.25">
      <c r="A325" t="s">
        <v>669</v>
      </c>
      <c r="B325">
        <v>0.15129699999999999</v>
      </c>
      <c r="C325">
        <v>0.15129699999999999</v>
      </c>
      <c r="D325" t="s">
        <v>303</v>
      </c>
      <c r="E325" t="s">
        <v>910</v>
      </c>
      <c r="F325" t="s">
        <v>910</v>
      </c>
      <c r="J325">
        <v>0.15129699999999999</v>
      </c>
      <c r="K325">
        <v>0.15129699999999999</v>
      </c>
      <c r="L325" t="s">
        <v>303</v>
      </c>
      <c r="M325">
        <v>0.15129699999999999</v>
      </c>
      <c r="N325">
        <v>0.15129699999999999</v>
      </c>
      <c r="O325" t="s">
        <v>303</v>
      </c>
      <c r="P325">
        <f t="shared" si="5"/>
        <v>0</v>
      </c>
    </row>
    <row r="326" spans="1:16" x14ac:dyDescent="0.25">
      <c r="A326" t="s">
        <v>669</v>
      </c>
      <c r="B326">
        <v>0.15304799999999999</v>
      </c>
      <c r="C326">
        <v>0.15304799999999999</v>
      </c>
      <c r="D326" t="s">
        <v>303</v>
      </c>
      <c r="E326" t="s">
        <v>910</v>
      </c>
      <c r="F326" t="s">
        <v>910</v>
      </c>
      <c r="J326">
        <v>0.15304799999999999</v>
      </c>
      <c r="K326">
        <v>0.15304799999999999</v>
      </c>
      <c r="L326" t="s">
        <v>303</v>
      </c>
      <c r="M326">
        <v>0.15304799999999999</v>
      </c>
      <c r="N326">
        <v>0.15304799999999999</v>
      </c>
      <c r="O326" t="s">
        <v>303</v>
      </c>
      <c r="P326">
        <f t="shared" si="5"/>
        <v>0</v>
      </c>
    </row>
    <row r="327" spans="1:16" x14ac:dyDescent="0.25">
      <c r="A327" t="s">
        <v>669</v>
      </c>
      <c r="B327">
        <v>0.15579200000000001</v>
      </c>
      <c r="C327">
        <v>0.15579200000000001</v>
      </c>
      <c r="D327" t="s">
        <v>303</v>
      </c>
      <c r="E327" t="s">
        <v>910</v>
      </c>
      <c r="F327" t="s">
        <v>910</v>
      </c>
      <c r="J327">
        <v>0.15579200000000001</v>
      </c>
      <c r="K327">
        <v>0.15579200000000001</v>
      </c>
      <c r="L327" t="s">
        <v>303</v>
      </c>
      <c r="M327">
        <v>0.15579200000000001</v>
      </c>
      <c r="N327">
        <v>0.15579200000000001</v>
      </c>
      <c r="O327" t="s">
        <v>303</v>
      </c>
      <c r="P327">
        <f t="shared" si="5"/>
        <v>0</v>
      </c>
    </row>
    <row r="328" spans="1:16" x14ac:dyDescent="0.25">
      <c r="A328" t="s">
        <v>669</v>
      </c>
      <c r="B328">
        <v>0.157365</v>
      </c>
      <c r="C328">
        <v>0.157365</v>
      </c>
      <c r="D328" t="s">
        <v>303</v>
      </c>
      <c r="E328" t="s">
        <v>910</v>
      </c>
      <c r="F328" t="s">
        <v>910</v>
      </c>
      <c r="J328">
        <v>0.157365</v>
      </c>
      <c r="K328">
        <v>0.157365</v>
      </c>
      <c r="L328" t="s">
        <v>303</v>
      </c>
      <c r="M328">
        <v>0.157365</v>
      </c>
      <c r="N328">
        <v>0.157365</v>
      </c>
      <c r="O328" t="s">
        <v>303</v>
      </c>
      <c r="P328">
        <f t="shared" si="5"/>
        <v>0</v>
      </c>
    </row>
    <row r="329" spans="1:16" x14ac:dyDescent="0.25">
      <c r="A329" t="s">
        <v>669</v>
      </c>
      <c r="B329">
        <v>0.15740000000000001</v>
      </c>
      <c r="C329">
        <v>0.15740000000000001</v>
      </c>
      <c r="D329" t="s">
        <v>303</v>
      </c>
      <c r="E329" t="s">
        <v>910</v>
      </c>
      <c r="F329" t="s">
        <v>910</v>
      </c>
      <c r="J329">
        <v>0.15740000000000001</v>
      </c>
      <c r="K329">
        <v>0.15740000000000001</v>
      </c>
      <c r="L329" t="s">
        <v>303</v>
      </c>
      <c r="M329">
        <v>0.15740000000000001</v>
      </c>
      <c r="N329">
        <v>0.15740000000000001</v>
      </c>
      <c r="O329" t="s">
        <v>303</v>
      </c>
      <c r="P329">
        <f t="shared" si="5"/>
        <v>0</v>
      </c>
    </row>
    <row r="330" spans="1:16" x14ac:dyDescent="0.25">
      <c r="A330" t="s">
        <v>669</v>
      </c>
      <c r="B330">
        <v>0.158</v>
      </c>
      <c r="C330">
        <v>0.158</v>
      </c>
      <c r="D330" t="s">
        <v>303</v>
      </c>
      <c r="E330" t="s">
        <v>910</v>
      </c>
      <c r="F330" t="s">
        <v>910</v>
      </c>
      <c r="J330">
        <v>0.158</v>
      </c>
      <c r="K330">
        <v>0.158</v>
      </c>
      <c r="L330" t="s">
        <v>303</v>
      </c>
      <c r="M330">
        <v>0.158</v>
      </c>
      <c r="N330">
        <v>0.158</v>
      </c>
      <c r="O330" t="s">
        <v>303</v>
      </c>
      <c r="P330">
        <f t="shared" si="5"/>
        <v>0</v>
      </c>
    </row>
    <row r="331" spans="1:16" x14ac:dyDescent="0.25">
      <c r="A331" t="s">
        <v>669</v>
      </c>
      <c r="B331">
        <v>0.160078</v>
      </c>
      <c r="C331">
        <v>0.160078</v>
      </c>
      <c r="D331" t="s">
        <v>303</v>
      </c>
      <c r="E331" t="s">
        <v>910</v>
      </c>
      <c r="F331" t="s">
        <v>910</v>
      </c>
      <c r="J331">
        <v>0.160078</v>
      </c>
      <c r="K331">
        <v>0.160078</v>
      </c>
      <c r="L331" t="s">
        <v>303</v>
      </c>
      <c r="M331">
        <v>0.160078</v>
      </c>
      <c r="N331">
        <v>0.160078</v>
      </c>
      <c r="O331" t="s">
        <v>303</v>
      </c>
      <c r="P331">
        <f t="shared" si="5"/>
        <v>0</v>
      </c>
    </row>
    <row r="332" spans="1:16" x14ac:dyDescent="0.25">
      <c r="A332" t="s">
        <v>669</v>
      </c>
      <c r="B332">
        <v>0.16059999999999999</v>
      </c>
      <c r="C332">
        <v>0.16059999999999999</v>
      </c>
      <c r="D332" t="s">
        <v>303</v>
      </c>
      <c r="E332" t="s">
        <v>910</v>
      </c>
      <c r="F332" t="s">
        <v>910</v>
      </c>
      <c r="J332">
        <v>0.16059999999999999</v>
      </c>
      <c r="K332">
        <v>0.16059999999999999</v>
      </c>
      <c r="L332" t="s">
        <v>303</v>
      </c>
      <c r="M332">
        <v>0.16059999999999999</v>
      </c>
      <c r="N332">
        <v>0.16059999999999999</v>
      </c>
      <c r="O332" t="s">
        <v>303</v>
      </c>
      <c r="P332">
        <f t="shared" si="5"/>
        <v>0</v>
      </c>
    </row>
    <row r="333" spans="1:16" x14ac:dyDescent="0.25">
      <c r="A333" t="s">
        <v>578</v>
      </c>
      <c r="B333">
        <v>0.15310000000000001</v>
      </c>
      <c r="C333">
        <v>0.16067999999999999</v>
      </c>
      <c r="D333" t="s">
        <v>669</v>
      </c>
      <c r="E333">
        <v>8</v>
      </c>
      <c r="F333">
        <v>8</v>
      </c>
      <c r="G333" t="s">
        <v>687</v>
      </c>
      <c r="H333" t="s">
        <v>687</v>
      </c>
      <c r="I333" t="s">
        <v>927</v>
      </c>
      <c r="J333">
        <v>0.16067999999999999</v>
      </c>
      <c r="K333">
        <v>0.15310000000000001</v>
      </c>
      <c r="L333" t="s">
        <v>930</v>
      </c>
      <c r="M333">
        <v>0.16067999999999999</v>
      </c>
      <c r="N333">
        <v>0.15310000000000001</v>
      </c>
      <c r="P333">
        <f t="shared" si="5"/>
        <v>14</v>
      </c>
    </row>
    <row r="334" spans="1:16" x14ac:dyDescent="0.25">
      <c r="A334" t="s">
        <v>669</v>
      </c>
      <c r="B334">
        <v>0.16165099999999999</v>
      </c>
      <c r="C334">
        <v>0.16165099999999999</v>
      </c>
      <c r="D334" t="s">
        <v>303</v>
      </c>
      <c r="E334" t="s">
        <v>910</v>
      </c>
      <c r="F334" t="s">
        <v>910</v>
      </c>
      <c r="J334">
        <v>0.16165099999999999</v>
      </c>
      <c r="K334">
        <v>0.16165099999999999</v>
      </c>
      <c r="L334" t="s">
        <v>303</v>
      </c>
      <c r="M334">
        <v>0.16165099999999999</v>
      </c>
      <c r="N334">
        <v>0.16165099999999999</v>
      </c>
      <c r="O334" t="s">
        <v>303</v>
      </c>
      <c r="P334">
        <f t="shared" si="5"/>
        <v>0</v>
      </c>
    </row>
    <row r="335" spans="1:16" x14ac:dyDescent="0.25">
      <c r="A335" t="s">
        <v>578</v>
      </c>
      <c r="B335">
        <v>111.5</v>
      </c>
      <c r="C335">
        <v>162.1</v>
      </c>
      <c r="D335" t="s">
        <v>862</v>
      </c>
      <c r="E335">
        <v>8</v>
      </c>
      <c r="F335">
        <v>8</v>
      </c>
      <c r="G335" t="s">
        <v>687</v>
      </c>
      <c r="H335" t="s">
        <v>687</v>
      </c>
      <c r="J335">
        <v>0.16209999999999999</v>
      </c>
      <c r="K335">
        <v>0.1115</v>
      </c>
      <c r="L335" t="s">
        <v>303</v>
      </c>
      <c r="M335">
        <v>162.1</v>
      </c>
      <c r="N335">
        <v>111.5</v>
      </c>
      <c r="O335" t="s">
        <v>862</v>
      </c>
      <c r="P335">
        <f t="shared" si="5"/>
        <v>0</v>
      </c>
    </row>
    <row r="336" spans="1:16" x14ac:dyDescent="0.25">
      <c r="A336" t="s">
        <v>578</v>
      </c>
      <c r="B336">
        <v>0.15493000000000001</v>
      </c>
      <c r="C336">
        <v>0.16259000000000001</v>
      </c>
      <c r="D336" t="s">
        <v>669</v>
      </c>
      <c r="E336">
        <v>8</v>
      </c>
      <c r="F336">
        <v>8</v>
      </c>
      <c r="G336" t="s">
        <v>687</v>
      </c>
      <c r="H336" t="s">
        <v>687</v>
      </c>
      <c r="I336" t="s">
        <v>927</v>
      </c>
      <c r="J336">
        <v>0.16259000000000001</v>
      </c>
      <c r="K336">
        <v>0.15493000000000001</v>
      </c>
      <c r="L336" t="s">
        <v>930</v>
      </c>
      <c r="M336">
        <v>0.16259000000000001</v>
      </c>
      <c r="N336">
        <v>0.15493000000000001</v>
      </c>
      <c r="P336">
        <f t="shared" si="5"/>
        <v>14</v>
      </c>
    </row>
    <row r="337" spans="1:16" x14ac:dyDescent="0.25">
      <c r="A337" t="s">
        <v>578</v>
      </c>
      <c r="B337">
        <v>0.15508</v>
      </c>
      <c r="C337">
        <v>0.16270000000000001</v>
      </c>
      <c r="D337" t="s">
        <v>669</v>
      </c>
      <c r="E337">
        <v>8</v>
      </c>
      <c r="F337">
        <v>8</v>
      </c>
      <c r="G337" t="s">
        <v>687</v>
      </c>
      <c r="H337" t="s">
        <v>687</v>
      </c>
      <c r="I337" t="s">
        <v>927</v>
      </c>
      <c r="J337">
        <v>0.16270000000000001</v>
      </c>
      <c r="K337">
        <v>0.15508</v>
      </c>
      <c r="L337" t="s">
        <v>930</v>
      </c>
      <c r="M337">
        <v>0.16270000000000001</v>
      </c>
      <c r="N337">
        <v>0.15508</v>
      </c>
      <c r="P337">
        <f t="shared" si="5"/>
        <v>14</v>
      </c>
    </row>
    <row r="338" spans="1:16" x14ac:dyDescent="0.25">
      <c r="A338" t="s">
        <v>669</v>
      </c>
      <c r="B338">
        <v>0.16309999999999999</v>
      </c>
      <c r="C338">
        <v>0.16309999999999999</v>
      </c>
      <c r="D338" t="s">
        <v>303</v>
      </c>
      <c r="E338" t="s">
        <v>910</v>
      </c>
      <c r="F338" t="s">
        <v>910</v>
      </c>
      <c r="J338">
        <v>0.16309999999999999</v>
      </c>
      <c r="K338">
        <v>0.16309999999999999</v>
      </c>
      <c r="L338" t="s">
        <v>303</v>
      </c>
      <c r="M338">
        <v>0.16309999999999999</v>
      </c>
      <c r="N338">
        <v>0.16309999999999999</v>
      </c>
      <c r="O338" t="s">
        <v>303</v>
      </c>
      <c r="P338">
        <f t="shared" si="5"/>
        <v>0</v>
      </c>
    </row>
    <row r="339" spans="1:16" x14ac:dyDescent="0.25">
      <c r="A339" t="s">
        <v>578</v>
      </c>
      <c r="B339">
        <v>0.15568000000000001</v>
      </c>
      <c r="C339">
        <v>0.16374</v>
      </c>
      <c r="D339" t="s">
        <v>669</v>
      </c>
      <c r="E339">
        <v>8</v>
      </c>
      <c r="F339">
        <v>8</v>
      </c>
      <c r="G339" t="s">
        <v>687</v>
      </c>
      <c r="H339" t="s">
        <v>687</v>
      </c>
      <c r="I339" t="s">
        <v>927</v>
      </c>
      <c r="J339">
        <v>0.16374</v>
      </c>
      <c r="K339">
        <v>0.15568000000000001</v>
      </c>
      <c r="L339" t="s">
        <v>930</v>
      </c>
      <c r="M339">
        <v>0.16374</v>
      </c>
      <c r="N339">
        <v>0.15568000000000001</v>
      </c>
      <c r="P339">
        <f t="shared" si="5"/>
        <v>14</v>
      </c>
    </row>
    <row r="340" spans="1:16" x14ac:dyDescent="0.25">
      <c r="A340" t="s">
        <v>669</v>
      </c>
      <c r="B340">
        <v>0.1638</v>
      </c>
      <c r="C340">
        <v>0.1638</v>
      </c>
      <c r="D340" t="s">
        <v>303</v>
      </c>
      <c r="E340" t="s">
        <v>910</v>
      </c>
      <c r="F340" t="s">
        <v>910</v>
      </c>
      <c r="J340">
        <v>0.1638</v>
      </c>
      <c r="K340">
        <v>0.1638</v>
      </c>
      <c r="L340" t="s">
        <v>303</v>
      </c>
      <c r="M340">
        <v>0.1638</v>
      </c>
      <c r="N340">
        <v>0.1638</v>
      </c>
      <c r="O340" t="s">
        <v>303</v>
      </c>
      <c r="P340">
        <f t="shared" si="5"/>
        <v>0</v>
      </c>
    </row>
    <row r="341" spans="1:16" x14ac:dyDescent="0.25">
      <c r="A341" t="s">
        <v>669</v>
      </c>
      <c r="B341">
        <v>0.16422500000000001</v>
      </c>
      <c r="C341">
        <v>0.16422500000000001</v>
      </c>
      <c r="D341" t="s">
        <v>303</v>
      </c>
      <c r="E341" t="s">
        <v>910</v>
      </c>
      <c r="F341" t="s">
        <v>910</v>
      </c>
      <c r="J341">
        <v>0.16422500000000001</v>
      </c>
      <c r="K341">
        <v>0.16422500000000001</v>
      </c>
      <c r="L341" t="s">
        <v>303</v>
      </c>
      <c r="M341">
        <v>0.16422500000000001</v>
      </c>
      <c r="N341">
        <v>0.16422500000000001</v>
      </c>
      <c r="O341" t="s">
        <v>303</v>
      </c>
      <c r="P341">
        <f t="shared" si="5"/>
        <v>0</v>
      </c>
    </row>
    <row r="342" spans="1:16" x14ac:dyDescent="0.25">
      <c r="A342" t="s">
        <v>669</v>
      </c>
      <c r="B342">
        <v>0.1648</v>
      </c>
      <c r="C342">
        <v>0.1648</v>
      </c>
      <c r="D342" t="s">
        <v>303</v>
      </c>
      <c r="E342" t="s">
        <v>910</v>
      </c>
      <c r="F342" t="s">
        <v>910</v>
      </c>
      <c r="J342">
        <v>0.1648</v>
      </c>
      <c r="K342">
        <v>0.1648</v>
      </c>
      <c r="L342" t="s">
        <v>303</v>
      </c>
      <c r="M342">
        <v>0.1648</v>
      </c>
      <c r="N342">
        <v>0.1648</v>
      </c>
      <c r="O342" t="s">
        <v>303</v>
      </c>
      <c r="P342">
        <f t="shared" si="5"/>
        <v>0</v>
      </c>
    </row>
    <row r="343" spans="1:16" x14ac:dyDescent="0.25">
      <c r="A343" t="s">
        <v>669</v>
      </c>
      <c r="B343">
        <v>0.16589999999999999</v>
      </c>
      <c r="C343">
        <v>0.16589999999999999</v>
      </c>
      <c r="D343" t="s">
        <v>303</v>
      </c>
      <c r="E343" t="s">
        <v>910</v>
      </c>
      <c r="F343" t="s">
        <v>910</v>
      </c>
      <c r="J343">
        <v>0.16589999999999999</v>
      </c>
      <c r="K343">
        <v>0.16589999999999999</v>
      </c>
      <c r="L343" t="s">
        <v>303</v>
      </c>
      <c r="M343">
        <v>0.16589999999999999</v>
      </c>
      <c r="N343">
        <v>0.16589999999999999</v>
      </c>
      <c r="O343" t="s">
        <v>303</v>
      </c>
      <c r="P343">
        <f t="shared" si="5"/>
        <v>0</v>
      </c>
    </row>
    <row r="344" spans="1:16" x14ac:dyDescent="0.25">
      <c r="A344" t="s">
        <v>669</v>
      </c>
      <c r="B344">
        <v>0.16639999999999999</v>
      </c>
      <c r="C344">
        <v>0.16639999999999999</v>
      </c>
      <c r="D344" t="s">
        <v>303</v>
      </c>
      <c r="E344" t="s">
        <v>910</v>
      </c>
      <c r="F344" t="s">
        <v>910</v>
      </c>
      <c r="J344">
        <v>0.16639999999999999</v>
      </c>
      <c r="K344">
        <v>0.16639999999999999</v>
      </c>
      <c r="L344" t="s">
        <v>303</v>
      </c>
      <c r="M344">
        <v>0.16639999999999999</v>
      </c>
      <c r="N344">
        <v>0.16639999999999999</v>
      </c>
      <c r="O344" t="s">
        <v>303</v>
      </c>
      <c r="P344">
        <f t="shared" si="5"/>
        <v>0</v>
      </c>
    </row>
    <row r="345" spans="1:16" x14ac:dyDescent="0.25">
      <c r="A345" t="s">
        <v>669</v>
      </c>
      <c r="B345">
        <v>0.16692299999999999</v>
      </c>
      <c r="C345">
        <v>0.16692299999999999</v>
      </c>
      <c r="D345" t="s">
        <v>303</v>
      </c>
      <c r="E345" t="s">
        <v>910</v>
      </c>
      <c r="F345" t="s">
        <v>910</v>
      </c>
      <c r="J345">
        <v>0.16692299999999999</v>
      </c>
      <c r="K345">
        <v>0.16692299999999999</v>
      </c>
      <c r="L345" t="s">
        <v>303</v>
      </c>
      <c r="M345">
        <v>0.16692299999999999</v>
      </c>
      <c r="N345">
        <v>0.16692299999999999</v>
      </c>
      <c r="O345" t="s">
        <v>303</v>
      </c>
      <c r="P345">
        <f t="shared" si="5"/>
        <v>0</v>
      </c>
    </row>
    <row r="346" spans="1:16" x14ac:dyDescent="0.25">
      <c r="A346" t="s">
        <v>669</v>
      </c>
      <c r="B346">
        <v>0.16719999999999999</v>
      </c>
      <c r="C346">
        <v>0.16719999999999999</v>
      </c>
      <c r="D346" t="s">
        <v>303</v>
      </c>
      <c r="E346" t="s">
        <v>910</v>
      </c>
      <c r="F346" t="s">
        <v>910</v>
      </c>
      <c r="J346">
        <v>0.16719999999999999</v>
      </c>
      <c r="K346">
        <v>0.16719999999999999</v>
      </c>
      <c r="L346" t="s">
        <v>303</v>
      </c>
      <c r="M346">
        <v>0.16719999999999999</v>
      </c>
      <c r="N346">
        <v>0.16719999999999999</v>
      </c>
      <c r="O346" t="s">
        <v>303</v>
      </c>
      <c r="P346">
        <f t="shared" si="5"/>
        <v>0</v>
      </c>
    </row>
    <row r="347" spans="1:16" x14ac:dyDescent="0.25">
      <c r="A347" t="s">
        <v>669</v>
      </c>
      <c r="B347">
        <v>0.16766300000000001</v>
      </c>
      <c r="C347">
        <v>0.16766300000000001</v>
      </c>
      <c r="D347" t="s">
        <v>303</v>
      </c>
      <c r="E347" t="s">
        <v>910</v>
      </c>
      <c r="F347" t="s">
        <v>910</v>
      </c>
      <c r="J347">
        <v>0.16766300000000001</v>
      </c>
      <c r="K347">
        <v>0.16766300000000001</v>
      </c>
      <c r="L347" t="s">
        <v>303</v>
      </c>
      <c r="M347">
        <v>0.16766300000000001</v>
      </c>
      <c r="N347">
        <v>0.16766300000000001</v>
      </c>
      <c r="O347" t="s">
        <v>303</v>
      </c>
      <c r="P347">
        <f t="shared" si="5"/>
        <v>0</v>
      </c>
    </row>
    <row r="348" spans="1:16" x14ac:dyDescent="0.25">
      <c r="A348" t="s">
        <v>669</v>
      </c>
      <c r="B348">
        <v>0.16900000000000001</v>
      </c>
      <c r="C348">
        <v>0.16900000000000001</v>
      </c>
      <c r="D348" t="s">
        <v>303</v>
      </c>
      <c r="E348" t="s">
        <v>910</v>
      </c>
      <c r="F348" t="s">
        <v>910</v>
      </c>
      <c r="J348">
        <v>0.16900000000000001</v>
      </c>
      <c r="K348">
        <v>0.16900000000000001</v>
      </c>
      <c r="L348" t="s">
        <v>303</v>
      </c>
      <c r="M348">
        <v>0.16900000000000001</v>
      </c>
      <c r="N348">
        <v>0.16900000000000001</v>
      </c>
      <c r="O348" t="s">
        <v>303</v>
      </c>
      <c r="P348">
        <f t="shared" si="5"/>
        <v>0</v>
      </c>
    </row>
    <row r="349" spans="1:16" x14ac:dyDescent="0.25">
      <c r="A349" t="s">
        <v>669</v>
      </c>
      <c r="B349">
        <v>0.16920499999999999</v>
      </c>
      <c r="C349">
        <v>0.16920499999999999</v>
      </c>
      <c r="D349" t="s">
        <v>303</v>
      </c>
      <c r="E349" t="s">
        <v>910</v>
      </c>
      <c r="F349" t="s">
        <v>910</v>
      </c>
      <c r="J349">
        <v>0.16920499999999999</v>
      </c>
      <c r="K349">
        <v>0.16920499999999999</v>
      </c>
      <c r="L349" t="s">
        <v>303</v>
      </c>
      <c r="M349">
        <v>0.16920499999999999</v>
      </c>
      <c r="N349">
        <v>0.16920499999999999</v>
      </c>
      <c r="O349" t="s">
        <v>303</v>
      </c>
      <c r="P349">
        <f t="shared" si="5"/>
        <v>0</v>
      </c>
    </row>
    <row r="350" spans="1:16" x14ac:dyDescent="0.25">
      <c r="A350" t="s">
        <v>669</v>
      </c>
      <c r="B350">
        <v>7.0000000000000007E-2</v>
      </c>
      <c r="C350">
        <v>0.17</v>
      </c>
      <c r="D350" t="s">
        <v>860</v>
      </c>
      <c r="E350" t="s">
        <v>910</v>
      </c>
      <c r="F350" t="s">
        <v>910</v>
      </c>
      <c r="J350">
        <v>0.17</v>
      </c>
      <c r="K350">
        <v>7.0000000000000007E-2</v>
      </c>
      <c r="L350" t="s">
        <v>303</v>
      </c>
      <c r="M350">
        <v>0.17</v>
      </c>
      <c r="N350">
        <v>7.0000000000000007E-2</v>
      </c>
      <c r="O350" t="s">
        <v>303</v>
      </c>
      <c r="P350">
        <f t="shared" si="5"/>
        <v>0</v>
      </c>
    </row>
    <row r="351" spans="1:16" x14ac:dyDescent="0.25">
      <c r="A351" t="s">
        <v>669</v>
      </c>
      <c r="B351">
        <v>0.17</v>
      </c>
      <c r="C351">
        <v>0.17</v>
      </c>
      <c r="D351" t="s">
        <v>860</v>
      </c>
      <c r="E351" t="s">
        <v>910</v>
      </c>
      <c r="F351" t="s">
        <v>910</v>
      </c>
      <c r="J351">
        <v>0.17</v>
      </c>
      <c r="K351">
        <v>0.17</v>
      </c>
      <c r="L351" t="s">
        <v>303</v>
      </c>
      <c r="M351">
        <v>0.17</v>
      </c>
      <c r="N351">
        <v>0.17</v>
      </c>
      <c r="O351" t="s">
        <v>303</v>
      </c>
      <c r="P351">
        <f t="shared" si="5"/>
        <v>0</v>
      </c>
    </row>
    <row r="352" spans="1:16" x14ac:dyDescent="0.25">
      <c r="A352" t="s">
        <v>669</v>
      </c>
      <c r="B352">
        <v>65</v>
      </c>
      <c r="C352">
        <v>170</v>
      </c>
      <c r="D352" t="s">
        <v>862</v>
      </c>
      <c r="E352">
        <v>8</v>
      </c>
      <c r="F352">
        <v>8</v>
      </c>
      <c r="G352" t="s">
        <v>687</v>
      </c>
      <c r="H352" t="s">
        <v>687</v>
      </c>
      <c r="J352">
        <v>0.17</v>
      </c>
      <c r="K352">
        <v>6.5000000000000002E-2</v>
      </c>
      <c r="L352" t="s">
        <v>303</v>
      </c>
      <c r="M352">
        <v>170</v>
      </c>
      <c r="N352">
        <v>65</v>
      </c>
      <c r="O352" t="s">
        <v>862</v>
      </c>
      <c r="P352">
        <f t="shared" si="5"/>
        <v>0</v>
      </c>
    </row>
    <row r="353" spans="1:16" x14ac:dyDescent="0.25">
      <c r="A353" t="s">
        <v>669</v>
      </c>
      <c r="B353">
        <v>0.17100000000000001</v>
      </c>
      <c r="C353">
        <v>0.17100000000000001</v>
      </c>
      <c r="D353" t="s">
        <v>303</v>
      </c>
      <c r="E353" t="s">
        <v>910</v>
      </c>
      <c r="F353" t="s">
        <v>910</v>
      </c>
      <c r="J353">
        <v>0.17100000000000001</v>
      </c>
      <c r="K353">
        <v>0.17100000000000001</v>
      </c>
      <c r="L353" t="s">
        <v>303</v>
      </c>
      <c r="M353">
        <v>0.17100000000000001</v>
      </c>
      <c r="N353">
        <v>0.17100000000000001</v>
      </c>
      <c r="O353" t="s">
        <v>303</v>
      </c>
      <c r="P353">
        <f t="shared" si="5"/>
        <v>0</v>
      </c>
    </row>
    <row r="354" spans="1:16" x14ac:dyDescent="0.25">
      <c r="A354" t="s">
        <v>669</v>
      </c>
      <c r="B354">
        <v>0.171486</v>
      </c>
      <c r="C354">
        <v>0.171486</v>
      </c>
      <c r="D354" t="s">
        <v>303</v>
      </c>
      <c r="E354" t="s">
        <v>910</v>
      </c>
      <c r="F354" t="s">
        <v>910</v>
      </c>
      <c r="J354">
        <v>0.171486</v>
      </c>
      <c r="K354">
        <v>0.171486</v>
      </c>
      <c r="L354" t="s">
        <v>303</v>
      </c>
      <c r="M354">
        <v>0.171486</v>
      </c>
      <c r="N354">
        <v>0.171486</v>
      </c>
      <c r="O354" t="s">
        <v>303</v>
      </c>
      <c r="P354">
        <f t="shared" si="5"/>
        <v>0</v>
      </c>
    </row>
    <row r="355" spans="1:16" x14ac:dyDescent="0.25">
      <c r="A355" t="s">
        <v>669</v>
      </c>
      <c r="B355">
        <v>0.17305899999999999</v>
      </c>
      <c r="C355">
        <v>0.17305899999999999</v>
      </c>
      <c r="D355" t="s">
        <v>303</v>
      </c>
      <c r="E355" t="s">
        <v>910</v>
      </c>
      <c r="F355" t="s">
        <v>910</v>
      </c>
      <c r="J355">
        <v>0.17305899999999999</v>
      </c>
      <c r="K355">
        <v>0.17305899999999999</v>
      </c>
      <c r="L355" t="s">
        <v>303</v>
      </c>
      <c r="M355">
        <v>0.17305899999999999</v>
      </c>
      <c r="N355">
        <v>0.17305899999999999</v>
      </c>
      <c r="O355" t="s">
        <v>303</v>
      </c>
      <c r="P355">
        <f t="shared" si="5"/>
        <v>0</v>
      </c>
    </row>
    <row r="356" spans="1:16" x14ac:dyDescent="0.25">
      <c r="A356" t="s">
        <v>669</v>
      </c>
      <c r="B356">
        <v>0.17349999999999999</v>
      </c>
      <c r="C356">
        <v>0.17349999999999999</v>
      </c>
      <c r="D356" t="s">
        <v>303</v>
      </c>
      <c r="E356" t="s">
        <v>910</v>
      </c>
      <c r="F356" t="s">
        <v>910</v>
      </c>
      <c r="J356">
        <v>0.17349999999999999</v>
      </c>
      <c r="K356">
        <v>0.17349999999999999</v>
      </c>
      <c r="L356" t="s">
        <v>303</v>
      </c>
      <c r="M356">
        <v>0.17349999999999999</v>
      </c>
      <c r="N356">
        <v>0.17349999999999999</v>
      </c>
      <c r="O356" t="s">
        <v>303</v>
      </c>
      <c r="P356">
        <f t="shared" si="5"/>
        <v>0</v>
      </c>
    </row>
    <row r="357" spans="1:16" x14ac:dyDescent="0.25">
      <c r="A357" t="s">
        <v>669</v>
      </c>
      <c r="B357">
        <v>0.17552499999999999</v>
      </c>
      <c r="C357">
        <v>0.17552499999999999</v>
      </c>
      <c r="D357" t="s">
        <v>303</v>
      </c>
      <c r="E357" t="s">
        <v>910</v>
      </c>
      <c r="F357" t="s">
        <v>910</v>
      </c>
      <c r="J357">
        <v>0.17552499999999999</v>
      </c>
      <c r="K357">
        <v>0.17552499999999999</v>
      </c>
      <c r="L357" t="s">
        <v>303</v>
      </c>
      <c r="M357">
        <v>0.17552499999999999</v>
      </c>
      <c r="N357">
        <v>0.17552499999999999</v>
      </c>
      <c r="O357" t="s">
        <v>303</v>
      </c>
      <c r="P357">
        <f t="shared" si="5"/>
        <v>0</v>
      </c>
    </row>
    <row r="358" spans="1:16" x14ac:dyDescent="0.25">
      <c r="A358" t="s">
        <v>669</v>
      </c>
      <c r="B358">
        <v>74</v>
      </c>
      <c r="C358">
        <v>176</v>
      </c>
      <c r="D358" t="s">
        <v>864</v>
      </c>
      <c r="E358">
        <v>8</v>
      </c>
      <c r="F358">
        <v>8</v>
      </c>
      <c r="G358" t="s">
        <v>687</v>
      </c>
      <c r="H358" t="s">
        <v>687</v>
      </c>
      <c r="J358">
        <v>0.17599999999999999</v>
      </c>
      <c r="K358">
        <v>7.3999999999999996E-2</v>
      </c>
      <c r="L358" t="s">
        <v>303</v>
      </c>
      <c r="M358">
        <v>176</v>
      </c>
      <c r="N358">
        <v>74</v>
      </c>
      <c r="O358" t="s">
        <v>862</v>
      </c>
      <c r="P358">
        <f t="shared" si="5"/>
        <v>0</v>
      </c>
    </row>
    <row r="359" spans="1:16" x14ac:dyDescent="0.25">
      <c r="A359" t="s">
        <v>527</v>
      </c>
      <c r="B359">
        <v>176.95750000000001</v>
      </c>
      <c r="C359">
        <v>176.95750000000001</v>
      </c>
      <c r="D359" t="s">
        <v>887</v>
      </c>
      <c r="E359">
        <v>8</v>
      </c>
      <c r="F359">
        <v>8</v>
      </c>
      <c r="G359" t="s">
        <v>687</v>
      </c>
      <c r="H359" t="s">
        <v>687</v>
      </c>
      <c r="J359">
        <v>0.17695750000000002</v>
      </c>
      <c r="K359">
        <v>0.17695750000000002</v>
      </c>
      <c r="L359" t="s">
        <v>303</v>
      </c>
      <c r="M359">
        <v>176.95750000000001</v>
      </c>
      <c r="N359">
        <v>176.95750000000001</v>
      </c>
      <c r="O359" t="s">
        <v>862</v>
      </c>
      <c r="P359">
        <f t="shared" si="5"/>
        <v>0</v>
      </c>
    </row>
    <row r="360" spans="1:16" x14ac:dyDescent="0.25">
      <c r="A360" t="s">
        <v>669</v>
      </c>
      <c r="B360">
        <v>0.17740600000000001</v>
      </c>
      <c r="C360">
        <v>0.17740600000000001</v>
      </c>
      <c r="D360" t="s">
        <v>303</v>
      </c>
      <c r="E360" t="s">
        <v>910</v>
      </c>
      <c r="F360" t="s">
        <v>910</v>
      </c>
      <c r="J360">
        <v>0.17740600000000001</v>
      </c>
      <c r="K360">
        <v>0.17740600000000001</v>
      </c>
      <c r="L360" t="s">
        <v>303</v>
      </c>
      <c r="M360">
        <v>0.17740600000000001</v>
      </c>
      <c r="N360">
        <v>0.17740600000000001</v>
      </c>
      <c r="O360" t="s">
        <v>303</v>
      </c>
      <c r="P360">
        <f t="shared" si="5"/>
        <v>0</v>
      </c>
    </row>
    <row r="361" spans="1:16" x14ac:dyDescent="0.25">
      <c r="A361" t="s">
        <v>578</v>
      </c>
      <c r="B361">
        <v>0.16671</v>
      </c>
      <c r="C361">
        <v>0.17781</v>
      </c>
      <c r="D361" t="s">
        <v>669</v>
      </c>
      <c r="E361">
        <v>8</v>
      </c>
      <c r="F361">
        <v>8</v>
      </c>
      <c r="G361" t="s">
        <v>687</v>
      </c>
      <c r="H361" t="s">
        <v>687</v>
      </c>
      <c r="I361" t="s">
        <v>927</v>
      </c>
      <c r="J361">
        <v>0.17781</v>
      </c>
      <c r="K361">
        <v>0.16671</v>
      </c>
      <c r="L361" t="s">
        <v>930</v>
      </c>
      <c r="M361">
        <v>0.17781</v>
      </c>
      <c r="N361">
        <v>0.16671</v>
      </c>
      <c r="P361">
        <f t="shared" si="5"/>
        <v>14</v>
      </c>
    </row>
    <row r="362" spans="1:16" x14ac:dyDescent="0.25">
      <c r="A362" t="s">
        <v>527</v>
      </c>
      <c r="B362">
        <v>178.2885</v>
      </c>
      <c r="C362">
        <v>178.2885</v>
      </c>
      <c r="D362" t="s">
        <v>887</v>
      </c>
      <c r="E362">
        <v>8</v>
      </c>
      <c r="F362">
        <v>8</v>
      </c>
      <c r="G362" t="s">
        <v>687</v>
      </c>
      <c r="H362" t="s">
        <v>687</v>
      </c>
      <c r="J362">
        <v>0.17828849999999999</v>
      </c>
      <c r="K362">
        <v>0.17828849999999999</v>
      </c>
      <c r="L362" t="s">
        <v>303</v>
      </c>
      <c r="M362">
        <v>178.2885</v>
      </c>
      <c r="N362">
        <v>178.2885</v>
      </c>
      <c r="O362" t="s">
        <v>862</v>
      </c>
      <c r="P362">
        <f t="shared" si="5"/>
        <v>0</v>
      </c>
    </row>
    <row r="363" spans="1:16" x14ac:dyDescent="0.25">
      <c r="A363" t="s">
        <v>669</v>
      </c>
      <c r="B363">
        <v>0.17948700000000001</v>
      </c>
      <c r="C363">
        <v>0.17948700000000001</v>
      </c>
      <c r="D363" t="s">
        <v>303</v>
      </c>
      <c r="E363" t="s">
        <v>910</v>
      </c>
      <c r="F363" t="s">
        <v>910</v>
      </c>
      <c r="J363">
        <v>0.17948700000000001</v>
      </c>
      <c r="K363">
        <v>0.17948700000000001</v>
      </c>
      <c r="L363" t="s">
        <v>303</v>
      </c>
      <c r="M363">
        <v>0.17948700000000001</v>
      </c>
      <c r="N363">
        <v>0.17948700000000001</v>
      </c>
      <c r="O363" t="s">
        <v>303</v>
      </c>
      <c r="P363">
        <f t="shared" si="5"/>
        <v>0</v>
      </c>
    </row>
    <row r="364" spans="1:16" x14ac:dyDescent="0.25">
      <c r="A364" t="s">
        <v>578</v>
      </c>
      <c r="B364">
        <v>0.16922000000000001</v>
      </c>
      <c r="C364">
        <v>0.17965999999999999</v>
      </c>
      <c r="D364" t="s">
        <v>669</v>
      </c>
      <c r="E364">
        <v>8</v>
      </c>
      <c r="F364">
        <v>8</v>
      </c>
      <c r="G364" t="s">
        <v>687</v>
      </c>
      <c r="H364" t="s">
        <v>687</v>
      </c>
      <c r="I364" t="s">
        <v>927</v>
      </c>
      <c r="J364">
        <v>0.17965999999999999</v>
      </c>
      <c r="K364">
        <v>0.16922000000000001</v>
      </c>
      <c r="L364" t="s">
        <v>930</v>
      </c>
      <c r="M364">
        <v>0.17965999999999999</v>
      </c>
      <c r="N364">
        <v>0.16922000000000001</v>
      </c>
      <c r="P364">
        <f t="shared" si="5"/>
        <v>14</v>
      </c>
    </row>
    <row r="365" spans="1:16" x14ac:dyDescent="0.25">
      <c r="A365" t="s">
        <v>669</v>
      </c>
      <c r="B365">
        <v>0.17979999999999999</v>
      </c>
      <c r="C365">
        <v>0.17979999999999999</v>
      </c>
      <c r="D365" t="s">
        <v>303</v>
      </c>
      <c r="E365" t="s">
        <v>910</v>
      </c>
      <c r="F365" t="s">
        <v>910</v>
      </c>
      <c r="J365">
        <v>0.17979999999999999</v>
      </c>
      <c r="K365">
        <v>0.17979999999999999</v>
      </c>
      <c r="L365" t="s">
        <v>303</v>
      </c>
      <c r="M365">
        <v>0.17979999999999999</v>
      </c>
      <c r="N365">
        <v>0.17979999999999999</v>
      </c>
      <c r="O365" t="s">
        <v>303</v>
      </c>
      <c r="P365">
        <f t="shared" si="5"/>
        <v>0</v>
      </c>
    </row>
    <row r="366" spans="1:16" x14ac:dyDescent="0.25">
      <c r="A366" t="s">
        <v>669</v>
      </c>
      <c r="B366">
        <v>0.18</v>
      </c>
      <c r="C366">
        <v>0.18</v>
      </c>
      <c r="D366" t="s">
        <v>860</v>
      </c>
      <c r="E366" t="s">
        <v>910</v>
      </c>
      <c r="F366" t="s">
        <v>910</v>
      </c>
      <c r="J366">
        <v>0.18</v>
      </c>
      <c r="K366">
        <v>0.18</v>
      </c>
      <c r="L366" t="s">
        <v>303</v>
      </c>
      <c r="M366">
        <v>0.18</v>
      </c>
      <c r="N366">
        <v>0.18</v>
      </c>
      <c r="O366" t="s">
        <v>303</v>
      </c>
      <c r="P366">
        <f t="shared" si="5"/>
        <v>0</v>
      </c>
    </row>
    <row r="367" spans="1:16" x14ac:dyDescent="0.25">
      <c r="A367" t="s">
        <v>669</v>
      </c>
      <c r="B367">
        <v>2000</v>
      </c>
      <c r="C367">
        <v>180000</v>
      </c>
      <c r="D367" t="s">
        <v>857</v>
      </c>
      <c r="E367" t="s">
        <v>910</v>
      </c>
      <c r="F367" t="s">
        <v>910</v>
      </c>
      <c r="J367">
        <v>0.18</v>
      </c>
      <c r="K367">
        <v>2E-3</v>
      </c>
      <c r="L367" t="s">
        <v>303</v>
      </c>
      <c r="M367">
        <v>180000</v>
      </c>
      <c r="N367">
        <v>2000</v>
      </c>
      <c r="O367" t="s">
        <v>303</v>
      </c>
      <c r="P367">
        <f t="shared" si="5"/>
        <v>0</v>
      </c>
    </row>
    <row r="368" spans="1:16" x14ac:dyDescent="0.25">
      <c r="A368" t="s">
        <v>669</v>
      </c>
      <c r="B368">
        <v>0.180983</v>
      </c>
      <c r="C368">
        <v>0.180983</v>
      </c>
      <c r="D368" t="s">
        <v>303</v>
      </c>
      <c r="E368" t="s">
        <v>910</v>
      </c>
      <c r="F368" t="s">
        <v>910</v>
      </c>
      <c r="J368">
        <v>0.180983</v>
      </c>
      <c r="K368">
        <v>0.180983</v>
      </c>
      <c r="L368" t="s">
        <v>303</v>
      </c>
      <c r="M368">
        <v>0.180983</v>
      </c>
      <c r="N368">
        <v>0.180983</v>
      </c>
      <c r="O368" t="s">
        <v>303</v>
      </c>
      <c r="P368">
        <f t="shared" si="5"/>
        <v>0</v>
      </c>
    </row>
    <row r="369" spans="1:16" x14ac:dyDescent="0.25">
      <c r="A369" t="s">
        <v>669</v>
      </c>
      <c r="B369">
        <v>0.18253900000000001</v>
      </c>
      <c r="C369">
        <v>0.18253900000000001</v>
      </c>
      <c r="D369" t="s">
        <v>303</v>
      </c>
      <c r="E369" t="s">
        <v>910</v>
      </c>
      <c r="F369" t="s">
        <v>910</v>
      </c>
      <c r="J369">
        <v>0.18253900000000001</v>
      </c>
      <c r="K369">
        <v>0.18253900000000001</v>
      </c>
      <c r="L369" t="s">
        <v>303</v>
      </c>
      <c r="M369">
        <v>0.18253900000000001</v>
      </c>
      <c r="N369">
        <v>0.18253900000000001</v>
      </c>
      <c r="O369" t="s">
        <v>303</v>
      </c>
      <c r="P369">
        <f t="shared" si="5"/>
        <v>0</v>
      </c>
    </row>
    <row r="370" spans="1:16" x14ac:dyDescent="0.25">
      <c r="A370" t="s">
        <v>669</v>
      </c>
      <c r="B370">
        <v>0.18312899999999999</v>
      </c>
      <c r="C370">
        <v>0.18312899999999999</v>
      </c>
      <c r="D370" t="s">
        <v>303</v>
      </c>
      <c r="E370" t="s">
        <v>910</v>
      </c>
      <c r="F370" t="s">
        <v>910</v>
      </c>
      <c r="J370">
        <v>0.18312899999999999</v>
      </c>
      <c r="K370">
        <v>0.18312899999999999</v>
      </c>
      <c r="L370" t="s">
        <v>303</v>
      </c>
      <c r="M370">
        <v>0.18312899999999999</v>
      </c>
      <c r="N370">
        <v>0.18312899999999999</v>
      </c>
      <c r="O370" t="s">
        <v>303</v>
      </c>
      <c r="P370">
        <f t="shared" si="5"/>
        <v>0</v>
      </c>
    </row>
    <row r="371" spans="1:16" x14ac:dyDescent="0.25">
      <c r="A371" t="s">
        <v>669</v>
      </c>
      <c r="B371">
        <v>162</v>
      </c>
      <c r="C371">
        <v>184</v>
      </c>
      <c r="D371" t="s">
        <v>870</v>
      </c>
      <c r="E371">
        <v>8</v>
      </c>
      <c r="F371">
        <v>8</v>
      </c>
      <c r="G371" t="s">
        <v>687</v>
      </c>
      <c r="H371" t="s">
        <v>687</v>
      </c>
      <c r="J371">
        <v>0.184</v>
      </c>
      <c r="K371">
        <v>0.16200000000000001</v>
      </c>
      <c r="L371" t="s">
        <v>303</v>
      </c>
      <c r="M371">
        <v>184</v>
      </c>
      <c r="N371">
        <v>162</v>
      </c>
      <c r="O371" t="s">
        <v>862</v>
      </c>
      <c r="P371">
        <f t="shared" si="5"/>
        <v>0</v>
      </c>
    </row>
    <row r="372" spans="1:16" x14ac:dyDescent="0.25">
      <c r="A372" t="s">
        <v>578</v>
      </c>
      <c r="B372">
        <v>0.17588000000000001</v>
      </c>
      <c r="C372">
        <v>0.18415999999999999</v>
      </c>
      <c r="D372" t="s">
        <v>669</v>
      </c>
      <c r="E372">
        <v>8</v>
      </c>
      <c r="F372">
        <v>8</v>
      </c>
      <c r="G372" t="s">
        <v>687</v>
      </c>
      <c r="H372" t="s">
        <v>687</v>
      </c>
      <c r="I372" t="s">
        <v>927</v>
      </c>
      <c r="J372">
        <v>0.18415999999999999</v>
      </c>
      <c r="K372">
        <v>0.17588000000000001</v>
      </c>
      <c r="L372" t="s">
        <v>930</v>
      </c>
      <c r="M372">
        <v>0.18415999999999999</v>
      </c>
      <c r="N372">
        <v>0.17588000000000001</v>
      </c>
      <c r="P372">
        <f t="shared" si="5"/>
        <v>14</v>
      </c>
    </row>
    <row r="373" spans="1:16" x14ac:dyDescent="0.25">
      <c r="A373" t="s">
        <v>669</v>
      </c>
      <c r="B373">
        <v>0.18431700000000001</v>
      </c>
      <c r="C373">
        <v>0.18431700000000001</v>
      </c>
      <c r="D373" t="s">
        <v>303</v>
      </c>
      <c r="E373" t="s">
        <v>910</v>
      </c>
      <c r="F373" t="s">
        <v>910</v>
      </c>
      <c r="J373">
        <v>0.18431700000000001</v>
      </c>
      <c r="K373">
        <v>0.18431700000000001</v>
      </c>
      <c r="L373" t="s">
        <v>303</v>
      </c>
      <c r="M373">
        <v>0.18431700000000001</v>
      </c>
      <c r="N373">
        <v>0.18431700000000001</v>
      </c>
      <c r="O373" t="s">
        <v>303</v>
      </c>
      <c r="P373">
        <f t="shared" si="5"/>
        <v>0</v>
      </c>
    </row>
    <row r="374" spans="1:16" x14ac:dyDescent="0.25">
      <c r="A374" t="s">
        <v>669</v>
      </c>
      <c r="B374">
        <v>0.18495800000000001</v>
      </c>
      <c r="C374">
        <v>0.18495800000000001</v>
      </c>
      <c r="D374" t="s">
        <v>303</v>
      </c>
      <c r="E374" t="s">
        <v>910</v>
      </c>
      <c r="F374" t="s">
        <v>910</v>
      </c>
      <c r="J374">
        <v>0.18495800000000001</v>
      </c>
      <c r="K374">
        <v>0.18495800000000001</v>
      </c>
      <c r="L374" t="s">
        <v>303</v>
      </c>
      <c r="M374">
        <v>0.18495800000000001</v>
      </c>
      <c r="N374">
        <v>0.18495800000000001</v>
      </c>
      <c r="O374" t="s">
        <v>303</v>
      </c>
      <c r="P374">
        <f t="shared" si="5"/>
        <v>0</v>
      </c>
    </row>
    <row r="375" spans="1:16" x14ac:dyDescent="0.25">
      <c r="A375" t="s">
        <v>669</v>
      </c>
      <c r="B375">
        <v>0.18581800000000001</v>
      </c>
      <c r="C375">
        <v>0.18581800000000001</v>
      </c>
      <c r="D375" t="s">
        <v>303</v>
      </c>
      <c r="E375" t="s">
        <v>910</v>
      </c>
      <c r="F375" t="s">
        <v>910</v>
      </c>
      <c r="J375">
        <v>0.18581800000000001</v>
      </c>
      <c r="K375">
        <v>0.18581800000000001</v>
      </c>
      <c r="L375" t="s">
        <v>303</v>
      </c>
      <c r="M375">
        <v>0.18581800000000001</v>
      </c>
      <c r="N375">
        <v>0.18581800000000001</v>
      </c>
      <c r="O375" t="s">
        <v>303</v>
      </c>
      <c r="P375">
        <f t="shared" si="5"/>
        <v>0</v>
      </c>
    </row>
    <row r="376" spans="1:16" x14ac:dyDescent="0.25">
      <c r="A376" t="s">
        <v>669</v>
      </c>
      <c r="B376">
        <v>0.18635699999999999</v>
      </c>
      <c r="C376">
        <v>0.18635699999999999</v>
      </c>
      <c r="D376" t="s">
        <v>303</v>
      </c>
      <c r="E376" t="s">
        <v>910</v>
      </c>
      <c r="F376" t="s">
        <v>910</v>
      </c>
      <c r="J376">
        <v>0.18635699999999999</v>
      </c>
      <c r="K376">
        <v>0.18635699999999999</v>
      </c>
      <c r="L376" t="s">
        <v>303</v>
      </c>
      <c r="M376">
        <v>0.18635699999999999</v>
      </c>
      <c r="N376">
        <v>0.18635699999999999</v>
      </c>
      <c r="O376" t="s">
        <v>303</v>
      </c>
      <c r="P376">
        <f t="shared" si="5"/>
        <v>0</v>
      </c>
    </row>
    <row r="377" spans="1:16" x14ac:dyDescent="0.25">
      <c r="A377" t="s">
        <v>669</v>
      </c>
      <c r="B377">
        <v>0.18703700000000001</v>
      </c>
      <c r="C377">
        <v>0.18703700000000001</v>
      </c>
      <c r="D377" t="s">
        <v>303</v>
      </c>
      <c r="E377" t="s">
        <v>910</v>
      </c>
      <c r="F377" t="s">
        <v>910</v>
      </c>
      <c r="J377">
        <v>0.18703700000000001</v>
      </c>
      <c r="K377">
        <v>0.18703700000000001</v>
      </c>
      <c r="L377" t="s">
        <v>303</v>
      </c>
      <c r="M377">
        <v>0.18703700000000001</v>
      </c>
      <c r="N377">
        <v>0.18703700000000001</v>
      </c>
      <c r="O377" t="s">
        <v>303</v>
      </c>
      <c r="P377">
        <f t="shared" si="5"/>
        <v>0</v>
      </c>
    </row>
    <row r="378" spans="1:16" x14ac:dyDescent="0.25">
      <c r="A378" t="s">
        <v>669</v>
      </c>
      <c r="B378">
        <v>0.1875</v>
      </c>
      <c r="C378">
        <v>0.1875</v>
      </c>
      <c r="D378" t="s">
        <v>303</v>
      </c>
      <c r="E378" t="s">
        <v>910</v>
      </c>
      <c r="F378" t="s">
        <v>910</v>
      </c>
      <c r="J378">
        <v>0.1875</v>
      </c>
      <c r="K378">
        <v>0.1875</v>
      </c>
      <c r="L378" t="s">
        <v>303</v>
      </c>
      <c r="M378">
        <v>0.1875</v>
      </c>
      <c r="N378">
        <v>0.1875</v>
      </c>
      <c r="O378" t="s">
        <v>303</v>
      </c>
      <c r="P378">
        <f t="shared" si="5"/>
        <v>0</v>
      </c>
    </row>
    <row r="379" spans="1:16" x14ac:dyDescent="0.25">
      <c r="A379" t="s">
        <v>669</v>
      </c>
      <c r="B379">
        <v>0.18770000000000001</v>
      </c>
      <c r="C379">
        <v>0.18770000000000001</v>
      </c>
      <c r="D379" t="s">
        <v>303</v>
      </c>
      <c r="E379" t="s">
        <v>910</v>
      </c>
      <c r="F379" t="s">
        <v>910</v>
      </c>
      <c r="J379">
        <v>0.18770000000000001</v>
      </c>
      <c r="K379">
        <v>0.18770000000000001</v>
      </c>
      <c r="L379" t="s">
        <v>303</v>
      </c>
      <c r="M379">
        <v>0.18770000000000001</v>
      </c>
      <c r="N379">
        <v>0.18770000000000001</v>
      </c>
      <c r="O379" t="s">
        <v>303</v>
      </c>
      <c r="P379">
        <f t="shared" si="5"/>
        <v>0</v>
      </c>
    </row>
    <row r="380" spans="1:16" x14ac:dyDescent="0.25">
      <c r="A380" t="s">
        <v>669</v>
      </c>
      <c r="B380">
        <v>0.18775</v>
      </c>
      <c r="C380">
        <v>0.18775</v>
      </c>
      <c r="D380" t="s">
        <v>303</v>
      </c>
      <c r="E380" t="s">
        <v>910</v>
      </c>
      <c r="F380" t="s">
        <v>910</v>
      </c>
      <c r="J380">
        <v>0.18775</v>
      </c>
      <c r="K380">
        <v>0.18775</v>
      </c>
      <c r="L380" t="s">
        <v>303</v>
      </c>
      <c r="M380">
        <v>0.18775</v>
      </c>
      <c r="N380">
        <v>0.18775</v>
      </c>
      <c r="O380" t="s">
        <v>303</v>
      </c>
      <c r="P380">
        <f t="shared" si="5"/>
        <v>0</v>
      </c>
    </row>
    <row r="381" spans="1:16" x14ac:dyDescent="0.25">
      <c r="A381" t="s">
        <v>669</v>
      </c>
      <c r="B381">
        <v>0.18779999999999999</v>
      </c>
      <c r="C381">
        <v>0.18779999999999999</v>
      </c>
      <c r="D381" t="s">
        <v>303</v>
      </c>
      <c r="E381" t="s">
        <v>910</v>
      </c>
      <c r="F381" t="s">
        <v>910</v>
      </c>
      <c r="J381">
        <v>0.18779999999999999</v>
      </c>
      <c r="K381">
        <v>0.18779999999999999</v>
      </c>
      <c r="L381" t="s">
        <v>303</v>
      </c>
      <c r="M381">
        <v>0.18779999999999999</v>
      </c>
      <c r="N381">
        <v>0.18779999999999999</v>
      </c>
      <c r="O381" t="s">
        <v>303</v>
      </c>
      <c r="P381">
        <f t="shared" si="5"/>
        <v>0</v>
      </c>
    </row>
    <row r="382" spans="1:16" x14ac:dyDescent="0.25">
      <c r="A382" t="s">
        <v>669</v>
      </c>
      <c r="B382">
        <v>156</v>
      </c>
      <c r="C382">
        <v>188</v>
      </c>
      <c r="D382" t="s">
        <v>870</v>
      </c>
      <c r="E382">
        <v>8</v>
      </c>
      <c r="F382">
        <v>8</v>
      </c>
      <c r="G382" t="s">
        <v>687</v>
      </c>
      <c r="H382" t="s">
        <v>687</v>
      </c>
      <c r="J382">
        <v>0.188</v>
      </c>
      <c r="K382">
        <v>0.156</v>
      </c>
      <c r="L382" t="s">
        <v>303</v>
      </c>
      <c r="M382">
        <v>188</v>
      </c>
      <c r="N382">
        <v>156</v>
      </c>
      <c r="O382" t="s">
        <v>862</v>
      </c>
      <c r="P382">
        <f t="shared" si="5"/>
        <v>0</v>
      </c>
    </row>
    <row r="383" spans="1:16" x14ac:dyDescent="0.25">
      <c r="A383" t="s">
        <v>669</v>
      </c>
      <c r="B383">
        <v>0.1883</v>
      </c>
      <c r="C383">
        <v>0.1883</v>
      </c>
      <c r="D383" t="s">
        <v>303</v>
      </c>
      <c r="E383" t="s">
        <v>910</v>
      </c>
      <c r="F383" t="s">
        <v>910</v>
      </c>
      <c r="J383">
        <v>0.1883</v>
      </c>
      <c r="K383">
        <v>0.1883</v>
      </c>
      <c r="L383" t="s">
        <v>303</v>
      </c>
      <c r="M383">
        <v>0.1883</v>
      </c>
      <c r="N383">
        <v>0.1883</v>
      </c>
      <c r="O383" t="s">
        <v>303</v>
      </c>
      <c r="P383">
        <f t="shared" si="5"/>
        <v>0</v>
      </c>
    </row>
    <row r="384" spans="1:16" x14ac:dyDescent="0.25">
      <c r="A384" t="s">
        <v>669</v>
      </c>
      <c r="B384">
        <v>0.188359</v>
      </c>
      <c r="C384">
        <v>0.188359</v>
      </c>
      <c r="D384" t="s">
        <v>303</v>
      </c>
      <c r="E384" t="s">
        <v>910</v>
      </c>
      <c r="F384" t="s">
        <v>910</v>
      </c>
      <c r="J384">
        <v>0.188359</v>
      </c>
      <c r="K384">
        <v>0.188359</v>
      </c>
      <c r="L384" t="s">
        <v>303</v>
      </c>
      <c r="M384">
        <v>0.188359</v>
      </c>
      <c r="N384">
        <v>0.188359</v>
      </c>
      <c r="O384" t="s">
        <v>303</v>
      </c>
      <c r="P384">
        <f t="shared" si="5"/>
        <v>0</v>
      </c>
    </row>
    <row r="385" spans="1:16" x14ac:dyDescent="0.25">
      <c r="A385" t="s">
        <v>669</v>
      </c>
      <c r="B385">
        <v>0.1885</v>
      </c>
      <c r="C385">
        <v>0.1885</v>
      </c>
      <c r="D385" t="s">
        <v>303</v>
      </c>
      <c r="E385" t="s">
        <v>910</v>
      </c>
      <c r="F385" t="s">
        <v>910</v>
      </c>
      <c r="J385">
        <v>0.1885</v>
      </c>
      <c r="K385">
        <v>0.1885</v>
      </c>
      <c r="L385" t="s">
        <v>303</v>
      </c>
      <c r="M385">
        <v>0.1885</v>
      </c>
      <c r="N385">
        <v>0.1885</v>
      </c>
      <c r="O385" t="s">
        <v>303</v>
      </c>
      <c r="P385">
        <f t="shared" si="5"/>
        <v>0</v>
      </c>
    </row>
    <row r="386" spans="1:16" x14ac:dyDescent="0.25">
      <c r="A386" t="s">
        <v>669</v>
      </c>
      <c r="B386">
        <v>0.189</v>
      </c>
      <c r="C386">
        <v>0.189</v>
      </c>
      <c r="D386" t="s">
        <v>303</v>
      </c>
      <c r="E386" t="s">
        <v>910</v>
      </c>
      <c r="F386" t="s">
        <v>910</v>
      </c>
      <c r="J386">
        <v>0.189</v>
      </c>
      <c r="K386">
        <v>0.189</v>
      </c>
      <c r="L386" t="s">
        <v>303</v>
      </c>
      <c r="M386">
        <v>0.189</v>
      </c>
      <c r="N386">
        <v>0.189</v>
      </c>
      <c r="O386" t="s">
        <v>303</v>
      </c>
      <c r="P386">
        <f t="shared" si="5"/>
        <v>0</v>
      </c>
    </row>
    <row r="387" spans="1:16" x14ac:dyDescent="0.25">
      <c r="A387" t="s">
        <v>669</v>
      </c>
      <c r="B387">
        <v>0.18964300000000001</v>
      </c>
      <c r="C387">
        <v>0.18964300000000001</v>
      </c>
      <c r="D387" t="s">
        <v>303</v>
      </c>
      <c r="E387" t="s">
        <v>910</v>
      </c>
      <c r="F387" t="s">
        <v>910</v>
      </c>
      <c r="J387">
        <v>0.18964300000000001</v>
      </c>
      <c r="K387">
        <v>0.18964300000000001</v>
      </c>
      <c r="L387" t="s">
        <v>303</v>
      </c>
      <c r="M387">
        <v>0.18964300000000001</v>
      </c>
      <c r="N387">
        <v>0.18964300000000001</v>
      </c>
      <c r="O387" t="s">
        <v>303</v>
      </c>
      <c r="P387">
        <f t="shared" ref="P387:P450" si="6">LEN(I387)</f>
        <v>0</v>
      </c>
    </row>
    <row r="388" spans="1:16" x14ac:dyDescent="0.25">
      <c r="A388" t="s">
        <v>669</v>
      </c>
      <c r="B388">
        <v>0.18970000000000001</v>
      </c>
      <c r="C388">
        <v>0.18970000000000001</v>
      </c>
      <c r="D388" t="s">
        <v>303</v>
      </c>
      <c r="E388" t="s">
        <v>910</v>
      </c>
      <c r="F388" t="s">
        <v>910</v>
      </c>
      <c r="J388">
        <v>0.18970000000000001</v>
      </c>
      <c r="K388">
        <v>0.18970000000000001</v>
      </c>
      <c r="L388" t="s">
        <v>303</v>
      </c>
      <c r="M388">
        <v>0.18970000000000001</v>
      </c>
      <c r="N388">
        <v>0.18970000000000001</v>
      </c>
      <c r="O388" t="s">
        <v>303</v>
      </c>
      <c r="P388">
        <f t="shared" si="6"/>
        <v>0</v>
      </c>
    </row>
    <row r="389" spans="1:16" x14ac:dyDescent="0.25">
      <c r="A389" t="s">
        <v>669</v>
      </c>
      <c r="B389">
        <v>0.190028</v>
      </c>
      <c r="C389">
        <v>0.190028</v>
      </c>
      <c r="D389" t="s">
        <v>303</v>
      </c>
      <c r="E389" t="s">
        <v>910</v>
      </c>
      <c r="F389" t="s">
        <v>910</v>
      </c>
      <c r="J389">
        <v>0.190028</v>
      </c>
      <c r="K389">
        <v>0.190028</v>
      </c>
      <c r="L389" t="s">
        <v>303</v>
      </c>
      <c r="M389">
        <v>0.190028</v>
      </c>
      <c r="N389">
        <v>0.190028</v>
      </c>
      <c r="O389" t="s">
        <v>303</v>
      </c>
      <c r="P389">
        <f t="shared" si="6"/>
        <v>0</v>
      </c>
    </row>
    <row r="390" spans="1:16" x14ac:dyDescent="0.25">
      <c r="A390" t="s">
        <v>669</v>
      </c>
      <c r="B390">
        <v>0.19020000000000001</v>
      </c>
      <c r="C390">
        <v>0.19020000000000001</v>
      </c>
      <c r="D390" t="s">
        <v>303</v>
      </c>
      <c r="E390" t="s">
        <v>910</v>
      </c>
      <c r="F390" t="s">
        <v>910</v>
      </c>
      <c r="J390">
        <v>0.19020000000000001</v>
      </c>
      <c r="K390">
        <v>0.19020000000000001</v>
      </c>
      <c r="L390" t="s">
        <v>303</v>
      </c>
      <c r="M390">
        <v>0.19020000000000001</v>
      </c>
      <c r="N390">
        <v>0.19020000000000001</v>
      </c>
      <c r="O390" t="s">
        <v>303</v>
      </c>
      <c r="P390">
        <f t="shared" si="6"/>
        <v>0</v>
      </c>
    </row>
    <row r="391" spans="1:16" x14ac:dyDescent="0.25">
      <c r="A391" t="s">
        <v>669</v>
      </c>
      <c r="B391">
        <v>0.191298</v>
      </c>
      <c r="C391">
        <v>0.191298</v>
      </c>
      <c r="D391" t="s">
        <v>303</v>
      </c>
      <c r="E391" t="s">
        <v>910</v>
      </c>
      <c r="F391" t="s">
        <v>910</v>
      </c>
      <c r="J391">
        <v>0.191298</v>
      </c>
      <c r="K391">
        <v>0.191298</v>
      </c>
      <c r="L391" t="s">
        <v>303</v>
      </c>
      <c r="M391">
        <v>0.191298</v>
      </c>
      <c r="N391">
        <v>0.191298</v>
      </c>
      <c r="O391" t="s">
        <v>303</v>
      </c>
      <c r="P391">
        <f t="shared" si="6"/>
        <v>0</v>
      </c>
    </row>
    <row r="392" spans="1:16" x14ac:dyDescent="0.25">
      <c r="A392" t="s">
        <v>669</v>
      </c>
      <c r="B392">
        <v>0.19169600000000001</v>
      </c>
      <c r="C392">
        <v>0.19169600000000001</v>
      </c>
      <c r="D392" t="s">
        <v>303</v>
      </c>
      <c r="E392" t="s">
        <v>910</v>
      </c>
      <c r="F392" t="s">
        <v>910</v>
      </c>
      <c r="J392">
        <v>0.19169600000000001</v>
      </c>
      <c r="K392">
        <v>0.19169600000000001</v>
      </c>
      <c r="L392" t="s">
        <v>303</v>
      </c>
      <c r="M392">
        <v>0.19169600000000001</v>
      </c>
      <c r="N392">
        <v>0.19169600000000001</v>
      </c>
      <c r="O392" t="s">
        <v>303</v>
      </c>
      <c r="P392">
        <f t="shared" si="6"/>
        <v>0</v>
      </c>
    </row>
    <row r="393" spans="1:16" x14ac:dyDescent="0.25">
      <c r="A393" t="s">
        <v>669</v>
      </c>
      <c r="B393">
        <v>0.19170000000000001</v>
      </c>
      <c r="C393">
        <v>0.19170000000000001</v>
      </c>
      <c r="D393" t="s">
        <v>303</v>
      </c>
      <c r="E393" t="s">
        <v>910</v>
      </c>
      <c r="F393" t="s">
        <v>910</v>
      </c>
      <c r="J393">
        <v>0.19170000000000001</v>
      </c>
      <c r="K393">
        <v>0.19170000000000001</v>
      </c>
      <c r="L393" t="s">
        <v>303</v>
      </c>
      <c r="M393">
        <v>0.19170000000000001</v>
      </c>
      <c r="N393">
        <v>0.19170000000000001</v>
      </c>
      <c r="O393" t="s">
        <v>303</v>
      </c>
      <c r="P393">
        <f t="shared" si="6"/>
        <v>0</v>
      </c>
    </row>
    <row r="394" spans="1:16" x14ac:dyDescent="0.25">
      <c r="A394" t="s">
        <v>669</v>
      </c>
      <c r="B394">
        <v>0.19298000000000001</v>
      </c>
      <c r="C394">
        <v>0.19298000000000001</v>
      </c>
      <c r="D394" t="s">
        <v>303</v>
      </c>
      <c r="E394" t="s">
        <v>910</v>
      </c>
      <c r="F394" t="s">
        <v>910</v>
      </c>
      <c r="J394">
        <v>0.19298000000000001</v>
      </c>
      <c r="K394">
        <v>0.19298000000000001</v>
      </c>
      <c r="L394" t="s">
        <v>303</v>
      </c>
      <c r="M394">
        <v>0.19298000000000001</v>
      </c>
      <c r="N394">
        <v>0.19298000000000001</v>
      </c>
      <c r="O394" t="s">
        <v>303</v>
      </c>
      <c r="P394">
        <f t="shared" si="6"/>
        <v>0</v>
      </c>
    </row>
    <row r="395" spans="1:16" x14ac:dyDescent="0.25">
      <c r="A395" t="s">
        <v>669</v>
      </c>
      <c r="B395">
        <v>0.19336500000000001</v>
      </c>
      <c r="C395">
        <v>0.19336500000000001</v>
      </c>
      <c r="D395" t="s">
        <v>303</v>
      </c>
      <c r="E395" t="s">
        <v>910</v>
      </c>
      <c r="F395" t="s">
        <v>910</v>
      </c>
      <c r="J395">
        <v>0.19336500000000001</v>
      </c>
      <c r="K395">
        <v>0.19336500000000001</v>
      </c>
      <c r="L395" t="s">
        <v>303</v>
      </c>
      <c r="M395">
        <v>0.19336500000000001</v>
      </c>
      <c r="N395">
        <v>0.19336500000000001</v>
      </c>
      <c r="O395" t="s">
        <v>303</v>
      </c>
      <c r="P395">
        <f t="shared" si="6"/>
        <v>0</v>
      </c>
    </row>
    <row r="396" spans="1:16" x14ac:dyDescent="0.25">
      <c r="A396" t="s">
        <v>669</v>
      </c>
      <c r="B396" t="s">
        <v>669</v>
      </c>
      <c r="C396">
        <v>194</v>
      </c>
      <c r="D396" t="s">
        <v>862</v>
      </c>
      <c r="E396">
        <v>8</v>
      </c>
      <c r="F396">
        <v>5</v>
      </c>
      <c r="G396" t="s">
        <v>687</v>
      </c>
      <c r="H396" t="s">
        <v>684</v>
      </c>
      <c r="J396">
        <v>0.19400000000000001</v>
      </c>
      <c r="K396">
        <v>0</v>
      </c>
      <c r="L396" t="s">
        <v>303</v>
      </c>
      <c r="M396">
        <v>194</v>
      </c>
      <c r="O396" t="s">
        <v>862</v>
      </c>
      <c r="P396">
        <f t="shared" si="6"/>
        <v>0</v>
      </c>
    </row>
    <row r="397" spans="1:16" x14ac:dyDescent="0.25">
      <c r="A397" t="s">
        <v>527</v>
      </c>
      <c r="B397" t="s">
        <v>669</v>
      </c>
      <c r="C397">
        <v>194</v>
      </c>
      <c r="D397" t="s">
        <v>862</v>
      </c>
      <c r="E397">
        <v>8</v>
      </c>
      <c r="F397">
        <v>5</v>
      </c>
      <c r="G397" t="s">
        <v>687</v>
      </c>
      <c r="H397" t="s">
        <v>684</v>
      </c>
      <c r="J397">
        <v>0.19400000000000001</v>
      </c>
      <c r="K397">
        <v>0</v>
      </c>
      <c r="L397" t="s">
        <v>303</v>
      </c>
      <c r="M397">
        <v>194</v>
      </c>
      <c r="O397" t="s">
        <v>862</v>
      </c>
      <c r="P397">
        <f t="shared" si="6"/>
        <v>0</v>
      </c>
    </row>
    <row r="398" spans="1:16" x14ac:dyDescent="0.25">
      <c r="A398" t="s">
        <v>669</v>
      </c>
      <c r="B398">
        <v>0.19626399999999999</v>
      </c>
      <c r="C398">
        <v>0.19626399999999999</v>
      </c>
      <c r="D398" t="s">
        <v>303</v>
      </c>
      <c r="E398" t="s">
        <v>910</v>
      </c>
      <c r="F398" t="s">
        <v>910</v>
      </c>
      <c r="J398">
        <v>0.19626399999999999</v>
      </c>
      <c r="K398">
        <v>0.19626399999999999</v>
      </c>
      <c r="L398" t="s">
        <v>303</v>
      </c>
      <c r="M398">
        <v>0.19626399999999999</v>
      </c>
      <c r="N398">
        <v>0.19626399999999999</v>
      </c>
      <c r="O398" t="s">
        <v>303</v>
      </c>
      <c r="P398">
        <f t="shared" si="6"/>
        <v>0</v>
      </c>
    </row>
    <row r="399" spans="1:16" x14ac:dyDescent="0.25">
      <c r="A399" t="s">
        <v>669</v>
      </c>
      <c r="B399">
        <v>0.19775899999999999</v>
      </c>
      <c r="C399">
        <v>0.19775899999999999</v>
      </c>
      <c r="D399" t="s">
        <v>303</v>
      </c>
      <c r="E399" t="s">
        <v>910</v>
      </c>
      <c r="F399" t="s">
        <v>910</v>
      </c>
      <c r="J399">
        <v>0.19775899999999999</v>
      </c>
      <c r="K399">
        <v>0.19775899999999999</v>
      </c>
      <c r="L399" t="s">
        <v>303</v>
      </c>
      <c r="M399">
        <v>0.19775899999999999</v>
      </c>
      <c r="N399">
        <v>0.19775899999999999</v>
      </c>
      <c r="O399" t="s">
        <v>303</v>
      </c>
      <c r="P399">
        <f t="shared" si="6"/>
        <v>0</v>
      </c>
    </row>
    <row r="400" spans="1:16" x14ac:dyDescent="0.25">
      <c r="A400" t="s">
        <v>669</v>
      </c>
      <c r="B400">
        <v>0.19889999999999999</v>
      </c>
      <c r="C400">
        <v>0.19889999999999999</v>
      </c>
      <c r="D400" t="s">
        <v>303</v>
      </c>
      <c r="E400" t="s">
        <v>910</v>
      </c>
      <c r="F400" t="s">
        <v>910</v>
      </c>
      <c r="J400">
        <v>0.19889999999999999</v>
      </c>
      <c r="K400">
        <v>0.19889999999999999</v>
      </c>
      <c r="L400" t="s">
        <v>303</v>
      </c>
      <c r="M400">
        <v>0.19889999999999999</v>
      </c>
      <c r="N400">
        <v>0.19889999999999999</v>
      </c>
      <c r="O400" t="s">
        <v>303</v>
      </c>
      <c r="P400">
        <f t="shared" si="6"/>
        <v>0</v>
      </c>
    </row>
    <row r="401" spans="1:16" x14ac:dyDescent="0.25">
      <c r="A401" t="s">
        <v>669</v>
      </c>
      <c r="B401">
        <v>0.19950000000000001</v>
      </c>
      <c r="C401">
        <v>0.19950000000000001</v>
      </c>
      <c r="D401" t="s">
        <v>303</v>
      </c>
      <c r="E401" t="s">
        <v>910</v>
      </c>
      <c r="F401" t="s">
        <v>910</v>
      </c>
      <c r="J401">
        <v>0.19950000000000001</v>
      </c>
      <c r="K401">
        <v>0.19950000000000001</v>
      </c>
      <c r="L401" t="s">
        <v>303</v>
      </c>
      <c r="M401">
        <v>0.19950000000000001</v>
      </c>
      <c r="N401">
        <v>0.19950000000000001</v>
      </c>
      <c r="O401" t="s">
        <v>303</v>
      </c>
      <c r="P401">
        <f t="shared" si="6"/>
        <v>0</v>
      </c>
    </row>
    <row r="402" spans="1:16" x14ac:dyDescent="0.25">
      <c r="A402" t="s">
        <v>669</v>
      </c>
      <c r="B402">
        <v>0.2</v>
      </c>
      <c r="C402">
        <v>0.2</v>
      </c>
      <c r="D402" t="s">
        <v>303</v>
      </c>
      <c r="E402" t="s">
        <v>910</v>
      </c>
      <c r="F402" t="s">
        <v>910</v>
      </c>
      <c r="J402">
        <v>0.2</v>
      </c>
      <c r="K402">
        <v>0.2</v>
      </c>
      <c r="L402" t="s">
        <v>303</v>
      </c>
      <c r="M402">
        <v>0.2</v>
      </c>
      <c r="N402">
        <v>0.2</v>
      </c>
      <c r="O402" t="s">
        <v>303</v>
      </c>
      <c r="P402">
        <f t="shared" si="6"/>
        <v>0</v>
      </c>
    </row>
    <row r="403" spans="1:16" x14ac:dyDescent="0.25">
      <c r="A403" t="s">
        <v>669</v>
      </c>
      <c r="B403">
        <v>20000</v>
      </c>
      <c r="C403">
        <v>200000</v>
      </c>
      <c r="D403" t="s">
        <v>857</v>
      </c>
      <c r="E403" t="s">
        <v>910</v>
      </c>
      <c r="F403" t="s">
        <v>910</v>
      </c>
      <c r="J403">
        <v>0.2</v>
      </c>
      <c r="K403">
        <v>0.02</v>
      </c>
      <c r="L403" t="s">
        <v>303</v>
      </c>
      <c r="M403">
        <v>200000</v>
      </c>
      <c r="N403">
        <v>20000</v>
      </c>
      <c r="O403" t="s">
        <v>303</v>
      </c>
      <c r="P403">
        <f t="shared" si="6"/>
        <v>0</v>
      </c>
    </row>
    <row r="404" spans="1:16" x14ac:dyDescent="0.25">
      <c r="A404" t="s">
        <v>527</v>
      </c>
      <c r="B404">
        <v>200.29920000000001</v>
      </c>
      <c r="C404">
        <v>200.29920000000001</v>
      </c>
      <c r="D404" t="s">
        <v>887</v>
      </c>
      <c r="E404">
        <v>8</v>
      </c>
      <c r="F404">
        <v>8</v>
      </c>
      <c r="G404" t="s">
        <v>687</v>
      </c>
      <c r="H404" t="s">
        <v>687</v>
      </c>
      <c r="J404">
        <v>0.20029920000000001</v>
      </c>
      <c r="K404">
        <v>0.20029920000000001</v>
      </c>
      <c r="L404" t="s">
        <v>303</v>
      </c>
      <c r="M404">
        <v>200.29920000000001</v>
      </c>
      <c r="N404">
        <v>200.29920000000001</v>
      </c>
      <c r="O404" t="s">
        <v>862</v>
      </c>
      <c r="P404">
        <f t="shared" si="6"/>
        <v>0</v>
      </c>
    </row>
    <row r="405" spans="1:16" x14ac:dyDescent="0.25">
      <c r="A405" t="s">
        <v>669</v>
      </c>
      <c r="B405">
        <v>0.20050000000000001</v>
      </c>
      <c r="C405">
        <v>0.20050000000000001</v>
      </c>
      <c r="D405" t="s">
        <v>303</v>
      </c>
      <c r="E405" t="s">
        <v>910</v>
      </c>
      <c r="F405" t="s">
        <v>910</v>
      </c>
      <c r="J405">
        <v>0.20050000000000001</v>
      </c>
      <c r="K405">
        <v>0.20050000000000001</v>
      </c>
      <c r="L405" t="s">
        <v>303</v>
      </c>
      <c r="M405">
        <v>0.20050000000000001</v>
      </c>
      <c r="N405">
        <v>0.20050000000000001</v>
      </c>
      <c r="O405" t="s">
        <v>303</v>
      </c>
      <c r="P405">
        <f t="shared" si="6"/>
        <v>0</v>
      </c>
    </row>
    <row r="406" spans="1:16" x14ac:dyDescent="0.25">
      <c r="A406" t="s">
        <v>669</v>
      </c>
      <c r="B406">
        <v>0.2009</v>
      </c>
      <c r="C406">
        <v>0.2009</v>
      </c>
      <c r="D406" t="s">
        <v>303</v>
      </c>
      <c r="E406" t="s">
        <v>910</v>
      </c>
      <c r="F406" t="s">
        <v>910</v>
      </c>
      <c r="J406">
        <v>0.2009</v>
      </c>
      <c r="K406">
        <v>0.2009</v>
      </c>
      <c r="L406" t="s">
        <v>303</v>
      </c>
      <c r="M406">
        <v>0.2009</v>
      </c>
      <c r="N406">
        <v>0.2009</v>
      </c>
      <c r="O406" t="s">
        <v>303</v>
      </c>
      <c r="P406">
        <f t="shared" si="6"/>
        <v>0</v>
      </c>
    </row>
    <row r="407" spans="1:16" x14ac:dyDescent="0.25">
      <c r="A407" t="s">
        <v>669</v>
      </c>
      <c r="B407">
        <v>0.20169999999999999</v>
      </c>
      <c r="C407">
        <v>0.20169999999999999</v>
      </c>
      <c r="D407" t="s">
        <v>303</v>
      </c>
      <c r="E407" t="s">
        <v>910</v>
      </c>
      <c r="F407" t="s">
        <v>910</v>
      </c>
      <c r="J407">
        <v>0.20169999999999999</v>
      </c>
      <c r="K407">
        <v>0.20169999999999999</v>
      </c>
      <c r="L407" t="s">
        <v>303</v>
      </c>
      <c r="M407">
        <v>0.20169999999999999</v>
      </c>
      <c r="N407">
        <v>0.20169999999999999</v>
      </c>
      <c r="O407" t="s">
        <v>303</v>
      </c>
      <c r="P407">
        <f t="shared" si="6"/>
        <v>0</v>
      </c>
    </row>
    <row r="408" spans="1:16" x14ac:dyDescent="0.25">
      <c r="A408" t="s">
        <v>669</v>
      </c>
      <c r="B408">
        <v>0.20192499999999999</v>
      </c>
      <c r="C408">
        <v>0.20192499999999999</v>
      </c>
      <c r="D408" t="s">
        <v>303</v>
      </c>
      <c r="E408" t="s">
        <v>910</v>
      </c>
      <c r="F408" t="s">
        <v>910</v>
      </c>
      <c r="J408">
        <v>0.20192499999999999</v>
      </c>
      <c r="K408">
        <v>0.20192499999999999</v>
      </c>
      <c r="L408" t="s">
        <v>303</v>
      </c>
      <c r="M408">
        <v>0.20192499999999999</v>
      </c>
      <c r="N408">
        <v>0.20192499999999999</v>
      </c>
      <c r="O408" t="s">
        <v>303</v>
      </c>
      <c r="P408">
        <f t="shared" si="6"/>
        <v>0</v>
      </c>
    </row>
    <row r="409" spans="1:16" x14ac:dyDescent="0.25">
      <c r="A409" t="s">
        <v>669</v>
      </c>
      <c r="B409">
        <v>0.20364499999999999</v>
      </c>
      <c r="C409">
        <v>0.20364499999999999</v>
      </c>
      <c r="D409" t="s">
        <v>303</v>
      </c>
      <c r="E409" t="s">
        <v>910</v>
      </c>
      <c r="F409" t="s">
        <v>910</v>
      </c>
      <c r="J409">
        <v>0.20364499999999999</v>
      </c>
      <c r="K409">
        <v>0.20364499999999999</v>
      </c>
      <c r="L409" t="s">
        <v>303</v>
      </c>
      <c r="M409">
        <v>0.20364499999999999</v>
      </c>
      <c r="N409">
        <v>0.20364499999999999</v>
      </c>
      <c r="O409" t="s">
        <v>303</v>
      </c>
      <c r="P409">
        <f t="shared" si="6"/>
        <v>0</v>
      </c>
    </row>
    <row r="410" spans="1:16" x14ac:dyDescent="0.25">
      <c r="A410" t="s">
        <v>669</v>
      </c>
      <c r="B410">
        <v>0.20480000000000001</v>
      </c>
      <c r="C410">
        <v>0.20480000000000001</v>
      </c>
      <c r="D410" t="s">
        <v>303</v>
      </c>
      <c r="E410" t="s">
        <v>910</v>
      </c>
      <c r="F410" t="s">
        <v>910</v>
      </c>
      <c r="J410">
        <v>0.20480000000000001</v>
      </c>
      <c r="K410">
        <v>0.20480000000000001</v>
      </c>
      <c r="L410" t="s">
        <v>303</v>
      </c>
      <c r="M410">
        <v>0.20480000000000001</v>
      </c>
      <c r="N410">
        <v>0.20480000000000001</v>
      </c>
      <c r="O410" t="s">
        <v>303</v>
      </c>
      <c r="P410">
        <f t="shared" si="6"/>
        <v>0</v>
      </c>
    </row>
    <row r="411" spans="1:16" x14ac:dyDescent="0.25">
      <c r="A411" t="s">
        <v>669</v>
      </c>
      <c r="B411">
        <v>0.20554700000000001</v>
      </c>
      <c r="C411">
        <v>0.20554700000000001</v>
      </c>
      <c r="D411" t="s">
        <v>303</v>
      </c>
      <c r="E411" t="s">
        <v>910</v>
      </c>
      <c r="F411" t="s">
        <v>910</v>
      </c>
      <c r="J411">
        <v>0.20554700000000001</v>
      </c>
      <c r="K411">
        <v>0.20554700000000001</v>
      </c>
      <c r="L411" t="s">
        <v>303</v>
      </c>
      <c r="M411">
        <v>0.20554700000000001</v>
      </c>
      <c r="N411">
        <v>0.20554700000000001</v>
      </c>
      <c r="O411" t="s">
        <v>303</v>
      </c>
      <c r="P411">
        <f t="shared" si="6"/>
        <v>0</v>
      </c>
    </row>
    <row r="412" spans="1:16" x14ac:dyDescent="0.25">
      <c r="A412" t="s">
        <v>669</v>
      </c>
      <c r="B412">
        <v>0.2069</v>
      </c>
      <c r="C412">
        <v>0.2069</v>
      </c>
      <c r="D412" t="s">
        <v>303</v>
      </c>
      <c r="E412" t="s">
        <v>910</v>
      </c>
      <c r="F412" t="s">
        <v>910</v>
      </c>
      <c r="J412">
        <v>0.2069</v>
      </c>
      <c r="K412">
        <v>0.2069</v>
      </c>
      <c r="L412" t="s">
        <v>303</v>
      </c>
      <c r="M412">
        <v>0.2069</v>
      </c>
      <c r="N412">
        <v>0.2069</v>
      </c>
      <c r="O412" t="s">
        <v>303</v>
      </c>
      <c r="P412">
        <f t="shared" si="6"/>
        <v>0</v>
      </c>
    </row>
    <row r="413" spans="1:16" x14ac:dyDescent="0.25">
      <c r="A413" t="s">
        <v>669</v>
      </c>
      <c r="B413">
        <v>0.20699999999999999</v>
      </c>
      <c r="C413">
        <v>0.20699999999999999</v>
      </c>
      <c r="D413" t="s">
        <v>303</v>
      </c>
      <c r="E413" t="s">
        <v>910</v>
      </c>
      <c r="F413" t="s">
        <v>910</v>
      </c>
      <c r="J413">
        <v>0.20699999999999999</v>
      </c>
      <c r="K413">
        <v>0.20699999999999999</v>
      </c>
      <c r="L413" t="s">
        <v>303</v>
      </c>
      <c r="M413">
        <v>0.20699999999999999</v>
      </c>
      <c r="N413">
        <v>0.20699999999999999</v>
      </c>
      <c r="O413" t="s">
        <v>303</v>
      </c>
      <c r="P413">
        <f t="shared" si="6"/>
        <v>0</v>
      </c>
    </row>
    <row r="414" spans="1:16" x14ac:dyDescent="0.25">
      <c r="A414" t="s">
        <v>669</v>
      </c>
      <c r="B414">
        <v>0.20899999999999999</v>
      </c>
      <c r="C414">
        <v>0.20899999999999999</v>
      </c>
      <c r="D414" t="s">
        <v>303</v>
      </c>
      <c r="E414" t="s">
        <v>910</v>
      </c>
      <c r="F414" t="s">
        <v>910</v>
      </c>
      <c r="J414">
        <v>0.20899999999999999</v>
      </c>
      <c r="K414">
        <v>0.20899999999999999</v>
      </c>
      <c r="L414" t="s">
        <v>303</v>
      </c>
      <c r="M414">
        <v>0.20899999999999999</v>
      </c>
      <c r="N414">
        <v>0.20899999999999999</v>
      </c>
      <c r="O414" t="s">
        <v>303</v>
      </c>
      <c r="P414">
        <f t="shared" si="6"/>
        <v>0</v>
      </c>
    </row>
    <row r="415" spans="1:16" x14ac:dyDescent="0.25">
      <c r="A415" t="s">
        <v>669</v>
      </c>
      <c r="B415">
        <v>0.20974999999999999</v>
      </c>
      <c r="C415">
        <v>0.20974999999999999</v>
      </c>
      <c r="D415" t="s">
        <v>303</v>
      </c>
      <c r="E415" t="s">
        <v>910</v>
      </c>
      <c r="F415" t="s">
        <v>910</v>
      </c>
      <c r="J415">
        <v>0.20974999999999999</v>
      </c>
      <c r="K415">
        <v>0.20974999999999999</v>
      </c>
      <c r="L415" t="s">
        <v>303</v>
      </c>
      <c r="M415">
        <v>0.20974999999999999</v>
      </c>
      <c r="N415">
        <v>0.20974999999999999</v>
      </c>
      <c r="O415" t="s">
        <v>303</v>
      </c>
      <c r="P415">
        <f t="shared" si="6"/>
        <v>0</v>
      </c>
    </row>
    <row r="416" spans="1:16" x14ac:dyDescent="0.25">
      <c r="A416" t="s">
        <v>669</v>
      </c>
      <c r="B416">
        <v>0.19</v>
      </c>
      <c r="C416">
        <v>0.21</v>
      </c>
      <c r="D416" t="s">
        <v>860</v>
      </c>
      <c r="E416" t="s">
        <v>910</v>
      </c>
      <c r="F416" t="s">
        <v>910</v>
      </c>
      <c r="J416">
        <v>0.21</v>
      </c>
      <c r="K416">
        <v>0.19</v>
      </c>
      <c r="L416" t="s">
        <v>303</v>
      </c>
      <c r="M416">
        <v>0.21</v>
      </c>
      <c r="N416">
        <v>0.19</v>
      </c>
      <c r="O416" t="s">
        <v>303</v>
      </c>
      <c r="P416">
        <f t="shared" si="6"/>
        <v>0</v>
      </c>
    </row>
    <row r="417" spans="1:16" x14ac:dyDescent="0.25">
      <c r="A417" t="s">
        <v>669</v>
      </c>
      <c r="B417">
        <v>0.21193799999999999</v>
      </c>
      <c r="C417">
        <v>0.21193799999999999</v>
      </c>
      <c r="D417" t="s">
        <v>303</v>
      </c>
      <c r="E417" t="s">
        <v>910</v>
      </c>
      <c r="F417" t="s">
        <v>910</v>
      </c>
      <c r="J417">
        <v>0.21193799999999999</v>
      </c>
      <c r="K417">
        <v>0.21193799999999999</v>
      </c>
      <c r="L417" t="s">
        <v>303</v>
      </c>
      <c r="M417">
        <v>0.21193799999999999</v>
      </c>
      <c r="N417">
        <v>0.21193799999999999</v>
      </c>
      <c r="O417" t="s">
        <v>303</v>
      </c>
      <c r="P417">
        <f t="shared" si="6"/>
        <v>0</v>
      </c>
    </row>
    <row r="418" spans="1:16" x14ac:dyDescent="0.25">
      <c r="A418" t="s">
        <v>669</v>
      </c>
      <c r="B418">
        <v>0.212172</v>
      </c>
      <c r="C418">
        <v>0.212172</v>
      </c>
      <c r="D418" t="s">
        <v>303</v>
      </c>
      <c r="E418" t="s">
        <v>910</v>
      </c>
      <c r="F418" t="s">
        <v>910</v>
      </c>
      <c r="J418">
        <v>0.212172</v>
      </c>
      <c r="K418">
        <v>0.212172</v>
      </c>
      <c r="L418" t="s">
        <v>303</v>
      </c>
      <c r="M418">
        <v>0.212172</v>
      </c>
      <c r="N418">
        <v>0.212172</v>
      </c>
      <c r="O418" t="s">
        <v>303</v>
      </c>
      <c r="P418">
        <f t="shared" si="6"/>
        <v>0</v>
      </c>
    </row>
    <row r="419" spans="1:16" x14ac:dyDescent="0.25">
      <c r="A419" t="s">
        <v>669</v>
      </c>
      <c r="B419">
        <v>186593</v>
      </c>
      <c r="C419">
        <v>213528</v>
      </c>
      <c r="D419" t="s">
        <v>669</v>
      </c>
      <c r="E419">
        <v>8</v>
      </c>
      <c r="F419">
        <v>8</v>
      </c>
      <c r="G419" t="s">
        <v>687</v>
      </c>
      <c r="H419" t="s">
        <v>687</v>
      </c>
      <c r="I419" t="s">
        <v>927</v>
      </c>
      <c r="J419">
        <v>0.213528</v>
      </c>
      <c r="K419">
        <v>0.18659300000000001</v>
      </c>
      <c r="L419" t="s">
        <v>930</v>
      </c>
      <c r="M419">
        <v>213528</v>
      </c>
      <c r="N419">
        <v>186593</v>
      </c>
      <c r="P419">
        <f t="shared" si="6"/>
        <v>14</v>
      </c>
    </row>
    <row r="420" spans="1:16" x14ac:dyDescent="0.25">
      <c r="A420" t="s">
        <v>669</v>
      </c>
      <c r="B420">
        <v>0.21490600000000001</v>
      </c>
      <c r="C420">
        <v>0.21490600000000001</v>
      </c>
      <c r="D420" t="s">
        <v>303</v>
      </c>
      <c r="E420" t="s">
        <v>910</v>
      </c>
      <c r="F420" t="s">
        <v>910</v>
      </c>
      <c r="J420">
        <v>0.21490600000000001</v>
      </c>
      <c r="K420">
        <v>0.21490600000000001</v>
      </c>
      <c r="L420" t="s">
        <v>303</v>
      </c>
      <c r="M420">
        <v>0.21490600000000001</v>
      </c>
      <c r="N420">
        <v>0.21490600000000001</v>
      </c>
      <c r="O420" t="s">
        <v>303</v>
      </c>
      <c r="P420">
        <f t="shared" si="6"/>
        <v>0</v>
      </c>
    </row>
    <row r="421" spans="1:16" x14ac:dyDescent="0.25">
      <c r="A421" t="s">
        <v>669</v>
      </c>
      <c r="B421">
        <v>0.18</v>
      </c>
      <c r="C421">
        <v>0.22</v>
      </c>
      <c r="D421" t="s">
        <v>669</v>
      </c>
      <c r="E421">
        <v>8</v>
      </c>
      <c r="F421">
        <v>8</v>
      </c>
      <c r="G421" t="s">
        <v>687</v>
      </c>
      <c r="H421" t="s">
        <v>687</v>
      </c>
      <c r="I421" t="s">
        <v>927</v>
      </c>
      <c r="J421">
        <v>0.22</v>
      </c>
      <c r="K421">
        <v>0.18</v>
      </c>
      <c r="L421" t="s">
        <v>930</v>
      </c>
      <c r="M421">
        <v>0.22</v>
      </c>
      <c r="N421">
        <v>0.18</v>
      </c>
      <c r="P421">
        <f t="shared" si="6"/>
        <v>14</v>
      </c>
    </row>
    <row r="422" spans="1:16" x14ac:dyDescent="0.25">
      <c r="A422" t="s">
        <v>669</v>
      </c>
      <c r="B422">
        <v>100</v>
      </c>
      <c r="C422">
        <v>220</v>
      </c>
      <c r="D422" t="s">
        <v>870</v>
      </c>
      <c r="E422">
        <v>8</v>
      </c>
      <c r="F422">
        <v>8</v>
      </c>
      <c r="G422" t="s">
        <v>687</v>
      </c>
      <c r="H422" t="s">
        <v>687</v>
      </c>
      <c r="J422">
        <v>0.22</v>
      </c>
      <c r="K422">
        <v>0.1</v>
      </c>
      <c r="L422" t="s">
        <v>303</v>
      </c>
      <c r="M422">
        <v>220</v>
      </c>
      <c r="N422">
        <v>100</v>
      </c>
      <c r="O422" t="s">
        <v>862</v>
      </c>
      <c r="P422">
        <f t="shared" si="6"/>
        <v>0</v>
      </c>
    </row>
    <row r="423" spans="1:16" x14ac:dyDescent="0.25">
      <c r="A423" t="s">
        <v>669</v>
      </c>
      <c r="B423">
        <v>0.22120000000000001</v>
      </c>
      <c r="C423">
        <v>0.22120000000000001</v>
      </c>
      <c r="D423" t="s">
        <v>303</v>
      </c>
      <c r="E423" t="s">
        <v>910</v>
      </c>
      <c r="F423" t="s">
        <v>910</v>
      </c>
      <c r="J423">
        <v>0.22120000000000001</v>
      </c>
      <c r="K423">
        <v>0.22120000000000001</v>
      </c>
      <c r="L423" t="s">
        <v>303</v>
      </c>
      <c r="M423">
        <v>0.22120000000000001</v>
      </c>
      <c r="N423">
        <v>0.22120000000000001</v>
      </c>
      <c r="O423" t="s">
        <v>303</v>
      </c>
      <c r="P423">
        <f t="shared" si="6"/>
        <v>0</v>
      </c>
    </row>
    <row r="424" spans="1:16" x14ac:dyDescent="0.25">
      <c r="A424" t="s">
        <v>389</v>
      </c>
      <c r="B424">
        <v>187000</v>
      </c>
      <c r="C424">
        <v>225000</v>
      </c>
      <c r="D424" t="s">
        <v>857</v>
      </c>
      <c r="E424">
        <v>10</v>
      </c>
      <c r="F424">
        <v>10</v>
      </c>
      <c r="G424" t="s">
        <v>949</v>
      </c>
      <c r="H424" t="s">
        <v>949</v>
      </c>
      <c r="J424">
        <v>0.22500000000000001</v>
      </c>
      <c r="K424">
        <v>0.187</v>
      </c>
      <c r="L424" t="s">
        <v>303</v>
      </c>
      <c r="M424">
        <v>225000</v>
      </c>
      <c r="N424">
        <v>187000</v>
      </c>
      <c r="O424" t="s">
        <v>303</v>
      </c>
      <c r="P424">
        <f t="shared" si="6"/>
        <v>0</v>
      </c>
    </row>
    <row r="425" spans="1:16" x14ac:dyDescent="0.25">
      <c r="A425" t="s">
        <v>669</v>
      </c>
      <c r="B425" t="s">
        <v>669</v>
      </c>
      <c r="C425">
        <v>226</v>
      </c>
      <c r="D425" t="s">
        <v>862</v>
      </c>
      <c r="E425">
        <v>8</v>
      </c>
      <c r="F425">
        <v>5</v>
      </c>
      <c r="G425" t="s">
        <v>687</v>
      </c>
      <c r="H425" t="s">
        <v>684</v>
      </c>
      <c r="J425">
        <v>0.22600000000000001</v>
      </c>
      <c r="K425">
        <v>0</v>
      </c>
      <c r="L425" t="s">
        <v>303</v>
      </c>
      <c r="M425">
        <v>226</v>
      </c>
      <c r="O425" t="s">
        <v>862</v>
      </c>
      <c r="P425">
        <f t="shared" si="6"/>
        <v>0</v>
      </c>
    </row>
    <row r="426" spans="1:16" x14ac:dyDescent="0.25">
      <c r="A426" t="s">
        <v>527</v>
      </c>
      <c r="B426" t="s">
        <v>669</v>
      </c>
      <c r="C426">
        <v>226</v>
      </c>
      <c r="D426" t="s">
        <v>862</v>
      </c>
      <c r="E426">
        <v>8</v>
      </c>
      <c r="F426">
        <v>5</v>
      </c>
      <c r="G426" t="s">
        <v>687</v>
      </c>
      <c r="H426" t="s">
        <v>684</v>
      </c>
      <c r="J426">
        <v>0.22600000000000001</v>
      </c>
      <c r="K426">
        <v>0</v>
      </c>
      <c r="L426" t="s">
        <v>303</v>
      </c>
      <c r="M426">
        <v>226</v>
      </c>
      <c r="O426" t="s">
        <v>862</v>
      </c>
      <c r="P426">
        <f t="shared" si="6"/>
        <v>0</v>
      </c>
    </row>
    <row r="427" spans="1:16" x14ac:dyDescent="0.25">
      <c r="A427" t="s">
        <v>669</v>
      </c>
      <c r="B427">
        <v>0.22651199999999999</v>
      </c>
      <c r="C427">
        <v>0.22651199999999999</v>
      </c>
      <c r="D427" t="s">
        <v>303</v>
      </c>
      <c r="E427" t="s">
        <v>910</v>
      </c>
      <c r="F427" t="s">
        <v>910</v>
      </c>
      <c r="J427">
        <v>0.22651199999999999</v>
      </c>
      <c r="K427">
        <v>0.22651199999999999</v>
      </c>
      <c r="L427" t="s">
        <v>303</v>
      </c>
      <c r="M427">
        <v>0.22651199999999999</v>
      </c>
      <c r="N427">
        <v>0.22651199999999999</v>
      </c>
      <c r="O427" t="s">
        <v>303</v>
      </c>
      <c r="P427">
        <f t="shared" si="6"/>
        <v>0</v>
      </c>
    </row>
    <row r="428" spans="1:16" x14ac:dyDescent="0.25">
      <c r="A428" t="s">
        <v>527</v>
      </c>
      <c r="B428">
        <v>228.8614</v>
      </c>
      <c r="C428">
        <v>228.8614</v>
      </c>
      <c r="D428" t="s">
        <v>887</v>
      </c>
      <c r="E428">
        <v>8</v>
      </c>
      <c r="F428">
        <v>8</v>
      </c>
      <c r="G428" t="s">
        <v>687</v>
      </c>
      <c r="H428" t="s">
        <v>687</v>
      </c>
      <c r="J428">
        <v>0.22886139999999999</v>
      </c>
      <c r="K428">
        <v>0.22886139999999999</v>
      </c>
      <c r="L428" t="s">
        <v>303</v>
      </c>
      <c r="M428">
        <v>228.8614</v>
      </c>
      <c r="N428">
        <v>228.8614</v>
      </c>
      <c r="O428" t="s">
        <v>862</v>
      </c>
      <c r="P428">
        <f t="shared" si="6"/>
        <v>0</v>
      </c>
    </row>
    <row r="429" spans="1:16" x14ac:dyDescent="0.25">
      <c r="A429" t="s">
        <v>669</v>
      </c>
      <c r="B429">
        <v>0.22903499999999999</v>
      </c>
      <c r="C429">
        <v>0.22903499999999999</v>
      </c>
      <c r="D429" t="s">
        <v>303</v>
      </c>
      <c r="E429" t="s">
        <v>910</v>
      </c>
      <c r="F429" t="s">
        <v>910</v>
      </c>
      <c r="J429">
        <v>0.22903499999999999</v>
      </c>
      <c r="K429">
        <v>0.22903499999999999</v>
      </c>
      <c r="L429" t="s">
        <v>303</v>
      </c>
      <c r="M429">
        <v>0.22903499999999999</v>
      </c>
      <c r="N429">
        <v>0.22903499999999999</v>
      </c>
      <c r="O429" t="s">
        <v>303</v>
      </c>
      <c r="P429">
        <f t="shared" si="6"/>
        <v>0</v>
      </c>
    </row>
    <row r="430" spans="1:16" x14ac:dyDescent="0.25">
      <c r="A430" t="s">
        <v>527</v>
      </c>
      <c r="B430">
        <v>234.47630000000001</v>
      </c>
      <c r="C430">
        <v>234.47630000000001</v>
      </c>
      <c r="D430" t="s">
        <v>887</v>
      </c>
      <c r="E430">
        <v>8</v>
      </c>
      <c r="F430">
        <v>8</v>
      </c>
      <c r="G430" t="s">
        <v>687</v>
      </c>
      <c r="H430" t="s">
        <v>687</v>
      </c>
      <c r="J430">
        <v>0.2344763</v>
      </c>
      <c r="K430">
        <v>0.2344763</v>
      </c>
      <c r="L430" t="s">
        <v>303</v>
      </c>
      <c r="M430">
        <v>234.47630000000001</v>
      </c>
      <c r="N430">
        <v>234.47630000000001</v>
      </c>
      <c r="O430" t="s">
        <v>862</v>
      </c>
      <c r="P430">
        <f t="shared" si="6"/>
        <v>0</v>
      </c>
    </row>
    <row r="431" spans="1:16" x14ac:dyDescent="0.25">
      <c r="A431" t="s">
        <v>578</v>
      </c>
      <c r="B431">
        <v>0.22320999999999999</v>
      </c>
      <c r="C431">
        <v>0.23452999999999999</v>
      </c>
      <c r="D431" t="s">
        <v>669</v>
      </c>
      <c r="E431">
        <v>8</v>
      </c>
      <c r="F431">
        <v>8</v>
      </c>
      <c r="G431" t="s">
        <v>687</v>
      </c>
      <c r="H431" t="s">
        <v>687</v>
      </c>
      <c r="I431" t="s">
        <v>927</v>
      </c>
      <c r="J431">
        <v>0.23452999999999999</v>
      </c>
      <c r="K431">
        <v>0.22320999999999999</v>
      </c>
      <c r="L431" t="s">
        <v>930</v>
      </c>
      <c r="M431">
        <v>0.23452999999999999</v>
      </c>
      <c r="N431">
        <v>0.22320999999999999</v>
      </c>
      <c r="P431">
        <f t="shared" si="6"/>
        <v>14</v>
      </c>
    </row>
    <row r="432" spans="1:16" x14ac:dyDescent="0.25">
      <c r="A432" t="s">
        <v>669</v>
      </c>
      <c r="B432">
        <v>0.235517</v>
      </c>
      <c r="C432">
        <v>0.235517</v>
      </c>
      <c r="D432" t="s">
        <v>303</v>
      </c>
      <c r="E432" t="s">
        <v>910</v>
      </c>
      <c r="F432" t="s">
        <v>910</v>
      </c>
      <c r="J432">
        <v>0.235517</v>
      </c>
      <c r="K432">
        <v>0.235517</v>
      </c>
      <c r="L432" t="s">
        <v>303</v>
      </c>
      <c r="M432">
        <v>0.235517</v>
      </c>
      <c r="N432">
        <v>0.235517</v>
      </c>
      <c r="O432" t="s">
        <v>303</v>
      </c>
      <c r="P432">
        <f t="shared" si="6"/>
        <v>0</v>
      </c>
    </row>
    <row r="433" spans="1:16" x14ac:dyDescent="0.25">
      <c r="A433" t="s">
        <v>669</v>
      </c>
      <c r="B433">
        <v>0.23599999999999999</v>
      </c>
      <c r="C433">
        <v>0.23599999999999999</v>
      </c>
      <c r="D433" t="s">
        <v>303</v>
      </c>
      <c r="E433" t="s">
        <v>910</v>
      </c>
      <c r="F433" t="s">
        <v>910</v>
      </c>
      <c r="J433">
        <v>0.23599999999999999</v>
      </c>
      <c r="K433">
        <v>0.23599999999999999</v>
      </c>
      <c r="L433" t="s">
        <v>303</v>
      </c>
      <c r="M433">
        <v>0.23599999999999999</v>
      </c>
      <c r="N433">
        <v>0.23599999999999999</v>
      </c>
      <c r="O433" t="s">
        <v>303</v>
      </c>
      <c r="P433">
        <f t="shared" si="6"/>
        <v>0</v>
      </c>
    </row>
    <row r="434" spans="1:16" x14ac:dyDescent="0.25">
      <c r="A434" t="s">
        <v>578</v>
      </c>
      <c r="B434">
        <v>0.22466</v>
      </c>
      <c r="C434">
        <v>0.23719999999999999</v>
      </c>
      <c r="D434" t="s">
        <v>669</v>
      </c>
      <c r="E434">
        <v>8</v>
      </c>
      <c r="F434">
        <v>8</v>
      </c>
      <c r="G434" t="s">
        <v>687</v>
      </c>
      <c r="H434" t="s">
        <v>687</v>
      </c>
      <c r="I434" t="s">
        <v>927</v>
      </c>
      <c r="J434">
        <v>0.23719999999999999</v>
      </c>
      <c r="K434">
        <v>0.22466</v>
      </c>
      <c r="L434" t="s">
        <v>930</v>
      </c>
      <c r="M434">
        <v>0.23719999999999999</v>
      </c>
      <c r="N434">
        <v>0.22466</v>
      </c>
      <c r="P434">
        <f t="shared" si="6"/>
        <v>14</v>
      </c>
    </row>
    <row r="435" spans="1:16" x14ac:dyDescent="0.25">
      <c r="A435" t="s">
        <v>669</v>
      </c>
      <c r="B435">
        <v>0.23849999999999999</v>
      </c>
      <c r="C435">
        <v>0.23849999999999999</v>
      </c>
      <c r="D435" t="s">
        <v>303</v>
      </c>
      <c r="E435" t="s">
        <v>910</v>
      </c>
      <c r="F435" t="s">
        <v>910</v>
      </c>
      <c r="J435">
        <v>0.23849999999999999</v>
      </c>
      <c r="K435">
        <v>0.23849999999999999</v>
      </c>
      <c r="L435" t="s">
        <v>303</v>
      </c>
      <c r="M435">
        <v>0.23849999999999999</v>
      </c>
      <c r="N435">
        <v>0.23849999999999999</v>
      </c>
      <c r="O435" t="s">
        <v>303</v>
      </c>
      <c r="P435">
        <f t="shared" si="6"/>
        <v>0</v>
      </c>
    </row>
    <row r="436" spans="1:16" x14ac:dyDescent="0.25">
      <c r="A436" t="s">
        <v>669</v>
      </c>
      <c r="B436">
        <v>0.239117</v>
      </c>
      <c r="C436">
        <v>0.239117</v>
      </c>
      <c r="D436" t="s">
        <v>303</v>
      </c>
      <c r="E436" t="s">
        <v>910</v>
      </c>
      <c r="F436" t="s">
        <v>910</v>
      </c>
      <c r="J436">
        <v>0.239117</v>
      </c>
      <c r="K436">
        <v>0.239117</v>
      </c>
      <c r="L436" t="s">
        <v>303</v>
      </c>
      <c r="M436">
        <v>0.239117</v>
      </c>
      <c r="N436">
        <v>0.239117</v>
      </c>
      <c r="O436" t="s">
        <v>303</v>
      </c>
      <c r="P436">
        <f t="shared" si="6"/>
        <v>0</v>
      </c>
    </row>
    <row r="437" spans="1:16" x14ac:dyDescent="0.25">
      <c r="A437" t="s">
        <v>669</v>
      </c>
      <c r="B437">
        <v>0.242759</v>
      </c>
      <c r="C437">
        <v>0.242759</v>
      </c>
      <c r="D437" t="s">
        <v>303</v>
      </c>
      <c r="E437" t="s">
        <v>910</v>
      </c>
      <c r="F437" t="s">
        <v>910</v>
      </c>
      <c r="J437">
        <v>0.242759</v>
      </c>
      <c r="K437">
        <v>0.242759</v>
      </c>
      <c r="L437" t="s">
        <v>303</v>
      </c>
      <c r="M437">
        <v>0.242759</v>
      </c>
      <c r="N437">
        <v>0.242759</v>
      </c>
      <c r="O437" t="s">
        <v>303</v>
      </c>
      <c r="P437">
        <f t="shared" si="6"/>
        <v>0</v>
      </c>
    </row>
    <row r="438" spans="1:16" x14ac:dyDescent="0.25">
      <c r="A438" t="s">
        <v>669</v>
      </c>
      <c r="B438">
        <v>212998</v>
      </c>
      <c r="C438">
        <v>243549</v>
      </c>
      <c r="D438" t="s">
        <v>669</v>
      </c>
      <c r="E438">
        <v>8</v>
      </c>
      <c r="F438">
        <v>8</v>
      </c>
      <c r="G438" t="s">
        <v>687</v>
      </c>
      <c r="H438" t="s">
        <v>687</v>
      </c>
      <c r="I438" t="s">
        <v>927</v>
      </c>
      <c r="J438">
        <v>0.24354899999999999</v>
      </c>
      <c r="K438">
        <v>0.21299799999999999</v>
      </c>
      <c r="L438" t="s">
        <v>930</v>
      </c>
      <c r="M438">
        <v>243549</v>
      </c>
      <c r="N438">
        <v>212998</v>
      </c>
      <c r="P438">
        <f t="shared" si="6"/>
        <v>14</v>
      </c>
    </row>
    <row r="439" spans="1:16" x14ac:dyDescent="0.25">
      <c r="A439" t="s">
        <v>669</v>
      </c>
      <c r="B439">
        <v>0.245448</v>
      </c>
      <c r="C439">
        <v>0.245448</v>
      </c>
      <c r="D439" t="s">
        <v>303</v>
      </c>
      <c r="E439" t="s">
        <v>910</v>
      </c>
      <c r="F439" t="s">
        <v>910</v>
      </c>
      <c r="J439">
        <v>0.245448</v>
      </c>
      <c r="K439">
        <v>0.245448</v>
      </c>
      <c r="L439" t="s">
        <v>303</v>
      </c>
      <c r="M439">
        <v>0.245448</v>
      </c>
      <c r="N439">
        <v>0.245448</v>
      </c>
      <c r="O439" t="s">
        <v>303</v>
      </c>
      <c r="P439">
        <f t="shared" si="6"/>
        <v>0</v>
      </c>
    </row>
    <row r="440" spans="1:16" x14ac:dyDescent="0.25">
      <c r="A440" t="s">
        <v>669</v>
      </c>
      <c r="B440">
        <v>0.2457</v>
      </c>
      <c r="C440">
        <v>0.2457</v>
      </c>
      <c r="D440" t="s">
        <v>303</v>
      </c>
      <c r="E440" t="s">
        <v>910</v>
      </c>
      <c r="F440" t="s">
        <v>910</v>
      </c>
      <c r="J440">
        <v>0.2457</v>
      </c>
      <c r="K440">
        <v>0.2457</v>
      </c>
      <c r="L440" t="s">
        <v>303</v>
      </c>
      <c r="M440">
        <v>0.2457</v>
      </c>
      <c r="N440">
        <v>0.2457</v>
      </c>
      <c r="O440" t="s">
        <v>303</v>
      </c>
      <c r="P440">
        <f t="shared" si="6"/>
        <v>0</v>
      </c>
    </row>
    <row r="441" spans="1:16" x14ac:dyDescent="0.25">
      <c r="A441" t="s">
        <v>578</v>
      </c>
      <c r="B441">
        <v>0.23447999999999999</v>
      </c>
      <c r="C441">
        <v>0.24737999999999999</v>
      </c>
      <c r="D441" t="s">
        <v>669</v>
      </c>
      <c r="E441">
        <v>8</v>
      </c>
      <c r="F441">
        <v>8</v>
      </c>
      <c r="G441" t="s">
        <v>687</v>
      </c>
      <c r="H441" t="s">
        <v>687</v>
      </c>
      <c r="I441" t="s">
        <v>927</v>
      </c>
      <c r="J441">
        <v>0.24737999999999999</v>
      </c>
      <c r="K441">
        <v>0.23447999999999999</v>
      </c>
      <c r="L441" t="s">
        <v>930</v>
      </c>
      <c r="M441">
        <v>0.24737999999999999</v>
      </c>
      <c r="N441">
        <v>0.23447999999999999</v>
      </c>
      <c r="P441">
        <f t="shared" si="6"/>
        <v>14</v>
      </c>
    </row>
    <row r="442" spans="1:16" x14ac:dyDescent="0.25">
      <c r="A442" t="s">
        <v>578</v>
      </c>
      <c r="B442">
        <v>0.23458000000000001</v>
      </c>
      <c r="C442">
        <v>0.24740000000000001</v>
      </c>
      <c r="D442" t="s">
        <v>669</v>
      </c>
      <c r="E442">
        <v>8</v>
      </c>
      <c r="F442">
        <v>8</v>
      </c>
      <c r="G442" t="s">
        <v>687</v>
      </c>
      <c r="H442" t="s">
        <v>687</v>
      </c>
      <c r="I442" t="s">
        <v>927</v>
      </c>
      <c r="J442">
        <v>0.24740000000000001</v>
      </c>
      <c r="K442">
        <v>0.23458000000000001</v>
      </c>
      <c r="L442" t="s">
        <v>930</v>
      </c>
      <c r="M442">
        <v>0.24740000000000001</v>
      </c>
      <c r="N442">
        <v>0.23458000000000001</v>
      </c>
      <c r="P442">
        <f t="shared" si="6"/>
        <v>14</v>
      </c>
    </row>
    <row r="443" spans="1:16" x14ac:dyDescent="0.25">
      <c r="A443" t="s">
        <v>578</v>
      </c>
      <c r="B443">
        <v>0.23505000000000001</v>
      </c>
      <c r="C443">
        <v>0.24740999999999999</v>
      </c>
      <c r="D443" t="s">
        <v>669</v>
      </c>
      <c r="E443">
        <v>8</v>
      </c>
      <c r="F443">
        <v>8</v>
      </c>
      <c r="G443" t="s">
        <v>687</v>
      </c>
      <c r="H443" t="s">
        <v>687</v>
      </c>
      <c r="I443" t="s">
        <v>927</v>
      </c>
      <c r="J443">
        <v>0.24740999999999999</v>
      </c>
      <c r="K443">
        <v>0.23505000000000001</v>
      </c>
      <c r="L443" t="s">
        <v>930</v>
      </c>
      <c r="M443">
        <v>0.24740999999999999</v>
      </c>
      <c r="N443">
        <v>0.23505000000000001</v>
      </c>
      <c r="P443">
        <f t="shared" si="6"/>
        <v>14</v>
      </c>
    </row>
    <row r="444" spans="1:16" x14ac:dyDescent="0.25">
      <c r="A444" t="s">
        <v>669</v>
      </c>
      <c r="B444">
        <v>0.24817900000000001</v>
      </c>
      <c r="C444">
        <v>0.24817900000000001</v>
      </c>
      <c r="D444" t="s">
        <v>303</v>
      </c>
      <c r="E444" t="s">
        <v>910</v>
      </c>
      <c r="F444" t="s">
        <v>910</v>
      </c>
      <c r="J444">
        <v>0.24817900000000001</v>
      </c>
      <c r="K444">
        <v>0.24817900000000001</v>
      </c>
      <c r="L444" t="s">
        <v>303</v>
      </c>
      <c r="M444">
        <v>0.24817900000000001</v>
      </c>
      <c r="N444">
        <v>0.24817900000000001</v>
      </c>
      <c r="O444" t="s">
        <v>303</v>
      </c>
      <c r="P444">
        <f t="shared" si="6"/>
        <v>0</v>
      </c>
    </row>
    <row r="445" spans="1:16" x14ac:dyDescent="0.25">
      <c r="A445" t="s">
        <v>669</v>
      </c>
      <c r="B445">
        <v>0.24904799999999999</v>
      </c>
      <c r="C445">
        <v>0.24904799999999999</v>
      </c>
      <c r="D445" t="s">
        <v>303</v>
      </c>
      <c r="E445" t="s">
        <v>910</v>
      </c>
      <c r="F445" t="s">
        <v>910</v>
      </c>
      <c r="J445">
        <v>0.24904799999999999</v>
      </c>
      <c r="K445">
        <v>0.24904799999999999</v>
      </c>
      <c r="L445" t="s">
        <v>303</v>
      </c>
      <c r="M445">
        <v>0.24904799999999999</v>
      </c>
      <c r="N445">
        <v>0.24904799999999999</v>
      </c>
      <c r="O445" t="s">
        <v>303</v>
      </c>
      <c r="P445">
        <f t="shared" si="6"/>
        <v>0</v>
      </c>
    </row>
    <row r="446" spans="1:16" x14ac:dyDescent="0.25">
      <c r="A446" t="s">
        <v>669</v>
      </c>
      <c r="B446">
        <v>0.19</v>
      </c>
      <c r="C446">
        <v>0.25</v>
      </c>
      <c r="D446" t="s">
        <v>303</v>
      </c>
      <c r="E446" t="s">
        <v>910</v>
      </c>
      <c r="F446" t="s">
        <v>910</v>
      </c>
      <c r="J446">
        <v>0.25</v>
      </c>
      <c r="K446">
        <v>0.19</v>
      </c>
      <c r="L446" t="s">
        <v>303</v>
      </c>
      <c r="M446">
        <v>0.25</v>
      </c>
      <c r="N446">
        <v>0.19</v>
      </c>
      <c r="O446" t="s">
        <v>303</v>
      </c>
      <c r="P446">
        <f t="shared" si="6"/>
        <v>0</v>
      </c>
    </row>
    <row r="447" spans="1:16" x14ac:dyDescent="0.25">
      <c r="A447" t="s">
        <v>669</v>
      </c>
      <c r="B447">
        <v>0.21</v>
      </c>
      <c r="C447">
        <v>0.25</v>
      </c>
      <c r="D447" t="s">
        <v>303</v>
      </c>
      <c r="E447" t="s">
        <v>910</v>
      </c>
      <c r="F447" t="s">
        <v>910</v>
      </c>
      <c r="J447">
        <v>0.25</v>
      </c>
      <c r="K447">
        <v>0.21</v>
      </c>
      <c r="L447" t="s">
        <v>303</v>
      </c>
      <c r="M447">
        <v>0.25</v>
      </c>
      <c r="N447">
        <v>0.21</v>
      </c>
      <c r="O447" t="s">
        <v>303</v>
      </c>
      <c r="P447">
        <f t="shared" si="6"/>
        <v>0</v>
      </c>
    </row>
    <row r="448" spans="1:16" x14ac:dyDescent="0.25">
      <c r="A448" t="s">
        <v>669</v>
      </c>
      <c r="B448">
        <v>0.25</v>
      </c>
      <c r="C448">
        <v>0.25</v>
      </c>
      <c r="D448" t="s">
        <v>303</v>
      </c>
      <c r="E448" t="s">
        <v>910</v>
      </c>
      <c r="F448" t="s">
        <v>910</v>
      </c>
      <c r="J448">
        <v>0.25</v>
      </c>
      <c r="K448">
        <v>0.25</v>
      </c>
      <c r="L448" t="s">
        <v>303</v>
      </c>
      <c r="M448">
        <v>0.25</v>
      </c>
      <c r="N448">
        <v>0.25</v>
      </c>
      <c r="O448" t="s">
        <v>303</v>
      </c>
      <c r="P448">
        <f t="shared" si="6"/>
        <v>0</v>
      </c>
    </row>
    <row r="449" spans="1:16" x14ac:dyDescent="0.25">
      <c r="A449" t="s">
        <v>59</v>
      </c>
      <c r="B449" t="s">
        <v>669</v>
      </c>
      <c r="C449">
        <v>250</v>
      </c>
      <c r="D449" t="s">
        <v>862</v>
      </c>
      <c r="E449">
        <v>8</v>
      </c>
      <c r="F449">
        <v>5</v>
      </c>
      <c r="G449" t="s">
        <v>687</v>
      </c>
      <c r="H449" t="s">
        <v>684</v>
      </c>
      <c r="J449">
        <v>0.25</v>
      </c>
      <c r="K449">
        <v>0</v>
      </c>
      <c r="L449" t="s">
        <v>303</v>
      </c>
      <c r="M449">
        <v>250</v>
      </c>
      <c r="O449" t="s">
        <v>862</v>
      </c>
      <c r="P449">
        <f t="shared" si="6"/>
        <v>0</v>
      </c>
    </row>
    <row r="450" spans="1:16" x14ac:dyDescent="0.25">
      <c r="A450" t="s">
        <v>669</v>
      </c>
      <c r="B450">
        <v>0.25220700000000001</v>
      </c>
      <c r="C450">
        <v>0.25220700000000001</v>
      </c>
      <c r="D450" t="s">
        <v>303</v>
      </c>
      <c r="E450" t="s">
        <v>910</v>
      </c>
      <c r="F450" t="s">
        <v>910</v>
      </c>
      <c r="J450">
        <v>0.25220700000000001</v>
      </c>
      <c r="K450">
        <v>0.25220700000000001</v>
      </c>
      <c r="L450" t="s">
        <v>303</v>
      </c>
      <c r="M450">
        <v>0.25220700000000001</v>
      </c>
      <c r="N450">
        <v>0.25220700000000001</v>
      </c>
      <c r="O450" t="s">
        <v>303</v>
      </c>
      <c r="P450">
        <f t="shared" si="6"/>
        <v>0</v>
      </c>
    </row>
    <row r="451" spans="1:16" x14ac:dyDescent="0.25">
      <c r="A451" t="s">
        <v>669</v>
      </c>
      <c r="B451">
        <v>0.25264799999999998</v>
      </c>
      <c r="C451">
        <v>0.25264799999999998</v>
      </c>
      <c r="D451" t="s">
        <v>303</v>
      </c>
      <c r="E451" t="s">
        <v>910</v>
      </c>
      <c r="F451" t="s">
        <v>910</v>
      </c>
      <c r="J451">
        <v>0.25264799999999998</v>
      </c>
      <c r="K451">
        <v>0.25264799999999998</v>
      </c>
      <c r="L451" t="s">
        <v>303</v>
      </c>
      <c r="M451">
        <v>0.25264799999999998</v>
      </c>
      <c r="N451">
        <v>0.25264799999999998</v>
      </c>
      <c r="O451" t="s">
        <v>303</v>
      </c>
      <c r="P451">
        <f t="shared" ref="P451:P514" si="7">LEN(I451)</f>
        <v>0</v>
      </c>
    </row>
    <row r="452" spans="1:16" x14ac:dyDescent="0.25">
      <c r="A452" t="s">
        <v>669</v>
      </c>
      <c r="B452">
        <v>0.25579299999999999</v>
      </c>
      <c r="C452">
        <v>0.25579299999999999</v>
      </c>
      <c r="D452" t="s">
        <v>303</v>
      </c>
      <c r="E452" t="s">
        <v>910</v>
      </c>
      <c r="F452" t="s">
        <v>910</v>
      </c>
      <c r="J452">
        <v>0.25579299999999999</v>
      </c>
      <c r="K452">
        <v>0.25579299999999999</v>
      </c>
      <c r="L452" t="s">
        <v>303</v>
      </c>
      <c r="M452">
        <v>0.25579299999999999</v>
      </c>
      <c r="N452">
        <v>0.25579299999999999</v>
      </c>
      <c r="O452" t="s">
        <v>303</v>
      </c>
      <c r="P452">
        <f t="shared" si="7"/>
        <v>0</v>
      </c>
    </row>
    <row r="453" spans="1:16" x14ac:dyDescent="0.25">
      <c r="A453" t="s">
        <v>669</v>
      </c>
      <c r="B453">
        <v>0.25740000000000002</v>
      </c>
      <c r="C453">
        <v>0.25740000000000002</v>
      </c>
      <c r="D453" t="s">
        <v>303</v>
      </c>
      <c r="E453" t="s">
        <v>910</v>
      </c>
      <c r="F453" t="s">
        <v>910</v>
      </c>
      <c r="J453">
        <v>0.25740000000000002</v>
      </c>
      <c r="K453">
        <v>0.25740000000000002</v>
      </c>
      <c r="L453" t="s">
        <v>303</v>
      </c>
      <c r="M453">
        <v>0.25740000000000002</v>
      </c>
      <c r="N453">
        <v>0.25740000000000002</v>
      </c>
      <c r="O453" t="s">
        <v>303</v>
      </c>
      <c r="P453">
        <f t="shared" si="7"/>
        <v>0</v>
      </c>
    </row>
    <row r="454" spans="1:16" x14ac:dyDescent="0.25">
      <c r="A454" t="s">
        <v>669</v>
      </c>
      <c r="B454">
        <v>0.26008700000000001</v>
      </c>
      <c r="C454">
        <v>0.26008700000000001</v>
      </c>
      <c r="D454" t="s">
        <v>303</v>
      </c>
      <c r="E454" t="s">
        <v>910</v>
      </c>
      <c r="F454" t="s">
        <v>910</v>
      </c>
      <c r="J454">
        <v>0.26008700000000001</v>
      </c>
      <c r="K454">
        <v>0.26008700000000001</v>
      </c>
      <c r="L454" t="s">
        <v>303</v>
      </c>
      <c r="M454">
        <v>0.26008700000000001</v>
      </c>
      <c r="N454">
        <v>0.26008700000000001</v>
      </c>
      <c r="O454" t="s">
        <v>303</v>
      </c>
      <c r="P454">
        <f t="shared" si="7"/>
        <v>0</v>
      </c>
    </row>
    <row r="455" spans="1:16" x14ac:dyDescent="0.25">
      <c r="A455" t="s">
        <v>669</v>
      </c>
      <c r="B455">
        <v>0.2621</v>
      </c>
      <c r="C455">
        <v>0.2621</v>
      </c>
      <c r="D455" t="s">
        <v>303</v>
      </c>
      <c r="E455" t="s">
        <v>910</v>
      </c>
      <c r="F455" t="s">
        <v>910</v>
      </c>
      <c r="J455">
        <v>0.2621</v>
      </c>
      <c r="K455">
        <v>0.2621</v>
      </c>
      <c r="L455" t="s">
        <v>303</v>
      </c>
      <c r="M455">
        <v>0.2621</v>
      </c>
      <c r="N455">
        <v>0.2621</v>
      </c>
      <c r="O455" t="s">
        <v>303</v>
      </c>
      <c r="P455">
        <f t="shared" si="7"/>
        <v>0</v>
      </c>
    </row>
    <row r="456" spans="1:16" x14ac:dyDescent="0.25">
      <c r="A456" t="s">
        <v>669</v>
      </c>
      <c r="B456">
        <v>0.26726100000000003</v>
      </c>
      <c r="C456">
        <v>0.26726100000000003</v>
      </c>
      <c r="D456" t="s">
        <v>303</v>
      </c>
      <c r="E456" t="s">
        <v>910</v>
      </c>
      <c r="F456" t="s">
        <v>910</v>
      </c>
      <c r="J456">
        <v>0.26726100000000003</v>
      </c>
      <c r="K456">
        <v>0.26726100000000003</v>
      </c>
      <c r="L456" t="s">
        <v>303</v>
      </c>
      <c r="M456">
        <v>0.26726100000000003</v>
      </c>
      <c r="N456">
        <v>0.26726100000000003</v>
      </c>
      <c r="O456" t="s">
        <v>303</v>
      </c>
      <c r="P456">
        <f t="shared" si="7"/>
        <v>0</v>
      </c>
    </row>
    <row r="457" spans="1:16" x14ac:dyDescent="0.25">
      <c r="A457" t="s">
        <v>669</v>
      </c>
      <c r="B457">
        <v>0.23</v>
      </c>
      <c r="C457">
        <v>0.27</v>
      </c>
      <c r="D457" t="s">
        <v>303</v>
      </c>
      <c r="E457" t="s">
        <v>910</v>
      </c>
      <c r="F457" t="s">
        <v>910</v>
      </c>
      <c r="J457">
        <v>0.27</v>
      </c>
      <c r="K457">
        <v>0.23</v>
      </c>
      <c r="L457" t="s">
        <v>303</v>
      </c>
      <c r="M457">
        <v>0.27</v>
      </c>
      <c r="N457">
        <v>0.23</v>
      </c>
      <c r="O457" t="s">
        <v>303</v>
      </c>
      <c r="P457">
        <f t="shared" si="7"/>
        <v>0</v>
      </c>
    </row>
    <row r="458" spans="1:16" x14ac:dyDescent="0.25">
      <c r="A458" t="s">
        <v>669</v>
      </c>
      <c r="B458">
        <v>0.27</v>
      </c>
      <c r="C458">
        <v>0.27</v>
      </c>
      <c r="D458" t="s">
        <v>860</v>
      </c>
      <c r="E458" t="s">
        <v>910</v>
      </c>
      <c r="F458" t="s">
        <v>910</v>
      </c>
      <c r="J458">
        <v>0.27</v>
      </c>
      <c r="K458">
        <v>0.27</v>
      </c>
      <c r="L458" t="s">
        <v>303</v>
      </c>
      <c r="M458">
        <v>0.27</v>
      </c>
      <c r="N458">
        <v>0.27</v>
      </c>
      <c r="O458" t="s">
        <v>303</v>
      </c>
      <c r="P458">
        <f t="shared" si="7"/>
        <v>0</v>
      </c>
    </row>
    <row r="459" spans="1:16" x14ac:dyDescent="0.25">
      <c r="A459" t="s">
        <v>669</v>
      </c>
      <c r="B459">
        <v>0.27353699999999997</v>
      </c>
      <c r="C459">
        <v>0.27353699999999997</v>
      </c>
      <c r="D459" t="s">
        <v>303</v>
      </c>
      <c r="E459" t="s">
        <v>910</v>
      </c>
      <c r="F459" t="s">
        <v>910</v>
      </c>
      <c r="J459">
        <v>0.27353699999999997</v>
      </c>
      <c r="K459">
        <v>0.27353699999999997</v>
      </c>
      <c r="L459" t="s">
        <v>303</v>
      </c>
      <c r="M459">
        <v>0.27353699999999997</v>
      </c>
      <c r="N459">
        <v>0.27353699999999997</v>
      </c>
      <c r="O459" t="s">
        <v>303</v>
      </c>
      <c r="P459">
        <f t="shared" si="7"/>
        <v>0</v>
      </c>
    </row>
    <row r="460" spans="1:16" x14ac:dyDescent="0.25">
      <c r="A460" t="s">
        <v>669</v>
      </c>
      <c r="B460">
        <v>0.273785</v>
      </c>
      <c r="C460">
        <v>0.273785</v>
      </c>
      <c r="D460" t="s">
        <v>303</v>
      </c>
      <c r="E460" t="s">
        <v>910</v>
      </c>
      <c r="F460" t="s">
        <v>910</v>
      </c>
      <c r="J460">
        <v>0.273785</v>
      </c>
      <c r="K460">
        <v>0.273785</v>
      </c>
      <c r="L460" t="s">
        <v>303</v>
      </c>
      <c r="M460">
        <v>0.273785</v>
      </c>
      <c r="N460">
        <v>0.273785</v>
      </c>
      <c r="O460" t="s">
        <v>303</v>
      </c>
      <c r="P460">
        <f t="shared" si="7"/>
        <v>0</v>
      </c>
    </row>
    <row r="461" spans="1:16" x14ac:dyDescent="0.25">
      <c r="A461" t="s">
        <v>527</v>
      </c>
      <c r="B461">
        <v>274.79579999999999</v>
      </c>
      <c r="C461">
        <v>274.79579999999999</v>
      </c>
      <c r="D461" t="s">
        <v>887</v>
      </c>
      <c r="E461">
        <v>8</v>
      </c>
      <c r="F461">
        <v>8</v>
      </c>
      <c r="G461" t="s">
        <v>687</v>
      </c>
      <c r="H461" t="s">
        <v>687</v>
      </c>
      <c r="J461">
        <v>0.27479579999999998</v>
      </c>
      <c r="K461">
        <v>0.27479579999999998</v>
      </c>
      <c r="L461" t="s">
        <v>303</v>
      </c>
      <c r="M461">
        <v>274.79579999999999</v>
      </c>
      <c r="N461">
        <v>274.79579999999999</v>
      </c>
      <c r="O461" t="s">
        <v>862</v>
      </c>
      <c r="P461">
        <f t="shared" si="7"/>
        <v>0</v>
      </c>
    </row>
    <row r="462" spans="1:16" x14ac:dyDescent="0.25">
      <c r="A462" t="s">
        <v>578</v>
      </c>
      <c r="B462">
        <v>0.26576</v>
      </c>
      <c r="C462">
        <v>0.27551999999999999</v>
      </c>
      <c r="D462" t="s">
        <v>669</v>
      </c>
      <c r="E462">
        <v>8</v>
      </c>
      <c r="F462">
        <v>8</v>
      </c>
      <c r="G462" t="s">
        <v>687</v>
      </c>
      <c r="H462" t="s">
        <v>687</v>
      </c>
      <c r="I462" t="s">
        <v>927</v>
      </c>
      <c r="J462">
        <v>0.27551999999999999</v>
      </c>
      <c r="K462">
        <v>0.26576</v>
      </c>
      <c r="L462" t="s">
        <v>930</v>
      </c>
      <c r="M462">
        <v>0.27551999999999999</v>
      </c>
      <c r="N462">
        <v>0.26576</v>
      </c>
      <c r="P462">
        <f t="shared" si="7"/>
        <v>14</v>
      </c>
    </row>
    <row r="463" spans="1:16" x14ac:dyDescent="0.25">
      <c r="A463" t="s">
        <v>669</v>
      </c>
      <c r="B463">
        <v>0.27660699999999999</v>
      </c>
      <c r="C463">
        <v>0.27660699999999999</v>
      </c>
      <c r="D463" t="s">
        <v>303</v>
      </c>
      <c r="E463" t="s">
        <v>910</v>
      </c>
      <c r="F463" t="s">
        <v>910</v>
      </c>
      <c r="J463">
        <v>0.27660699999999999</v>
      </c>
      <c r="K463">
        <v>0.27660699999999999</v>
      </c>
      <c r="L463" t="s">
        <v>303</v>
      </c>
      <c r="M463">
        <v>0.27660699999999999</v>
      </c>
      <c r="N463">
        <v>0.27660699999999999</v>
      </c>
      <c r="O463" t="s">
        <v>303</v>
      </c>
      <c r="P463">
        <f t="shared" si="7"/>
        <v>0</v>
      </c>
    </row>
    <row r="464" spans="1:16" x14ac:dyDescent="0.25">
      <c r="A464" t="s">
        <v>669</v>
      </c>
      <c r="B464">
        <v>0.27665600000000001</v>
      </c>
      <c r="C464">
        <v>0.27665600000000001</v>
      </c>
      <c r="D464" t="s">
        <v>303</v>
      </c>
      <c r="E464" t="s">
        <v>910</v>
      </c>
      <c r="F464" t="s">
        <v>910</v>
      </c>
      <c r="J464">
        <v>0.27665600000000001</v>
      </c>
      <c r="K464">
        <v>0.27665600000000001</v>
      </c>
      <c r="L464" t="s">
        <v>303</v>
      </c>
      <c r="M464">
        <v>0.27665600000000001</v>
      </c>
      <c r="N464">
        <v>0.27665600000000001</v>
      </c>
      <c r="O464" t="s">
        <v>303</v>
      </c>
      <c r="P464">
        <f t="shared" si="7"/>
        <v>0</v>
      </c>
    </row>
    <row r="465" spans="1:16" x14ac:dyDescent="0.25">
      <c r="A465" t="s">
        <v>527</v>
      </c>
      <c r="B465">
        <v>276.94959999999998</v>
      </c>
      <c r="C465">
        <v>276.94959999999998</v>
      </c>
      <c r="D465" t="s">
        <v>887</v>
      </c>
      <c r="E465">
        <v>8</v>
      </c>
      <c r="F465">
        <v>8</v>
      </c>
      <c r="G465" t="s">
        <v>687</v>
      </c>
      <c r="H465" t="s">
        <v>687</v>
      </c>
      <c r="J465">
        <v>0.27694959999999996</v>
      </c>
      <c r="K465">
        <v>0.27694959999999996</v>
      </c>
      <c r="L465" t="s">
        <v>303</v>
      </c>
      <c r="M465">
        <v>276.94959999999998</v>
      </c>
      <c r="N465">
        <v>276.94959999999998</v>
      </c>
      <c r="O465" t="s">
        <v>862</v>
      </c>
      <c r="P465">
        <f t="shared" si="7"/>
        <v>0</v>
      </c>
    </row>
    <row r="466" spans="1:16" x14ac:dyDescent="0.25">
      <c r="A466" t="s">
        <v>669</v>
      </c>
      <c r="B466">
        <v>0.27860000000000001</v>
      </c>
      <c r="C466">
        <v>0.27860000000000001</v>
      </c>
      <c r="D466" t="s">
        <v>303</v>
      </c>
      <c r="E466" t="s">
        <v>910</v>
      </c>
      <c r="F466" t="s">
        <v>910</v>
      </c>
      <c r="J466">
        <v>0.27860000000000001</v>
      </c>
      <c r="K466">
        <v>0.27860000000000001</v>
      </c>
      <c r="L466" t="s">
        <v>303</v>
      </c>
      <c r="M466">
        <v>0.27860000000000001</v>
      </c>
      <c r="N466">
        <v>0.27860000000000001</v>
      </c>
      <c r="O466" t="s">
        <v>303</v>
      </c>
      <c r="P466">
        <f t="shared" si="7"/>
        <v>0</v>
      </c>
    </row>
    <row r="467" spans="1:16" x14ac:dyDescent="0.25">
      <c r="A467" t="s">
        <v>669</v>
      </c>
      <c r="B467">
        <v>0.27992299999999998</v>
      </c>
      <c r="C467">
        <v>0.27992299999999998</v>
      </c>
      <c r="D467" t="s">
        <v>303</v>
      </c>
      <c r="E467" t="s">
        <v>910</v>
      </c>
      <c r="F467" t="s">
        <v>910</v>
      </c>
      <c r="J467">
        <v>0.27992299999999998</v>
      </c>
      <c r="K467">
        <v>0.27992299999999998</v>
      </c>
      <c r="L467" t="s">
        <v>303</v>
      </c>
      <c r="M467">
        <v>0.27992299999999998</v>
      </c>
      <c r="N467">
        <v>0.27992299999999998</v>
      </c>
      <c r="O467" t="s">
        <v>303</v>
      </c>
      <c r="P467">
        <f t="shared" si="7"/>
        <v>0</v>
      </c>
    </row>
    <row r="468" spans="1:16" x14ac:dyDescent="0.25">
      <c r="A468" t="s">
        <v>669</v>
      </c>
      <c r="B468">
        <v>130</v>
      </c>
      <c r="C468">
        <v>280</v>
      </c>
      <c r="D468" t="s">
        <v>862</v>
      </c>
      <c r="E468">
        <v>8</v>
      </c>
      <c r="F468">
        <v>8</v>
      </c>
      <c r="G468" t="s">
        <v>687</v>
      </c>
      <c r="H468" t="s">
        <v>687</v>
      </c>
      <c r="J468">
        <v>0.28000000000000003</v>
      </c>
      <c r="K468">
        <v>0.13</v>
      </c>
      <c r="L468" t="s">
        <v>303</v>
      </c>
      <c r="M468">
        <v>280</v>
      </c>
      <c r="N468">
        <v>130</v>
      </c>
      <c r="O468" t="s">
        <v>862</v>
      </c>
      <c r="P468">
        <f t="shared" si="7"/>
        <v>0</v>
      </c>
    </row>
    <row r="469" spans="1:16" x14ac:dyDescent="0.25">
      <c r="A469" t="s">
        <v>669</v>
      </c>
      <c r="B469">
        <v>0.28050000000000003</v>
      </c>
      <c r="C469">
        <v>0.28050000000000003</v>
      </c>
      <c r="D469" t="s">
        <v>303</v>
      </c>
      <c r="E469" t="s">
        <v>910</v>
      </c>
      <c r="F469" t="s">
        <v>910</v>
      </c>
      <c r="J469">
        <v>0.28050000000000003</v>
      </c>
      <c r="K469">
        <v>0.28050000000000003</v>
      </c>
      <c r="L469" t="s">
        <v>303</v>
      </c>
      <c r="M469">
        <v>0.28050000000000003</v>
      </c>
      <c r="N469">
        <v>0.28050000000000003</v>
      </c>
      <c r="O469" t="s">
        <v>303</v>
      </c>
      <c r="P469">
        <f t="shared" si="7"/>
        <v>0</v>
      </c>
    </row>
    <row r="470" spans="1:16" x14ac:dyDescent="0.25">
      <c r="A470" t="s">
        <v>669</v>
      </c>
      <c r="B470">
        <v>0.28199999999999997</v>
      </c>
      <c r="C470">
        <v>0.28199999999999997</v>
      </c>
      <c r="D470" t="s">
        <v>303</v>
      </c>
      <c r="E470" t="s">
        <v>910</v>
      </c>
      <c r="F470" t="s">
        <v>910</v>
      </c>
      <c r="J470">
        <v>0.28199999999999997</v>
      </c>
      <c r="K470">
        <v>0.28199999999999997</v>
      </c>
      <c r="L470" t="s">
        <v>303</v>
      </c>
      <c r="M470">
        <v>0.28199999999999997</v>
      </c>
      <c r="N470">
        <v>0.28199999999999997</v>
      </c>
      <c r="O470" t="s">
        <v>303</v>
      </c>
      <c r="P470">
        <f t="shared" si="7"/>
        <v>0</v>
      </c>
    </row>
    <row r="471" spans="1:16" x14ac:dyDescent="0.25">
      <c r="A471" t="s">
        <v>669</v>
      </c>
      <c r="B471">
        <v>0.282723</v>
      </c>
      <c r="C471">
        <v>0.282723</v>
      </c>
      <c r="D471" t="s">
        <v>303</v>
      </c>
      <c r="E471" t="s">
        <v>910</v>
      </c>
      <c r="F471" t="s">
        <v>910</v>
      </c>
      <c r="J471">
        <v>0.282723</v>
      </c>
      <c r="K471">
        <v>0.282723</v>
      </c>
      <c r="L471" t="s">
        <v>303</v>
      </c>
      <c r="M471">
        <v>0.282723</v>
      </c>
      <c r="N471">
        <v>0.282723</v>
      </c>
      <c r="O471" t="s">
        <v>303</v>
      </c>
      <c r="P471">
        <f t="shared" si="7"/>
        <v>0</v>
      </c>
    </row>
    <row r="472" spans="1:16" x14ac:dyDescent="0.25">
      <c r="A472" t="s">
        <v>669</v>
      </c>
      <c r="B472">
        <v>0.28410000000000002</v>
      </c>
      <c r="C472">
        <v>0.28410000000000002</v>
      </c>
      <c r="D472" t="s">
        <v>303</v>
      </c>
      <c r="E472" t="s">
        <v>910</v>
      </c>
      <c r="F472" t="s">
        <v>910</v>
      </c>
      <c r="J472">
        <v>0.28410000000000002</v>
      </c>
      <c r="K472">
        <v>0.28410000000000002</v>
      </c>
      <c r="L472" t="s">
        <v>303</v>
      </c>
      <c r="M472">
        <v>0.28410000000000002</v>
      </c>
      <c r="N472">
        <v>0.28410000000000002</v>
      </c>
      <c r="O472" t="s">
        <v>303</v>
      </c>
      <c r="P472">
        <f t="shared" si="7"/>
        <v>0</v>
      </c>
    </row>
    <row r="473" spans="1:16" x14ac:dyDescent="0.25">
      <c r="A473" t="s">
        <v>527</v>
      </c>
      <c r="B473">
        <v>285.74990000000003</v>
      </c>
      <c r="C473">
        <v>285.74990000000003</v>
      </c>
      <c r="D473" t="s">
        <v>887</v>
      </c>
      <c r="E473">
        <v>8</v>
      </c>
      <c r="F473">
        <v>8</v>
      </c>
      <c r="G473" t="s">
        <v>687</v>
      </c>
      <c r="H473" t="s">
        <v>687</v>
      </c>
      <c r="J473">
        <v>0.2857499</v>
      </c>
      <c r="K473">
        <v>0.2857499</v>
      </c>
      <c r="L473" t="s">
        <v>303</v>
      </c>
      <c r="M473">
        <v>285.74990000000003</v>
      </c>
      <c r="N473">
        <v>285.74990000000003</v>
      </c>
      <c r="O473" t="s">
        <v>862</v>
      </c>
      <c r="P473">
        <f t="shared" si="7"/>
        <v>0</v>
      </c>
    </row>
    <row r="474" spans="1:16" x14ac:dyDescent="0.25">
      <c r="A474" t="s">
        <v>669</v>
      </c>
      <c r="B474">
        <v>0.28613699999999997</v>
      </c>
      <c r="C474">
        <v>0.28613699999999997</v>
      </c>
      <c r="D474" t="s">
        <v>303</v>
      </c>
      <c r="E474" t="s">
        <v>910</v>
      </c>
      <c r="F474" t="s">
        <v>910</v>
      </c>
      <c r="J474">
        <v>0.28613699999999997</v>
      </c>
      <c r="K474">
        <v>0.28613699999999997</v>
      </c>
      <c r="L474" t="s">
        <v>303</v>
      </c>
      <c r="M474">
        <v>0.28613699999999997</v>
      </c>
      <c r="N474">
        <v>0.28613699999999997</v>
      </c>
      <c r="O474" t="s">
        <v>303</v>
      </c>
      <c r="P474">
        <f t="shared" si="7"/>
        <v>0</v>
      </c>
    </row>
    <row r="475" spans="1:16" x14ac:dyDescent="0.25">
      <c r="A475" t="s">
        <v>527</v>
      </c>
      <c r="B475">
        <v>286.49810000000002</v>
      </c>
      <c r="C475">
        <v>286.49810000000002</v>
      </c>
      <c r="D475" t="s">
        <v>887</v>
      </c>
      <c r="E475">
        <v>8</v>
      </c>
      <c r="F475">
        <v>8</v>
      </c>
      <c r="G475" t="s">
        <v>687</v>
      </c>
      <c r="H475" t="s">
        <v>687</v>
      </c>
      <c r="J475">
        <v>0.28649810000000003</v>
      </c>
      <c r="K475">
        <v>0.28649810000000003</v>
      </c>
      <c r="L475" t="s">
        <v>303</v>
      </c>
      <c r="M475">
        <v>286.49810000000002</v>
      </c>
      <c r="N475">
        <v>286.49810000000002</v>
      </c>
      <c r="O475" t="s">
        <v>862</v>
      </c>
      <c r="P475">
        <f t="shared" si="7"/>
        <v>0</v>
      </c>
    </row>
    <row r="476" spans="1:16" x14ac:dyDescent="0.25">
      <c r="A476" t="s">
        <v>527</v>
      </c>
      <c r="B476">
        <v>288.858</v>
      </c>
      <c r="C476">
        <v>288.858</v>
      </c>
      <c r="D476" t="s">
        <v>887</v>
      </c>
      <c r="E476">
        <v>8</v>
      </c>
      <c r="F476">
        <v>8</v>
      </c>
      <c r="G476" t="s">
        <v>687</v>
      </c>
      <c r="H476" t="s">
        <v>687</v>
      </c>
      <c r="J476">
        <v>0.288858</v>
      </c>
      <c r="K476">
        <v>0.288858</v>
      </c>
      <c r="L476" t="s">
        <v>303</v>
      </c>
      <c r="M476">
        <v>288.858</v>
      </c>
      <c r="N476">
        <v>288.858</v>
      </c>
      <c r="O476" t="s">
        <v>862</v>
      </c>
      <c r="P476">
        <f t="shared" si="7"/>
        <v>0</v>
      </c>
    </row>
    <row r="477" spans="1:16" x14ac:dyDescent="0.25">
      <c r="A477" t="s">
        <v>669</v>
      </c>
      <c r="B477">
        <v>0.28947699999999998</v>
      </c>
      <c r="C477">
        <v>0.28947699999999998</v>
      </c>
      <c r="D477" t="s">
        <v>303</v>
      </c>
      <c r="E477" t="s">
        <v>910</v>
      </c>
      <c r="F477" t="s">
        <v>910</v>
      </c>
      <c r="J477">
        <v>0.28947699999999998</v>
      </c>
      <c r="K477">
        <v>0.28947699999999998</v>
      </c>
      <c r="L477" t="s">
        <v>303</v>
      </c>
      <c r="M477">
        <v>0.28947699999999998</v>
      </c>
      <c r="N477">
        <v>0.28947699999999998</v>
      </c>
      <c r="O477" t="s">
        <v>303</v>
      </c>
      <c r="P477">
        <f t="shared" si="7"/>
        <v>0</v>
      </c>
    </row>
    <row r="478" spans="1:16" x14ac:dyDescent="0.25">
      <c r="A478" t="s">
        <v>527</v>
      </c>
      <c r="B478">
        <v>289.63200000000001</v>
      </c>
      <c r="C478">
        <v>289.63200000000001</v>
      </c>
      <c r="D478" t="s">
        <v>887</v>
      </c>
      <c r="E478">
        <v>8</v>
      </c>
      <c r="F478">
        <v>8</v>
      </c>
      <c r="G478" t="s">
        <v>687</v>
      </c>
      <c r="H478" t="s">
        <v>687</v>
      </c>
      <c r="J478">
        <v>0.289632</v>
      </c>
      <c r="K478">
        <v>0.289632</v>
      </c>
      <c r="L478" t="s">
        <v>303</v>
      </c>
      <c r="M478">
        <v>289.63200000000001</v>
      </c>
      <c r="N478">
        <v>289.63200000000001</v>
      </c>
      <c r="O478" t="s">
        <v>862</v>
      </c>
      <c r="P478">
        <f t="shared" si="7"/>
        <v>0</v>
      </c>
    </row>
    <row r="479" spans="1:16" x14ac:dyDescent="0.25">
      <c r="A479" t="s">
        <v>669</v>
      </c>
      <c r="B479">
        <v>0.29271900000000001</v>
      </c>
      <c r="C479">
        <v>0.29271900000000001</v>
      </c>
      <c r="D479" t="s">
        <v>303</v>
      </c>
      <c r="E479" t="s">
        <v>910</v>
      </c>
      <c r="F479" t="s">
        <v>910</v>
      </c>
      <c r="J479">
        <v>0.29271900000000001</v>
      </c>
      <c r="K479">
        <v>0.29271900000000001</v>
      </c>
      <c r="L479" t="s">
        <v>303</v>
      </c>
      <c r="M479">
        <v>0.29271900000000001</v>
      </c>
      <c r="N479">
        <v>0.29271900000000001</v>
      </c>
      <c r="O479" t="s">
        <v>303</v>
      </c>
      <c r="P479">
        <f t="shared" si="7"/>
        <v>0</v>
      </c>
    </row>
    <row r="480" spans="1:16" x14ac:dyDescent="0.25">
      <c r="A480" t="s">
        <v>669</v>
      </c>
      <c r="B480">
        <v>0.28449999999999998</v>
      </c>
      <c r="C480">
        <v>0.29409999999999997</v>
      </c>
      <c r="D480" t="s">
        <v>860</v>
      </c>
      <c r="E480" t="s">
        <v>910</v>
      </c>
      <c r="F480" t="s">
        <v>910</v>
      </c>
      <c r="J480">
        <v>0.29409999999999997</v>
      </c>
      <c r="K480">
        <v>0.28449999999999998</v>
      </c>
      <c r="L480" t="s">
        <v>303</v>
      </c>
      <c r="M480">
        <v>0.29409999999999997</v>
      </c>
      <c r="N480">
        <v>0.28449999999999998</v>
      </c>
      <c r="O480" t="s">
        <v>303</v>
      </c>
      <c r="P480">
        <f t="shared" si="7"/>
        <v>0</v>
      </c>
    </row>
    <row r="481" spans="1:16" x14ac:dyDescent="0.25">
      <c r="A481" t="s">
        <v>669</v>
      </c>
      <c r="B481">
        <v>271</v>
      </c>
      <c r="C481">
        <v>295</v>
      </c>
      <c r="D481" t="s">
        <v>870</v>
      </c>
      <c r="E481">
        <v>8</v>
      </c>
      <c r="F481">
        <v>8</v>
      </c>
      <c r="G481" t="s">
        <v>687</v>
      </c>
      <c r="H481" t="s">
        <v>687</v>
      </c>
      <c r="J481">
        <v>0.29499999999999998</v>
      </c>
      <c r="K481">
        <v>0.27100000000000002</v>
      </c>
      <c r="L481" t="s">
        <v>303</v>
      </c>
      <c r="M481">
        <v>295</v>
      </c>
      <c r="N481">
        <v>271</v>
      </c>
      <c r="O481" t="s">
        <v>862</v>
      </c>
      <c r="P481">
        <f t="shared" si="7"/>
        <v>0</v>
      </c>
    </row>
    <row r="482" spans="1:16" x14ac:dyDescent="0.25">
      <c r="A482" t="s">
        <v>669</v>
      </c>
      <c r="B482">
        <v>0.29581400000000002</v>
      </c>
      <c r="C482">
        <v>0.29581400000000002</v>
      </c>
      <c r="D482" t="s">
        <v>303</v>
      </c>
      <c r="E482" t="s">
        <v>910</v>
      </c>
      <c r="F482" t="s">
        <v>910</v>
      </c>
      <c r="J482">
        <v>0.29581400000000002</v>
      </c>
      <c r="K482">
        <v>0.29581400000000002</v>
      </c>
      <c r="L482" t="s">
        <v>303</v>
      </c>
      <c r="M482">
        <v>0.29581400000000002</v>
      </c>
      <c r="N482">
        <v>0.29581400000000002</v>
      </c>
      <c r="O482" t="s">
        <v>303</v>
      </c>
      <c r="P482">
        <f t="shared" si="7"/>
        <v>0</v>
      </c>
    </row>
    <row r="483" spans="1:16" x14ac:dyDescent="0.25">
      <c r="A483" t="s">
        <v>669</v>
      </c>
      <c r="B483">
        <v>0.29599999999999999</v>
      </c>
      <c r="C483">
        <v>0.29599999999999999</v>
      </c>
      <c r="D483" t="s">
        <v>303</v>
      </c>
      <c r="E483" t="s">
        <v>910</v>
      </c>
      <c r="F483" t="s">
        <v>910</v>
      </c>
      <c r="J483">
        <v>0.29599999999999999</v>
      </c>
      <c r="K483">
        <v>0.29599999999999999</v>
      </c>
      <c r="L483" t="s">
        <v>303</v>
      </c>
      <c r="M483">
        <v>0.29599999999999999</v>
      </c>
      <c r="N483">
        <v>0.29599999999999999</v>
      </c>
      <c r="O483" t="s">
        <v>303</v>
      </c>
      <c r="P483">
        <f t="shared" si="7"/>
        <v>0</v>
      </c>
    </row>
    <row r="484" spans="1:16" x14ac:dyDescent="0.25">
      <c r="A484" t="s">
        <v>669</v>
      </c>
      <c r="B484">
        <v>0.29954999999999998</v>
      </c>
      <c r="C484">
        <v>0.29954999999999998</v>
      </c>
      <c r="D484" t="s">
        <v>303</v>
      </c>
      <c r="E484" t="s">
        <v>910</v>
      </c>
      <c r="F484" t="s">
        <v>910</v>
      </c>
      <c r="J484">
        <v>0.29954999999999998</v>
      </c>
      <c r="K484">
        <v>0.29954999999999998</v>
      </c>
      <c r="L484" t="s">
        <v>303</v>
      </c>
      <c r="M484">
        <v>0.29954999999999998</v>
      </c>
      <c r="N484">
        <v>0.29954999999999998</v>
      </c>
      <c r="O484" t="s">
        <v>303</v>
      </c>
      <c r="P484">
        <f t="shared" si="7"/>
        <v>0</v>
      </c>
    </row>
    <row r="485" spans="1:16" x14ac:dyDescent="0.25">
      <c r="A485" t="s">
        <v>669</v>
      </c>
      <c r="B485">
        <v>0.1</v>
      </c>
      <c r="C485">
        <v>0.3</v>
      </c>
      <c r="D485" t="s">
        <v>669</v>
      </c>
      <c r="E485">
        <v>8</v>
      </c>
      <c r="F485">
        <v>8</v>
      </c>
      <c r="G485" t="s">
        <v>687</v>
      </c>
      <c r="H485" t="s">
        <v>687</v>
      </c>
      <c r="I485" t="s">
        <v>927</v>
      </c>
      <c r="J485">
        <v>0.3</v>
      </c>
      <c r="K485">
        <v>0.1</v>
      </c>
      <c r="L485" t="s">
        <v>930</v>
      </c>
      <c r="M485">
        <v>0.3</v>
      </c>
      <c r="N485">
        <v>0.1</v>
      </c>
      <c r="P485">
        <f t="shared" si="7"/>
        <v>14</v>
      </c>
    </row>
    <row r="486" spans="1:16" x14ac:dyDescent="0.25">
      <c r="A486" t="s">
        <v>669</v>
      </c>
      <c r="B486">
        <v>0.3</v>
      </c>
      <c r="C486">
        <v>0.3</v>
      </c>
      <c r="D486" t="s">
        <v>303</v>
      </c>
      <c r="E486" t="s">
        <v>910</v>
      </c>
      <c r="F486" t="s">
        <v>910</v>
      </c>
      <c r="J486">
        <v>0.3</v>
      </c>
      <c r="K486">
        <v>0.3</v>
      </c>
      <c r="L486" t="s">
        <v>303</v>
      </c>
      <c r="M486">
        <v>0.3</v>
      </c>
      <c r="N486">
        <v>0.3</v>
      </c>
      <c r="O486" t="s">
        <v>303</v>
      </c>
      <c r="P486">
        <f t="shared" si="7"/>
        <v>0</v>
      </c>
    </row>
    <row r="487" spans="1:16" x14ac:dyDescent="0.25">
      <c r="A487" t="s">
        <v>669</v>
      </c>
      <c r="B487">
        <v>0.30320000000000003</v>
      </c>
      <c r="C487">
        <v>0.30320000000000003</v>
      </c>
      <c r="D487" t="s">
        <v>303</v>
      </c>
      <c r="E487" t="s">
        <v>910</v>
      </c>
      <c r="F487" t="s">
        <v>910</v>
      </c>
      <c r="J487">
        <v>0.30320000000000003</v>
      </c>
      <c r="K487">
        <v>0.30320000000000003</v>
      </c>
      <c r="L487" t="s">
        <v>303</v>
      </c>
      <c r="M487">
        <v>0.30320000000000003</v>
      </c>
      <c r="N487">
        <v>0.30320000000000003</v>
      </c>
      <c r="O487" t="s">
        <v>303</v>
      </c>
      <c r="P487">
        <f t="shared" si="7"/>
        <v>0</v>
      </c>
    </row>
    <row r="488" spans="1:16" x14ac:dyDescent="0.25">
      <c r="A488" t="s">
        <v>669</v>
      </c>
      <c r="B488">
        <v>0.303674</v>
      </c>
      <c r="C488">
        <v>0.303674</v>
      </c>
      <c r="D488" t="s">
        <v>303</v>
      </c>
      <c r="E488" t="s">
        <v>910</v>
      </c>
      <c r="F488" t="s">
        <v>910</v>
      </c>
      <c r="J488">
        <v>0.303674</v>
      </c>
      <c r="K488">
        <v>0.303674</v>
      </c>
      <c r="L488" t="s">
        <v>303</v>
      </c>
      <c r="M488">
        <v>0.303674</v>
      </c>
      <c r="N488">
        <v>0.303674</v>
      </c>
      <c r="O488" t="s">
        <v>303</v>
      </c>
      <c r="P488">
        <f t="shared" si="7"/>
        <v>0</v>
      </c>
    </row>
    <row r="489" spans="1:16" x14ac:dyDescent="0.25">
      <c r="A489" t="s">
        <v>527</v>
      </c>
      <c r="B489">
        <v>304.62700000000001</v>
      </c>
      <c r="C489">
        <v>304.62700000000001</v>
      </c>
      <c r="D489" t="s">
        <v>887</v>
      </c>
      <c r="E489">
        <v>8</v>
      </c>
      <c r="F489">
        <v>8</v>
      </c>
      <c r="G489" t="s">
        <v>687</v>
      </c>
      <c r="H489" t="s">
        <v>687</v>
      </c>
      <c r="J489">
        <v>0.30462700000000004</v>
      </c>
      <c r="K489">
        <v>0.30462700000000004</v>
      </c>
      <c r="L489" t="s">
        <v>303</v>
      </c>
      <c r="M489">
        <v>304.62700000000001</v>
      </c>
      <c r="N489">
        <v>304.62700000000001</v>
      </c>
      <c r="O489" t="s">
        <v>862</v>
      </c>
      <c r="P489">
        <f t="shared" si="7"/>
        <v>0</v>
      </c>
    </row>
    <row r="490" spans="1:16" x14ac:dyDescent="0.25">
      <c r="A490" t="s">
        <v>527</v>
      </c>
      <c r="B490">
        <v>304.81529999999998</v>
      </c>
      <c r="C490">
        <v>304.81529999999998</v>
      </c>
      <c r="D490" t="s">
        <v>887</v>
      </c>
      <c r="E490">
        <v>8</v>
      </c>
      <c r="F490">
        <v>8</v>
      </c>
      <c r="G490" t="s">
        <v>687</v>
      </c>
      <c r="H490" t="s">
        <v>687</v>
      </c>
      <c r="J490">
        <v>0.30481529999999996</v>
      </c>
      <c r="K490">
        <v>0.30481529999999996</v>
      </c>
      <c r="L490" t="s">
        <v>303</v>
      </c>
      <c r="M490">
        <v>304.81529999999998</v>
      </c>
      <c r="N490">
        <v>304.81529999999998</v>
      </c>
      <c r="O490" t="s">
        <v>862</v>
      </c>
      <c r="P490">
        <f t="shared" si="7"/>
        <v>0</v>
      </c>
    </row>
    <row r="491" spans="1:16" x14ac:dyDescent="0.25">
      <c r="A491" t="s">
        <v>59</v>
      </c>
      <c r="B491">
        <v>103</v>
      </c>
      <c r="C491">
        <v>305</v>
      </c>
      <c r="D491" t="s">
        <v>862</v>
      </c>
      <c r="E491">
        <v>8</v>
      </c>
      <c r="F491">
        <v>8</v>
      </c>
      <c r="G491" t="s">
        <v>687</v>
      </c>
      <c r="H491" t="s">
        <v>687</v>
      </c>
      <c r="J491">
        <v>0.30499999999999999</v>
      </c>
      <c r="K491">
        <v>0.10299999999999999</v>
      </c>
      <c r="L491" t="s">
        <v>303</v>
      </c>
      <c r="M491">
        <v>305</v>
      </c>
      <c r="N491">
        <v>103</v>
      </c>
      <c r="O491" t="s">
        <v>862</v>
      </c>
      <c r="P491">
        <f t="shared" si="7"/>
        <v>0</v>
      </c>
    </row>
    <row r="492" spans="1:16" x14ac:dyDescent="0.25">
      <c r="A492" t="s">
        <v>669</v>
      </c>
      <c r="B492">
        <v>0.309473</v>
      </c>
      <c r="C492">
        <v>0.309473</v>
      </c>
      <c r="D492" t="s">
        <v>303</v>
      </c>
      <c r="E492" t="s">
        <v>910</v>
      </c>
      <c r="F492" t="s">
        <v>910</v>
      </c>
      <c r="J492">
        <v>0.309473</v>
      </c>
      <c r="K492">
        <v>0.309473</v>
      </c>
      <c r="L492" t="s">
        <v>303</v>
      </c>
      <c r="M492">
        <v>0.309473</v>
      </c>
      <c r="N492">
        <v>0.309473</v>
      </c>
      <c r="O492" t="s">
        <v>303</v>
      </c>
      <c r="P492">
        <f t="shared" si="7"/>
        <v>0</v>
      </c>
    </row>
    <row r="493" spans="1:16" x14ac:dyDescent="0.25">
      <c r="A493" t="s">
        <v>669</v>
      </c>
      <c r="B493">
        <v>0.24</v>
      </c>
      <c r="C493">
        <v>0.31</v>
      </c>
      <c r="D493" t="s">
        <v>860</v>
      </c>
      <c r="E493" t="s">
        <v>910</v>
      </c>
      <c r="F493" t="s">
        <v>910</v>
      </c>
      <c r="J493">
        <v>0.31</v>
      </c>
      <c r="K493">
        <v>0.24</v>
      </c>
      <c r="L493" t="s">
        <v>303</v>
      </c>
      <c r="M493">
        <v>0.31</v>
      </c>
      <c r="N493">
        <v>0.24</v>
      </c>
      <c r="O493" t="s">
        <v>303</v>
      </c>
      <c r="P493">
        <f t="shared" si="7"/>
        <v>0</v>
      </c>
    </row>
    <row r="494" spans="1:16" x14ac:dyDescent="0.25">
      <c r="A494" t="s">
        <v>669</v>
      </c>
      <c r="B494">
        <v>0.31009999999999999</v>
      </c>
      <c r="C494">
        <v>0.31009999999999999</v>
      </c>
      <c r="D494" t="s">
        <v>303</v>
      </c>
      <c r="E494" t="s">
        <v>910</v>
      </c>
      <c r="F494" t="s">
        <v>910</v>
      </c>
      <c r="J494">
        <v>0.31009999999999999</v>
      </c>
      <c r="K494">
        <v>0.31009999999999999</v>
      </c>
      <c r="L494" t="s">
        <v>303</v>
      </c>
      <c r="M494">
        <v>0.31009999999999999</v>
      </c>
      <c r="N494">
        <v>0.31009999999999999</v>
      </c>
      <c r="O494" t="s">
        <v>303</v>
      </c>
      <c r="P494">
        <f t="shared" si="7"/>
        <v>0</v>
      </c>
    </row>
    <row r="495" spans="1:16" x14ac:dyDescent="0.25">
      <c r="A495" t="s">
        <v>669</v>
      </c>
      <c r="B495">
        <v>0.309</v>
      </c>
      <c r="C495">
        <v>0.311</v>
      </c>
      <c r="D495" t="s">
        <v>860</v>
      </c>
      <c r="E495" t="s">
        <v>910</v>
      </c>
      <c r="F495" t="s">
        <v>910</v>
      </c>
      <c r="J495">
        <v>0.311</v>
      </c>
      <c r="K495">
        <v>0.309</v>
      </c>
      <c r="L495" t="s">
        <v>303</v>
      </c>
      <c r="M495">
        <v>0.311</v>
      </c>
      <c r="N495">
        <v>0.309</v>
      </c>
      <c r="O495" t="s">
        <v>303</v>
      </c>
      <c r="P495">
        <f t="shared" si="7"/>
        <v>0</v>
      </c>
    </row>
    <row r="496" spans="1:16" x14ac:dyDescent="0.25">
      <c r="A496" t="s">
        <v>669</v>
      </c>
      <c r="B496">
        <v>0.31179800000000002</v>
      </c>
      <c r="C496">
        <v>0.31179800000000002</v>
      </c>
      <c r="D496" t="s">
        <v>303</v>
      </c>
      <c r="E496" t="s">
        <v>910</v>
      </c>
      <c r="F496" t="s">
        <v>910</v>
      </c>
      <c r="J496">
        <v>0.31179800000000002</v>
      </c>
      <c r="K496">
        <v>0.31179800000000002</v>
      </c>
      <c r="L496" t="s">
        <v>303</v>
      </c>
      <c r="M496">
        <v>0.31179800000000002</v>
      </c>
      <c r="N496">
        <v>0.31179800000000002</v>
      </c>
      <c r="O496" t="s">
        <v>303</v>
      </c>
      <c r="P496">
        <f t="shared" si="7"/>
        <v>0</v>
      </c>
    </row>
    <row r="497" spans="1:16" x14ac:dyDescent="0.25">
      <c r="A497" t="s">
        <v>527</v>
      </c>
      <c r="B497">
        <v>312.51600000000002</v>
      </c>
      <c r="C497">
        <v>312.51600000000002</v>
      </c>
      <c r="D497" t="s">
        <v>887</v>
      </c>
      <c r="E497">
        <v>8</v>
      </c>
      <c r="F497">
        <v>8</v>
      </c>
      <c r="G497" t="s">
        <v>687</v>
      </c>
      <c r="H497" t="s">
        <v>687</v>
      </c>
      <c r="J497">
        <v>0.31251600000000002</v>
      </c>
      <c r="K497">
        <v>0.31251600000000002</v>
      </c>
      <c r="L497" t="s">
        <v>303</v>
      </c>
      <c r="M497">
        <v>312.51600000000002</v>
      </c>
      <c r="N497">
        <v>312.51600000000002</v>
      </c>
      <c r="O497" t="s">
        <v>862</v>
      </c>
      <c r="P497">
        <f t="shared" si="7"/>
        <v>0</v>
      </c>
    </row>
    <row r="498" spans="1:16" x14ac:dyDescent="0.25">
      <c r="A498" t="s">
        <v>669</v>
      </c>
      <c r="B498">
        <v>0.314</v>
      </c>
      <c r="C498">
        <v>0.314</v>
      </c>
      <c r="D498" t="s">
        <v>303</v>
      </c>
      <c r="E498" t="s">
        <v>910</v>
      </c>
      <c r="F498" t="s">
        <v>910</v>
      </c>
      <c r="J498">
        <v>0.314</v>
      </c>
      <c r="K498">
        <v>0.314</v>
      </c>
      <c r="L498" t="s">
        <v>303</v>
      </c>
      <c r="M498">
        <v>0.314</v>
      </c>
      <c r="N498">
        <v>0.314</v>
      </c>
      <c r="O498" t="s">
        <v>303</v>
      </c>
      <c r="P498">
        <f t="shared" si="7"/>
        <v>0</v>
      </c>
    </row>
    <row r="499" spans="1:16" x14ac:dyDescent="0.25">
      <c r="A499" t="s">
        <v>669</v>
      </c>
      <c r="B499">
        <v>0.316388</v>
      </c>
      <c r="C499">
        <v>0.316388</v>
      </c>
      <c r="D499" t="s">
        <v>303</v>
      </c>
      <c r="E499" t="s">
        <v>910</v>
      </c>
      <c r="F499" t="s">
        <v>910</v>
      </c>
      <c r="J499">
        <v>0.316388</v>
      </c>
      <c r="K499">
        <v>0.316388</v>
      </c>
      <c r="L499" t="s">
        <v>303</v>
      </c>
      <c r="M499">
        <v>0.316388</v>
      </c>
      <c r="N499">
        <v>0.316388</v>
      </c>
      <c r="O499" t="s">
        <v>303</v>
      </c>
      <c r="P499">
        <f t="shared" si="7"/>
        <v>0</v>
      </c>
    </row>
    <row r="500" spans="1:16" x14ac:dyDescent="0.25">
      <c r="A500" t="s">
        <v>527</v>
      </c>
      <c r="B500">
        <v>316.69380000000001</v>
      </c>
      <c r="C500">
        <v>316.69380000000001</v>
      </c>
      <c r="D500" t="s">
        <v>887</v>
      </c>
      <c r="E500">
        <v>8</v>
      </c>
      <c r="F500">
        <v>8</v>
      </c>
      <c r="G500" t="s">
        <v>687</v>
      </c>
      <c r="H500" t="s">
        <v>687</v>
      </c>
      <c r="J500">
        <v>0.31669380000000003</v>
      </c>
      <c r="K500">
        <v>0.31669380000000003</v>
      </c>
      <c r="L500" t="s">
        <v>303</v>
      </c>
      <c r="M500">
        <v>316.69380000000001</v>
      </c>
      <c r="N500">
        <v>316.69380000000001</v>
      </c>
      <c r="O500" t="s">
        <v>862</v>
      </c>
      <c r="P500">
        <f t="shared" si="7"/>
        <v>0</v>
      </c>
    </row>
    <row r="501" spans="1:16" x14ac:dyDescent="0.25">
      <c r="A501" t="s">
        <v>669</v>
      </c>
      <c r="B501">
        <v>0.317</v>
      </c>
      <c r="C501">
        <v>0.317</v>
      </c>
      <c r="D501" t="s">
        <v>303</v>
      </c>
      <c r="E501" t="s">
        <v>910</v>
      </c>
      <c r="F501" t="s">
        <v>910</v>
      </c>
      <c r="J501">
        <v>0.317</v>
      </c>
      <c r="K501">
        <v>0.317</v>
      </c>
      <c r="L501" t="s">
        <v>303</v>
      </c>
      <c r="M501">
        <v>0.317</v>
      </c>
      <c r="N501">
        <v>0.317</v>
      </c>
      <c r="O501" t="s">
        <v>303</v>
      </c>
      <c r="P501">
        <f t="shared" si="7"/>
        <v>0</v>
      </c>
    </row>
    <row r="502" spans="1:16" x14ac:dyDescent="0.25">
      <c r="A502" t="s">
        <v>527</v>
      </c>
      <c r="B502">
        <v>317.6146</v>
      </c>
      <c r="C502">
        <v>317.6146</v>
      </c>
      <c r="D502" t="s">
        <v>887</v>
      </c>
      <c r="E502">
        <v>8</v>
      </c>
      <c r="F502">
        <v>8</v>
      </c>
      <c r="G502" t="s">
        <v>687</v>
      </c>
      <c r="H502" t="s">
        <v>687</v>
      </c>
      <c r="J502">
        <v>0.31761459999999997</v>
      </c>
      <c r="K502">
        <v>0.31761459999999997</v>
      </c>
      <c r="L502" t="s">
        <v>303</v>
      </c>
      <c r="M502">
        <v>317.6146</v>
      </c>
      <c r="N502">
        <v>317.6146</v>
      </c>
      <c r="O502" t="s">
        <v>862</v>
      </c>
      <c r="P502">
        <f t="shared" si="7"/>
        <v>0</v>
      </c>
    </row>
    <row r="503" spans="1:16" x14ac:dyDescent="0.25">
      <c r="A503" t="s">
        <v>669</v>
      </c>
      <c r="B503">
        <v>0.318</v>
      </c>
      <c r="C503">
        <v>0.318</v>
      </c>
      <c r="D503" t="s">
        <v>303</v>
      </c>
      <c r="E503" t="s">
        <v>910</v>
      </c>
      <c r="F503" t="s">
        <v>910</v>
      </c>
      <c r="J503">
        <v>0.318</v>
      </c>
      <c r="K503">
        <v>0.318</v>
      </c>
      <c r="L503" t="s">
        <v>303</v>
      </c>
      <c r="M503">
        <v>0.318</v>
      </c>
      <c r="N503">
        <v>0.318</v>
      </c>
      <c r="O503" t="s">
        <v>303</v>
      </c>
      <c r="P503">
        <f t="shared" si="7"/>
        <v>0</v>
      </c>
    </row>
    <row r="504" spans="1:16" x14ac:dyDescent="0.25">
      <c r="A504" t="s">
        <v>669</v>
      </c>
      <c r="B504">
        <v>0.31809999999999999</v>
      </c>
      <c r="C504">
        <v>0.31809999999999999</v>
      </c>
      <c r="D504" t="s">
        <v>303</v>
      </c>
      <c r="E504" t="s">
        <v>910</v>
      </c>
      <c r="F504" t="s">
        <v>910</v>
      </c>
      <c r="J504">
        <v>0.31809999999999999</v>
      </c>
      <c r="K504">
        <v>0.31809999999999999</v>
      </c>
      <c r="L504" t="s">
        <v>303</v>
      </c>
      <c r="M504">
        <v>0.31809999999999999</v>
      </c>
      <c r="N504">
        <v>0.31809999999999999</v>
      </c>
      <c r="O504" t="s">
        <v>303</v>
      </c>
      <c r="P504">
        <f t="shared" si="7"/>
        <v>0</v>
      </c>
    </row>
    <row r="505" spans="1:16" x14ac:dyDescent="0.25">
      <c r="A505" t="s">
        <v>578</v>
      </c>
      <c r="B505">
        <v>260.7</v>
      </c>
      <c r="C505">
        <v>319.3</v>
      </c>
      <c r="D505" t="s">
        <v>862</v>
      </c>
      <c r="E505">
        <v>8</v>
      </c>
      <c r="F505">
        <v>8</v>
      </c>
      <c r="G505" t="s">
        <v>687</v>
      </c>
      <c r="H505" t="s">
        <v>687</v>
      </c>
      <c r="J505">
        <v>0.31930000000000003</v>
      </c>
      <c r="K505">
        <v>0.26069999999999999</v>
      </c>
      <c r="L505" t="s">
        <v>303</v>
      </c>
      <c r="M505">
        <v>319.3</v>
      </c>
      <c r="N505">
        <v>260.7</v>
      </c>
      <c r="O505" t="s">
        <v>862</v>
      </c>
      <c r="P505">
        <f t="shared" si="7"/>
        <v>0</v>
      </c>
    </row>
    <row r="506" spans="1:16" x14ac:dyDescent="0.25">
      <c r="A506" t="s">
        <v>669</v>
      </c>
      <c r="B506">
        <v>0.32</v>
      </c>
      <c r="C506">
        <v>0.32</v>
      </c>
      <c r="D506" t="s">
        <v>860</v>
      </c>
      <c r="E506" t="s">
        <v>910</v>
      </c>
      <c r="F506" t="s">
        <v>910</v>
      </c>
      <c r="J506">
        <v>0.32</v>
      </c>
      <c r="K506">
        <v>0.32</v>
      </c>
      <c r="L506" t="s">
        <v>303</v>
      </c>
      <c r="M506">
        <v>0.32</v>
      </c>
      <c r="N506">
        <v>0.32</v>
      </c>
      <c r="O506" t="s">
        <v>303</v>
      </c>
      <c r="P506">
        <f t="shared" si="7"/>
        <v>0</v>
      </c>
    </row>
    <row r="507" spans="1:16" x14ac:dyDescent="0.25">
      <c r="A507" t="s">
        <v>669</v>
      </c>
      <c r="B507">
        <v>0.32013999999999998</v>
      </c>
      <c r="C507">
        <v>0.32013999999999998</v>
      </c>
      <c r="D507" t="s">
        <v>303</v>
      </c>
      <c r="E507" t="s">
        <v>910</v>
      </c>
      <c r="F507" t="s">
        <v>910</v>
      </c>
      <c r="J507">
        <v>0.32013999999999998</v>
      </c>
      <c r="K507">
        <v>0.32013999999999998</v>
      </c>
      <c r="L507" t="s">
        <v>303</v>
      </c>
      <c r="M507">
        <v>0.32013999999999998</v>
      </c>
      <c r="N507">
        <v>0.32013999999999998</v>
      </c>
      <c r="O507" t="s">
        <v>303</v>
      </c>
      <c r="P507">
        <f t="shared" si="7"/>
        <v>0</v>
      </c>
    </row>
    <row r="508" spans="1:16" x14ac:dyDescent="0.25">
      <c r="A508" t="s">
        <v>669</v>
      </c>
      <c r="B508">
        <v>0.32019999999999998</v>
      </c>
      <c r="C508">
        <v>0.32019999999999998</v>
      </c>
      <c r="D508" t="s">
        <v>303</v>
      </c>
      <c r="E508" t="s">
        <v>910</v>
      </c>
      <c r="F508" t="s">
        <v>910</v>
      </c>
      <c r="J508">
        <v>0.32019999999999998</v>
      </c>
      <c r="K508">
        <v>0.32019999999999998</v>
      </c>
      <c r="L508" t="s">
        <v>303</v>
      </c>
      <c r="M508">
        <v>0.32019999999999998</v>
      </c>
      <c r="N508">
        <v>0.32019999999999998</v>
      </c>
      <c r="O508" t="s">
        <v>303</v>
      </c>
      <c r="P508">
        <f t="shared" si="7"/>
        <v>0</v>
      </c>
    </row>
    <row r="509" spans="1:16" x14ac:dyDescent="0.25">
      <c r="A509" t="s">
        <v>527</v>
      </c>
      <c r="B509">
        <v>321.37470000000002</v>
      </c>
      <c r="C509">
        <v>321.37470000000002</v>
      </c>
      <c r="D509" t="s">
        <v>887</v>
      </c>
      <c r="E509">
        <v>8</v>
      </c>
      <c r="F509">
        <v>8</v>
      </c>
      <c r="G509" t="s">
        <v>687</v>
      </c>
      <c r="H509" t="s">
        <v>687</v>
      </c>
      <c r="J509">
        <v>0.32137470000000001</v>
      </c>
      <c r="K509">
        <v>0.32137470000000001</v>
      </c>
      <c r="L509" t="s">
        <v>303</v>
      </c>
      <c r="M509">
        <v>321.37470000000002</v>
      </c>
      <c r="N509">
        <v>321.37470000000002</v>
      </c>
      <c r="O509" t="s">
        <v>862</v>
      </c>
      <c r="P509">
        <f t="shared" si="7"/>
        <v>0</v>
      </c>
    </row>
    <row r="510" spans="1:16" x14ac:dyDescent="0.25">
      <c r="A510" t="s">
        <v>527</v>
      </c>
      <c r="B510">
        <v>322.32060000000001</v>
      </c>
      <c r="C510">
        <v>322.32060000000001</v>
      </c>
      <c r="D510" t="s">
        <v>887</v>
      </c>
      <c r="E510">
        <v>8</v>
      </c>
      <c r="F510">
        <v>8</v>
      </c>
      <c r="G510" t="s">
        <v>687</v>
      </c>
      <c r="H510" t="s">
        <v>687</v>
      </c>
      <c r="J510">
        <v>0.32232060000000001</v>
      </c>
      <c r="K510">
        <v>0.32232060000000001</v>
      </c>
      <c r="L510" t="s">
        <v>303</v>
      </c>
      <c r="M510">
        <v>322.32060000000001</v>
      </c>
      <c r="N510">
        <v>322.32060000000001</v>
      </c>
      <c r="O510" t="s">
        <v>862</v>
      </c>
      <c r="P510">
        <f t="shared" si="7"/>
        <v>0</v>
      </c>
    </row>
    <row r="511" spans="1:16" x14ac:dyDescent="0.25">
      <c r="A511" t="s">
        <v>669</v>
      </c>
      <c r="B511">
        <v>0.3226</v>
      </c>
      <c r="C511">
        <v>0.3226</v>
      </c>
      <c r="D511" t="s">
        <v>303</v>
      </c>
      <c r="E511" t="s">
        <v>910</v>
      </c>
      <c r="F511" t="s">
        <v>910</v>
      </c>
      <c r="J511">
        <v>0.3226</v>
      </c>
      <c r="K511">
        <v>0.3226</v>
      </c>
      <c r="L511" t="s">
        <v>303</v>
      </c>
      <c r="M511">
        <v>0.3226</v>
      </c>
      <c r="N511">
        <v>0.3226</v>
      </c>
      <c r="O511" t="s">
        <v>303</v>
      </c>
      <c r="P511">
        <f t="shared" si="7"/>
        <v>0</v>
      </c>
    </row>
    <row r="512" spans="1:16" x14ac:dyDescent="0.25">
      <c r="A512" t="s">
        <v>578</v>
      </c>
      <c r="B512">
        <v>283.8</v>
      </c>
      <c r="C512">
        <v>324</v>
      </c>
      <c r="D512" t="s">
        <v>862</v>
      </c>
      <c r="E512">
        <v>8</v>
      </c>
      <c r="F512">
        <v>8</v>
      </c>
      <c r="G512" t="s">
        <v>687</v>
      </c>
      <c r="H512" t="s">
        <v>687</v>
      </c>
      <c r="J512">
        <v>0.32400000000000001</v>
      </c>
      <c r="K512">
        <v>0.2838</v>
      </c>
      <c r="L512" t="s">
        <v>303</v>
      </c>
      <c r="M512">
        <v>324</v>
      </c>
      <c r="N512">
        <v>283.8</v>
      </c>
      <c r="O512" t="s">
        <v>862</v>
      </c>
      <c r="P512">
        <f t="shared" si="7"/>
        <v>0</v>
      </c>
    </row>
    <row r="513" spans="1:16" x14ac:dyDescent="0.25">
      <c r="A513" t="s">
        <v>669</v>
      </c>
      <c r="B513">
        <v>0.32671299999999998</v>
      </c>
      <c r="C513">
        <v>0.32671299999999998</v>
      </c>
      <c r="D513" t="s">
        <v>303</v>
      </c>
      <c r="E513" t="s">
        <v>910</v>
      </c>
      <c r="F513" t="s">
        <v>910</v>
      </c>
      <c r="J513">
        <v>0.32671299999999998</v>
      </c>
      <c r="K513">
        <v>0.32671299999999998</v>
      </c>
      <c r="L513" t="s">
        <v>303</v>
      </c>
      <c r="M513">
        <v>0.32671299999999998</v>
      </c>
      <c r="N513">
        <v>0.32671299999999998</v>
      </c>
      <c r="O513" t="s">
        <v>303</v>
      </c>
      <c r="P513">
        <f t="shared" si="7"/>
        <v>0</v>
      </c>
    </row>
    <row r="514" spans="1:16" x14ac:dyDescent="0.25">
      <c r="A514" t="s">
        <v>527</v>
      </c>
      <c r="B514">
        <v>327.32209999999998</v>
      </c>
      <c r="C514">
        <v>327.32209999999998</v>
      </c>
      <c r="D514" t="s">
        <v>887</v>
      </c>
      <c r="E514">
        <v>8</v>
      </c>
      <c r="F514">
        <v>8</v>
      </c>
      <c r="G514" t="s">
        <v>687</v>
      </c>
      <c r="H514" t="s">
        <v>687</v>
      </c>
      <c r="J514">
        <v>0.3273221</v>
      </c>
      <c r="K514">
        <v>0.3273221</v>
      </c>
      <c r="L514" t="s">
        <v>303</v>
      </c>
      <c r="M514">
        <v>327.32209999999998</v>
      </c>
      <c r="N514">
        <v>327.32209999999998</v>
      </c>
      <c r="O514" t="s">
        <v>862</v>
      </c>
      <c r="P514">
        <f t="shared" si="7"/>
        <v>0</v>
      </c>
    </row>
    <row r="515" spans="1:16" x14ac:dyDescent="0.25">
      <c r="A515" t="s">
        <v>669</v>
      </c>
      <c r="B515">
        <v>0.32750000000000001</v>
      </c>
      <c r="C515">
        <v>0.32750000000000001</v>
      </c>
      <c r="D515" t="s">
        <v>303</v>
      </c>
      <c r="E515" t="s">
        <v>910</v>
      </c>
      <c r="F515" t="s">
        <v>910</v>
      </c>
      <c r="J515">
        <v>0.32750000000000001</v>
      </c>
      <c r="K515">
        <v>0.32750000000000001</v>
      </c>
      <c r="L515" t="s">
        <v>303</v>
      </c>
      <c r="M515">
        <v>0.32750000000000001</v>
      </c>
      <c r="N515">
        <v>0.32750000000000001</v>
      </c>
      <c r="O515" t="s">
        <v>303</v>
      </c>
      <c r="P515">
        <f t="shared" ref="P515:P578" si="8">LEN(I515)</f>
        <v>0</v>
      </c>
    </row>
    <row r="516" spans="1:16" x14ac:dyDescent="0.25">
      <c r="A516" t="s">
        <v>669</v>
      </c>
      <c r="B516">
        <v>0.32779999999999998</v>
      </c>
      <c r="C516">
        <v>0.32779999999999998</v>
      </c>
      <c r="D516" t="s">
        <v>303</v>
      </c>
      <c r="E516" t="s">
        <v>910</v>
      </c>
      <c r="F516" t="s">
        <v>910</v>
      </c>
      <c r="J516">
        <v>0.32779999999999998</v>
      </c>
      <c r="K516">
        <v>0.32779999999999998</v>
      </c>
      <c r="L516" t="s">
        <v>303</v>
      </c>
      <c r="M516">
        <v>0.32779999999999998</v>
      </c>
      <c r="N516">
        <v>0.32779999999999998</v>
      </c>
      <c r="O516" t="s">
        <v>303</v>
      </c>
      <c r="P516">
        <f t="shared" si="8"/>
        <v>0</v>
      </c>
    </row>
    <row r="517" spans="1:16" x14ac:dyDescent="0.25">
      <c r="A517" t="s">
        <v>527</v>
      </c>
      <c r="B517">
        <v>328.27480000000003</v>
      </c>
      <c r="C517">
        <v>328.27480000000003</v>
      </c>
      <c r="D517" t="s">
        <v>887</v>
      </c>
      <c r="E517">
        <v>8</v>
      </c>
      <c r="F517">
        <v>8</v>
      </c>
      <c r="G517" t="s">
        <v>687</v>
      </c>
      <c r="H517" t="s">
        <v>687</v>
      </c>
      <c r="J517">
        <v>0.32827480000000003</v>
      </c>
      <c r="K517">
        <v>0.32827480000000003</v>
      </c>
      <c r="L517" t="s">
        <v>303</v>
      </c>
      <c r="M517">
        <v>328.27480000000003</v>
      </c>
      <c r="N517">
        <v>328.27480000000003</v>
      </c>
      <c r="O517" t="s">
        <v>862</v>
      </c>
      <c r="P517">
        <f t="shared" si="8"/>
        <v>0</v>
      </c>
    </row>
    <row r="518" spans="1:16" x14ac:dyDescent="0.25">
      <c r="A518" t="s">
        <v>669</v>
      </c>
      <c r="B518">
        <v>0.33021899999999998</v>
      </c>
      <c r="C518">
        <v>0.33021899999999998</v>
      </c>
      <c r="D518" t="s">
        <v>303</v>
      </c>
      <c r="E518" t="s">
        <v>910</v>
      </c>
      <c r="F518" t="s">
        <v>910</v>
      </c>
      <c r="J518">
        <v>0.33021899999999998</v>
      </c>
      <c r="K518">
        <v>0.33021899999999998</v>
      </c>
      <c r="L518" t="s">
        <v>303</v>
      </c>
      <c r="M518">
        <v>0.33021899999999998</v>
      </c>
      <c r="N518">
        <v>0.33021899999999998</v>
      </c>
      <c r="O518" t="s">
        <v>303</v>
      </c>
      <c r="P518">
        <f t="shared" si="8"/>
        <v>0</v>
      </c>
    </row>
    <row r="519" spans="1:16" x14ac:dyDescent="0.25">
      <c r="A519" t="s">
        <v>527</v>
      </c>
      <c r="B519">
        <v>331.74810000000002</v>
      </c>
      <c r="C519">
        <v>331.74810000000002</v>
      </c>
      <c r="D519" t="s">
        <v>887</v>
      </c>
      <c r="E519">
        <v>8</v>
      </c>
      <c r="F519">
        <v>8</v>
      </c>
      <c r="G519" t="s">
        <v>687</v>
      </c>
      <c r="H519" t="s">
        <v>687</v>
      </c>
      <c r="J519">
        <v>0.33174810000000005</v>
      </c>
      <c r="K519">
        <v>0.33174810000000005</v>
      </c>
      <c r="L519" t="s">
        <v>303</v>
      </c>
      <c r="M519">
        <v>331.74810000000002</v>
      </c>
      <c r="N519">
        <v>331.74810000000002</v>
      </c>
      <c r="O519" t="s">
        <v>862</v>
      </c>
      <c r="P519">
        <f t="shared" si="8"/>
        <v>0</v>
      </c>
    </row>
    <row r="520" spans="1:16" x14ac:dyDescent="0.25">
      <c r="A520" t="s">
        <v>669</v>
      </c>
      <c r="B520">
        <v>0.33176699999999998</v>
      </c>
      <c r="C520">
        <v>0.33176699999999998</v>
      </c>
      <c r="D520" t="s">
        <v>303</v>
      </c>
      <c r="E520" t="s">
        <v>910</v>
      </c>
      <c r="F520" t="s">
        <v>910</v>
      </c>
      <c r="J520">
        <v>0.33176699999999998</v>
      </c>
      <c r="K520">
        <v>0.33176699999999998</v>
      </c>
      <c r="L520" t="s">
        <v>303</v>
      </c>
      <c r="M520">
        <v>0.33176699999999998</v>
      </c>
      <c r="N520">
        <v>0.33176699999999998</v>
      </c>
      <c r="O520" t="s">
        <v>303</v>
      </c>
      <c r="P520">
        <f t="shared" si="8"/>
        <v>0</v>
      </c>
    </row>
    <row r="521" spans="1:16" x14ac:dyDescent="0.25">
      <c r="A521" t="s">
        <v>669</v>
      </c>
      <c r="B521">
        <v>0.3322</v>
      </c>
      <c r="C521">
        <v>0.3322</v>
      </c>
      <c r="D521" t="s">
        <v>303</v>
      </c>
      <c r="E521" t="s">
        <v>910</v>
      </c>
      <c r="F521" t="s">
        <v>910</v>
      </c>
      <c r="J521">
        <v>0.3322</v>
      </c>
      <c r="K521">
        <v>0.3322</v>
      </c>
      <c r="L521" t="s">
        <v>303</v>
      </c>
      <c r="M521">
        <v>0.3322</v>
      </c>
      <c r="N521">
        <v>0.3322</v>
      </c>
      <c r="O521" t="s">
        <v>303</v>
      </c>
      <c r="P521">
        <f t="shared" si="8"/>
        <v>0</v>
      </c>
    </row>
    <row r="522" spans="1:16" x14ac:dyDescent="0.25">
      <c r="A522" t="s">
        <v>669</v>
      </c>
      <c r="B522">
        <v>0.33299600000000001</v>
      </c>
      <c r="C522">
        <v>0.33299600000000001</v>
      </c>
      <c r="D522" t="s">
        <v>303</v>
      </c>
      <c r="E522" t="s">
        <v>910</v>
      </c>
      <c r="F522" t="s">
        <v>910</v>
      </c>
      <c r="J522">
        <v>0.33299600000000001</v>
      </c>
      <c r="K522">
        <v>0.33299600000000001</v>
      </c>
      <c r="L522" t="s">
        <v>303</v>
      </c>
      <c r="M522">
        <v>0.33299600000000001</v>
      </c>
      <c r="N522">
        <v>0.33299600000000001</v>
      </c>
      <c r="O522" t="s">
        <v>303</v>
      </c>
      <c r="P522">
        <f t="shared" si="8"/>
        <v>0</v>
      </c>
    </row>
    <row r="523" spans="1:16" x14ac:dyDescent="0.25">
      <c r="A523" t="s">
        <v>669</v>
      </c>
      <c r="B523">
        <v>0.33358500000000002</v>
      </c>
      <c r="C523">
        <v>0.33358500000000002</v>
      </c>
      <c r="D523" t="s">
        <v>303</v>
      </c>
      <c r="E523" t="s">
        <v>910</v>
      </c>
      <c r="F523" t="s">
        <v>910</v>
      </c>
      <c r="J523">
        <v>0.33358500000000002</v>
      </c>
      <c r="K523">
        <v>0.33358500000000002</v>
      </c>
      <c r="L523" t="s">
        <v>303</v>
      </c>
      <c r="M523">
        <v>0.33358500000000002</v>
      </c>
      <c r="N523">
        <v>0.33358500000000002</v>
      </c>
      <c r="O523" t="s">
        <v>303</v>
      </c>
      <c r="P523">
        <f t="shared" si="8"/>
        <v>0</v>
      </c>
    </row>
    <row r="524" spans="1:16" x14ac:dyDescent="0.25">
      <c r="A524" t="s">
        <v>669</v>
      </c>
      <c r="B524">
        <v>0.33429999999999999</v>
      </c>
      <c r="C524">
        <v>0.33429999999999999</v>
      </c>
      <c r="D524" t="s">
        <v>303</v>
      </c>
      <c r="E524" t="s">
        <v>910</v>
      </c>
      <c r="F524" t="s">
        <v>910</v>
      </c>
      <c r="J524">
        <v>0.33429999999999999</v>
      </c>
      <c r="K524">
        <v>0.33429999999999999</v>
      </c>
      <c r="L524" t="s">
        <v>303</v>
      </c>
      <c r="M524">
        <v>0.33429999999999999</v>
      </c>
      <c r="N524">
        <v>0.33429999999999999</v>
      </c>
      <c r="O524" t="s">
        <v>303</v>
      </c>
      <c r="P524">
        <f t="shared" si="8"/>
        <v>0</v>
      </c>
    </row>
    <row r="525" spans="1:16" x14ac:dyDescent="0.25">
      <c r="A525" t="s">
        <v>669</v>
      </c>
      <c r="B525">
        <v>0.33516699999999999</v>
      </c>
      <c r="C525">
        <v>0.33516699999999999</v>
      </c>
      <c r="D525" t="s">
        <v>303</v>
      </c>
      <c r="E525" t="s">
        <v>910</v>
      </c>
      <c r="F525" t="s">
        <v>910</v>
      </c>
      <c r="J525">
        <v>0.33516699999999999</v>
      </c>
      <c r="K525">
        <v>0.33516699999999999</v>
      </c>
      <c r="L525" t="s">
        <v>303</v>
      </c>
      <c r="M525">
        <v>0.33516699999999999</v>
      </c>
      <c r="N525">
        <v>0.33516699999999999</v>
      </c>
      <c r="O525" t="s">
        <v>303</v>
      </c>
      <c r="P525">
        <f t="shared" si="8"/>
        <v>0</v>
      </c>
    </row>
    <row r="526" spans="1:16" x14ac:dyDescent="0.25">
      <c r="A526" t="s">
        <v>669</v>
      </c>
      <c r="B526">
        <v>0.3357</v>
      </c>
      <c r="C526">
        <v>0.3357</v>
      </c>
      <c r="D526" t="s">
        <v>303</v>
      </c>
      <c r="E526" t="s">
        <v>910</v>
      </c>
      <c r="F526" t="s">
        <v>910</v>
      </c>
      <c r="J526">
        <v>0.3357</v>
      </c>
      <c r="K526">
        <v>0.3357</v>
      </c>
      <c r="L526" t="s">
        <v>303</v>
      </c>
      <c r="M526">
        <v>0.3357</v>
      </c>
      <c r="N526">
        <v>0.3357</v>
      </c>
      <c r="O526" t="s">
        <v>303</v>
      </c>
      <c r="P526">
        <f t="shared" si="8"/>
        <v>0</v>
      </c>
    </row>
    <row r="527" spans="1:16" x14ac:dyDescent="0.25">
      <c r="A527" t="s">
        <v>669</v>
      </c>
      <c r="B527">
        <v>0.33589999999999998</v>
      </c>
      <c r="C527">
        <v>0.33589999999999998</v>
      </c>
      <c r="D527" t="s">
        <v>303</v>
      </c>
      <c r="E527" t="s">
        <v>910</v>
      </c>
      <c r="F527" t="s">
        <v>910</v>
      </c>
      <c r="J527">
        <v>0.33589999999999998</v>
      </c>
      <c r="K527">
        <v>0.33589999999999998</v>
      </c>
      <c r="L527" t="s">
        <v>303</v>
      </c>
      <c r="M527">
        <v>0.33589999999999998</v>
      </c>
      <c r="N527">
        <v>0.33589999999999998</v>
      </c>
      <c r="O527" t="s">
        <v>303</v>
      </c>
      <c r="P527">
        <f t="shared" si="8"/>
        <v>0</v>
      </c>
    </row>
    <row r="528" spans="1:16" x14ac:dyDescent="0.25">
      <c r="A528" t="s">
        <v>669</v>
      </c>
      <c r="B528">
        <v>0.33639599999999997</v>
      </c>
      <c r="C528">
        <v>0.33639599999999997</v>
      </c>
      <c r="D528" t="s">
        <v>303</v>
      </c>
      <c r="E528" t="s">
        <v>910</v>
      </c>
      <c r="F528" t="s">
        <v>910</v>
      </c>
      <c r="J528">
        <v>0.33639599999999997</v>
      </c>
      <c r="K528">
        <v>0.33639599999999997</v>
      </c>
      <c r="L528" t="s">
        <v>303</v>
      </c>
      <c r="M528">
        <v>0.33639599999999997</v>
      </c>
      <c r="N528">
        <v>0.33639599999999997</v>
      </c>
      <c r="O528" t="s">
        <v>303</v>
      </c>
      <c r="P528">
        <f t="shared" si="8"/>
        <v>0</v>
      </c>
    </row>
    <row r="529" spans="1:16" x14ac:dyDescent="0.25">
      <c r="A529" t="s">
        <v>669</v>
      </c>
      <c r="B529">
        <v>0.33754000000000001</v>
      </c>
      <c r="C529">
        <v>0.33754000000000001</v>
      </c>
      <c r="D529" t="s">
        <v>303</v>
      </c>
      <c r="E529" t="s">
        <v>910</v>
      </c>
      <c r="F529" t="s">
        <v>910</v>
      </c>
      <c r="J529">
        <v>0.33754000000000001</v>
      </c>
      <c r="K529">
        <v>0.33754000000000001</v>
      </c>
      <c r="L529" t="s">
        <v>303</v>
      </c>
      <c r="M529">
        <v>0.33754000000000001</v>
      </c>
      <c r="N529">
        <v>0.33754000000000001</v>
      </c>
      <c r="O529" t="s">
        <v>303</v>
      </c>
      <c r="P529">
        <f t="shared" si="8"/>
        <v>0</v>
      </c>
    </row>
    <row r="530" spans="1:16" x14ac:dyDescent="0.25">
      <c r="A530" t="s">
        <v>669</v>
      </c>
      <c r="B530">
        <v>0.33800000000000002</v>
      </c>
      <c r="C530">
        <v>0.33800000000000002</v>
      </c>
      <c r="D530" t="s">
        <v>303</v>
      </c>
      <c r="E530" t="s">
        <v>910</v>
      </c>
      <c r="F530" t="s">
        <v>910</v>
      </c>
      <c r="J530">
        <v>0.33800000000000002</v>
      </c>
      <c r="K530">
        <v>0.33800000000000002</v>
      </c>
      <c r="L530" t="s">
        <v>303</v>
      </c>
      <c r="M530">
        <v>0.33800000000000002</v>
      </c>
      <c r="N530">
        <v>0.33800000000000002</v>
      </c>
      <c r="O530" t="s">
        <v>303</v>
      </c>
      <c r="P530">
        <f t="shared" si="8"/>
        <v>0</v>
      </c>
    </row>
    <row r="531" spans="1:16" x14ac:dyDescent="0.25">
      <c r="A531" t="s">
        <v>669</v>
      </c>
      <c r="B531">
        <v>0.339055</v>
      </c>
      <c r="C531">
        <v>0.339055</v>
      </c>
      <c r="D531" t="s">
        <v>303</v>
      </c>
      <c r="E531" t="s">
        <v>910</v>
      </c>
      <c r="F531" t="s">
        <v>910</v>
      </c>
      <c r="J531">
        <v>0.339055</v>
      </c>
      <c r="K531">
        <v>0.339055</v>
      </c>
      <c r="L531" t="s">
        <v>303</v>
      </c>
      <c r="M531">
        <v>0.339055</v>
      </c>
      <c r="N531">
        <v>0.339055</v>
      </c>
      <c r="O531" t="s">
        <v>303</v>
      </c>
      <c r="P531">
        <f t="shared" si="8"/>
        <v>0</v>
      </c>
    </row>
    <row r="532" spans="1:16" x14ac:dyDescent="0.25">
      <c r="A532" t="s">
        <v>669</v>
      </c>
      <c r="B532">
        <v>0.339947</v>
      </c>
      <c r="C532">
        <v>0.339947</v>
      </c>
      <c r="D532" t="s">
        <v>303</v>
      </c>
      <c r="E532" t="s">
        <v>910</v>
      </c>
      <c r="F532" t="s">
        <v>910</v>
      </c>
      <c r="J532">
        <v>0.339947</v>
      </c>
      <c r="K532">
        <v>0.339947</v>
      </c>
      <c r="L532" t="s">
        <v>303</v>
      </c>
      <c r="M532">
        <v>0.339947</v>
      </c>
      <c r="N532">
        <v>0.339947</v>
      </c>
      <c r="O532" t="s">
        <v>303</v>
      </c>
      <c r="P532">
        <f t="shared" si="8"/>
        <v>0</v>
      </c>
    </row>
    <row r="533" spans="1:16" x14ac:dyDescent="0.25">
      <c r="A533" t="s">
        <v>669</v>
      </c>
      <c r="B533">
        <v>0.28000000000000003</v>
      </c>
      <c r="C533">
        <v>0.34</v>
      </c>
      <c r="D533" t="s">
        <v>669</v>
      </c>
      <c r="E533">
        <v>8</v>
      </c>
      <c r="F533">
        <v>8</v>
      </c>
      <c r="G533" t="s">
        <v>687</v>
      </c>
      <c r="H533" t="s">
        <v>687</v>
      </c>
      <c r="I533" t="s">
        <v>927</v>
      </c>
      <c r="J533">
        <v>0.34</v>
      </c>
      <c r="K533">
        <v>0.28000000000000003</v>
      </c>
      <c r="L533" t="s">
        <v>930</v>
      </c>
      <c r="M533">
        <v>0.34</v>
      </c>
      <c r="N533">
        <v>0.28000000000000003</v>
      </c>
      <c r="P533">
        <f t="shared" si="8"/>
        <v>14</v>
      </c>
    </row>
    <row r="534" spans="1:16" x14ac:dyDescent="0.25">
      <c r="A534" t="s">
        <v>669</v>
      </c>
      <c r="B534">
        <v>240</v>
      </c>
      <c r="C534">
        <v>340</v>
      </c>
      <c r="D534" t="s">
        <v>862</v>
      </c>
      <c r="E534">
        <v>8</v>
      </c>
      <c r="F534">
        <v>8</v>
      </c>
      <c r="G534" t="s">
        <v>687</v>
      </c>
      <c r="H534" t="s">
        <v>687</v>
      </c>
      <c r="J534">
        <v>0.34</v>
      </c>
      <c r="K534">
        <v>0.24</v>
      </c>
      <c r="L534" t="s">
        <v>303</v>
      </c>
      <c r="M534">
        <v>340</v>
      </c>
      <c r="N534">
        <v>240</v>
      </c>
      <c r="O534" t="s">
        <v>862</v>
      </c>
      <c r="P534">
        <f t="shared" si="8"/>
        <v>0</v>
      </c>
    </row>
    <row r="535" spans="1:16" x14ac:dyDescent="0.25">
      <c r="A535" t="s">
        <v>669</v>
      </c>
      <c r="B535">
        <v>0.34188200000000002</v>
      </c>
      <c r="C535">
        <v>0.34188200000000002</v>
      </c>
      <c r="D535" t="s">
        <v>303</v>
      </c>
      <c r="E535" t="s">
        <v>910</v>
      </c>
      <c r="F535" t="s">
        <v>910</v>
      </c>
      <c r="J535">
        <v>0.34188200000000002</v>
      </c>
      <c r="K535">
        <v>0.34188200000000002</v>
      </c>
      <c r="L535" t="s">
        <v>303</v>
      </c>
      <c r="M535">
        <v>0.34188200000000002</v>
      </c>
      <c r="N535">
        <v>0.34188200000000002</v>
      </c>
      <c r="O535" t="s">
        <v>303</v>
      </c>
      <c r="P535">
        <f t="shared" si="8"/>
        <v>0</v>
      </c>
    </row>
    <row r="536" spans="1:16" x14ac:dyDescent="0.25">
      <c r="A536" t="s">
        <v>669</v>
      </c>
      <c r="B536">
        <v>0.34360000000000002</v>
      </c>
      <c r="C536">
        <v>0.34360000000000002</v>
      </c>
      <c r="D536" t="s">
        <v>303</v>
      </c>
      <c r="E536" t="s">
        <v>910</v>
      </c>
      <c r="F536" t="s">
        <v>910</v>
      </c>
      <c r="J536">
        <v>0.34360000000000002</v>
      </c>
      <c r="K536">
        <v>0.34360000000000002</v>
      </c>
      <c r="L536" t="s">
        <v>303</v>
      </c>
      <c r="M536">
        <v>0.34360000000000002</v>
      </c>
      <c r="N536">
        <v>0.34360000000000002</v>
      </c>
      <c r="O536" t="s">
        <v>303</v>
      </c>
      <c r="P536">
        <f t="shared" si="8"/>
        <v>0</v>
      </c>
    </row>
    <row r="537" spans="1:16" x14ac:dyDescent="0.25">
      <c r="A537" t="s">
        <v>669</v>
      </c>
      <c r="B537">
        <v>0.34460000000000002</v>
      </c>
      <c r="C537">
        <v>0.34460000000000002</v>
      </c>
      <c r="D537" t="s">
        <v>303</v>
      </c>
      <c r="E537" t="s">
        <v>910</v>
      </c>
      <c r="F537" t="s">
        <v>910</v>
      </c>
      <c r="J537">
        <v>0.34460000000000002</v>
      </c>
      <c r="K537">
        <v>0.34460000000000002</v>
      </c>
      <c r="L537" t="s">
        <v>303</v>
      </c>
      <c r="M537">
        <v>0.34460000000000002</v>
      </c>
      <c r="N537">
        <v>0.34460000000000002</v>
      </c>
      <c r="O537" t="s">
        <v>303</v>
      </c>
      <c r="P537">
        <f t="shared" si="8"/>
        <v>0</v>
      </c>
    </row>
    <row r="538" spans="1:16" x14ac:dyDescent="0.25">
      <c r="A538" t="s">
        <v>669</v>
      </c>
      <c r="B538">
        <v>0.34554299999999999</v>
      </c>
      <c r="C538">
        <v>0.34554299999999999</v>
      </c>
      <c r="D538" t="s">
        <v>303</v>
      </c>
      <c r="E538" t="s">
        <v>910</v>
      </c>
      <c r="F538" t="s">
        <v>910</v>
      </c>
      <c r="J538">
        <v>0.34554299999999999</v>
      </c>
      <c r="K538">
        <v>0.34554299999999999</v>
      </c>
      <c r="L538" t="s">
        <v>303</v>
      </c>
      <c r="M538">
        <v>0.34554299999999999</v>
      </c>
      <c r="N538">
        <v>0.34554299999999999</v>
      </c>
      <c r="O538" t="s">
        <v>303</v>
      </c>
      <c r="P538">
        <f t="shared" si="8"/>
        <v>0</v>
      </c>
    </row>
    <row r="539" spans="1:16" x14ac:dyDescent="0.25">
      <c r="A539" t="s">
        <v>527</v>
      </c>
      <c r="B539">
        <v>346.52499999999998</v>
      </c>
      <c r="C539">
        <v>346.52499999999998</v>
      </c>
      <c r="D539" t="s">
        <v>887</v>
      </c>
      <c r="E539">
        <v>8</v>
      </c>
      <c r="F539">
        <v>8</v>
      </c>
      <c r="G539" t="s">
        <v>687</v>
      </c>
      <c r="H539" t="s">
        <v>687</v>
      </c>
      <c r="J539">
        <v>0.34652499999999997</v>
      </c>
      <c r="K539">
        <v>0.34652499999999997</v>
      </c>
      <c r="L539" t="s">
        <v>303</v>
      </c>
      <c r="M539">
        <v>346.52499999999998</v>
      </c>
      <c r="N539">
        <v>346.52499999999998</v>
      </c>
      <c r="O539" t="s">
        <v>862</v>
      </c>
      <c r="P539">
        <f t="shared" si="8"/>
        <v>0</v>
      </c>
    </row>
    <row r="540" spans="1:16" x14ac:dyDescent="0.25">
      <c r="A540" t="s">
        <v>669</v>
      </c>
      <c r="B540">
        <v>0.34809499999999999</v>
      </c>
      <c r="C540">
        <v>0.34809499999999999</v>
      </c>
      <c r="D540" t="s">
        <v>303</v>
      </c>
      <c r="E540" t="s">
        <v>910</v>
      </c>
      <c r="F540" t="s">
        <v>910</v>
      </c>
      <c r="J540">
        <v>0.34809499999999999</v>
      </c>
      <c r="K540">
        <v>0.34809499999999999</v>
      </c>
      <c r="L540" t="s">
        <v>303</v>
      </c>
      <c r="M540">
        <v>0.34809499999999999</v>
      </c>
      <c r="N540">
        <v>0.34809499999999999</v>
      </c>
      <c r="O540" t="s">
        <v>303</v>
      </c>
      <c r="P540">
        <f t="shared" si="8"/>
        <v>0</v>
      </c>
    </row>
    <row r="541" spans="1:16" x14ac:dyDescent="0.25">
      <c r="A541" t="s">
        <v>669</v>
      </c>
      <c r="B541">
        <v>0.35</v>
      </c>
      <c r="C541">
        <v>0.35</v>
      </c>
      <c r="D541" t="s">
        <v>303</v>
      </c>
      <c r="E541" t="s">
        <v>910</v>
      </c>
      <c r="F541" t="s">
        <v>910</v>
      </c>
      <c r="J541">
        <v>0.35</v>
      </c>
      <c r="K541">
        <v>0.35</v>
      </c>
      <c r="L541" t="s">
        <v>303</v>
      </c>
      <c r="M541">
        <v>0.35</v>
      </c>
      <c r="N541">
        <v>0.35</v>
      </c>
      <c r="O541" t="s">
        <v>303</v>
      </c>
      <c r="P541">
        <f t="shared" si="8"/>
        <v>0</v>
      </c>
    </row>
    <row r="542" spans="1:16" x14ac:dyDescent="0.25">
      <c r="A542" t="s">
        <v>669</v>
      </c>
      <c r="B542">
        <v>310</v>
      </c>
      <c r="C542">
        <v>350</v>
      </c>
      <c r="D542" t="s">
        <v>870</v>
      </c>
      <c r="E542">
        <v>8</v>
      </c>
      <c r="F542">
        <v>8</v>
      </c>
      <c r="G542" t="s">
        <v>687</v>
      </c>
      <c r="H542" t="s">
        <v>687</v>
      </c>
      <c r="J542">
        <v>0.35</v>
      </c>
      <c r="K542">
        <v>0.31</v>
      </c>
      <c r="L542" t="s">
        <v>303</v>
      </c>
      <c r="M542">
        <v>350</v>
      </c>
      <c r="N542">
        <v>310</v>
      </c>
      <c r="O542" t="s">
        <v>862</v>
      </c>
      <c r="P542">
        <f t="shared" si="8"/>
        <v>0</v>
      </c>
    </row>
    <row r="543" spans="1:16" x14ac:dyDescent="0.25">
      <c r="A543" t="s">
        <v>669</v>
      </c>
      <c r="B543">
        <v>0.35114299999999998</v>
      </c>
      <c r="C543">
        <v>0.35114299999999998</v>
      </c>
      <c r="D543" t="s">
        <v>303</v>
      </c>
      <c r="E543" t="s">
        <v>910</v>
      </c>
      <c r="F543" t="s">
        <v>910</v>
      </c>
      <c r="J543">
        <v>0.35114299999999998</v>
      </c>
      <c r="K543">
        <v>0.35114299999999998</v>
      </c>
      <c r="L543" t="s">
        <v>303</v>
      </c>
      <c r="M543">
        <v>0.35114299999999998</v>
      </c>
      <c r="N543">
        <v>0.35114299999999998</v>
      </c>
      <c r="O543" t="s">
        <v>303</v>
      </c>
      <c r="P543">
        <f t="shared" si="8"/>
        <v>0</v>
      </c>
    </row>
    <row r="544" spans="1:16" x14ac:dyDescent="0.25">
      <c r="A544" t="s">
        <v>669</v>
      </c>
      <c r="B544">
        <v>0.35270499999999999</v>
      </c>
      <c r="C544">
        <v>0.35270499999999999</v>
      </c>
      <c r="D544" t="s">
        <v>303</v>
      </c>
      <c r="E544" t="s">
        <v>910</v>
      </c>
      <c r="F544" t="s">
        <v>910</v>
      </c>
      <c r="J544">
        <v>0.35270499999999999</v>
      </c>
      <c r="K544">
        <v>0.35270499999999999</v>
      </c>
      <c r="L544" t="s">
        <v>303</v>
      </c>
      <c r="M544">
        <v>0.35270499999999999</v>
      </c>
      <c r="N544">
        <v>0.35270499999999999</v>
      </c>
      <c r="O544" t="s">
        <v>303</v>
      </c>
      <c r="P544">
        <f t="shared" si="8"/>
        <v>0</v>
      </c>
    </row>
    <row r="545" spans="1:16" x14ac:dyDescent="0.25">
      <c r="A545" t="s">
        <v>669</v>
      </c>
      <c r="B545">
        <v>0.35481200000000002</v>
      </c>
      <c r="C545">
        <v>0.35481200000000002</v>
      </c>
      <c r="D545" t="s">
        <v>303</v>
      </c>
      <c r="E545" t="s">
        <v>910</v>
      </c>
      <c r="F545" t="s">
        <v>910</v>
      </c>
      <c r="J545">
        <v>0.35481200000000002</v>
      </c>
      <c r="K545">
        <v>0.35481200000000002</v>
      </c>
      <c r="L545" t="s">
        <v>303</v>
      </c>
      <c r="M545">
        <v>0.35481200000000002</v>
      </c>
      <c r="N545">
        <v>0.35481200000000002</v>
      </c>
      <c r="O545" t="s">
        <v>303</v>
      </c>
      <c r="P545">
        <f t="shared" si="8"/>
        <v>0</v>
      </c>
    </row>
    <row r="546" spans="1:16" x14ac:dyDescent="0.25">
      <c r="A546" t="s">
        <v>527</v>
      </c>
      <c r="B546">
        <v>355.18779999999998</v>
      </c>
      <c r="C546">
        <v>355.18779999999998</v>
      </c>
      <c r="D546" t="s">
        <v>887</v>
      </c>
      <c r="E546">
        <v>8</v>
      </c>
      <c r="F546">
        <v>8</v>
      </c>
      <c r="G546" t="s">
        <v>687</v>
      </c>
      <c r="H546" t="s">
        <v>687</v>
      </c>
      <c r="J546">
        <v>0.3551878</v>
      </c>
      <c r="K546">
        <v>0.3551878</v>
      </c>
      <c r="L546" t="s">
        <v>303</v>
      </c>
      <c r="M546">
        <v>355.18779999999998</v>
      </c>
      <c r="N546">
        <v>355.18779999999998</v>
      </c>
      <c r="O546" t="s">
        <v>862</v>
      </c>
      <c r="P546">
        <f t="shared" si="8"/>
        <v>0</v>
      </c>
    </row>
    <row r="547" spans="1:16" x14ac:dyDescent="0.25">
      <c r="A547" t="s">
        <v>669</v>
      </c>
      <c r="B547">
        <v>0.35684300000000002</v>
      </c>
      <c r="C547">
        <v>0.35684300000000002</v>
      </c>
      <c r="D547" t="s">
        <v>303</v>
      </c>
      <c r="E547" t="s">
        <v>910</v>
      </c>
      <c r="F547" t="s">
        <v>910</v>
      </c>
      <c r="J547">
        <v>0.35684300000000002</v>
      </c>
      <c r="K547">
        <v>0.35684300000000002</v>
      </c>
      <c r="L547" t="s">
        <v>303</v>
      </c>
      <c r="M547">
        <v>0.35684300000000002</v>
      </c>
      <c r="N547">
        <v>0.35684300000000002</v>
      </c>
      <c r="O547" t="s">
        <v>303</v>
      </c>
      <c r="P547">
        <f t="shared" si="8"/>
        <v>0</v>
      </c>
    </row>
    <row r="548" spans="1:16" x14ac:dyDescent="0.25">
      <c r="A548" t="s">
        <v>527</v>
      </c>
      <c r="B548">
        <v>357.9778</v>
      </c>
      <c r="C548">
        <v>357.9778</v>
      </c>
      <c r="D548" t="s">
        <v>887</v>
      </c>
      <c r="E548">
        <v>8</v>
      </c>
      <c r="F548">
        <v>8</v>
      </c>
      <c r="G548" t="s">
        <v>687</v>
      </c>
      <c r="H548" t="s">
        <v>687</v>
      </c>
      <c r="J548">
        <v>0.35797780000000001</v>
      </c>
      <c r="K548">
        <v>0.35797780000000001</v>
      </c>
      <c r="L548" t="s">
        <v>303</v>
      </c>
      <c r="M548">
        <v>357.9778</v>
      </c>
      <c r="N548">
        <v>357.9778</v>
      </c>
      <c r="O548" t="s">
        <v>862</v>
      </c>
      <c r="P548">
        <f t="shared" si="8"/>
        <v>0</v>
      </c>
    </row>
    <row r="549" spans="1:16" x14ac:dyDescent="0.25">
      <c r="A549" t="s">
        <v>669</v>
      </c>
      <c r="B549">
        <v>0.35860399999999998</v>
      </c>
      <c r="C549">
        <v>0.35860399999999998</v>
      </c>
      <c r="D549" t="s">
        <v>303</v>
      </c>
      <c r="E549" t="s">
        <v>910</v>
      </c>
      <c r="F549" t="s">
        <v>910</v>
      </c>
      <c r="J549">
        <v>0.35860399999999998</v>
      </c>
      <c r="K549">
        <v>0.35860399999999998</v>
      </c>
      <c r="L549" t="s">
        <v>303</v>
      </c>
      <c r="M549">
        <v>0.35860399999999998</v>
      </c>
      <c r="N549">
        <v>0.35860399999999998</v>
      </c>
      <c r="O549" t="s">
        <v>303</v>
      </c>
      <c r="P549">
        <f t="shared" si="8"/>
        <v>0</v>
      </c>
    </row>
    <row r="550" spans="1:16" x14ac:dyDescent="0.25">
      <c r="A550" t="s">
        <v>669</v>
      </c>
      <c r="B550">
        <v>0.36</v>
      </c>
      <c r="C550">
        <v>0.36</v>
      </c>
      <c r="D550" t="s">
        <v>303</v>
      </c>
      <c r="E550" t="s">
        <v>910</v>
      </c>
      <c r="F550" t="s">
        <v>910</v>
      </c>
      <c r="J550">
        <v>0.36</v>
      </c>
      <c r="K550">
        <v>0.36</v>
      </c>
      <c r="L550" t="s">
        <v>303</v>
      </c>
      <c r="M550">
        <v>0.36</v>
      </c>
      <c r="N550">
        <v>0.36</v>
      </c>
      <c r="O550" t="s">
        <v>303</v>
      </c>
      <c r="P550">
        <f t="shared" si="8"/>
        <v>0</v>
      </c>
    </row>
    <row r="551" spans="1:16" x14ac:dyDescent="0.25">
      <c r="A551" t="s">
        <v>669</v>
      </c>
      <c r="B551">
        <v>0.36016100000000001</v>
      </c>
      <c r="C551">
        <v>0.36016100000000001</v>
      </c>
      <c r="D551" t="s">
        <v>303</v>
      </c>
      <c r="E551" t="s">
        <v>910</v>
      </c>
      <c r="F551" t="s">
        <v>910</v>
      </c>
      <c r="J551">
        <v>0.36016100000000001</v>
      </c>
      <c r="K551">
        <v>0.36016100000000001</v>
      </c>
      <c r="L551" t="s">
        <v>303</v>
      </c>
      <c r="M551">
        <v>0.36016100000000001</v>
      </c>
      <c r="N551">
        <v>0.36016100000000001</v>
      </c>
      <c r="O551" t="s">
        <v>303</v>
      </c>
      <c r="P551">
        <f t="shared" si="8"/>
        <v>0</v>
      </c>
    </row>
    <row r="552" spans="1:16" x14ac:dyDescent="0.25">
      <c r="A552" t="s">
        <v>578</v>
      </c>
      <c r="B552" s="11">
        <v>0.34594000000000003</v>
      </c>
      <c r="C552" s="11">
        <v>0.36092000000000002</v>
      </c>
      <c r="D552" t="s">
        <v>303</v>
      </c>
      <c r="E552">
        <v>3</v>
      </c>
      <c r="F552">
        <v>3</v>
      </c>
      <c r="G552" t="s">
        <v>700</v>
      </c>
      <c r="H552" t="s">
        <v>700</v>
      </c>
      <c r="J552">
        <v>0.36092000000000002</v>
      </c>
      <c r="K552">
        <v>0.34594000000000003</v>
      </c>
      <c r="L552" t="s">
        <v>303</v>
      </c>
      <c r="M552">
        <v>0.36092000000000002</v>
      </c>
      <c r="N552">
        <v>0.34594000000000003</v>
      </c>
      <c r="O552" t="s">
        <v>303</v>
      </c>
      <c r="P552">
        <f t="shared" si="8"/>
        <v>0</v>
      </c>
    </row>
    <row r="553" spans="1:16" x14ac:dyDescent="0.25">
      <c r="A553" t="s">
        <v>669</v>
      </c>
      <c r="B553">
        <v>0.36193399999999998</v>
      </c>
      <c r="C553">
        <v>0.36193399999999998</v>
      </c>
      <c r="D553" t="s">
        <v>303</v>
      </c>
      <c r="E553" t="s">
        <v>910</v>
      </c>
      <c r="F553" t="s">
        <v>910</v>
      </c>
      <c r="J553">
        <v>0.36193399999999998</v>
      </c>
      <c r="K553">
        <v>0.36193399999999998</v>
      </c>
      <c r="L553" t="s">
        <v>303</v>
      </c>
      <c r="M553">
        <v>0.36193399999999998</v>
      </c>
      <c r="N553">
        <v>0.36193399999999998</v>
      </c>
      <c r="O553" t="s">
        <v>303</v>
      </c>
      <c r="P553">
        <f t="shared" si="8"/>
        <v>0</v>
      </c>
    </row>
    <row r="554" spans="1:16" x14ac:dyDescent="0.25">
      <c r="A554" t="s">
        <v>578</v>
      </c>
      <c r="B554" s="11">
        <v>0.35360999999999998</v>
      </c>
      <c r="C554" s="11">
        <v>0.36288999999999999</v>
      </c>
      <c r="D554" t="s">
        <v>303</v>
      </c>
      <c r="E554">
        <v>3</v>
      </c>
      <c r="F554">
        <v>3</v>
      </c>
      <c r="G554" t="s">
        <v>700</v>
      </c>
      <c r="H554" t="s">
        <v>700</v>
      </c>
      <c r="J554">
        <v>0.36288999999999999</v>
      </c>
      <c r="K554">
        <v>0.35360999999999998</v>
      </c>
      <c r="L554" t="s">
        <v>303</v>
      </c>
      <c r="M554">
        <v>0.36288999999999999</v>
      </c>
      <c r="N554">
        <v>0.35360999999999998</v>
      </c>
      <c r="O554" t="s">
        <v>303</v>
      </c>
      <c r="P554">
        <f t="shared" si="8"/>
        <v>0</v>
      </c>
    </row>
    <row r="555" spans="1:16" x14ac:dyDescent="0.25">
      <c r="A555" t="s">
        <v>669</v>
      </c>
      <c r="B555">
        <v>0.36339700000000003</v>
      </c>
      <c r="C555">
        <v>0.36339700000000003</v>
      </c>
      <c r="D555" t="s">
        <v>303</v>
      </c>
      <c r="E555" t="s">
        <v>910</v>
      </c>
      <c r="F555" t="s">
        <v>910</v>
      </c>
      <c r="J555">
        <v>0.36339700000000003</v>
      </c>
      <c r="K555">
        <v>0.36339700000000003</v>
      </c>
      <c r="L555" t="s">
        <v>303</v>
      </c>
      <c r="M555">
        <v>0.36339700000000003</v>
      </c>
      <c r="N555">
        <v>0.36339700000000003</v>
      </c>
      <c r="O555" t="s">
        <v>303</v>
      </c>
      <c r="P555">
        <f t="shared" si="8"/>
        <v>0</v>
      </c>
    </row>
    <row r="556" spans="1:16" x14ac:dyDescent="0.25">
      <c r="A556" t="s">
        <v>578</v>
      </c>
      <c r="B556" s="11">
        <v>0.34811999999999999</v>
      </c>
      <c r="C556" s="11">
        <v>0.3634</v>
      </c>
      <c r="D556" t="s">
        <v>303</v>
      </c>
      <c r="E556">
        <v>3</v>
      </c>
      <c r="F556">
        <v>3</v>
      </c>
      <c r="G556" t="s">
        <v>700</v>
      </c>
      <c r="H556" t="s">
        <v>700</v>
      </c>
      <c r="J556">
        <v>0.3634</v>
      </c>
      <c r="K556">
        <v>0.34811999999999999</v>
      </c>
      <c r="L556" t="s">
        <v>303</v>
      </c>
      <c r="M556">
        <v>0.3634</v>
      </c>
      <c r="N556">
        <v>0.34811999999999999</v>
      </c>
      <c r="O556" t="s">
        <v>303</v>
      </c>
      <c r="P556">
        <f t="shared" si="8"/>
        <v>0</v>
      </c>
    </row>
    <row r="557" spans="1:16" x14ac:dyDescent="0.25">
      <c r="A557" t="s">
        <v>527</v>
      </c>
      <c r="B557">
        <v>365.17099999999999</v>
      </c>
      <c r="C557">
        <v>365.17099999999999</v>
      </c>
      <c r="D557" t="s">
        <v>887</v>
      </c>
      <c r="E557">
        <v>8</v>
      </c>
      <c r="F557">
        <v>8</v>
      </c>
      <c r="G557" t="s">
        <v>687</v>
      </c>
      <c r="H557" t="s">
        <v>687</v>
      </c>
      <c r="J557">
        <v>0.36517099999999997</v>
      </c>
      <c r="K557">
        <v>0.36517099999999997</v>
      </c>
      <c r="L557" t="s">
        <v>303</v>
      </c>
      <c r="M557">
        <v>365.17099999999999</v>
      </c>
      <c r="N557">
        <v>365.17099999999999</v>
      </c>
      <c r="O557" t="s">
        <v>862</v>
      </c>
      <c r="P557">
        <f t="shared" si="8"/>
        <v>0</v>
      </c>
    </row>
    <row r="558" spans="1:16" x14ac:dyDescent="0.25">
      <c r="A558" t="s">
        <v>669</v>
      </c>
      <c r="B558">
        <v>0.36556300000000003</v>
      </c>
      <c r="C558">
        <v>0.36556300000000003</v>
      </c>
      <c r="D558" t="s">
        <v>303</v>
      </c>
      <c r="E558" t="s">
        <v>910</v>
      </c>
      <c r="F558" t="s">
        <v>910</v>
      </c>
      <c r="J558">
        <v>0.36556300000000003</v>
      </c>
      <c r="K558">
        <v>0.36556300000000003</v>
      </c>
      <c r="L558" t="s">
        <v>303</v>
      </c>
      <c r="M558">
        <v>0.36556300000000003</v>
      </c>
      <c r="N558">
        <v>0.36556300000000003</v>
      </c>
      <c r="O558" t="s">
        <v>303</v>
      </c>
      <c r="P558">
        <f t="shared" si="8"/>
        <v>0</v>
      </c>
    </row>
    <row r="559" spans="1:16" x14ac:dyDescent="0.25">
      <c r="A559" t="s">
        <v>669</v>
      </c>
      <c r="B559">
        <v>0.36620000000000003</v>
      </c>
      <c r="C559">
        <v>0.36620000000000003</v>
      </c>
      <c r="D559" t="s">
        <v>303</v>
      </c>
      <c r="E559" t="s">
        <v>910</v>
      </c>
      <c r="F559" t="s">
        <v>910</v>
      </c>
      <c r="J559">
        <v>0.36620000000000003</v>
      </c>
      <c r="K559">
        <v>0.36620000000000003</v>
      </c>
      <c r="L559" t="s">
        <v>303</v>
      </c>
      <c r="M559">
        <v>0.36620000000000003</v>
      </c>
      <c r="N559">
        <v>0.36620000000000003</v>
      </c>
      <c r="O559" t="s">
        <v>303</v>
      </c>
      <c r="P559">
        <f t="shared" si="8"/>
        <v>0</v>
      </c>
    </row>
    <row r="560" spans="1:16" x14ac:dyDescent="0.25">
      <c r="A560" t="s">
        <v>669</v>
      </c>
      <c r="B560">
        <v>0.366836</v>
      </c>
      <c r="C560">
        <v>0.366836</v>
      </c>
      <c r="D560" t="s">
        <v>303</v>
      </c>
      <c r="E560" t="s">
        <v>910</v>
      </c>
      <c r="F560" t="s">
        <v>910</v>
      </c>
      <c r="J560">
        <v>0.366836</v>
      </c>
      <c r="K560">
        <v>0.366836</v>
      </c>
      <c r="L560" t="s">
        <v>303</v>
      </c>
      <c r="M560">
        <v>0.366836</v>
      </c>
      <c r="N560">
        <v>0.366836</v>
      </c>
      <c r="O560" t="s">
        <v>303</v>
      </c>
      <c r="P560">
        <f t="shared" si="8"/>
        <v>0</v>
      </c>
    </row>
    <row r="561" spans="1:16" x14ac:dyDescent="0.25">
      <c r="A561" t="s">
        <v>669</v>
      </c>
      <c r="B561">
        <v>0.36958099999999999</v>
      </c>
      <c r="C561">
        <v>0.36958099999999999</v>
      </c>
      <c r="D561" t="s">
        <v>303</v>
      </c>
      <c r="E561" t="s">
        <v>910</v>
      </c>
      <c r="F561" t="s">
        <v>910</v>
      </c>
      <c r="J561">
        <v>0.36958099999999999</v>
      </c>
      <c r="K561">
        <v>0.36958099999999999</v>
      </c>
      <c r="L561" t="s">
        <v>303</v>
      </c>
      <c r="M561">
        <v>0.36958099999999999</v>
      </c>
      <c r="N561">
        <v>0.36958099999999999</v>
      </c>
      <c r="O561" t="s">
        <v>303</v>
      </c>
      <c r="P561">
        <f t="shared" si="8"/>
        <v>0</v>
      </c>
    </row>
    <row r="562" spans="1:16" x14ac:dyDescent="0.25">
      <c r="A562" t="s">
        <v>669</v>
      </c>
      <c r="B562">
        <v>0.28399999999999997</v>
      </c>
      <c r="C562">
        <v>0.37</v>
      </c>
      <c r="D562" t="s">
        <v>669</v>
      </c>
      <c r="E562">
        <v>8</v>
      </c>
      <c r="F562">
        <v>8</v>
      </c>
      <c r="G562" t="s">
        <v>687</v>
      </c>
      <c r="H562" t="s">
        <v>687</v>
      </c>
      <c r="I562" t="s">
        <v>927</v>
      </c>
      <c r="J562">
        <v>0.37</v>
      </c>
      <c r="K562">
        <v>0.28399999999999997</v>
      </c>
      <c r="L562" t="s">
        <v>930</v>
      </c>
      <c r="M562">
        <v>0.37</v>
      </c>
      <c r="N562">
        <v>0.28399999999999997</v>
      </c>
      <c r="P562">
        <f t="shared" si="8"/>
        <v>14</v>
      </c>
    </row>
    <row r="563" spans="1:16" x14ac:dyDescent="0.25">
      <c r="A563" t="s">
        <v>527</v>
      </c>
      <c r="B563">
        <v>370.54340000000002</v>
      </c>
      <c r="C563">
        <v>370.54340000000002</v>
      </c>
      <c r="D563" t="s">
        <v>887</v>
      </c>
      <c r="E563">
        <v>8</v>
      </c>
      <c r="F563">
        <v>8</v>
      </c>
      <c r="G563" t="s">
        <v>687</v>
      </c>
      <c r="H563" t="s">
        <v>687</v>
      </c>
      <c r="J563">
        <v>0.37054340000000002</v>
      </c>
      <c r="K563">
        <v>0.37054340000000002</v>
      </c>
      <c r="L563" t="s">
        <v>303</v>
      </c>
      <c r="M563">
        <v>370.54340000000002</v>
      </c>
      <c r="N563">
        <v>370.54340000000002</v>
      </c>
      <c r="O563" t="s">
        <v>862</v>
      </c>
      <c r="P563">
        <f t="shared" si="8"/>
        <v>0</v>
      </c>
    </row>
    <row r="564" spans="1:16" x14ac:dyDescent="0.25">
      <c r="A564" t="s">
        <v>669</v>
      </c>
      <c r="B564">
        <v>0.37226900000000002</v>
      </c>
      <c r="C564">
        <v>0.37226900000000002</v>
      </c>
      <c r="D564" t="s">
        <v>303</v>
      </c>
      <c r="E564" t="s">
        <v>910</v>
      </c>
      <c r="F564" t="s">
        <v>910</v>
      </c>
      <c r="J564">
        <v>0.37226900000000002</v>
      </c>
      <c r="K564">
        <v>0.37226900000000002</v>
      </c>
      <c r="L564" t="s">
        <v>303</v>
      </c>
      <c r="M564">
        <v>0.37226900000000002</v>
      </c>
      <c r="N564">
        <v>0.37226900000000002</v>
      </c>
      <c r="O564" t="s">
        <v>303</v>
      </c>
      <c r="P564">
        <f t="shared" si="8"/>
        <v>0</v>
      </c>
    </row>
    <row r="565" spans="1:16" x14ac:dyDescent="0.25">
      <c r="A565" t="s">
        <v>527</v>
      </c>
      <c r="B565">
        <v>373.55529999999999</v>
      </c>
      <c r="C565">
        <v>373.55529999999999</v>
      </c>
      <c r="D565" t="s">
        <v>887</v>
      </c>
      <c r="E565">
        <v>8</v>
      </c>
      <c r="F565">
        <v>8</v>
      </c>
      <c r="G565" t="s">
        <v>687</v>
      </c>
      <c r="H565" t="s">
        <v>687</v>
      </c>
      <c r="J565">
        <v>0.37355529999999998</v>
      </c>
      <c r="K565">
        <v>0.37355529999999998</v>
      </c>
      <c r="L565" t="s">
        <v>303</v>
      </c>
      <c r="M565">
        <v>373.55529999999999</v>
      </c>
      <c r="N565">
        <v>373.55529999999999</v>
      </c>
      <c r="O565" t="s">
        <v>862</v>
      </c>
      <c r="P565">
        <f t="shared" si="8"/>
        <v>0</v>
      </c>
    </row>
    <row r="566" spans="1:16" x14ac:dyDescent="0.25">
      <c r="A566" t="s">
        <v>669</v>
      </c>
      <c r="B566">
        <v>0.37438300000000002</v>
      </c>
      <c r="C566">
        <v>0.37438300000000002</v>
      </c>
      <c r="D566" t="s">
        <v>303</v>
      </c>
      <c r="E566" t="s">
        <v>910</v>
      </c>
      <c r="F566" t="s">
        <v>910</v>
      </c>
      <c r="J566">
        <v>0.37438300000000002</v>
      </c>
      <c r="K566">
        <v>0.37438300000000002</v>
      </c>
      <c r="L566" t="s">
        <v>303</v>
      </c>
      <c r="M566">
        <v>0.37438300000000002</v>
      </c>
      <c r="N566">
        <v>0.37438300000000002</v>
      </c>
      <c r="O566" t="s">
        <v>303</v>
      </c>
      <c r="P566">
        <f t="shared" si="8"/>
        <v>0</v>
      </c>
    </row>
    <row r="567" spans="1:16" x14ac:dyDescent="0.25">
      <c r="A567" t="s">
        <v>527</v>
      </c>
      <c r="B567">
        <v>375.92829999999998</v>
      </c>
      <c r="C567">
        <v>375.92829999999998</v>
      </c>
      <c r="D567" t="s">
        <v>887</v>
      </c>
      <c r="E567">
        <v>8</v>
      </c>
      <c r="F567">
        <v>8</v>
      </c>
      <c r="G567" t="s">
        <v>687</v>
      </c>
      <c r="H567" t="s">
        <v>687</v>
      </c>
      <c r="J567">
        <v>0.37592829999999999</v>
      </c>
      <c r="K567">
        <v>0.37592829999999999</v>
      </c>
      <c r="L567" t="s">
        <v>303</v>
      </c>
      <c r="M567">
        <v>375.92829999999998</v>
      </c>
      <c r="N567">
        <v>375.92829999999998</v>
      </c>
      <c r="O567" t="s">
        <v>862</v>
      </c>
      <c r="P567">
        <f t="shared" si="8"/>
        <v>0</v>
      </c>
    </row>
    <row r="568" spans="1:16" x14ac:dyDescent="0.25">
      <c r="A568" t="s">
        <v>669</v>
      </c>
      <c r="B568">
        <v>0.37610300000000002</v>
      </c>
      <c r="C568">
        <v>0.37610300000000002</v>
      </c>
      <c r="D568" t="s">
        <v>303</v>
      </c>
      <c r="E568" t="s">
        <v>910</v>
      </c>
      <c r="F568" t="s">
        <v>910</v>
      </c>
      <c r="J568">
        <v>0.37610300000000002</v>
      </c>
      <c r="K568">
        <v>0.37610300000000002</v>
      </c>
      <c r="L568" t="s">
        <v>303</v>
      </c>
      <c r="M568">
        <v>0.37610300000000002</v>
      </c>
      <c r="N568">
        <v>0.37610300000000002</v>
      </c>
      <c r="O568" t="s">
        <v>303</v>
      </c>
      <c r="P568">
        <f t="shared" si="8"/>
        <v>0</v>
      </c>
    </row>
    <row r="569" spans="1:16" x14ac:dyDescent="0.25">
      <c r="A569" t="s">
        <v>669</v>
      </c>
      <c r="B569">
        <v>0.37619999999999998</v>
      </c>
      <c r="C569">
        <v>0.37619999999999998</v>
      </c>
      <c r="D569" t="s">
        <v>303</v>
      </c>
      <c r="E569" t="s">
        <v>910</v>
      </c>
      <c r="F569" t="s">
        <v>910</v>
      </c>
      <c r="J569">
        <v>0.37619999999999998</v>
      </c>
      <c r="K569">
        <v>0.37619999999999998</v>
      </c>
      <c r="L569" t="s">
        <v>303</v>
      </c>
      <c r="M569">
        <v>0.37619999999999998</v>
      </c>
      <c r="N569">
        <v>0.37619999999999998</v>
      </c>
      <c r="O569" t="s">
        <v>303</v>
      </c>
      <c r="P569">
        <f t="shared" si="8"/>
        <v>0</v>
      </c>
    </row>
    <row r="570" spans="1:16" x14ac:dyDescent="0.25">
      <c r="A570" t="s">
        <v>527</v>
      </c>
      <c r="B570">
        <v>378.42899999999997</v>
      </c>
      <c r="C570">
        <v>378.42899999999997</v>
      </c>
      <c r="D570" t="s">
        <v>887</v>
      </c>
      <c r="E570">
        <v>8</v>
      </c>
      <c r="F570">
        <v>8</v>
      </c>
      <c r="G570" t="s">
        <v>687</v>
      </c>
      <c r="H570" t="s">
        <v>687</v>
      </c>
      <c r="J570">
        <v>0.37842899999999996</v>
      </c>
      <c r="K570">
        <v>0.37842899999999996</v>
      </c>
      <c r="L570" t="s">
        <v>303</v>
      </c>
      <c r="M570">
        <v>378.42899999999997</v>
      </c>
      <c r="N570">
        <v>378.42899999999997</v>
      </c>
      <c r="O570" t="s">
        <v>862</v>
      </c>
      <c r="P570">
        <f t="shared" si="8"/>
        <v>0</v>
      </c>
    </row>
    <row r="571" spans="1:16" x14ac:dyDescent="0.25">
      <c r="A571" t="s">
        <v>669</v>
      </c>
      <c r="B571">
        <v>0.38150000000000001</v>
      </c>
      <c r="C571">
        <v>0.38150000000000001</v>
      </c>
      <c r="D571" t="s">
        <v>303</v>
      </c>
      <c r="E571" t="s">
        <v>910</v>
      </c>
      <c r="F571" t="s">
        <v>910</v>
      </c>
      <c r="J571">
        <v>0.38150000000000001</v>
      </c>
      <c r="K571">
        <v>0.38150000000000001</v>
      </c>
      <c r="L571" t="s">
        <v>303</v>
      </c>
      <c r="M571">
        <v>0.38150000000000001</v>
      </c>
      <c r="N571">
        <v>0.38150000000000001</v>
      </c>
      <c r="O571" t="s">
        <v>303</v>
      </c>
      <c r="P571">
        <f t="shared" si="8"/>
        <v>0</v>
      </c>
    </row>
    <row r="572" spans="1:16" x14ac:dyDescent="0.25">
      <c r="A572" t="s">
        <v>669</v>
      </c>
      <c r="B572">
        <v>0.38300000000000001</v>
      </c>
      <c r="C572">
        <v>0.38300000000000001</v>
      </c>
      <c r="D572" t="s">
        <v>303</v>
      </c>
      <c r="E572" t="s">
        <v>910</v>
      </c>
      <c r="F572" t="s">
        <v>910</v>
      </c>
      <c r="J572">
        <v>0.38300000000000001</v>
      </c>
      <c r="K572">
        <v>0.38300000000000001</v>
      </c>
      <c r="L572" t="s">
        <v>303</v>
      </c>
      <c r="M572">
        <v>0.38300000000000001</v>
      </c>
      <c r="N572">
        <v>0.38300000000000001</v>
      </c>
      <c r="O572" t="s">
        <v>303</v>
      </c>
      <c r="P572">
        <f t="shared" si="8"/>
        <v>0</v>
      </c>
    </row>
    <row r="573" spans="1:16" x14ac:dyDescent="0.25">
      <c r="A573" t="s">
        <v>527</v>
      </c>
      <c r="B573">
        <v>383.68450000000001</v>
      </c>
      <c r="C573">
        <v>383.68450000000001</v>
      </c>
      <c r="D573" t="s">
        <v>887</v>
      </c>
      <c r="E573">
        <v>8</v>
      </c>
      <c r="F573">
        <v>8</v>
      </c>
      <c r="G573" t="s">
        <v>687</v>
      </c>
      <c r="H573" t="s">
        <v>687</v>
      </c>
      <c r="J573">
        <v>0.38368450000000004</v>
      </c>
      <c r="K573">
        <v>0.38368450000000004</v>
      </c>
      <c r="L573" t="s">
        <v>303</v>
      </c>
      <c r="M573">
        <v>383.68450000000001</v>
      </c>
      <c r="N573">
        <v>383.68450000000001</v>
      </c>
      <c r="O573" t="s">
        <v>862</v>
      </c>
      <c r="P573">
        <f t="shared" si="8"/>
        <v>0</v>
      </c>
    </row>
    <row r="574" spans="1:16" x14ac:dyDescent="0.25">
      <c r="A574" t="s">
        <v>669</v>
      </c>
      <c r="B574">
        <v>0.38370399999999999</v>
      </c>
      <c r="C574">
        <v>0.38370399999999999</v>
      </c>
      <c r="D574" t="s">
        <v>303</v>
      </c>
      <c r="E574" t="s">
        <v>910</v>
      </c>
      <c r="F574" t="s">
        <v>910</v>
      </c>
      <c r="J574">
        <v>0.38370399999999999</v>
      </c>
      <c r="K574">
        <v>0.38370399999999999</v>
      </c>
      <c r="L574" t="s">
        <v>303</v>
      </c>
      <c r="M574">
        <v>0.38370399999999999</v>
      </c>
      <c r="N574">
        <v>0.38370399999999999</v>
      </c>
      <c r="O574" t="s">
        <v>303</v>
      </c>
      <c r="P574">
        <f t="shared" si="8"/>
        <v>0</v>
      </c>
    </row>
    <row r="575" spans="1:16" x14ac:dyDescent="0.25">
      <c r="A575" t="s">
        <v>669</v>
      </c>
      <c r="B575">
        <v>0.38649099999999997</v>
      </c>
      <c r="C575">
        <v>0.38649099999999997</v>
      </c>
      <c r="D575" t="s">
        <v>303</v>
      </c>
      <c r="E575" t="s">
        <v>910</v>
      </c>
      <c r="F575" t="s">
        <v>910</v>
      </c>
      <c r="J575">
        <v>0.38649099999999997</v>
      </c>
      <c r="K575">
        <v>0.38649099999999997</v>
      </c>
      <c r="L575" t="s">
        <v>303</v>
      </c>
      <c r="M575">
        <v>0.38649099999999997</v>
      </c>
      <c r="N575">
        <v>0.38649099999999997</v>
      </c>
      <c r="O575" t="s">
        <v>303</v>
      </c>
      <c r="P575">
        <f t="shared" si="8"/>
        <v>0</v>
      </c>
    </row>
    <row r="576" spans="1:16" x14ac:dyDescent="0.25">
      <c r="A576" t="s">
        <v>527</v>
      </c>
      <c r="B576">
        <v>386.50689999999997</v>
      </c>
      <c r="C576">
        <v>386.50689999999997</v>
      </c>
      <c r="D576" t="s">
        <v>887</v>
      </c>
      <c r="E576">
        <v>8</v>
      </c>
      <c r="F576">
        <v>8</v>
      </c>
      <c r="G576" t="s">
        <v>687</v>
      </c>
      <c r="H576" t="s">
        <v>687</v>
      </c>
      <c r="J576">
        <v>0.38650689999999999</v>
      </c>
      <c r="K576">
        <v>0.38650689999999999</v>
      </c>
      <c r="L576" t="s">
        <v>303</v>
      </c>
      <c r="M576">
        <v>386.50689999999997</v>
      </c>
      <c r="N576">
        <v>386.50689999999997</v>
      </c>
      <c r="O576" t="s">
        <v>862</v>
      </c>
      <c r="P576">
        <f t="shared" si="8"/>
        <v>0</v>
      </c>
    </row>
    <row r="577" spans="1:16" x14ac:dyDescent="0.25">
      <c r="A577" t="s">
        <v>669</v>
      </c>
      <c r="B577">
        <v>0.38879999999999998</v>
      </c>
      <c r="C577">
        <v>0.38879999999999998</v>
      </c>
      <c r="D577" t="s">
        <v>303</v>
      </c>
      <c r="E577" t="s">
        <v>910</v>
      </c>
      <c r="F577" t="s">
        <v>910</v>
      </c>
      <c r="J577">
        <v>0.38879999999999998</v>
      </c>
      <c r="K577">
        <v>0.38879999999999998</v>
      </c>
      <c r="L577" t="s">
        <v>303</v>
      </c>
      <c r="M577">
        <v>0.38879999999999998</v>
      </c>
      <c r="N577">
        <v>0.38879999999999998</v>
      </c>
      <c r="O577" t="s">
        <v>303</v>
      </c>
      <c r="P577">
        <f t="shared" si="8"/>
        <v>0</v>
      </c>
    </row>
    <row r="578" spans="1:16" x14ac:dyDescent="0.25">
      <c r="A578" t="s">
        <v>669</v>
      </c>
      <c r="B578">
        <v>0.39180599999999999</v>
      </c>
      <c r="C578">
        <v>0.39180599999999999</v>
      </c>
      <c r="D578" t="s">
        <v>303</v>
      </c>
      <c r="E578" t="s">
        <v>910</v>
      </c>
      <c r="F578" t="s">
        <v>910</v>
      </c>
      <c r="J578">
        <v>0.39180599999999999</v>
      </c>
      <c r="K578">
        <v>0.39180599999999999</v>
      </c>
      <c r="L578" t="s">
        <v>303</v>
      </c>
      <c r="M578">
        <v>0.39180599999999999</v>
      </c>
      <c r="N578">
        <v>0.39180599999999999</v>
      </c>
      <c r="O578" t="s">
        <v>303</v>
      </c>
      <c r="P578">
        <f t="shared" si="8"/>
        <v>0</v>
      </c>
    </row>
    <row r="579" spans="1:16" x14ac:dyDescent="0.25">
      <c r="A579" t="s">
        <v>669</v>
      </c>
      <c r="B579">
        <v>0.39433299999999999</v>
      </c>
      <c r="C579">
        <v>0.39433299999999999</v>
      </c>
      <c r="D579" t="s">
        <v>303</v>
      </c>
      <c r="E579" t="s">
        <v>910</v>
      </c>
      <c r="F579" t="s">
        <v>910</v>
      </c>
      <c r="J579">
        <v>0.39433299999999999</v>
      </c>
      <c r="K579">
        <v>0.39433299999999999</v>
      </c>
      <c r="L579" t="s">
        <v>303</v>
      </c>
      <c r="M579">
        <v>0.39433299999999999</v>
      </c>
      <c r="N579">
        <v>0.39433299999999999</v>
      </c>
      <c r="O579" t="s">
        <v>303</v>
      </c>
      <c r="P579">
        <f t="shared" ref="P579:P642" si="9">LEN(I579)</f>
        <v>0</v>
      </c>
    </row>
    <row r="580" spans="1:16" x14ac:dyDescent="0.25">
      <c r="A580" t="s">
        <v>527</v>
      </c>
      <c r="B580">
        <v>396.68849999999998</v>
      </c>
      <c r="C580">
        <v>396.68849999999998</v>
      </c>
      <c r="D580" t="s">
        <v>887</v>
      </c>
      <c r="E580">
        <v>8</v>
      </c>
      <c r="F580">
        <v>8</v>
      </c>
      <c r="G580" t="s">
        <v>687</v>
      </c>
      <c r="H580" t="s">
        <v>687</v>
      </c>
      <c r="J580">
        <v>0.3966885</v>
      </c>
      <c r="K580">
        <v>0.3966885</v>
      </c>
      <c r="L580" t="s">
        <v>303</v>
      </c>
      <c r="M580">
        <v>396.68849999999998</v>
      </c>
      <c r="N580">
        <v>396.68849999999998</v>
      </c>
      <c r="O580" t="s">
        <v>862</v>
      </c>
      <c r="P580">
        <f t="shared" si="9"/>
        <v>0</v>
      </c>
    </row>
    <row r="581" spans="1:16" x14ac:dyDescent="0.25">
      <c r="A581" t="s">
        <v>669</v>
      </c>
      <c r="B581">
        <v>0.4</v>
      </c>
      <c r="C581">
        <v>0.4</v>
      </c>
      <c r="D581" t="s">
        <v>669</v>
      </c>
      <c r="E581">
        <v>8</v>
      </c>
      <c r="F581">
        <v>8</v>
      </c>
      <c r="G581" t="s">
        <v>687</v>
      </c>
      <c r="H581" t="s">
        <v>687</v>
      </c>
      <c r="I581" t="s">
        <v>927</v>
      </c>
      <c r="J581">
        <v>0.4</v>
      </c>
      <c r="K581">
        <v>0.4</v>
      </c>
      <c r="L581" t="s">
        <v>930</v>
      </c>
      <c r="M581">
        <v>0.4</v>
      </c>
      <c r="N581">
        <v>0.4</v>
      </c>
      <c r="P581">
        <f t="shared" si="9"/>
        <v>14</v>
      </c>
    </row>
    <row r="582" spans="1:16" x14ac:dyDescent="0.25">
      <c r="A582" t="s">
        <v>669</v>
      </c>
      <c r="B582">
        <v>360</v>
      </c>
      <c r="C582">
        <v>400</v>
      </c>
      <c r="D582" t="s">
        <v>870</v>
      </c>
      <c r="E582">
        <v>8</v>
      </c>
      <c r="F582">
        <v>8</v>
      </c>
      <c r="G582" t="s">
        <v>687</v>
      </c>
      <c r="H582" t="s">
        <v>687</v>
      </c>
      <c r="J582">
        <v>0.4</v>
      </c>
      <c r="K582">
        <v>0.36</v>
      </c>
      <c r="L582" t="s">
        <v>303</v>
      </c>
      <c r="M582">
        <v>400</v>
      </c>
      <c r="N582">
        <v>360</v>
      </c>
      <c r="O582" t="s">
        <v>862</v>
      </c>
      <c r="P582">
        <f t="shared" si="9"/>
        <v>0</v>
      </c>
    </row>
    <row r="583" spans="1:16" x14ac:dyDescent="0.25">
      <c r="A583" t="s">
        <v>669</v>
      </c>
      <c r="B583">
        <v>0.40029599999999999</v>
      </c>
      <c r="C583">
        <v>0.40029599999999999</v>
      </c>
      <c r="D583" t="s">
        <v>303</v>
      </c>
      <c r="E583" t="s">
        <v>910</v>
      </c>
      <c r="F583" t="s">
        <v>910</v>
      </c>
      <c r="J583">
        <v>0.40029599999999999</v>
      </c>
      <c r="K583">
        <v>0.40029599999999999</v>
      </c>
      <c r="L583" t="s">
        <v>303</v>
      </c>
      <c r="M583">
        <v>0.40029599999999999</v>
      </c>
      <c r="N583">
        <v>0.40029599999999999</v>
      </c>
      <c r="O583" t="s">
        <v>303</v>
      </c>
      <c r="P583">
        <f t="shared" si="9"/>
        <v>0</v>
      </c>
    </row>
    <row r="584" spans="1:16" x14ac:dyDescent="0.25">
      <c r="A584" t="s">
        <v>578</v>
      </c>
      <c r="B584">
        <v>380.3</v>
      </c>
      <c r="C584">
        <v>401.5</v>
      </c>
      <c r="D584" t="s">
        <v>862</v>
      </c>
      <c r="E584">
        <v>8</v>
      </c>
      <c r="F584">
        <v>8</v>
      </c>
      <c r="G584" t="s">
        <v>687</v>
      </c>
      <c r="H584" t="s">
        <v>687</v>
      </c>
      <c r="J584">
        <v>0.40150000000000002</v>
      </c>
      <c r="K584">
        <v>0.38030000000000003</v>
      </c>
      <c r="L584" t="s">
        <v>303</v>
      </c>
      <c r="M584">
        <v>401.5</v>
      </c>
      <c r="N584">
        <v>380.3</v>
      </c>
      <c r="O584" t="s">
        <v>862</v>
      </c>
      <c r="P584">
        <f t="shared" si="9"/>
        <v>0</v>
      </c>
    </row>
    <row r="585" spans="1:16" x14ac:dyDescent="0.25">
      <c r="A585" t="s">
        <v>669</v>
      </c>
      <c r="B585">
        <v>0.40300000000000002</v>
      </c>
      <c r="C585">
        <v>0.40300000000000002</v>
      </c>
      <c r="D585" t="s">
        <v>303</v>
      </c>
      <c r="E585" t="s">
        <v>910</v>
      </c>
      <c r="F585" t="s">
        <v>910</v>
      </c>
      <c r="J585">
        <v>0.40300000000000002</v>
      </c>
      <c r="K585">
        <v>0.40300000000000002</v>
      </c>
      <c r="L585" t="s">
        <v>303</v>
      </c>
      <c r="M585">
        <v>0.40300000000000002</v>
      </c>
      <c r="N585">
        <v>0.40300000000000002</v>
      </c>
      <c r="O585" t="s">
        <v>303</v>
      </c>
      <c r="P585">
        <f t="shared" si="9"/>
        <v>0</v>
      </c>
    </row>
    <row r="586" spans="1:16" x14ac:dyDescent="0.25">
      <c r="A586" t="s">
        <v>669</v>
      </c>
      <c r="B586">
        <v>0.40353699999999998</v>
      </c>
      <c r="C586">
        <v>0.40353699999999998</v>
      </c>
      <c r="D586" t="s">
        <v>303</v>
      </c>
      <c r="E586" t="s">
        <v>910</v>
      </c>
      <c r="F586" t="s">
        <v>910</v>
      </c>
      <c r="J586">
        <v>0.40353699999999998</v>
      </c>
      <c r="K586">
        <v>0.40353699999999998</v>
      </c>
      <c r="L586" t="s">
        <v>303</v>
      </c>
      <c r="M586">
        <v>0.40353699999999998</v>
      </c>
      <c r="N586">
        <v>0.40353699999999998</v>
      </c>
      <c r="O586" t="s">
        <v>303</v>
      </c>
      <c r="P586">
        <f t="shared" si="9"/>
        <v>0</v>
      </c>
    </row>
    <row r="587" spans="1:16" x14ac:dyDescent="0.25">
      <c r="A587" t="s">
        <v>578</v>
      </c>
      <c r="B587" s="11">
        <v>0.39241999999999999</v>
      </c>
      <c r="C587" s="11">
        <v>0.40432000000000001</v>
      </c>
      <c r="D587" t="s">
        <v>303</v>
      </c>
      <c r="E587">
        <v>3</v>
      </c>
      <c r="F587">
        <v>3</v>
      </c>
      <c r="G587" t="s">
        <v>700</v>
      </c>
      <c r="H587" t="s">
        <v>700</v>
      </c>
      <c r="J587">
        <v>0.40432000000000001</v>
      </c>
      <c r="K587">
        <v>0.39241999999999999</v>
      </c>
      <c r="L587" t="s">
        <v>303</v>
      </c>
      <c r="M587">
        <v>0.40432000000000001</v>
      </c>
      <c r="N587">
        <v>0.39241999999999999</v>
      </c>
      <c r="O587" t="s">
        <v>303</v>
      </c>
      <c r="P587">
        <f t="shared" si="9"/>
        <v>0</v>
      </c>
    </row>
    <row r="588" spans="1:16" x14ac:dyDescent="0.25">
      <c r="A588" t="s">
        <v>669</v>
      </c>
      <c r="B588">
        <v>0.40760000000000002</v>
      </c>
      <c r="C588">
        <v>0.40760000000000002</v>
      </c>
      <c r="D588" t="s">
        <v>303</v>
      </c>
      <c r="E588" t="s">
        <v>910</v>
      </c>
      <c r="F588" t="s">
        <v>910</v>
      </c>
      <c r="J588">
        <v>0.40760000000000002</v>
      </c>
      <c r="K588">
        <v>0.40760000000000002</v>
      </c>
      <c r="L588" t="s">
        <v>303</v>
      </c>
      <c r="M588">
        <v>0.40760000000000002</v>
      </c>
      <c r="N588">
        <v>0.40760000000000002</v>
      </c>
      <c r="O588" t="s">
        <v>303</v>
      </c>
      <c r="P588">
        <f t="shared" si="9"/>
        <v>0</v>
      </c>
    </row>
    <row r="589" spans="1:16" x14ac:dyDescent="0.25">
      <c r="A589" t="s">
        <v>669</v>
      </c>
      <c r="B589">
        <v>0.40810000000000002</v>
      </c>
      <c r="C589">
        <v>0.40810000000000002</v>
      </c>
      <c r="D589" t="s">
        <v>303</v>
      </c>
      <c r="E589" t="s">
        <v>910</v>
      </c>
      <c r="F589" t="s">
        <v>910</v>
      </c>
      <c r="J589">
        <v>0.40810000000000002</v>
      </c>
      <c r="K589">
        <v>0.40810000000000002</v>
      </c>
      <c r="L589" t="s">
        <v>303</v>
      </c>
      <c r="M589">
        <v>0.40810000000000002</v>
      </c>
      <c r="N589">
        <v>0.40810000000000002</v>
      </c>
      <c r="O589" t="s">
        <v>303</v>
      </c>
      <c r="P589">
        <f t="shared" si="9"/>
        <v>0</v>
      </c>
    </row>
    <row r="590" spans="1:16" x14ac:dyDescent="0.25">
      <c r="A590" t="s">
        <v>669</v>
      </c>
      <c r="B590">
        <v>0.40815800000000002</v>
      </c>
      <c r="C590">
        <v>0.40815800000000002</v>
      </c>
      <c r="D590" t="s">
        <v>303</v>
      </c>
      <c r="E590" t="s">
        <v>910</v>
      </c>
      <c r="F590" t="s">
        <v>910</v>
      </c>
      <c r="J590">
        <v>0.40815800000000002</v>
      </c>
      <c r="K590">
        <v>0.40815800000000002</v>
      </c>
      <c r="L590" t="s">
        <v>303</v>
      </c>
      <c r="M590">
        <v>0.40815800000000002</v>
      </c>
      <c r="N590">
        <v>0.40815800000000002</v>
      </c>
      <c r="O590" t="s">
        <v>303</v>
      </c>
      <c r="P590">
        <f t="shared" si="9"/>
        <v>0</v>
      </c>
    </row>
    <row r="591" spans="1:16" x14ac:dyDescent="0.25">
      <c r="A591" t="s">
        <v>527</v>
      </c>
      <c r="B591">
        <v>410.8</v>
      </c>
      <c r="C591">
        <v>410.8</v>
      </c>
      <c r="D591" t="s">
        <v>887</v>
      </c>
      <c r="E591">
        <v>8</v>
      </c>
      <c r="F591">
        <v>8</v>
      </c>
      <c r="G591" t="s">
        <v>687</v>
      </c>
      <c r="H591" t="s">
        <v>687</v>
      </c>
      <c r="J591">
        <v>0.4108</v>
      </c>
      <c r="K591">
        <v>0.4108</v>
      </c>
      <c r="L591" t="s">
        <v>303</v>
      </c>
      <c r="M591">
        <v>410.8</v>
      </c>
      <c r="N591">
        <v>410.8</v>
      </c>
      <c r="O591" t="s">
        <v>862</v>
      </c>
      <c r="P591">
        <f t="shared" si="9"/>
        <v>0</v>
      </c>
    </row>
    <row r="592" spans="1:16" x14ac:dyDescent="0.25">
      <c r="A592" t="s">
        <v>669</v>
      </c>
      <c r="B592">
        <v>0.41101799999999999</v>
      </c>
      <c r="C592">
        <v>0.41101799999999999</v>
      </c>
      <c r="D592" t="s">
        <v>303</v>
      </c>
      <c r="E592" t="s">
        <v>910</v>
      </c>
      <c r="F592" t="s">
        <v>910</v>
      </c>
      <c r="J592">
        <v>0.41101799999999999</v>
      </c>
      <c r="K592">
        <v>0.41101799999999999</v>
      </c>
      <c r="L592" t="s">
        <v>303</v>
      </c>
      <c r="M592">
        <v>0.41101799999999999</v>
      </c>
      <c r="N592">
        <v>0.41101799999999999</v>
      </c>
      <c r="O592" t="s">
        <v>303</v>
      </c>
      <c r="P592">
        <f t="shared" si="9"/>
        <v>0</v>
      </c>
    </row>
    <row r="593" spans="1:16" x14ac:dyDescent="0.25">
      <c r="A593" t="s">
        <v>578</v>
      </c>
      <c r="B593">
        <v>393</v>
      </c>
      <c r="C593">
        <v>413</v>
      </c>
      <c r="D593" t="s">
        <v>870</v>
      </c>
      <c r="E593">
        <v>8</v>
      </c>
      <c r="F593">
        <v>8</v>
      </c>
      <c r="G593" t="s">
        <v>687</v>
      </c>
      <c r="H593" t="s">
        <v>687</v>
      </c>
      <c r="J593">
        <v>0.41299999999999998</v>
      </c>
      <c r="K593">
        <v>0.39300000000000002</v>
      </c>
      <c r="L593" t="s">
        <v>303</v>
      </c>
      <c r="M593">
        <v>413</v>
      </c>
      <c r="N593">
        <v>393</v>
      </c>
      <c r="O593" t="s">
        <v>862</v>
      </c>
      <c r="P593">
        <f t="shared" si="9"/>
        <v>0</v>
      </c>
    </row>
    <row r="594" spans="1:16" x14ac:dyDescent="0.25">
      <c r="A594" t="s">
        <v>669</v>
      </c>
      <c r="B594">
        <v>0.41473100000000002</v>
      </c>
      <c r="C594">
        <v>0.41473100000000002</v>
      </c>
      <c r="D594" t="s">
        <v>303</v>
      </c>
      <c r="E594" t="s">
        <v>910</v>
      </c>
      <c r="F594" t="s">
        <v>910</v>
      </c>
      <c r="J594">
        <v>0.41473100000000002</v>
      </c>
      <c r="K594">
        <v>0.41473100000000002</v>
      </c>
      <c r="L594" t="s">
        <v>303</v>
      </c>
      <c r="M594">
        <v>0.41473100000000002</v>
      </c>
      <c r="N594">
        <v>0.41473100000000002</v>
      </c>
      <c r="O594" t="s">
        <v>303</v>
      </c>
      <c r="P594">
        <f t="shared" si="9"/>
        <v>0</v>
      </c>
    </row>
    <row r="595" spans="1:16" x14ac:dyDescent="0.25">
      <c r="A595" t="s">
        <v>669</v>
      </c>
      <c r="B595">
        <v>0.41741600000000001</v>
      </c>
      <c r="C595">
        <v>0.41741600000000001</v>
      </c>
      <c r="D595" t="s">
        <v>303</v>
      </c>
      <c r="E595" t="s">
        <v>910</v>
      </c>
      <c r="F595" t="s">
        <v>910</v>
      </c>
      <c r="J595">
        <v>0.41741600000000001</v>
      </c>
      <c r="K595">
        <v>0.41741600000000001</v>
      </c>
      <c r="L595" t="s">
        <v>303</v>
      </c>
      <c r="M595">
        <v>0.41741600000000001</v>
      </c>
      <c r="N595">
        <v>0.41741600000000001</v>
      </c>
      <c r="O595" t="s">
        <v>303</v>
      </c>
      <c r="P595">
        <f t="shared" si="9"/>
        <v>0</v>
      </c>
    </row>
    <row r="596" spans="1:16" x14ac:dyDescent="0.25">
      <c r="A596" t="s">
        <v>578</v>
      </c>
      <c r="B596" s="11">
        <v>0.41158</v>
      </c>
      <c r="C596" s="11">
        <v>0.41792000000000001</v>
      </c>
      <c r="D596" t="s">
        <v>303</v>
      </c>
      <c r="E596">
        <v>3</v>
      </c>
      <c r="F596">
        <v>3</v>
      </c>
      <c r="G596" t="s">
        <v>700</v>
      </c>
      <c r="H596" t="s">
        <v>700</v>
      </c>
      <c r="J596">
        <v>0.41792000000000001</v>
      </c>
      <c r="K596">
        <v>0.41158</v>
      </c>
      <c r="L596" t="s">
        <v>303</v>
      </c>
      <c r="M596">
        <v>0.41792000000000001</v>
      </c>
      <c r="N596">
        <v>0.41158</v>
      </c>
      <c r="O596" t="s">
        <v>303</v>
      </c>
      <c r="P596">
        <f t="shared" si="9"/>
        <v>0</v>
      </c>
    </row>
    <row r="597" spans="1:16" x14ac:dyDescent="0.25">
      <c r="A597" t="s">
        <v>669</v>
      </c>
      <c r="B597">
        <v>0.36</v>
      </c>
      <c r="C597">
        <v>0.42</v>
      </c>
      <c r="D597" t="s">
        <v>669</v>
      </c>
      <c r="E597">
        <v>8</v>
      </c>
      <c r="F597">
        <v>8</v>
      </c>
      <c r="G597" t="s">
        <v>687</v>
      </c>
      <c r="H597" t="s">
        <v>687</v>
      </c>
      <c r="I597" t="s">
        <v>927</v>
      </c>
      <c r="J597">
        <v>0.42</v>
      </c>
      <c r="K597">
        <v>0.36</v>
      </c>
      <c r="L597" t="s">
        <v>930</v>
      </c>
      <c r="M597">
        <v>0.42</v>
      </c>
      <c r="N597">
        <v>0.36</v>
      </c>
      <c r="P597">
        <f t="shared" si="9"/>
        <v>14</v>
      </c>
    </row>
    <row r="598" spans="1:16" x14ac:dyDescent="0.25">
      <c r="A598" t="s">
        <v>578</v>
      </c>
      <c r="B598" s="11">
        <v>0.41293000000000002</v>
      </c>
      <c r="C598" s="11">
        <v>0.42132999999999998</v>
      </c>
      <c r="D598" t="s">
        <v>303</v>
      </c>
      <c r="E598">
        <v>3</v>
      </c>
      <c r="F598">
        <v>3</v>
      </c>
      <c r="G598" t="s">
        <v>700</v>
      </c>
      <c r="H598" t="s">
        <v>700</v>
      </c>
      <c r="J598">
        <v>0.42132999999999998</v>
      </c>
      <c r="K598">
        <v>0.41293000000000002</v>
      </c>
      <c r="L598" t="s">
        <v>303</v>
      </c>
      <c r="M598">
        <v>0.42132999999999998</v>
      </c>
      <c r="N598">
        <v>0.41293000000000002</v>
      </c>
      <c r="O598" t="s">
        <v>303</v>
      </c>
      <c r="P598">
        <f t="shared" si="9"/>
        <v>0</v>
      </c>
    </row>
    <row r="599" spans="1:16" x14ac:dyDescent="0.25">
      <c r="A599" t="s">
        <v>669</v>
      </c>
      <c r="B599">
        <v>0.42145500000000002</v>
      </c>
      <c r="C599">
        <v>0.42145500000000002</v>
      </c>
      <c r="D599" t="s">
        <v>303</v>
      </c>
      <c r="E599" t="s">
        <v>910</v>
      </c>
      <c r="F599" t="s">
        <v>910</v>
      </c>
      <c r="J599">
        <v>0.42145500000000002</v>
      </c>
      <c r="K599">
        <v>0.42145500000000002</v>
      </c>
      <c r="L599" t="s">
        <v>303</v>
      </c>
      <c r="M599">
        <v>0.42145500000000002</v>
      </c>
      <c r="N599">
        <v>0.42145500000000002</v>
      </c>
      <c r="O599" t="s">
        <v>303</v>
      </c>
      <c r="P599">
        <f t="shared" si="9"/>
        <v>0</v>
      </c>
    </row>
    <row r="600" spans="1:16" x14ac:dyDescent="0.25">
      <c r="A600" t="s">
        <v>669</v>
      </c>
      <c r="B600">
        <v>0.42259999999999998</v>
      </c>
      <c r="C600">
        <v>0.42270000000000002</v>
      </c>
      <c r="D600" t="s">
        <v>303</v>
      </c>
      <c r="E600" t="s">
        <v>910</v>
      </c>
      <c r="F600" t="s">
        <v>910</v>
      </c>
      <c r="J600">
        <v>0.42270000000000002</v>
      </c>
      <c r="K600">
        <v>0.42259999999999998</v>
      </c>
      <c r="L600" t="s">
        <v>303</v>
      </c>
      <c r="M600">
        <v>0.42270000000000002</v>
      </c>
      <c r="N600">
        <v>0.42259999999999998</v>
      </c>
      <c r="O600" t="s">
        <v>303</v>
      </c>
      <c r="P600">
        <f t="shared" si="9"/>
        <v>0</v>
      </c>
    </row>
    <row r="601" spans="1:16" x14ac:dyDescent="0.25">
      <c r="A601" t="s">
        <v>669</v>
      </c>
      <c r="B601">
        <v>0.42326200000000003</v>
      </c>
      <c r="C601">
        <v>0.42326200000000003</v>
      </c>
      <c r="D601" t="s">
        <v>303</v>
      </c>
      <c r="E601" t="s">
        <v>910</v>
      </c>
      <c r="F601" t="s">
        <v>910</v>
      </c>
      <c r="J601">
        <v>0.42326200000000003</v>
      </c>
      <c r="K601">
        <v>0.42326200000000003</v>
      </c>
      <c r="L601" t="s">
        <v>303</v>
      </c>
      <c r="M601">
        <v>0.42326200000000003</v>
      </c>
      <c r="N601">
        <v>0.42326200000000003</v>
      </c>
      <c r="O601" t="s">
        <v>303</v>
      </c>
      <c r="P601">
        <f t="shared" si="9"/>
        <v>0</v>
      </c>
    </row>
    <row r="602" spans="1:16" x14ac:dyDescent="0.25">
      <c r="A602" t="s">
        <v>669</v>
      </c>
      <c r="B602">
        <v>0</v>
      </c>
      <c r="C602">
        <v>0.42499999999999999</v>
      </c>
      <c r="D602" t="s">
        <v>860</v>
      </c>
      <c r="E602" t="s">
        <v>910</v>
      </c>
      <c r="F602" t="s">
        <v>910</v>
      </c>
      <c r="J602">
        <v>0.42499999999999999</v>
      </c>
      <c r="K602">
        <v>0</v>
      </c>
      <c r="L602" t="s">
        <v>303</v>
      </c>
      <c r="M602">
        <v>0.42499999999999999</v>
      </c>
      <c r="N602">
        <v>0</v>
      </c>
      <c r="O602" t="s">
        <v>303</v>
      </c>
      <c r="P602">
        <f t="shared" si="9"/>
        <v>0</v>
      </c>
    </row>
    <row r="603" spans="1:16" x14ac:dyDescent="0.25">
      <c r="A603" t="s">
        <v>578</v>
      </c>
      <c r="B603" s="12">
        <v>0.414349999999999</v>
      </c>
      <c r="C603" s="11">
        <v>0.42516999999999999</v>
      </c>
      <c r="D603" t="s">
        <v>303</v>
      </c>
      <c r="E603">
        <v>3</v>
      </c>
      <c r="F603">
        <v>3</v>
      </c>
      <c r="G603" t="s">
        <v>700</v>
      </c>
      <c r="H603" t="s">
        <v>700</v>
      </c>
      <c r="J603">
        <v>0.42516999999999999</v>
      </c>
      <c r="K603">
        <v>0.42516999999999999</v>
      </c>
      <c r="L603" t="s">
        <v>303</v>
      </c>
      <c r="M603">
        <v>0.42516999999999999</v>
      </c>
      <c r="N603">
        <v>0.42516999999999999</v>
      </c>
      <c r="O603" t="s">
        <v>303</v>
      </c>
      <c r="P603">
        <f t="shared" si="9"/>
        <v>0</v>
      </c>
    </row>
    <row r="604" spans="1:16" x14ac:dyDescent="0.25">
      <c r="A604" t="s">
        <v>669</v>
      </c>
      <c r="B604">
        <v>0.42792799999999998</v>
      </c>
      <c r="C604">
        <v>0.42792799999999998</v>
      </c>
      <c r="D604" t="s">
        <v>303</v>
      </c>
      <c r="E604" t="s">
        <v>910</v>
      </c>
      <c r="F604" t="s">
        <v>910</v>
      </c>
      <c r="J604">
        <v>0.42792799999999998</v>
      </c>
      <c r="K604">
        <v>0.42792799999999998</v>
      </c>
      <c r="L604" t="s">
        <v>303</v>
      </c>
      <c r="M604">
        <v>0.42792799999999998</v>
      </c>
      <c r="N604">
        <v>0.42792799999999998</v>
      </c>
      <c r="O604" t="s">
        <v>303</v>
      </c>
      <c r="P604">
        <f t="shared" si="9"/>
        <v>0</v>
      </c>
    </row>
    <row r="605" spans="1:16" x14ac:dyDescent="0.25">
      <c r="A605" t="s">
        <v>669</v>
      </c>
      <c r="B605">
        <v>0.42799999999999999</v>
      </c>
      <c r="C605">
        <v>0.42799999999999999</v>
      </c>
      <c r="D605" t="s">
        <v>303</v>
      </c>
      <c r="E605" t="s">
        <v>910</v>
      </c>
      <c r="F605" t="s">
        <v>910</v>
      </c>
      <c r="J605">
        <v>0.42799999999999999</v>
      </c>
      <c r="K605">
        <v>0.42799999999999999</v>
      </c>
      <c r="L605" t="s">
        <v>303</v>
      </c>
      <c r="M605">
        <v>0.42799999999999999</v>
      </c>
      <c r="N605">
        <v>0.42799999999999999</v>
      </c>
      <c r="O605" t="s">
        <v>303</v>
      </c>
      <c r="P605">
        <f t="shared" si="9"/>
        <v>0</v>
      </c>
    </row>
    <row r="606" spans="1:16" x14ac:dyDescent="0.25">
      <c r="A606" t="s">
        <v>669</v>
      </c>
      <c r="B606">
        <v>0.43</v>
      </c>
      <c r="C606">
        <v>0.43</v>
      </c>
      <c r="D606" t="s">
        <v>860</v>
      </c>
      <c r="E606" t="s">
        <v>910</v>
      </c>
      <c r="F606" t="s">
        <v>910</v>
      </c>
      <c r="J606">
        <v>0.43</v>
      </c>
      <c r="K606">
        <v>0.43</v>
      </c>
      <c r="L606" t="s">
        <v>303</v>
      </c>
      <c r="M606">
        <v>0.43</v>
      </c>
      <c r="N606">
        <v>0.43</v>
      </c>
      <c r="O606" t="s">
        <v>303</v>
      </c>
      <c r="P606">
        <f t="shared" si="9"/>
        <v>0</v>
      </c>
    </row>
    <row r="607" spans="1:16" x14ac:dyDescent="0.25">
      <c r="A607" t="s">
        <v>578</v>
      </c>
      <c r="B607" s="11">
        <v>0.41749999999999998</v>
      </c>
      <c r="C607" s="11">
        <v>0.43036000000000002</v>
      </c>
      <c r="D607" t="s">
        <v>303</v>
      </c>
      <c r="E607">
        <v>3</v>
      </c>
      <c r="F607">
        <v>3</v>
      </c>
      <c r="G607" t="s">
        <v>700</v>
      </c>
      <c r="H607" t="s">
        <v>700</v>
      </c>
      <c r="J607">
        <v>0.43036000000000002</v>
      </c>
      <c r="K607">
        <v>0.41749999999999998</v>
      </c>
      <c r="L607" t="s">
        <v>303</v>
      </c>
      <c r="M607">
        <v>0.43036000000000002</v>
      </c>
      <c r="N607">
        <v>0.41749999999999998</v>
      </c>
      <c r="O607" t="s">
        <v>303</v>
      </c>
      <c r="P607">
        <f t="shared" si="9"/>
        <v>0</v>
      </c>
    </row>
    <row r="608" spans="1:16" x14ac:dyDescent="0.25">
      <c r="A608" t="s">
        <v>669</v>
      </c>
      <c r="B608">
        <v>0.43349799999999999</v>
      </c>
      <c r="C608">
        <v>0.43349799999999999</v>
      </c>
      <c r="D608" t="s">
        <v>303</v>
      </c>
      <c r="E608" t="s">
        <v>910</v>
      </c>
      <c r="F608" t="s">
        <v>910</v>
      </c>
      <c r="J608">
        <v>0.43349799999999999</v>
      </c>
      <c r="K608">
        <v>0.43349799999999999</v>
      </c>
      <c r="L608" t="s">
        <v>303</v>
      </c>
      <c r="M608">
        <v>0.43349799999999999</v>
      </c>
      <c r="N608">
        <v>0.43349799999999999</v>
      </c>
      <c r="O608" t="s">
        <v>303</v>
      </c>
      <c r="P608">
        <f t="shared" si="9"/>
        <v>0</v>
      </c>
    </row>
    <row r="609" spans="1:16" x14ac:dyDescent="0.25">
      <c r="A609" t="s">
        <v>669</v>
      </c>
      <c r="B609">
        <v>0.43790000000000001</v>
      </c>
      <c r="C609">
        <v>0.43790000000000001</v>
      </c>
      <c r="D609" t="s">
        <v>303</v>
      </c>
      <c r="E609" t="s">
        <v>910</v>
      </c>
      <c r="F609" t="s">
        <v>910</v>
      </c>
      <c r="J609">
        <v>0.43790000000000001</v>
      </c>
      <c r="K609">
        <v>0.43790000000000001</v>
      </c>
      <c r="L609" t="s">
        <v>303</v>
      </c>
      <c r="M609">
        <v>0.43790000000000001</v>
      </c>
      <c r="N609">
        <v>0.43790000000000001</v>
      </c>
      <c r="O609" t="s">
        <v>303</v>
      </c>
      <c r="P609">
        <f t="shared" si="9"/>
        <v>0</v>
      </c>
    </row>
    <row r="610" spans="1:16" x14ac:dyDescent="0.25">
      <c r="A610" t="s">
        <v>669</v>
      </c>
      <c r="B610">
        <v>0.43930000000000002</v>
      </c>
      <c r="C610">
        <v>0.43930000000000002</v>
      </c>
      <c r="D610" t="s">
        <v>303</v>
      </c>
      <c r="E610" t="s">
        <v>910</v>
      </c>
      <c r="F610" t="s">
        <v>910</v>
      </c>
      <c r="J610">
        <v>0.43930000000000002</v>
      </c>
      <c r="K610">
        <v>0.43930000000000002</v>
      </c>
      <c r="L610" t="s">
        <v>303</v>
      </c>
      <c r="M610">
        <v>0.43930000000000002</v>
      </c>
      <c r="N610">
        <v>0.43930000000000002</v>
      </c>
      <c r="O610" t="s">
        <v>303</v>
      </c>
      <c r="P610">
        <f t="shared" si="9"/>
        <v>0</v>
      </c>
    </row>
    <row r="611" spans="1:16" x14ac:dyDescent="0.25">
      <c r="A611" t="s">
        <v>527</v>
      </c>
      <c r="B611">
        <v>440.49160000000001</v>
      </c>
      <c r="C611">
        <v>440.49160000000001</v>
      </c>
      <c r="D611" t="s">
        <v>887</v>
      </c>
      <c r="E611">
        <v>8</v>
      </c>
      <c r="F611">
        <v>8</v>
      </c>
      <c r="G611" t="s">
        <v>687</v>
      </c>
      <c r="H611" t="s">
        <v>687</v>
      </c>
      <c r="J611">
        <v>0.44049159999999998</v>
      </c>
      <c r="K611">
        <v>0.44049159999999998</v>
      </c>
      <c r="L611" t="s">
        <v>303</v>
      </c>
      <c r="M611">
        <v>440.49160000000001</v>
      </c>
      <c r="N611">
        <v>440.49160000000001</v>
      </c>
      <c r="O611" t="s">
        <v>862</v>
      </c>
      <c r="P611">
        <f t="shared" si="9"/>
        <v>0</v>
      </c>
    </row>
    <row r="612" spans="1:16" x14ac:dyDescent="0.25">
      <c r="A612" t="s">
        <v>669</v>
      </c>
      <c r="B612">
        <v>0.44382500000000003</v>
      </c>
      <c r="C612">
        <v>0.44382500000000003</v>
      </c>
      <c r="D612" t="s">
        <v>303</v>
      </c>
      <c r="E612" t="s">
        <v>910</v>
      </c>
      <c r="F612" t="s">
        <v>910</v>
      </c>
      <c r="J612">
        <v>0.44382500000000003</v>
      </c>
      <c r="K612">
        <v>0.44382500000000003</v>
      </c>
      <c r="L612" t="s">
        <v>303</v>
      </c>
      <c r="M612">
        <v>0.44382500000000003</v>
      </c>
      <c r="N612">
        <v>0.44382500000000003</v>
      </c>
      <c r="O612" t="s">
        <v>303</v>
      </c>
      <c r="P612">
        <f t="shared" si="9"/>
        <v>0</v>
      </c>
    </row>
    <row r="613" spans="1:16" x14ac:dyDescent="0.25">
      <c r="A613" t="s">
        <v>669</v>
      </c>
      <c r="B613">
        <v>0.44764999999999999</v>
      </c>
      <c r="C613">
        <v>0.44764999999999999</v>
      </c>
      <c r="D613" t="s">
        <v>303</v>
      </c>
      <c r="E613" t="s">
        <v>910</v>
      </c>
      <c r="F613" t="s">
        <v>910</v>
      </c>
      <c r="J613">
        <v>0.44764999999999999</v>
      </c>
      <c r="K613">
        <v>0.44764999999999999</v>
      </c>
      <c r="L613" t="s">
        <v>303</v>
      </c>
      <c r="M613">
        <v>0.44764999999999999</v>
      </c>
      <c r="N613">
        <v>0.44764999999999999</v>
      </c>
      <c r="O613" t="s">
        <v>303</v>
      </c>
      <c r="P613">
        <f t="shared" si="9"/>
        <v>0</v>
      </c>
    </row>
    <row r="614" spans="1:16" x14ac:dyDescent="0.25">
      <c r="A614" t="s">
        <v>527</v>
      </c>
      <c r="B614">
        <v>448.27170000000001</v>
      </c>
      <c r="C614">
        <v>448.27170000000001</v>
      </c>
      <c r="D614" t="s">
        <v>887</v>
      </c>
      <c r="E614">
        <v>8</v>
      </c>
      <c r="F614">
        <v>8</v>
      </c>
      <c r="G614" t="s">
        <v>687</v>
      </c>
      <c r="H614" t="s">
        <v>687</v>
      </c>
      <c r="J614">
        <v>0.4482717</v>
      </c>
      <c r="K614">
        <v>0.4482717</v>
      </c>
      <c r="L614" t="s">
        <v>303</v>
      </c>
      <c r="M614">
        <v>448.27170000000001</v>
      </c>
      <c r="N614">
        <v>448.27170000000001</v>
      </c>
      <c r="O614" t="s">
        <v>862</v>
      </c>
      <c r="P614">
        <f t="shared" si="9"/>
        <v>0</v>
      </c>
    </row>
    <row r="615" spans="1:16" x14ac:dyDescent="0.25">
      <c r="A615" t="s">
        <v>669</v>
      </c>
      <c r="B615">
        <v>0.453538</v>
      </c>
      <c r="C615">
        <v>0.453538</v>
      </c>
      <c r="D615" t="s">
        <v>303</v>
      </c>
      <c r="E615" t="s">
        <v>910</v>
      </c>
      <c r="F615" t="s">
        <v>910</v>
      </c>
      <c r="J615">
        <v>0.453538</v>
      </c>
      <c r="K615">
        <v>0.453538</v>
      </c>
      <c r="L615" t="s">
        <v>303</v>
      </c>
      <c r="M615">
        <v>0.453538</v>
      </c>
      <c r="N615">
        <v>0.453538</v>
      </c>
      <c r="O615" t="s">
        <v>303</v>
      </c>
      <c r="P615">
        <f t="shared" si="9"/>
        <v>0</v>
      </c>
    </row>
    <row r="616" spans="1:16" x14ac:dyDescent="0.25">
      <c r="A616" t="s">
        <v>578</v>
      </c>
      <c r="B616" s="11">
        <v>0.45101000000000002</v>
      </c>
      <c r="C616" s="11">
        <v>0.45689000000000002</v>
      </c>
      <c r="D616" t="s">
        <v>303</v>
      </c>
      <c r="E616">
        <v>3</v>
      </c>
      <c r="F616">
        <v>3</v>
      </c>
      <c r="G616" t="s">
        <v>700</v>
      </c>
      <c r="H616" t="s">
        <v>700</v>
      </c>
      <c r="J616">
        <v>0.45689000000000002</v>
      </c>
      <c r="K616">
        <v>0.45101000000000002</v>
      </c>
      <c r="L616" t="s">
        <v>303</v>
      </c>
      <c r="M616">
        <v>0.45689000000000002</v>
      </c>
      <c r="N616">
        <v>0.45101000000000002</v>
      </c>
      <c r="O616" t="s">
        <v>303</v>
      </c>
      <c r="P616">
        <f t="shared" si="9"/>
        <v>0</v>
      </c>
    </row>
    <row r="617" spans="1:16" x14ac:dyDescent="0.25">
      <c r="A617" t="s">
        <v>669</v>
      </c>
      <c r="B617">
        <v>0.45732499999999998</v>
      </c>
      <c r="C617">
        <v>0.45732499999999998</v>
      </c>
      <c r="D617" t="s">
        <v>303</v>
      </c>
      <c r="E617" t="s">
        <v>910</v>
      </c>
      <c r="F617" t="s">
        <v>910</v>
      </c>
      <c r="J617">
        <v>0.45732499999999998</v>
      </c>
      <c r="K617">
        <v>0.45732499999999998</v>
      </c>
      <c r="L617" t="s">
        <v>303</v>
      </c>
      <c r="M617">
        <v>0.45732499999999998</v>
      </c>
      <c r="N617">
        <v>0.45732499999999998</v>
      </c>
      <c r="O617" t="s">
        <v>303</v>
      </c>
      <c r="P617">
        <f t="shared" si="9"/>
        <v>0</v>
      </c>
    </row>
    <row r="618" spans="1:16" x14ac:dyDescent="0.25">
      <c r="A618" t="s">
        <v>669</v>
      </c>
      <c r="B618">
        <v>342</v>
      </c>
      <c r="C618">
        <v>458</v>
      </c>
      <c r="D618" t="s">
        <v>864</v>
      </c>
      <c r="E618">
        <v>8</v>
      </c>
      <c r="F618">
        <v>8</v>
      </c>
      <c r="G618" t="s">
        <v>687</v>
      </c>
      <c r="H618" t="s">
        <v>687</v>
      </c>
      <c r="J618">
        <v>0.45800000000000002</v>
      </c>
      <c r="K618">
        <v>0.34200000000000003</v>
      </c>
      <c r="L618" t="s">
        <v>303</v>
      </c>
      <c r="M618">
        <v>458</v>
      </c>
      <c r="N618">
        <v>342</v>
      </c>
      <c r="O618" t="s">
        <v>862</v>
      </c>
      <c r="P618">
        <f t="shared" si="9"/>
        <v>0</v>
      </c>
    </row>
    <row r="619" spans="1:16" x14ac:dyDescent="0.25">
      <c r="A619" t="s">
        <v>578</v>
      </c>
      <c r="B619" s="11">
        <v>0.45289000000000001</v>
      </c>
      <c r="C619" s="11">
        <v>0.45949000000000001</v>
      </c>
      <c r="D619" t="s">
        <v>303</v>
      </c>
      <c r="E619">
        <v>3</v>
      </c>
      <c r="F619">
        <v>3</v>
      </c>
      <c r="G619" t="s">
        <v>700</v>
      </c>
      <c r="H619" t="s">
        <v>700</v>
      </c>
      <c r="J619">
        <v>0.45949000000000001</v>
      </c>
      <c r="K619">
        <v>0.45289000000000001</v>
      </c>
      <c r="L619" t="s">
        <v>303</v>
      </c>
      <c r="M619">
        <v>0.45949000000000001</v>
      </c>
      <c r="N619">
        <v>0.45289000000000001</v>
      </c>
      <c r="O619" t="s">
        <v>303</v>
      </c>
      <c r="P619">
        <f t="shared" si="9"/>
        <v>0</v>
      </c>
    </row>
    <row r="620" spans="1:16" x14ac:dyDescent="0.25">
      <c r="A620" t="s">
        <v>669</v>
      </c>
      <c r="B620">
        <v>78</v>
      </c>
      <c r="C620">
        <v>78</v>
      </c>
      <c r="D620" t="s">
        <v>857</v>
      </c>
      <c r="E620">
        <v>5</v>
      </c>
      <c r="F620">
        <v>5</v>
      </c>
      <c r="G620" t="s">
        <v>684</v>
      </c>
      <c r="H620" t="s">
        <v>684</v>
      </c>
      <c r="J620">
        <v>78</v>
      </c>
      <c r="K620">
        <v>78</v>
      </c>
      <c r="L620" t="s">
        <v>921</v>
      </c>
      <c r="M620">
        <v>78</v>
      </c>
      <c r="N620">
        <v>78</v>
      </c>
      <c r="O620" t="s">
        <v>921</v>
      </c>
      <c r="P620">
        <f t="shared" si="9"/>
        <v>0</v>
      </c>
    </row>
    <row r="621" spans="1:16" x14ac:dyDescent="0.25">
      <c r="A621" t="s">
        <v>669</v>
      </c>
      <c r="B621">
        <v>0.4</v>
      </c>
      <c r="C621">
        <v>0.46</v>
      </c>
      <c r="D621" t="s">
        <v>669</v>
      </c>
      <c r="E621">
        <v>8</v>
      </c>
      <c r="F621">
        <v>8</v>
      </c>
      <c r="G621" t="s">
        <v>687</v>
      </c>
      <c r="H621" t="s">
        <v>687</v>
      </c>
      <c r="I621" t="s">
        <v>927</v>
      </c>
      <c r="J621">
        <v>0.46</v>
      </c>
      <c r="K621">
        <v>0.4</v>
      </c>
      <c r="L621" t="s">
        <v>930</v>
      </c>
      <c r="M621">
        <v>0.46</v>
      </c>
      <c r="N621">
        <v>0.4</v>
      </c>
      <c r="P621">
        <f t="shared" si="9"/>
        <v>14</v>
      </c>
    </row>
    <row r="622" spans="1:16" x14ac:dyDescent="0.25">
      <c r="A622" t="s">
        <v>669</v>
      </c>
      <c r="B622">
        <v>0.46325</v>
      </c>
      <c r="C622">
        <v>0.46325</v>
      </c>
      <c r="D622" t="s">
        <v>303</v>
      </c>
      <c r="E622" t="s">
        <v>910</v>
      </c>
      <c r="F622" t="s">
        <v>910</v>
      </c>
      <c r="J622">
        <v>0.46325</v>
      </c>
      <c r="K622">
        <v>0.46325</v>
      </c>
      <c r="L622" t="s">
        <v>303</v>
      </c>
      <c r="M622">
        <v>0.46325</v>
      </c>
      <c r="N622">
        <v>0.46325</v>
      </c>
      <c r="O622" t="s">
        <v>303</v>
      </c>
      <c r="P622">
        <f t="shared" si="9"/>
        <v>0</v>
      </c>
    </row>
    <row r="623" spans="1:16" x14ac:dyDescent="0.25">
      <c r="A623" t="s">
        <v>669</v>
      </c>
      <c r="B623">
        <v>0.46752500000000002</v>
      </c>
      <c r="C623">
        <v>0.46752500000000002</v>
      </c>
      <c r="D623" t="s">
        <v>303</v>
      </c>
      <c r="E623" t="s">
        <v>910</v>
      </c>
      <c r="F623" t="s">
        <v>910</v>
      </c>
      <c r="J623">
        <v>0.46752500000000002</v>
      </c>
      <c r="K623">
        <v>0.46752500000000002</v>
      </c>
      <c r="L623" t="s">
        <v>303</v>
      </c>
      <c r="M623">
        <v>0.46752500000000002</v>
      </c>
      <c r="N623">
        <v>0.46752500000000002</v>
      </c>
      <c r="O623" t="s">
        <v>303</v>
      </c>
      <c r="P623">
        <f t="shared" si="9"/>
        <v>0</v>
      </c>
    </row>
    <row r="624" spans="1:16" x14ac:dyDescent="0.25">
      <c r="A624" t="s">
        <v>669</v>
      </c>
      <c r="B624">
        <v>0.39</v>
      </c>
      <c r="C624">
        <v>0.47</v>
      </c>
      <c r="D624" t="s">
        <v>669</v>
      </c>
      <c r="E624">
        <v>8</v>
      </c>
      <c r="F624">
        <v>8</v>
      </c>
      <c r="G624" t="s">
        <v>687</v>
      </c>
      <c r="H624" t="s">
        <v>687</v>
      </c>
      <c r="I624" t="s">
        <v>927</v>
      </c>
      <c r="J624">
        <v>0.47</v>
      </c>
      <c r="K624">
        <v>0.39</v>
      </c>
      <c r="L624" t="s">
        <v>930</v>
      </c>
      <c r="M624">
        <v>0.47</v>
      </c>
      <c r="N624">
        <v>0.39</v>
      </c>
      <c r="P624">
        <f t="shared" si="9"/>
        <v>14</v>
      </c>
    </row>
    <row r="625" spans="1:16" x14ac:dyDescent="0.25">
      <c r="A625" t="s">
        <v>669</v>
      </c>
      <c r="B625">
        <v>0.47067199999999998</v>
      </c>
      <c r="C625">
        <v>0.47067199999999998</v>
      </c>
      <c r="D625" t="s">
        <v>303</v>
      </c>
      <c r="E625" t="s">
        <v>910</v>
      </c>
      <c r="F625" t="s">
        <v>910</v>
      </c>
      <c r="J625">
        <v>0.47067199999999998</v>
      </c>
      <c r="K625">
        <v>0.47067199999999998</v>
      </c>
      <c r="L625" t="s">
        <v>303</v>
      </c>
      <c r="M625">
        <v>0.47067199999999998</v>
      </c>
      <c r="N625">
        <v>0.47067199999999998</v>
      </c>
      <c r="O625" t="s">
        <v>303</v>
      </c>
      <c r="P625">
        <f t="shared" si="9"/>
        <v>0</v>
      </c>
    </row>
    <row r="626" spans="1:16" x14ac:dyDescent="0.25">
      <c r="A626" t="s">
        <v>669</v>
      </c>
      <c r="B626">
        <v>0.47153299999999998</v>
      </c>
      <c r="C626">
        <v>0.47153299999999998</v>
      </c>
      <c r="D626" t="s">
        <v>303</v>
      </c>
      <c r="E626" t="s">
        <v>910</v>
      </c>
      <c r="F626" t="s">
        <v>910</v>
      </c>
      <c r="J626">
        <v>0.47153299999999998</v>
      </c>
      <c r="K626">
        <v>0.47153299999999998</v>
      </c>
      <c r="L626" t="s">
        <v>303</v>
      </c>
      <c r="M626">
        <v>0.47153299999999998</v>
      </c>
      <c r="N626">
        <v>0.47153299999999998</v>
      </c>
      <c r="O626" t="s">
        <v>303</v>
      </c>
      <c r="P626">
        <f t="shared" si="9"/>
        <v>0</v>
      </c>
    </row>
    <row r="627" spans="1:16" x14ac:dyDescent="0.25">
      <c r="A627" t="s">
        <v>669</v>
      </c>
      <c r="B627">
        <v>0.47189999999999999</v>
      </c>
      <c r="C627">
        <v>0.47189999999999999</v>
      </c>
      <c r="D627" t="s">
        <v>303</v>
      </c>
      <c r="E627" t="s">
        <v>910</v>
      </c>
      <c r="F627" t="s">
        <v>910</v>
      </c>
      <c r="J627">
        <v>0.47189999999999999</v>
      </c>
      <c r="K627">
        <v>0.47189999999999999</v>
      </c>
      <c r="L627" t="s">
        <v>303</v>
      </c>
      <c r="M627">
        <v>0.47189999999999999</v>
      </c>
      <c r="N627">
        <v>0.47189999999999999</v>
      </c>
      <c r="O627" t="s">
        <v>303</v>
      </c>
      <c r="P627">
        <f t="shared" si="9"/>
        <v>0</v>
      </c>
    </row>
    <row r="628" spans="1:16" x14ac:dyDescent="0.25">
      <c r="A628" t="s">
        <v>669</v>
      </c>
      <c r="B628">
        <v>0.47243800000000002</v>
      </c>
      <c r="C628">
        <v>0.47243800000000002</v>
      </c>
      <c r="D628" t="s">
        <v>303</v>
      </c>
      <c r="E628" t="s">
        <v>910</v>
      </c>
      <c r="F628" t="s">
        <v>910</v>
      </c>
      <c r="J628">
        <v>0.47243800000000002</v>
      </c>
      <c r="K628">
        <v>0.47243800000000002</v>
      </c>
      <c r="L628" t="s">
        <v>303</v>
      </c>
      <c r="M628">
        <v>0.47243800000000002</v>
      </c>
      <c r="N628">
        <v>0.47243800000000002</v>
      </c>
      <c r="O628" t="s">
        <v>303</v>
      </c>
      <c r="P628">
        <f t="shared" si="9"/>
        <v>0</v>
      </c>
    </row>
    <row r="629" spans="1:16" x14ac:dyDescent="0.25">
      <c r="A629" t="s">
        <v>669</v>
      </c>
      <c r="B629">
        <v>0.47299999999999998</v>
      </c>
      <c r="C629">
        <v>0.47299999999999998</v>
      </c>
      <c r="D629" t="s">
        <v>303</v>
      </c>
      <c r="E629" t="s">
        <v>910</v>
      </c>
      <c r="F629" t="s">
        <v>910</v>
      </c>
      <c r="J629">
        <v>0.47299999999999998</v>
      </c>
      <c r="K629">
        <v>0.47299999999999998</v>
      </c>
      <c r="L629" t="s">
        <v>303</v>
      </c>
      <c r="M629">
        <v>0.47299999999999998</v>
      </c>
      <c r="N629">
        <v>0.47299999999999998</v>
      </c>
      <c r="O629" t="s">
        <v>303</v>
      </c>
      <c r="P629">
        <f t="shared" si="9"/>
        <v>0</v>
      </c>
    </row>
    <row r="630" spans="1:16" x14ac:dyDescent="0.25">
      <c r="A630" t="s">
        <v>669</v>
      </c>
      <c r="B630">
        <v>0.47489999999999999</v>
      </c>
      <c r="C630">
        <v>0.47489999999999999</v>
      </c>
      <c r="D630" t="s">
        <v>303</v>
      </c>
      <c r="E630" t="s">
        <v>910</v>
      </c>
      <c r="F630" t="s">
        <v>910</v>
      </c>
      <c r="J630">
        <v>0.47489999999999999</v>
      </c>
      <c r="K630">
        <v>0.47489999999999999</v>
      </c>
      <c r="L630" t="s">
        <v>303</v>
      </c>
      <c r="M630">
        <v>0.47489999999999999</v>
      </c>
      <c r="N630">
        <v>0.47489999999999999</v>
      </c>
      <c r="O630" t="s">
        <v>303</v>
      </c>
      <c r="P630">
        <f t="shared" si="9"/>
        <v>0</v>
      </c>
    </row>
    <row r="631" spans="1:16" x14ac:dyDescent="0.25">
      <c r="A631" t="s">
        <v>669</v>
      </c>
      <c r="B631">
        <v>0.476744</v>
      </c>
      <c r="C631">
        <v>0.476744</v>
      </c>
      <c r="D631" t="s">
        <v>303</v>
      </c>
      <c r="E631" t="s">
        <v>910</v>
      </c>
      <c r="F631" t="s">
        <v>910</v>
      </c>
      <c r="J631">
        <v>0.476744</v>
      </c>
      <c r="K631">
        <v>0.476744</v>
      </c>
      <c r="L631" t="s">
        <v>303</v>
      </c>
      <c r="M631">
        <v>0.476744</v>
      </c>
      <c r="N631">
        <v>0.476744</v>
      </c>
      <c r="O631" t="s">
        <v>303</v>
      </c>
      <c r="P631">
        <f t="shared" si="9"/>
        <v>0</v>
      </c>
    </row>
    <row r="632" spans="1:16" x14ac:dyDescent="0.25">
      <c r="A632" t="s">
        <v>527</v>
      </c>
      <c r="B632">
        <v>477.5016</v>
      </c>
      <c r="C632">
        <v>477.5016</v>
      </c>
      <c r="D632" t="s">
        <v>887</v>
      </c>
      <c r="E632">
        <v>8</v>
      </c>
      <c r="F632">
        <v>8</v>
      </c>
      <c r="G632" t="s">
        <v>687</v>
      </c>
      <c r="H632" t="s">
        <v>687</v>
      </c>
      <c r="J632">
        <v>0.47750159999999997</v>
      </c>
      <c r="K632">
        <v>0.47750159999999997</v>
      </c>
      <c r="L632" t="s">
        <v>303</v>
      </c>
      <c r="M632">
        <v>477.5016</v>
      </c>
      <c r="N632">
        <v>477.5016</v>
      </c>
      <c r="O632" t="s">
        <v>862</v>
      </c>
      <c r="P632">
        <f t="shared" si="9"/>
        <v>0</v>
      </c>
    </row>
    <row r="633" spans="1:16" x14ac:dyDescent="0.25">
      <c r="A633" t="s">
        <v>669</v>
      </c>
      <c r="B633">
        <v>0.47759099999999999</v>
      </c>
      <c r="C633">
        <v>0.47759099999999999</v>
      </c>
      <c r="D633" t="s">
        <v>303</v>
      </c>
      <c r="E633" t="s">
        <v>910</v>
      </c>
      <c r="F633" t="s">
        <v>910</v>
      </c>
      <c r="J633">
        <v>0.47759099999999999</v>
      </c>
      <c r="K633">
        <v>0.47759099999999999</v>
      </c>
      <c r="L633" t="s">
        <v>303</v>
      </c>
      <c r="M633">
        <v>0.47759099999999999</v>
      </c>
      <c r="N633">
        <v>0.47759099999999999</v>
      </c>
      <c r="O633" t="s">
        <v>303</v>
      </c>
      <c r="P633">
        <f t="shared" si="9"/>
        <v>0</v>
      </c>
    </row>
    <row r="634" spans="1:16" x14ac:dyDescent="0.25">
      <c r="A634" t="s">
        <v>578</v>
      </c>
      <c r="B634">
        <v>452.8</v>
      </c>
      <c r="C634">
        <v>477.6</v>
      </c>
      <c r="D634" t="s">
        <v>862</v>
      </c>
      <c r="E634">
        <v>8</v>
      </c>
      <c r="F634">
        <v>8</v>
      </c>
      <c r="G634" t="s">
        <v>687</v>
      </c>
      <c r="H634" t="s">
        <v>687</v>
      </c>
      <c r="J634">
        <v>0.47760000000000002</v>
      </c>
      <c r="K634">
        <v>0.45280000000000004</v>
      </c>
      <c r="L634" t="s">
        <v>303</v>
      </c>
      <c r="M634">
        <v>477.6</v>
      </c>
      <c r="N634">
        <v>452.8</v>
      </c>
      <c r="O634" t="s">
        <v>862</v>
      </c>
      <c r="P634">
        <f t="shared" si="9"/>
        <v>0</v>
      </c>
    </row>
    <row r="635" spans="1:16" x14ac:dyDescent="0.25">
      <c r="A635" t="s">
        <v>669</v>
      </c>
      <c r="B635">
        <v>0.47852499999999998</v>
      </c>
      <c r="C635">
        <v>0.47852499999999998</v>
      </c>
      <c r="D635" t="s">
        <v>303</v>
      </c>
      <c r="E635" t="s">
        <v>910</v>
      </c>
      <c r="F635" t="s">
        <v>910</v>
      </c>
      <c r="J635">
        <v>0.47852499999999998</v>
      </c>
      <c r="K635">
        <v>0.47852499999999998</v>
      </c>
      <c r="L635" t="s">
        <v>303</v>
      </c>
      <c r="M635">
        <v>0.47852499999999998</v>
      </c>
      <c r="N635">
        <v>0.47852499999999998</v>
      </c>
      <c r="O635" t="s">
        <v>303</v>
      </c>
      <c r="P635">
        <f t="shared" si="9"/>
        <v>0</v>
      </c>
    </row>
    <row r="636" spans="1:16" x14ac:dyDescent="0.25">
      <c r="A636" t="s">
        <v>669</v>
      </c>
      <c r="B636">
        <v>0.479489</v>
      </c>
      <c r="C636">
        <v>0.479489</v>
      </c>
      <c r="D636" t="s">
        <v>303</v>
      </c>
      <c r="E636" t="s">
        <v>910</v>
      </c>
      <c r="F636" t="s">
        <v>910</v>
      </c>
      <c r="J636">
        <v>0.479489</v>
      </c>
      <c r="K636">
        <v>0.479489</v>
      </c>
      <c r="L636" t="s">
        <v>303</v>
      </c>
      <c r="M636">
        <v>0.479489</v>
      </c>
      <c r="N636">
        <v>0.479489</v>
      </c>
      <c r="O636" t="s">
        <v>303</v>
      </c>
      <c r="P636">
        <f t="shared" si="9"/>
        <v>0</v>
      </c>
    </row>
    <row r="637" spans="1:16" x14ac:dyDescent="0.25">
      <c r="A637" t="s">
        <v>669</v>
      </c>
      <c r="B637">
        <v>0.48042299999999999</v>
      </c>
      <c r="C637">
        <v>0.48042299999999999</v>
      </c>
      <c r="D637" t="s">
        <v>303</v>
      </c>
      <c r="E637" t="s">
        <v>910</v>
      </c>
      <c r="F637" t="s">
        <v>910</v>
      </c>
      <c r="J637">
        <v>0.48042299999999999</v>
      </c>
      <c r="K637">
        <v>0.48042299999999999</v>
      </c>
      <c r="L637" t="s">
        <v>303</v>
      </c>
      <c r="M637">
        <v>0.48042299999999999</v>
      </c>
      <c r="N637">
        <v>0.48042299999999999</v>
      </c>
      <c r="O637" t="s">
        <v>303</v>
      </c>
      <c r="P637">
        <f t="shared" si="9"/>
        <v>0</v>
      </c>
    </row>
    <row r="638" spans="1:16" x14ac:dyDescent="0.25">
      <c r="A638" t="s">
        <v>669</v>
      </c>
      <c r="B638">
        <v>0.48173700000000003</v>
      </c>
      <c r="C638">
        <v>0.48173700000000003</v>
      </c>
      <c r="D638" t="s">
        <v>303</v>
      </c>
      <c r="E638" t="s">
        <v>910</v>
      </c>
      <c r="F638" t="s">
        <v>910</v>
      </c>
      <c r="J638">
        <v>0.48173700000000003</v>
      </c>
      <c r="K638">
        <v>0.48173700000000003</v>
      </c>
      <c r="L638" t="s">
        <v>303</v>
      </c>
      <c r="M638">
        <v>0.48173700000000003</v>
      </c>
      <c r="N638">
        <v>0.48173700000000003</v>
      </c>
      <c r="O638" t="s">
        <v>303</v>
      </c>
      <c r="P638">
        <f t="shared" si="9"/>
        <v>0</v>
      </c>
    </row>
    <row r="639" spans="1:16" x14ac:dyDescent="0.25">
      <c r="A639" t="s">
        <v>669</v>
      </c>
      <c r="B639">
        <v>0.48266999999999999</v>
      </c>
      <c r="C639">
        <v>0.48266999999999999</v>
      </c>
      <c r="D639" t="s">
        <v>303</v>
      </c>
      <c r="E639" t="s">
        <v>910</v>
      </c>
      <c r="F639" t="s">
        <v>910</v>
      </c>
      <c r="J639">
        <v>0.48266999999999999</v>
      </c>
      <c r="K639">
        <v>0.48266999999999999</v>
      </c>
      <c r="L639" t="s">
        <v>303</v>
      </c>
      <c r="M639">
        <v>0.48266999999999999</v>
      </c>
      <c r="N639">
        <v>0.48266999999999999</v>
      </c>
      <c r="O639" t="s">
        <v>303</v>
      </c>
      <c r="P639">
        <f t="shared" si="9"/>
        <v>0</v>
      </c>
    </row>
    <row r="640" spans="1:16" x14ac:dyDescent="0.25">
      <c r="A640" t="s">
        <v>669</v>
      </c>
      <c r="B640">
        <v>0.484678</v>
      </c>
      <c r="C640">
        <v>0.484678</v>
      </c>
      <c r="D640" t="s">
        <v>303</v>
      </c>
      <c r="E640" t="s">
        <v>910</v>
      </c>
      <c r="F640" t="s">
        <v>910</v>
      </c>
      <c r="J640">
        <v>0.484678</v>
      </c>
      <c r="K640">
        <v>0.484678</v>
      </c>
      <c r="L640" t="s">
        <v>303</v>
      </c>
      <c r="M640">
        <v>0.484678</v>
      </c>
      <c r="N640">
        <v>0.484678</v>
      </c>
      <c r="O640" t="s">
        <v>303</v>
      </c>
      <c r="P640">
        <f t="shared" si="9"/>
        <v>0</v>
      </c>
    </row>
    <row r="641" spans="1:16" x14ac:dyDescent="0.25">
      <c r="A641" t="s">
        <v>669</v>
      </c>
      <c r="B641">
        <v>0.486626</v>
      </c>
      <c r="C641">
        <v>0.486626</v>
      </c>
      <c r="D641" t="s">
        <v>303</v>
      </c>
      <c r="E641" t="s">
        <v>910</v>
      </c>
      <c r="F641" t="s">
        <v>910</v>
      </c>
      <c r="J641">
        <v>0.486626</v>
      </c>
      <c r="K641">
        <v>0.486626</v>
      </c>
      <c r="L641" t="s">
        <v>303</v>
      </c>
      <c r="M641">
        <v>0.486626</v>
      </c>
      <c r="N641">
        <v>0.486626</v>
      </c>
      <c r="O641" t="s">
        <v>303</v>
      </c>
      <c r="P641">
        <f t="shared" si="9"/>
        <v>0</v>
      </c>
    </row>
    <row r="642" spans="1:16" x14ac:dyDescent="0.25">
      <c r="A642" t="s">
        <v>578</v>
      </c>
      <c r="B642" s="11">
        <v>0.47365000000000002</v>
      </c>
      <c r="C642" s="11">
        <v>0.48732999999999999</v>
      </c>
      <c r="D642" t="s">
        <v>303</v>
      </c>
      <c r="E642">
        <v>3</v>
      </c>
      <c r="F642">
        <v>3</v>
      </c>
      <c r="G642" t="s">
        <v>700</v>
      </c>
      <c r="H642" t="s">
        <v>700</v>
      </c>
      <c r="J642">
        <v>0.48732999999999999</v>
      </c>
      <c r="K642">
        <v>0.47365000000000002</v>
      </c>
      <c r="L642" t="s">
        <v>303</v>
      </c>
      <c r="M642">
        <v>0.48732999999999999</v>
      </c>
      <c r="N642">
        <v>0.47365000000000002</v>
      </c>
      <c r="O642" t="s">
        <v>303</v>
      </c>
      <c r="P642">
        <f t="shared" si="9"/>
        <v>0</v>
      </c>
    </row>
    <row r="643" spans="1:16" x14ac:dyDescent="0.25">
      <c r="A643" t="s">
        <v>669</v>
      </c>
      <c r="B643">
        <v>0.48869600000000002</v>
      </c>
      <c r="C643">
        <v>0.48869600000000002</v>
      </c>
      <c r="D643" t="s">
        <v>303</v>
      </c>
      <c r="E643" t="s">
        <v>910</v>
      </c>
      <c r="F643" t="s">
        <v>910</v>
      </c>
      <c r="J643">
        <v>0.48869600000000002</v>
      </c>
      <c r="K643">
        <v>0.48869600000000002</v>
      </c>
      <c r="L643" t="s">
        <v>303</v>
      </c>
      <c r="M643">
        <v>0.48869600000000002</v>
      </c>
      <c r="N643">
        <v>0.48869600000000002</v>
      </c>
      <c r="O643" t="s">
        <v>303</v>
      </c>
      <c r="P643">
        <f t="shared" ref="P643:P706" si="10">LEN(I643)</f>
        <v>0</v>
      </c>
    </row>
    <row r="644" spans="1:16" x14ac:dyDescent="0.25">
      <c r="A644" t="s">
        <v>669</v>
      </c>
      <c r="B644">
        <v>0.49067499999999997</v>
      </c>
      <c r="C644">
        <v>0.49067499999999997</v>
      </c>
      <c r="D644" t="s">
        <v>303</v>
      </c>
      <c r="E644" t="s">
        <v>910</v>
      </c>
      <c r="F644" t="s">
        <v>910</v>
      </c>
      <c r="J644">
        <v>0.49067499999999997</v>
      </c>
      <c r="K644">
        <v>0.49067499999999997</v>
      </c>
      <c r="L644" t="s">
        <v>303</v>
      </c>
      <c r="M644">
        <v>0.49067499999999997</v>
      </c>
      <c r="N644">
        <v>0.49067499999999997</v>
      </c>
      <c r="O644" t="s">
        <v>303</v>
      </c>
      <c r="P644">
        <f t="shared" si="10"/>
        <v>0</v>
      </c>
    </row>
    <row r="645" spans="1:16" x14ac:dyDescent="0.25">
      <c r="A645" t="s">
        <v>669</v>
      </c>
      <c r="B645">
        <v>0.49170000000000003</v>
      </c>
      <c r="C645">
        <v>0.49170000000000003</v>
      </c>
      <c r="D645" t="s">
        <v>303</v>
      </c>
      <c r="E645" t="s">
        <v>910</v>
      </c>
      <c r="F645" t="s">
        <v>910</v>
      </c>
      <c r="J645">
        <v>0.49170000000000003</v>
      </c>
      <c r="K645">
        <v>0.49170000000000003</v>
      </c>
      <c r="L645" t="s">
        <v>303</v>
      </c>
      <c r="M645">
        <v>0.49170000000000003</v>
      </c>
      <c r="N645">
        <v>0.49170000000000003</v>
      </c>
      <c r="O645" t="s">
        <v>303</v>
      </c>
      <c r="P645">
        <f t="shared" si="10"/>
        <v>0</v>
      </c>
    </row>
    <row r="646" spans="1:16" x14ac:dyDescent="0.25">
      <c r="A646" t="s">
        <v>669</v>
      </c>
      <c r="B646">
        <v>0.492257</v>
      </c>
      <c r="C646">
        <v>0.492257</v>
      </c>
      <c r="D646" t="s">
        <v>303</v>
      </c>
      <c r="E646" t="s">
        <v>910</v>
      </c>
      <c r="F646" t="s">
        <v>910</v>
      </c>
      <c r="J646">
        <v>0.492257</v>
      </c>
      <c r="K646">
        <v>0.492257</v>
      </c>
      <c r="L646" t="s">
        <v>303</v>
      </c>
      <c r="M646">
        <v>0.492257</v>
      </c>
      <c r="N646">
        <v>0.492257</v>
      </c>
      <c r="O646" t="s">
        <v>303</v>
      </c>
      <c r="P646">
        <f t="shared" si="10"/>
        <v>0</v>
      </c>
    </row>
    <row r="647" spans="1:16" x14ac:dyDescent="0.25">
      <c r="A647" t="s">
        <v>669</v>
      </c>
      <c r="B647">
        <v>0.49390099999999998</v>
      </c>
      <c r="C647">
        <v>0.49390099999999998</v>
      </c>
      <c r="D647" t="s">
        <v>303</v>
      </c>
      <c r="E647" t="s">
        <v>910</v>
      </c>
      <c r="F647" t="s">
        <v>910</v>
      </c>
      <c r="J647">
        <v>0.49390099999999998</v>
      </c>
      <c r="K647">
        <v>0.49390099999999998</v>
      </c>
      <c r="L647" t="s">
        <v>303</v>
      </c>
      <c r="M647">
        <v>0.49390099999999998</v>
      </c>
      <c r="N647">
        <v>0.49390099999999998</v>
      </c>
      <c r="O647" t="s">
        <v>303</v>
      </c>
      <c r="P647">
        <f t="shared" si="10"/>
        <v>0</v>
      </c>
    </row>
    <row r="648" spans="1:16" x14ac:dyDescent="0.25">
      <c r="A648" t="s">
        <v>527</v>
      </c>
      <c r="B648">
        <v>494.41680000000002</v>
      </c>
      <c r="C648">
        <v>494.41680000000002</v>
      </c>
      <c r="D648" t="s">
        <v>887</v>
      </c>
      <c r="E648">
        <v>8</v>
      </c>
      <c r="F648">
        <v>8</v>
      </c>
      <c r="G648" t="s">
        <v>687</v>
      </c>
      <c r="H648" t="s">
        <v>687</v>
      </c>
      <c r="J648">
        <v>0.49441680000000005</v>
      </c>
      <c r="K648">
        <v>0.49441680000000005</v>
      </c>
      <c r="L648" t="s">
        <v>303</v>
      </c>
      <c r="M648">
        <v>494.41680000000002</v>
      </c>
      <c r="N648">
        <v>494.41680000000002</v>
      </c>
      <c r="O648" t="s">
        <v>862</v>
      </c>
      <c r="P648">
        <f t="shared" si="10"/>
        <v>0</v>
      </c>
    </row>
    <row r="649" spans="1:16" x14ac:dyDescent="0.25">
      <c r="A649" t="s">
        <v>578</v>
      </c>
      <c r="B649" s="11">
        <v>0.48675000000000002</v>
      </c>
      <c r="C649" s="11">
        <v>0.49458999999999997</v>
      </c>
      <c r="D649" t="s">
        <v>303</v>
      </c>
      <c r="E649">
        <v>3</v>
      </c>
      <c r="F649">
        <v>3</v>
      </c>
      <c r="G649" t="s">
        <v>700</v>
      </c>
      <c r="H649" t="s">
        <v>700</v>
      </c>
      <c r="J649">
        <v>0.49458999999999997</v>
      </c>
      <c r="K649">
        <v>0.48675000000000002</v>
      </c>
      <c r="L649" t="s">
        <v>303</v>
      </c>
      <c r="M649">
        <v>0.49458999999999997</v>
      </c>
      <c r="N649">
        <v>0.48675000000000002</v>
      </c>
      <c r="O649" t="s">
        <v>303</v>
      </c>
      <c r="P649">
        <f t="shared" si="10"/>
        <v>0</v>
      </c>
    </row>
    <row r="650" spans="1:16" x14ac:dyDescent="0.25">
      <c r="A650" t="s">
        <v>578</v>
      </c>
      <c r="B650" s="11">
        <v>0.48962</v>
      </c>
      <c r="C650" s="11">
        <v>0.49847999999999998</v>
      </c>
      <c r="D650" t="s">
        <v>303</v>
      </c>
      <c r="E650">
        <v>3</v>
      </c>
      <c r="F650">
        <v>3</v>
      </c>
      <c r="G650" t="s">
        <v>700</v>
      </c>
      <c r="H650" t="s">
        <v>700</v>
      </c>
      <c r="J650">
        <v>0.49847999999999998</v>
      </c>
      <c r="K650">
        <v>0.48962</v>
      </c>
      <c r="L650" t="s">
        <v>303</v>
      </c>
      <c r="M650">
        <v>0.49847999999999998</v>
      </c>
      <c r="N650">
        <v>0.48962</v>
      </c>
      <c r="O650" t="s">
        <v>303</v>
      </c>
      <c r="P650">
        <f t="shared" si="10"/>
        <v>0</v>
      </c>
    </row>
    <row r="651" spans="1:16" x14ac:dyDescent="0.25">
      <c r="A651" t="s">
        <v>669</v>
      </c>
      <c r="B651">
        <v>0.49995800000000001</v>
      </c>
      <c r="C651">
        <v>0.49995800000000001</v>
      </c>
      <c r="D651" t="s">
        <v>303</v>
      </c>
      <c r="E651" t="s">
        <v>910</v>
      </c>
      <c r="F651" t="s">
        <v>910</v>
      </c>
      <c r="J651">
        <v>0.49995800000000001</v>
      </c>
      <c r="K651">
        <v>0.49995800000000001</v>
      </c>
      <c r="L651" t="s">
        <v>303</v>
      </c>
      <c r="M651">
        <v>0.49995800000000001</v>
      </c>
      <c r="N651">
        <v>0.49995800000000001</v>
      </c>
      <c r="O651" t="s">
        <v>303</v>
      </c>
      <c r="P651">
        <f t="shared" si="10"/>
        <v>0</v>
      </c>
    </row>
    <row r="652" spans="1:16" x14ac:dyDescent="0.25">
      <c r="A652" t="s">
        <v>669</v>
      </c>
      <c r="B652">
        <v>2E-3</v>
      </c>
      <c r="C652">
        <v>0.5</v>
      </c>
      <c r="D652" t="s">
        <v>860</v>
      </c>
      <c r="E652" t="s">
        <v>910</v>
      </c>
      <c r="F652" t="s">
        <v>910</v>
      </c>
      <c r="J652">
        <v>0.5</v>
      </c>
      <c r="K652">
        <v>2E-3</v>
      </c>
      <c r="L652" t="s">
        <v>303</v>
      </c>
      <c r="M652">
        <v>0.5</v>
      </c>
      <c r="N652">
        <v>2E-3</v>
      </c>
      <c r="O652" t="s">
        <v>303</v>
      </c>
      <c r="P652">
        <f t="shared" si="10"/>
        <v>0</v>
      </c>
    </row>
    <row r="653" spans="1:16" x14ac:dyDescent="0.25">
      <c r="A653" t="s">
        <v>669</v>
      </c>
      <c r="B653">
        <v>0.4</v>
      </c>
      <c r="C653">
        <v>0.5</v>
      </c>
      <c r="D653" t="s">
        <v>669</v>
      </c>
      <c r="E653">
        <v>8</v>
      </c>
      <c r="F653">
        <v>8</v>
      </c>
      <c r="G653" t="s">
        <v>687</v>
      </c>
      <c r="H653" t="s">
        <v>687</v>
      </c>
      <c r="I653" t="s">
        <v>927</v>
      </c>
      <c r="J653">
        <v>0.5</v>
      </c>
      <c r="K653">
        <v>0.4</v>
      </c>
      <c r="L653" t="s">
        <v>930</v>
      </c>
      <c r="M653">
        <v>0.5</v>
      </c>
      <c r="N653">
        <v>0.4</v>
      </c>
      <c r="P653">
        <f t="shared" si="10"/>
        <v>14</v>
      </c>
    </row>
    <row r="654" spans="1:16" x14ac:dyDescent="0.25">
      <c r="A654" t="s">
        <v>669</v>
      </c>
      <c r="B654">
        <v>0.5</v>
      </c>
      <c r="C654">
        <v>0.5</v>
      </c>
      <c r="D654" t="s">
        <v>860</v>
      </c>
      <c r="E654" t="s">
        <v>910</v>
      </c>
      <c r="F654" t="s">
        <v>910</v>
      </c>
      <c r="J654">
        <v>0.5</v>
      </c>
      <c r="K654">
        <v>0.5</v>
      </c>
      <c r="L654" t="s">
        <v>303</v>
      </c>
      <c r="M654">
        <v>0.5</v>
      </c>
      <c r="N654">
        <v>0.5</v>
      </c>
      <c r="O654" t="s">
        <v>303</v>
      </c>
      <c r="P654">
        <f t="shared" si="10"/>
        <v>0</v>
      </c>
    </row>
    <row r="655" spans="1:16" x14ac:dyDescent="0.25">
      <c r="A655" t="s">
        <v>669</v>
      </c>
      <c r="B655">
        <v>0.5</v>
      </c>
      <c r="C655">
        <v>0.5</v>
      </c>
      <c r="D655" t="s">
        <v>669</v>
      </c>
      <c r="E655">
        <v>8</v>
      </c>
      <c r="F655">
        <v>8</v>
      </c>
      <c r="G655" t="s">
        <v>687</v>
      </c>
      <c r="H655" t="s">
        <v>687</v>
      </c>
      <c r="I655" t="s">
        <v>927</v>
      </c>
      <c r="J655">
        <v>0.5</v>
      </c>
      <c r="K655">
        <v>0.5</v>
      </c>
      <c r="L655" t="s">
        <v>930</v>
      </c>
      <c r="M655">
        <v>0.5</v>
      </c>
      <c r="N655">
        <v>0.5</v>
      </c>
      <c r="P655">
        <f t="shared" si="10"/>
        <v>14</v>
      </c>
    </row>
    <row r="656" spans="1:16" x14ac:dyDescent="0.25">
      <c r="A656" t="s">
        <v>669</v>
      </c>
      <c r="B656">
        <v>300</v>
      </c>
      <c r="C656">
        <v>500</v>
      </c>
      <c r="D656" t="s">
        <v>862</v>
      </c>
      <c r="E656">
        <v>8</v>
      </c>
      <c r="F656">
        <v>8</v>
      </c>
      <c r="G656" t="s">
        <v>687</v>
      </c>
      <c r="H656" t="s">
        <v>687</v>
      </c>
      <c r="J656">
        <v>0.5</v>
      </c>
      <c r="K656">
        <v>0.3</v>
      </c>
      <c r="L656" t="s">
        <v>303</v>
      </c>
      <c r="M656">
        <v>500</v>
      </c>
      <c r="N656">
        <v>300</v>
      </c>
      <c r="O656" t="s">
        <v>862</v>
      </c>
      <c r="P656">
        <f t="shared" si="10"/>
        <v>0</v>
      </c>
    </row>
    <row r="657" spans="1:16" x14ac:dyDescent="0.25">
      <c r="A657" t="s">
        <v>669</v>
      </c>
      <c r="B657">
        <v>0.50129699999999999</v>
      </c>
      <c r="C657">
        <v>0.50129699999999999</v>
      </c>
      <c r="D657" t="s">
        <v>303</v>
      </c>
      <c r="E657" t="s">
        <v>910</v>
      </c>
      <c r="F657" t="s">
        <v>910</v>
      </c>
      <c r="J657">
        <v>0.50129699999999999</v>
      </c>
      <c r="K657">
        <v>0.50129699999999999</v>
      </c>
      <c r="L657" t="s">
        <v>303</v>
      </c>
      <c r="M657">
        <v>0.50129699999999999</v>
      </c>
      <c r="N657">
        <v>0.50129699999999999</v>
      </c>
      <c r="O657" t="s">
        <v>303</v>
      </c>
      <c r="P657">
        <f t="shared" si="10"/>
        <v>0</v>
      </c>
    </row>
    <row r="658" spans="1:16" x14ac:dyDescent="0.25">
      <c r="A658" t="s">
        <v>669</v>
      </c>
      <c r="B658">
        <v>0.50149999999999995</v>
      </c>
      <c r="C658">
        <v>0.50149999999999995</v>
      </c>
      <c r="D658" t="s">
        <v>303</v>
      </c>
      <c r="E658" t="s">
        <v>910</v>
      </c>
      <c r="F658" t="s">
        <v>910</v>
      </c>
      <c r="J658">
        <v>0.50149999999999995</v>
      </c>
      <c r="K658">
        <v>0.50149999999999995</v>
      </c>
      <c r="L658" t="s">
        <v>303</v>
      </c>
      <c r="M658">
        <v>0.50149999999999995</v>
      </c>
      <c r="N658">
        <v>0.50149999999999995</v>
      </c>
      <c r="O658" t="s">
        <v>303</v>
      </c>
      <c r="P658">
        <f t="shared" si="10"/>
        <v>0</v>
      </c>
    </row>
    <row r="659" spans="1:16" x14ac:dyDescent="0.25">
      <c r="A659" t="s">
        <v>669</v>
      </c>
      <c r="B659">
        <v>0.504158</v>
      </c>
      <c r="C659">
        <v>0.504158</v>
      </c>
      <c r="D659" t="s">
        <v>303</v>
      </c>
      <c r="E659" t="s">
        <v>910</v>
      </c>
      <c r="F659" t="s">
        <v>910</v>
      </c>
      <c r="J659">
        <v>0.504158</v>
      </c>
      <c r="K659">
        <v>0.504158</v>
      </c>
      <c r="L659" t="s">
        <v>303</v>
      </c>
      <c r="M659">
        <v>0.504158</v>
      </c>
      <c r="N659">
        <v>0.504158</v>
      </c>
      <c r="O659" t="s">
        <v>303</v>
      </c>
      <c r="P659">
        <f t="shared" si="10"/>
        <v>0</v>
      </c>
    </row>
    <row r="660" spans="1:16" x14ac:dyDescent="0.25">
      <c r="A660" t="s">
        <v>578</v>
      </c>
      <c r="B660" s="11">
        <v>0.50453000000000003</v>
      </c>
      <c r="C660" s="12">
        <v>0.51280999999999999</v>
      </c>
      <c r="D660" t="s">
        <v>303</v>
      </c>
      <c r="E660">
        <v>3</v>
      </c>
      <c r="F660">
        <v>3</v>
      </c>
      <c r="G660" t="s">
        <v>700</v>
      </c>
      <c r="H660" t="s">
        <v>700</v>
      </c>
      <c r="J660">
        <v>0.50453000000000003</v>
      </c>
      <c r="K660">
        <v>0.50453000000000003</v>
      </c>
      <c r="L660" t="s">
        <v>303</v>
      </c>
      <c r="M660">
        <v>0.50453000000000003</v>
      </c>
      <c r="N660">
        <v>0.50453000000000003</v>
      </c>
      <c r="O660" t="s">
        <v>303</v>
      </c>
      <c r="P660">
        <f t="shared" si="10"/>
        <v>0</v>
      </c>
    </row>
    <row r="661" spans="1:16" x14ac:dyDescent="0.25">
      <c r="A661" t="s">
        <v>669</v>
      </c>
      <c r="B661">
        <v>0.50497999999999998</v>
      </c>
      <c r="C661">
        <v>0.50497999999999998</v>
      </c>
      <c r="D661" t="s">
        <v>303</v>
      </c>
      <c r="E661" t="s">
        <v>910</v>
      </c>
      <c r="F661" t="s">
        <v>910</v>
      </c>
      <c r="J661">
        <v>0.50497999999999998</v>
      </c>
      <c r="K661">
        <v>0.50497999999999998</v>
      </c>
      <c r="L661" t="s">
        <v>303</v>
      </c>
      <c r="M661">
        <v>0.50497999999999998</v>
      </c>
      <c r="N661">
        <v>0.50497999999999998</v>
      </c>
      <c r="O661" t="s">
        <v>303</v>
      </c>
      <c r="P661">
        <f t="shared" si="10"/>
        <v>0</v>
      </c>
    </row>
    <row r="662" spans="1:16" x14ac:dyDescent="0.25">
      <c r="A662" t="s">
        <v>669</v>
      </c>
      <c r="B662">
        <v>0.50609999999999999</v>
      </c>
      <c r="C662">
        <v>0.50609999999999999</v>
      </c>
      <c r="D662" t="s">
        <v>303</v>
      </c>
      <c r="E662" t="s">
        <v>910</v>
      </c>
      <c r="F662" t="s">
        <v>910</v>
      </c>
      <c r="J662">
        <v>0.50609999999999999</v>
      </c>
      <c r="K662">
        <v>0.50609999999999999</v>
      </c>
      <c r="L662" t="s">
        <v>303</v>
      </c>
      <c r="M662">
        <v>0.50609999999999999</v>
      </c>
      <c r="N662">
        <v>0.50609999999999999</v>
      </c>
      <c r="O662" t="s">
        <v>303</v>
      </c>
      <c r="P662">
        <f t="shared" si="10"/>
        <v>0</v>
      </c>
    </row>
    <row r="663" spans="1:16" x14ac:dyDescent="0.25">
      <c r="A663" t="s">
        <v>669</v>
      </c>
      <c r="B663">
        <v>0.50729999999999997</v>
      </c>
      <c r="C663">
        <v>0.50729999999999997</v>
      </c>
      <c r="D663" t="s">
        <v>303</v>
      </c>
      <c r="E663" t="s">
        <v>910</v>
      </c>
      <c r="F663" t="s">
        <v>910</v>
      </c>
      <c r="J663">
        <v>0.50729999999999997</v>
      </c>
      <c r="K663">
        <v>0.50729999999999997</v>
      </c>
      <c r="L663" t="s">
        <v>303</v>
      </c>
      <c r="M663">
        <v>0.50729999999999997</v>
      </c>
      <c r="N663">
        <v>0.50729999999999997</v>
      </c>
      <c r="O663" t="s">
        <v>303</v>
      </c>
      <c r="P663">
        <f t="shared" si="10"/>
        <v>0</v>
      </c>
    </row>
    <row r="664" spans="1:16" x14ac:dyDescent="0.25">
      <c r="A664" t="s">
        <v>669</v>
      </c>
      <c r="B664">
        <v>0.50790000000000002</v>
      </c>
      <c r="C664">
        <v>0.50790000000000002</v>
      </c>
      <c r="D664" t="s">
        <v>303</v>
      </c>
      <c r="E664" t="s">
        <v>910</v>
      </c>
      <c r="F664" t="s">
        <v>910</v>
      </c>
      <c r="J664">
        <v>0.50790000000000002</v>
      </c>
      <c r="K664">
        <v>0.50790000000000002</v>
      </c>
      <c r="L664" t="s">
        <v>303</v>
      </c>
      <c r="M664">
        <v>0.50790000000000002</v>
      </c>
      <c r="N664">
        <v>0.50790000000000002</v>
      </c>
      <c r="O664" t="s">
        <v>303</v>
      </c>
      <c r="P664">
        <f t="shared" si="10"/>
        <v>0</v>
      </c>
    </row>
    <row r="665" spans="1:16" x14ac:dyDescent="0.25">
      <c r="A665" t="s">
        <v>669</v>
      </c>
      <c r="B665">
        <v>0.50814599999999999</v>
      </c>
      <c r="C665">
        <v>0.50814599999999999</v>
      </c>
      <c r="D665" t="s">
        <v>303</v>
      </c>
      <c r="E665" t="s">
        <v>910</v>
      </c>
      <c r="F665" t="s">
        <v>910</v>
      </c>
      <c r="J665">
        <v>0.50814599999999999</v>
      </c>
      <c r="K665">
        <v>0.50814599999999999</v>
      </c>
      <c r="L665" t="s">
        <v>303</v>
      </c>
      <c r="M665">
        <v>0.50814599999999999</v>
      </c>
      <c r="N665">
        <v>0.50814599999999999</v>
      </c>
      <c r="O665" t="s">
        <v>303</v>
      </c>
      <c r="P665">
        <f t="shared" si="10"/>
        <v>0</v>
      </c>
    </row>
    <row r="666" spans="1:16" x14ac:dyDescent="0.25">
      <c r="A666" t="s">
        <v>669</v>
      </c>
      <c r="B666">
        <v>0.50839999999999996</v>
      </c>
      <c r="C666">
        <v>0.50839999999999996</v>
      </c>
      <c r="D666" t="s">
        <v>303</v>
      </c>
      <c r="E666" t="s">
        <v>910</v>
      </c>
      <c r="F666" t="s">
        <v>910</v>
      </c>
      <c r="J666">
        <v>0.50839999999999996</v>
      </c>
      <c r="K666">
        <v>0.50839999999999996</v>
      </c>
      <c r="L666" t="s">
        <v>303</v>
      </c>
      <c r="M666">
        <v>0.50839999999999996</v>
      </c>
      <c r="N666">
        <v>0.50839999999999996</v>
      </c>
      <c r="O666" t="s">
        <v>303</v>
      </c>
      <c r="P666">
        <f t="shared" si="10"/>
        <v>0</v>
      </c>
    </row>
    <row r="667" spans="1:16" x14ac:dyDescent="0.25">
      <c r="A667" t="s">
        <v>527</v>
      </c>
      <c r="B667">
        <v>509.48849999999999</v>
      </c>
      <c r="C667">
        <v>509.48849999999999</v>
      </c>
      <c r="D667" t="s">
        <v>887</v>
      </c>
      <c r="E667">
        <v>8</v>
      </c>
      <c r="F667">
        <v>8</v>
      </c>
      <c r="G667" t="s">
        <v>687</v>
      </c>
      <c r="H667" t="s">
        <v>687</v>
      </c>
      <c r="J667">
        <v>0.50948850000000001</v>
      </c>
      <c r="K667">
        <v>0.50948850000000001</v>
      </c>
      <c r="L667" t="s">
        <v>303</v>
      </c>
      <c r="M667">
        <v>509.48849999999999</v>
      </c>
      <c r="N667">
        <v>509.48849999999999</v>
      </c>
      <c r="O667" t="s">
        <v>862</v>
      </c>
      <c r="P667">
        <f t="shared" si="10"/>
        <v>0</v>
      </c>
    </row>
    <row r="668" spans="1:16" x14ac:dyDescent="0.25">
      <c r="A668" t="s">
        <v>669</v>
      </c>
      <c r="B668">
        <v>0.50949999999999995</v>
      </c>
      <c r="C668">
        <v>0.50949999999999995</v>
      </c>
      <c r="D668" t="s">
        <v>303</v>
      </c>
      <c r="E668" t="s">
        <v>910</v>
      </c>
      <c r="F668" t="s">
        <v>910</v>
      </c>
      <c r="J668">
        <v>0.50949999999999995</v>
      </c>
      <c r="K668">
        <v>0.50949999999999995</v>
      </c>
      <c r="L668" t="s">
        <v>303</v>
      </c>
      <c r="M668">
        <v>0.50949999999999995</v>
      </c>
      <c r="N668">
        <v>0.50949999999999995</v>
      </c>
      <c r="O668" t="s">
        <v>303</v>
      </c>
      <c r="P668">
        <f t="shared" si="10"/>
        <v>0</v>
      </c>
    </row>
    <row r="669" spans="1:16" x14ac:dyDescent="0.25">
      <c r="A669" t="s">
        <v>669</v>
      </c>
      <c r="B669">
        <v>0.50954600000000005</v>
      </c>
      <c r="C669">
        <v>0.50954600000000005</v>
      </c>
      <c r="D669" t="s">
        <v>303</v>
      </c>
      <c r="E669" t="s">
        <v>910</v>
      </c>
      <c r="F669" t="s">
        <v>910</v>
      </c>
      <c r="J669">
        <v>0.50954600000000005</v>
      </c>
      <c r="K669">
        <v>0.50954600000000005</v>
      </c>
      <c r="L669" t="s">
        <v>303</v>
      </c>
      <c r="M669">
        <v>0.50954600000000005</v>
      </c>
      <c r="N669">
        <v>0.50954600000000005</v>
      </c>
      <c r="O669" t="s">
        <v>303</v>
      </c>
      <c r="P669">
        <f t="shared" si="10"/>
        <v>0</v>
      </c>
    </row>
    <row r="670" spans="1:16" x14ac:dyDescent="0.25">
      <c r="A670" t="s">
        <v>669</v>
      </c>
      <c r="B670">
        <v>450</v>
      </c>
      <c r="C670">
        <v>510</v>
      </c>
      <c r="D670" t="s">
        <v>864</v>
      </c>
      <c r="E670">
        <v>8</v>
      </c>
      <c r="F670">
        <v>8</v>
      </c>
      <c r="G670" t="s">
        <v>687</v>
      </c>
      <c r="H670" t="s">
        <v>687</v>
      </c>
      <c r="J670">
        <v>0.51</v>
      </c>
      <c r="K670">
        <v>0.45</v>
      </c>
      <c r="L670" t="s">
        <v>303</v>
      </c>
      <c r="M670">
        <v>510</v>
      </c>
      <c r="N670">
        <v>450</v>
      </c>
      <c r="O670" t="s">
        <v>862</v>
      </c>
      <c r="P670">
        <f t="shared" si="10"/>
        <v>0</v>
      </c>
    </row>
    <row r="671" spans="1:16" x14ac:dyDescent="0.25">
      <c r="A671" t="s">
        <v>669</v>
      </c>
      <c r="B671">
        <v>0.51216399999999995</v>
      </c>
      <c r="C671">
        <v>0.51216399999999995</v>
      </c>
      <c r="D671" t="s">
        <v>303</v>
      </c>
      <c r="E671" t="s">
        <v>910</v>
      </c>
      <c r="F671" t="s">
        <v>910</v>
      </c>
      <c r="J671">
        <v>0.51216399999999995</v>
      </c>
      <c r="K671">
        <v>0.51216399999999995</v>
      </c>
      <c r="L671" t="s">
        <v>303</v>
      </c>
      <c r="M671">
        <v>0.51216399999999995</v>
      </c>
      <c r="N671">
        <v>0.51216399999999995</v>
      </c>
      <c r="O671" t="s">
        <v>303</v>
      </c>
      <c r="P671">
        <f t="shared" si="10"/>
        <v>0</v>
      </c>
    </row>
    <row r="672" spans="1:16" x14ac:dyDescent="0.25">
      <c r="A672" t="s">
        <v>669</v>
      </c>
      <c r="B672">
        <v>0.51350300000000004</v>
      </c>
      <c r="C672">
        <v>0.51350300000000004</v>
      </c>
      <c r="D672" t="s">
        <v>303</v>
      </c>
      <c r="E672" t="s">
        <v>910</v>
      </c>
      <c r="F672" t="s">
        <v>910</v>
      </c>
      <c r="J672">
        <v>0.51350300000000004</v>
      </c>
      <c r="K672">
        <v>0.51350300000000004</v>
      </c>
      <c r="L672" t="s">
        <v>303</v>
      </c>
      <c r="M672">
        <v>0.51350300000000004</v>
      </c>
      <c r="N672">
        <v>0.51350300000000004</v>
      </c>
      <c r="O672" t="s">
        <v>303</v>
      </c>
      <c r="P672">
        <f t="shared" si="10"/>
        <v>0</v>
      </c>
    </row>
    <row r="673" spans="1:16" x14ac:dyDescent="0.25">
      <c r="A673" t="s">
        <v>527</v>
      </c>
      <c r="B673">
        <v>514.06569999999999</v>
      </c>
      <c r="C673">
        <v>514.06569999999999</v>
      </c>
      <c r="D673" t="s">
        <v>887</v>
      </c>
      <c r="E673">
        <v>8</v>
      </c>
      <c r="F673">
        <v>8</v>
      </c>
      <c r="G673" t="s">
        <v>687</v>
      </c>
      <c r="H673" t="s">
        <v>687</v>
      </c>
      <c r="J673">
        <v>0.51406569999999996</v>
      </c>
      <c r="K673">
        <v>0.51406569999999996</v>
      </c>
      <c r="L673" t="s">
        <v>303</v>
      </c>
      <c r="M673">
        <v>514.06569999999999</v>
      </c>
      <c r="N673">
        <v>514.06569999999999</v>
      </c>
      <c r="O673" t="s">
        <v>862</v>
      </c>
      <c r="P673">
        <f t="shared" si="10"/>
        <v>0</v>
      </c>
    </row>
    <row r="674" spans="1:16" x14ac:dyDescent="0.25">
      <c r="A674" t="s">
        <v>669</v>
      </c>
      <c r="B674">
        <v>0.51615100000000003</v>
      </c>
      <c r="C674">
        <v>0.51615100000000003</v>
      </c>
      <c r="D674" t="s">
        <v>303</v>
      </c>
      <c r="E674" t="s">
        <v>910</v>
      </c>
      <c r="F674" t="s">
        <v>910</v>
      </c>
      <c r="J674">
        <v>0.51615100000000003</v>
      </c>
      <c r="K674">
        <v>0.51615100000000003</v>
      </c>
      <c r="L674" t="s">
        <v>303</v>
      </c>
      <c r="M674">
        <v>0.51615100000000003</v>
      </c>
      <c r="N674">
        <v>0.51615100000000003</v>
      </c>
      <c r="O674" t="s">
        <v>303</v>
      </c>
      <c r="P674">
        <f t="shared" si="10"/>
        <v>0</v>
      </c>
    </row>
    <row r="675" spans="1:16" x14ac:dyDescent="0.25">
      <c r="A675" t="s">
        <v>669</v>
      </c>
      <c r="B675">
        <v>0.51729999999999998</v>
      </c>
      <c r="C675">
        <v>0.51729999999999998</v>
      </c>
      <c r="D675" t="s">
        <v>303</v>
      </c>
      <c r="E675" t="s">
        <v>910</v>
      </c>
      <c r="F675" t="s">
        <v>910</v>
      </c>
      <c r="J675">
        <v>0.51729999999999998</v>
      </c>
      <c r="K675">
        <v>0.51729999999999998</v>
      </c>
      <c r="L675" t="s">
        <v>303</v>
      </c>
      <c r="M675">
        <v>0.51729999999999998</v>
      </c>
      <c r="N675">
        <v>0.51729999999999998</v>
      </c>
      <c r="O675" t="s">
        <v>303</v>
      </c>
      <c r="P675">
        <f t="shared" si="10"/>
        <v>0</v>
      </c>
    </row>
    <row r="676" spans="1:16" x14ac:dyDescent="0.25">
      <c r="A676" t="s">
        <v>669</v>
      </c>
      <c r="B676">
        <v>0.51749000000000001</v>
      </c>
      <c r="C676">
        <v>0.51749000000000001</v>
      </c>
      <c r="D676" t="s">
        <v>303</v>
      </c>
      <c r="E676" t="s">
        <v>910</v>
      </c>
      <c r="F676" t="s">
        <v>910</v>
      </c>
      <c r="J676">
        <v>0.51749000000000001</v>
      </c>
      <c r="K676">
        <v>0.51749000000000001</v>
      </c>
      <c r="L676" t="s">
        <v>303</v>
      </c>
      <c r="M676">
        <v>0.51749000000000001</v>
      </c>
      <c r="N676">
        <v>0.51749000000000001</v>
      </c>
      <c r="O676" t="s">
        <v>303</v>
      </c>
      <c r="P676">
        <f t="shared" si="10"/>
        <v>0</v>
      </c>
    </row>
    <row r="677" spans="1:16" x14ac:dyDescent="0.25">
      <c r="A677" t="s">
        <v>669</v>
      </c>
      <c r="B677">
        <v>0.51800000000000002</v>
      </c>
      <c r="C677">
        <v>0.51800000000000002</v>
      </c>
      <c r="D677" t="s">
        <v>303</v>
      </c>
      <c r="E677" t="s">
        <v>910</v>
      </c>
      <c r="F677" t="s">
        <v>910</v>
      </c>
      <c r="J677">
        <v>0.51800000000000002</v>
      </c>
      <c r="K677">
        <v>0.51800000000000002</v>
      </c>
      <c r="L677" t="s">
        <v>303</v>
      </c>
      <c r="M677">
        <v>0.51800000000000002</v>
      </c>
      <c r="N677">
        <v>0.51800000000000002</v>
      </c>
      <c r="O677" t="s">
        <v>303</v>
      </c>
      <c r="P677">
        <f t="shared" si="10"/>
        <v>0</v>
      </c>
    </row>
    <row r="678" spans="1:16" x14ac:dyDescent="0.25">
      <c r="A678" t="s">
        <v>578</v>
      </c>
      <c r="B678" s="12">
        <v>0.50979999999999903</v>
      </c>
      <c r="C678" s="11">
        <v>0.51854</v>
      </c>
      <c r="D678" t="s">
        <v>303</v>
      </c>
      <c r="E678">
        <v>3</v>
      </c>
      <c r="F678">
        <v>3</v>
      </c>
      <c r="G678" t="s">
        <v>700</v>
      </c>
      <c r="H678" t="s">
        <v>700</v>
      </c>
      <c r="J678">
        <v>0.51854</v>
      </c>
      <c r="K678">
        <v>0.51854</v>
      </c>
      <c r="L678" t="s">
        <v>303</v>
      </c>
      <c r="M678">
        <v>0.51854</v>
      </c>
      <c r="N678">
        <v>0.51854</v>
      </c>
      <c r="O678" t="s">
        <v>303</v>
      </c>
      <c r="P678">
        <f t="shared" si="10"/>
        <v>0</v>
      </c>
    </row>
    <row r="679" spans="1:16" x14ac:dyDescent="0.25">
      <c r="A679" t="s">
        <v>669</v>
      </c>
      <c r="B679">
        <v>0.51859999999999995</v>
      </c>
      <c r="C679">
        <v>0.51859999999999995</v>
      </c>
      <c r="D679" t="s">
        <v>303</v>
      </c>
      <c r="E679" t="s">
        <v>910</v>
      </c>
      <c r="F679" t="s">
        <v>910</v>
      </c>
      <c r="J679">
        <v>0.51859999999999995</v>
      </c>
      <c r="K679">
        <v>0.51859999999999995</v>
      </c>
      <c r="L679" t="s">
        <v>303</v>
      </c>
      <c r="M679">
        <v>0.51859999999999995</v>
      </c>
      <c r="N679">
        <v>0.51859999999999995</v>
      </c>
      <c r="O679" t="s">
        <v>303</v>
      </c>
      <c r="P679">
        <f t="shared" si="10"/>
        <v>0</v>
      </c>
    </row>
    <row r="680" spans="1:16" x14ac:dyDescent="0.25">
      <c r="A680" t="s">
        <v>669</v>
      </c>
      <c r="B680">
        <v>0.51929999999999998</v>
      </c>
      <c r="C680">
        <v>0.51929999999999998</v>
      </c>
      <c r="D680" t="s">
        <v>303</v>
      </c>
      <c r="E680" t="s">
        <v>910</v>
      </c>
      <c r="F680" t="s">
        <v>910</v>
      </c>
      <c r="J680">
        <v>0.51929999999999998</v>
      </c>
      <c r="K680">
        <v>0.51929999999999998</v>
      </c>
      <c r="L680" t="s">
        <v>303</v>
      </c>
      <c r="M680">
        <v>0.51929999999999998</v>
      </c>
      <c r="N680">
        <v>0.51929999999999998</v>
      </c>
      <c r="O680" t="s">
        <v>303</v>
      </c>
      <c r="P680">
        <f t="shared" si="10"/>
        <v>0</v>
      </c>
    </row>
    <row r="681" spans="1:16" x14ac:dyDescent="0.25">
      <c r="A681" t="s">
        <v>669</v>
      </c>
      <c r="B681">
        <v>0.52016899999999999</v>
      </c>
      <c r="C681">
        <v>0.52016899999999999</v>
      </c>
      <c r="D681" t="s">
        <v>303</v>
      </c>
      <c r="E681" t="s">
        <v>910</v>
      </c>
      <c r="F681" t="s">
        <v>910</v>
      </c>
      <c r="J681">
        <v>0.52016899999999999</v>
      </c>
      <c r="K681">
        <v>0.52016899999999999</v>
      </c>
      <c r="L681" t="s">
        <v>303</v>
      </c>
      <c r="M681">
        <v>0.52016899999999999</v>
      </c>
      <c r="N681">
        <v>0.52016899999999999</v>
      </c>
      <c r="O681" t="s">
        <v>303</v>
      </c>
      <c r="P681">
        <f t="shared" si="10"/>
        <v>0</v>
      </c>
    </row>
    <row r="682" spans="1:16" x14ac:dyDescent="0.25">
      <c r="A682" t="s">
        <v>669</v>
      </c>
      <c r="B682">
        <v>0.52129999999999999</v>
      </c>
      <c r="C682">
        <v>0.52129999999999999</v>
      </c>
      <c r="D682" t="s">
        <v>303</v>
      </c>
      <c r="E682" t="s">
        <v>910</v>
      </c>
      <c r="F682" t="s">
        <v>910</v>
      </c>
      <c r="J682">
        <v>0.52129999999999999</v>
      </c>
      <c r="K682">
        <v>0.52129999999999999</v>
      </c>
      <c r="L682" t="s">
        <v>303</v>
      </c>
      <c r="M682">
        <v>0.52129999999999999</v>
      </c>
      <c r="N682">
        <v>0.52129999999999999</v>
      </c>
      <c r="O682" t="s">
        <v>303</v>
      </c>
      <c r="P682">
        <f t="shared" si="10"/>
        <v>0</v>
      </c>
    </row>
    <row r="683" spans="1:16" x14ac:dyDescent="0.25">
      <c r="A683" t="s">
        <v>669</v>
      </c>
      <c r="B683">
        <v>0.52137100000000003</v>
      </c>
      <c r="C683">
        <v>0.52137100000000003</v>
      </c>
      <c r="D683" t="s">
        <v>303</v>
      </c>
      <c r="E683" t="s">
        <v>910</v>
      </c>
      <c r="F683" t="s">
        <v>910</v>
      </c>
      <c r="J683">
        <v>0.52137100000000003</v>
      </c>
      <c r="K683">
        <v>0.52137100000000003</v>
      </c>
      <c r="L683" t="s">
        <v>303</v>
      </c>
      <c r="M683">
        <v>0.52137100000000003</v>
      </c>
      <c r="N683">
        <v>0.52137100000000003</v>
      </c>
      <c r="O683" t="s">
        <v>303</v>
      </c>
      <c r="P683">
        <f t="shared" si="10"/>
        <v>0</v>
      </c>
    </row>
    <row r="684" spans="1:16" x14ac:dyDescent="0.25">
      <c r="A684" t="s">
        <v>669</v>
      </c>
      <c r="B684">
        <v>0.52190000000000003</v>
      </c>
      <c r="C684">
        <v>0.52190000000000003</v>
      </c>
      <c r="D684" t="s">
        <v>303</v>
      </c>
      <c r="E684" t="s">
        <v>910</v>
      </c>
      <c r="F684" t="s">
        <v>910</v>
      </c>
      <c r="J684">
        <v>0.52190000000000003</v>
      </c>
      <c r="K684">
        <v>0.52190000000000003</v>
      </c>
      <c r="L684" t="s">
        <v>303</v>
      </c>
      <c r="M684">
        <v>0.52190000000000003</v>
      </c>
      <c r="N684">
        <v>0.52190000000000003</v>
      </c>
      <c r="O684" t="s">
        <v>303</v>
      </c>
      <c r="P684">
        <f t="shared" si="10"/>
        <v>0</v>
      </c>
    </row>
    <row r="685" spans="1:16" x14ac:dyDescent="0.25">
      <c r="A685" t="s">
        <v>578</v>
      </c>
      <c r="B685" s="11">
        <v>0.51139999999999997</v>
      </c>
      <c r="C685" s="11">
        <v>0.52234000000000003</v>
      </c>
      <c r="D685" t="s">
        <v>303</v>
      </c>
      <c r="E685">
        <v>3</v>
      </c>
      <c r="F685">
        <v>3</v>
      </c>
      <c r="G685" t="s">
        <v>700</v>
      </c>
      <c r="H685" t="s">
        <v>700</v>
      </c>
      <c r="J685">
        <v>0.52234000000000003</v>
      </c>
      <c r="K685">
        <v>0.51139999999999997</v>
      </c>
      <c r="L685" t="s">
        <v>303</v>
      </c>
      <c r="M685">
        <v>0.52234000000000003</v>
      </c>
      <c r="N685">
        <v>0.51139999999999997</v>
      </c>
      <c r="O685" t="s">
        <v>303</v>
      </c>
      <c r="P685">
        <f t="shared" si="10"/>
        <v>0</v>
      </c>
    </row>
    <row r="686" spans="1:16" x14ac:dyDescent="0.25">
      <c r="A686" t="s">
        <v>669</v>
      </c>
      <c r="B686">
        <v>0.52315100000000003</v>
      </c>
      <c r="C686">
        <v>0.52315100000000003</v>
      </c>
      <c r="D686" t="s">
        <v>303</v>
      </c>
      <c r="E686" t="s">
        <v>910</v>
      </c>
      <c r="F686" t="s">
        <v>910</v>
      </c>
      <c r="J686">
        <v>0.52315100000000003</v>
      </c>
      <c r="K686">
        <v>0.52315100000000003</v>
      </c>
      <c r="L686" t="s">
        <v>303</v>
      </c>
      <c r="M686">
        <v>0.52315100000000003</v>
      </c>
      <c r="N686">
        <v>0.52315100000000003</v>
      </c>
      <c r="O686" t="s">
        <v>303</v>
      </c>
      <c r="P686">
        <f t="shared" si="10"/>
        <v>0</v>
      </c>
    </row>
    <row r="687" spans="1:16" x14ac:dyDescent="0.25">
      <c r="A687" t="s">
        <v>578</v>
      </c>
      <c r="B687" s="11">
        <v>0.52751000000000003</v>
      </c>
      <c r="C687" s="12">
        <v>0.53420999999999996</v>
      </c>
      <c r="D687" t="s">
        <v>303</v>
      </c>
      <c r="E687">
        <v>3</v>
      </c>
      <c r="F687">
        <v>3</v>
      </c>
      <c r="G687" t="s">
        <v>700</v>
      </c>
      <c r="H687" t="s">
        <v>700</v>
      </c>
      <c r="J687">
        <v>0.52751000000000003</v>
      </c>
      <c r="K687">
        <v>0.52751000000000003</v>
      </c>
      <c r="L687" t="s">
        <v>303</v>
      </c>
      <c r="M687">
        <v>0.52751000000000003</v>
      </c>
      <c r="N687">
        <v>0.52751000000000003</v>
      </c>
      <c r="O687" t="s">
        <v>303</v>
      </c>
      <c r="P687">
        <f t="shared" si="10"/>
        <v>0</v>
      </c>
    </row>
    <row r="688" spans="1:16" x14ac:dyDescent="0.25">
      <c r="A688" t="s">
        <v>669</v>
      </c>
      <c r="B688">
        <v>0.52790000000000004</v>
      </c>
      <c r="C688">
        <v>0.52790000000000004</v>
      </c>
      <c r="D688" t="s">
        <v>303</v>
      </c>
      <c r="E688" t="s">
        <v>910</v>
      </c>
      <c r="F688" t="s">
        <v>910</v>
      </c>
      <c r="J688">
        <v>0.52790000000000004</v>
      </c>
      <c r="K688">
        <v>0.52790000000000004</v>
      </c>
      <c r="L688" t="s">
        <v>303</v>
      </c>
      <c r="M688">
        <v>0.52790000000000004</v>
      </c>
      <c r="N688">
        <v>0.52790000000000004</v>
      </c>
      <c r="O688" t="s">
        <v>303</v>
      </c>
      <c r="P688">
        <f t="shared" si="10"/>
        <v>0</v>
      </c>
    </row>
    <row r="689" spans="1:16" x14ac:dyDescent="0.25">
      <c r="A689" t="s">
        <v>669</v>
      </c>
      <c r="B689">
        <v>0.52839999999999998</v>
      </c>
      <c r="C689">
        <v>0.52839999999999998</v>
      </c>
      <c r="D689" t="s">
        <v>303</v>
      </c>
      <c r="E689" t="s">
        <v>910</v>
      </c>
      <c r="F689" t="s">
        <v>910</v>
      </c>
      <c r="J689">
        <v>0.52839999999999998</v>
      </c>
      <c r="K689">
        <v>0.52839999999999998</v>
      </c>
      <c r="L689" t="s">
        <v>303</v>
      </c>
      <c r="M689">
        <v>0.52839999999999998</v>
      </c>
      <c r="N689">
        <v>0.52839999999999998</v>
      </c>
      <c r="O689" t="s">
        <v>303</v>
      </c>
      <c r="P689">
        <f t="shared" si="10"/>
        <v>0</v>
      </c>
    </row>
    <row r="690" spans="1:16" x14ac:dyDescent="0.25">
      <c r="A690" t="s">
        <v>669</v>
      </c>
      <c r="B690">
        <v>0.52908699999999997</v>
      </c>
      <c r="C690">
        <v>0.52908699999999997</v>
      </c>
      <c r="D690" t="s">
        <v>303</v>
      </c>
      <c r="E690" t="s">
        <v>910</v>
      </c>
      <c r="F690" t="s">
        <v>910</v>
      </c>
      <c r="J690">
        <v>0.52908699999999997</v>
      </c>
      <c r="K690">
        <v>0.52908699999999997</v>
      </c>
      <c r="L690" t="s">
        <v>303</v>
      </c>
      <c r="M690">
        <v>0.52908699999999997</v>
      </c>
      <c r="N690">
        <v>0.52908699999999997</v>
      </c>
      <c r="O690" t="s">
        <v>303</v>
      </c>
      <c r="P690">
        <f t="shared" si="10"/>
        <v>0</v>
      </c>
    </row>
    <row r="691" spans="1:16" x14ac:dyDescent="0.25">
      <c r="A691" t="s">
        <v>669</v>
      </c>
      <c r="B691">
        <v>0.5292</v>
      </c>
      <c r="C691">
        <v>0.5292</v>
      </c>
      <c r="D691" t="s">
        <v>303</v>
      </c>
      <c r="E691" t="s">
        <v>910</v>
      </c>
      <c r="F691" t="s">
        <v>910</v>
      </c>
      <c r="J691">
        <v>0.5292</v>
      </c>
      <c r="K691">
        <v>0.5292</v>
      </c>
      <c r="L691" t="s">
        <v>303</v>
      </c>
      <c r="M691">
        <v>0.5292</v>
      </c>
      <c r="N691">
        <v>0.5292</v>
      </c>
      <c r="O691" t="s">
        <v>303</v>
      </c>
      <c r="P691">
        <f t="shared" si="10"/>
        <v>0</v>
      </c>
    </row>
    <row r="692" spans="1:16" x14ac:dyDescent="0.25">
      <c r="A692" t="s">
        <v>669</v>
      </c>
      <c r="B692">
        <v>0.52939999999999998</v>
      </c>
      <c r="C692">
        <v>0.52939999999999998</v>
      </c>
      <c r="D692" t="s">
        <v>303</v>
      </c>
      <c r="E692" t="s">
        <v>910</v>
      </c>
      <c r="F692" t="s">
        <v>910</v>
      </c>
      <c r="J692">
        <v>0.52939999999999998</v>
      </c>
      <c r="K692">
        <v>0.52939999999999998</v>
      </c>
      <c r="L692" t="s">
        <v>303</v>
      </c>
      <c r="M692">
        <v>0.52939999999999998</v>
      </c>
      <c r="N692">
        <v>0.52939999999999998</v>
      </c>
      <c r="O692" t="s">
        <v>303</v>
      </c>
      <c r="P692">
        <f t="shared" si="10"/>
        <v>0</v>
      </c>
    </row>
    <row r="693" spans="1:16" x14ac:dyDescent="0.25">
      <c r="A693" t="s">
        <v>669</v>
      </c>
      <c r="B693">
        <v>0.52990000000000004</v>
      </c>
      <c r="C693">
        <v>0.52990000000000004</v>
      </c>
      <c r="D693" t="s">
        <v>303</v>
      </c>
      <c r="E693" t="s">
        <v>910</v>
      </c>
      <c r="F693" t="s">
        <v>910</v>
      </c>
      <c r="J693">
        <v>0.52990000000000004</v>
      </c>
      <c r="K693">
        <v>0.52990000000000004</v>
      </c>
      <c r="L693" t="s">
        <v>303</v>
      </c>
      <c r="M693">
        <v>0.52990000000000004</v>
      </c>
      <c r="N693">
        <v>0.52990000000000004</v>
      </c>
      <c r="O693" t="s">
        <v>303</v>
      </c>
      <c r="P693">
        <f t="shared" si="10"/>
        <v>0</v>
      </c>
    </row>
    <row r="694" spans="1:16" x14ac:dyDescent="0.25">
      <c r="A694" t="s">
        <v>669</v>
      </c>
      <c r="B694">
        <v>0.53</v>
      </c>
      <c r="C694">
        <v>0.53</v>
      </c>
      <c r="D694" t="s">
        <v>303</v>
      </c>
      <c r="E694" t="s">
        <v>910</v>
      </c>
      <c r="F694" t="s">
        <v>910</v>
      </c>
      <c r="J694">
        <v>0.53</v>
      </c>
      <c r="K694">
        <v>0.53</v>
      </c>
      <c r="L694" t="s">
        <v>303</v>
      </c>
      <c r="M694">
        <v>0.53</v>
      </c>
      <c r="N694">
        <v>0.53</v>
      </c>
      <c r="O694" t="s">
        <v>303</v>
      </c>
      <c r="P694">
        <f t="shared" si="10"/>
        <v>0</v>
      </c>
    </row>
    <row r="695" spans="1:16" x14ac:dyDescent="0.25">
      <c r="A695" t="s">
        <v>669</v>
      </c>
      <c r="B695">
        <v>0.53115699999999999</v>
      </c>
      <c r="C695">
        <v>0.53115699999999999</v>
      </c>
      <c r="D695" t="s">
        <v>303</v>
      </c>
      <c r="E695" t="s">
        <v>910</v>
      </c>
      <c r="F695" t="s">
        <v>910</v>
      </c>
      <c r="J695">
        <v>0.53115699999999999</v>
      </c>
      <c r="K695">
        <v>0.53115699999999999</v>
      </c>
      <c r="L695" t="s">
        <v>303</v>
      </c>
      <c r="M695">
        <v>0.53115699999999999</v>
      </c>
      <c r="N695">
        <v>0.53115699999999999</v>
      </c>
      <c r="O695" t="s">
        <v>303</v>
      </c>
      <c r="P695">
        <f t="shared" si="10"/>
        <v>0</v>
      </c>
    </row>
    <row r="696" spans="1:16" x14ac:dyDescent="0.25">
      <c r="A696" t="s">
        <v>669</v>
      </c>
      <c r="B696">
        <v>0.53362200000000004</v>
      </c>
      <c r="C696">
        <v>0.53362200000000004</v>
      </c>
      <c r="D696" t="s">
        <v>303</v>
      </c>
      <c r="E696" t="s">
        <v>910</v>
      </c>
      <c r="F696" t="s">
        <v>910</v>
      </c>
      <c r="J696">
        <v>0.53362200000000004</v>
      </c>
      <c r="K696">
        <v>0.53362200000000004</v>
      </c>
      <c r="L696" t="s">
        <v>303</v>
      </c>
      <c r="M696">
        <v>0.53362200000000004</v>
      </c>
      <c r="N696">
        <v>0.53362200000000004</v>
      </c>
      <c r="O696" t="s">
        <v>303</v>
      </c>
      <c r="P696">
        <f t="shared" si="10"/>
        <v>0</v>
      </c>
    </row>
    <row r="697" spans="1:16" x14ac:dyDescent="0.25">
      <c r="A697" t="s">
        <v>669</v>
      </c>
      <c r="B697">
        <v>0.53642199999999995</v>
      </c>
      <c r="C697">
        <v>0.53642199999999995</v>
      </c>
      <c r="D697" t="s">
        <v>303</v>
      </c>
      <c r="E697" t="s">
        <v>910</v>
      </c>
      <c r="F697" t="s">
        <v>910</v>
      </c>
      <c r="J697">
        <v>0.53642199999999995</v>
      </c>
      <c r="K697">
        <v>0.53642199999999995</v>
      </c>
      <c r="L697" t="s">
        <v>303</v>
      </c>
      <c r="M697">
        <v>0.53642199999999995</v>
      </c>
      <c r="N697">
        <v>0.53642199999999995</v>
      </c>
      <c r="O697" t="s">
        <v>303</v>
      </c>
      <c r="P697">
        <f t="shared" si="10"/>
        <v>0</v>
      </c>
    </row>
    <row r="698" spans="1:16" x14ac:dyDescent="0.25">
      <c r="A698" t="s">
        <v>669</v>
      </c>
      <c r="B698">
        <v>0.53809600000000002</v>
      </c>
      <c r="C698">
        <v>0.53809600000000002</v>
      </c>
      <c r="D698" t="s">
        <v>303</v>
      </c>
      <c r="E698" t="s">
        <v>910</v>
      </c>
      <c r="F698" t="s">
        <v>910</v>
      </c>
      <c r="J698">
        <v>0.53809600000000002</v>
      </c>
      <c r="K698">
        <v>0.53809600000000002</v>
      </c>
      <c r="L698" t="s">
        <v>303</v>
      </c>
      <c r="M698">
        <v>0.53809600000000002</v>
      </c>
      <c r="N698">
        <v>0.53809600000000002</v>
      </c>
      <c r="O698" t="s">
        <v>303</v>
      </c>
      <c r="P698">
        <f t="shared" si="10"/>
        <v>0</v>
      </c>
    </row>
    <row r="699" spans="1:16" x14ac:dyDescent="0.25">
      <c r="A699" t="s">
        <v>669</v>
      </c>
      <c r="B699">
        <v>0.54016600000000004</v>
      </c>
      <c r="C699">
        <v>0.54016600000000004</v>
      </c>
      <c r="D699" t="s">
        <v>303</v>
      </c>
      <c r="E699" t="s">
        <v>910</v>
      </c>
      <c r="F699" t="s">
        <v>910</v>
      </c>
      <c r="J699">
        <v>0.54016600000000004</v>
      </c>
      <c r="K699">
        <v>0.54016600000000004</v>
      </c>
      <c r="L699" t="s">
        <v>303</v>
      </c>
      <c r="M699">
        <v>0.54016600000000004</v>
      </c>
      <c r="N699">
        <v>0.54016600000000004</v>
      </c>
      <c r="O699" t="s">
        <v>303</v>
      </c>
      <c r="P699">
        <f t="shared" si="10"/>
        <v>0</v>
      </c>
    </row>
    <row r="700" spans="1:16" x14ac:dyDescent="0.25">
      <c r="A700" t="s">
        <v>669</v>
      </c>
      <c r="B700">
        <v>0.54159999999999997</v>
      </c>
      <c r="C700">
        <v>0.54159999999999997</v>
      </c>
      <c r="D700" t="s">
        <v>303</v>
      </c>
      <c r="E700" t="s">
        <v>910</v>
      </c>
      <c r="F700" t="s">
        <v>910</v>
      </c>
      <c r="J700">
        <v>0.54159999999999997</v>
      </c>
      <c r="K700">
        <v>0.54159999999999997</v>
      </c>
      <c r="L700" t="s">
        <v>303</v>
      </c>
      <c r="M700">
        <v>0.54159999999999997</v>
      </c>
      <c r="N700">
        <v>0.54159999999999997</v>
      </c>
      <c r="O700" t="s">
        <v>303</v>
      </c>
      <c r="P700">
        <f t="shared" si="10"/>
        <v>0</v>
      </c>
    </row>
    <row r="701" spans="1:16" x14ac:dyDescent="0.25">
      <c r="A701" t="s">
        <v>669</v>
      </c>
      <c r="B701">
        <v>0.54263099999999997</v>
      </c>
      <c r="C701">
        <v>0.54263099999999997</v>
      </c>
      <c r="D701" t="s">
        <v>303</v>
      </c>
      <c r="E701" t="s">
        <v>910</v>
      </c>
      <c r="F701" t="s">
        <v>910</v>
      </c>
      <c r="J701">
        <v>0.54263099999999997</v>
      </c>
      <c r="K701">
        <v>0.54263099999999997</v>
      </c>
      <c r="L701" t="s">
        <v>303</v>
      </c>
      <c r="M701">
        <v>0.54263099999999997</v>
      </c>
      <c r="N701">
        <v>0.54263099999999997</v>
      </c>
      <c r="O701" t="s">
        <v>303</v>
      </c>
      <c r="P701">
        <f t="shared" si="10"/>
        <v>0</v>
      </c>
    </row>
    <row r="702" spans="1:16" x14ac:dyDescent="0.25">
      <c r="A702" t="s">
        <v>669</v>
      </c>
      <c r="B702">
        <v>0.54467100000000002</v>
      </c>
      <c r="C702">
        <v>0.54467100000000002</v>
      </c>
      <c r="D702" t="s">
        <v>303</v>
      </c>
      <c r="E702" t="s">
        <v>910</v>
      </c>
      <c r="F702" t="s">
        <v>910</v>
      </c>
      <c r="J702">
        <v>0.54467100000000002</v>
      </c>
      <c r="K702">
        <v>0.54467100000000002</v>
      </c>
      <c r="L702" t="s">
        <v>303</v>
      </c>
      <c r="M702">
        <v>0.54467100000000002</v>
      </c>
      <c r="N702">
        <v>0.54467100000000002</v>
      </c>
      <c r="O702" t="s">
        <v>303</v>
      </c>
      <c r="P702">
        <f t="shared" si="10"/>
        <v>0</v>
      </c>
    </row>
    <row r="703" spans="1:16" x14ac:dyDescent="0.25">
      <c r="A703" t="s">
        <v>527</v>
      </c>
      <c r="B703">
        <v>545.4443</v>
      </c>
      <c r="C703">
        <v>545.4443</v>
      </c>
      <c r="D703" t="s">
        <v>887</v>
      </c>
      <c r="E703">
        <v>8</v>
      </c>
      <c r="F703">
        <v>8</v>
      </c>
      <c r="G703" t="s">
        <v>687</v>
      </c>
      <c r="H703" t="s">
        <v>687</v>
      </c>
      <c r="J703">
        <v>0.54544429999999999</v>
      </c>
      <c r="K703">
        <v>0.54544429999999999</v>
      </c>
      <c r="L703" t="s">
        <v>303</v>
      </c>
      <c r="M703">
        <v>545.4443</v>
      </c>
      <c r="N703">
        <v>545.4443</v>
      </c>
      <c r="O703" t="s">
        <v>862</v>
      </c>
      <c r="P703">
        <f t="shared" si="10"/>
        <v>0</v>
      </c>
    </row>
    <row r="704" spans="1:16" x14ac:dyDescent="0.25">
      <c r="A704" t="s">
        <v>669</v>
      </c>
      <c r="B704">
        <v>0.54707499999999998</v>
      </c>
      <c r="C704">
        <v>0.54707499999999998</v>
      </c>
      <c r="D704" t="s">
        <v>303</v>
      </c>
      <c r="E704" t="s">
        <v>910</v>
      </c>
      <c r="F704" t="s">
        <v>910</v>
      </c>
      <c r="J704">
        <v>0.54707499999999998</v>
      </c>
      <c r="K704">
        <v>0.54707499999999998</v>
      </c>
      <c r="L704" t="s">
        <v>303</v>
      </c>
      <c r="M704">
        <v>0.54707499999999998</v>
      </c>
      <c r="N704">
        <v>0.54707499999999998</v>
      </c>
      <c r="O704" t="s">
        <v>303</v>
      </c>
      <c r="P704">
        <f t="shared" si="10"/>
        <v>0</v>
      </c>
    </row>
    <row r="705" spans="1:16" x14ac:dyDescent="0.25">
      <c r="A705" t="s">
        <v>527</v>
      </c>
      <c r="B705">
        <v>550.94640000000004</v>
      </c>
      <c r="C705">
        <v>550.94640000000004</v>
      </c>
      <c r="D705" t="s">
        <v>887</v>
      </c>
      <c r="E705">
        <v>8</v>
      </c>
      <c r="F705">
        <v>8</v>
      </c>
      <c r="G705" t="s">
        <v>687</v>
      </c>
      <c r="H705" t="s">
        <v>687</v>
      </c>
      <c r="J705">
        <v>0.55094640000000006</v>
      </c>
      <c r="K705">
        <v>0.55094640000000006</v>
      </c>
      <c r="L705" t="s">
        <v>303</v>
      </c>
      <c r="M705">
        <v>550.94640000000004</v>
      </c>
      <c r="N705">
        <v>550.94640000000004</v>
      </c>
      <c r="O705" t="s">
        <v>862</v>
      </c>
      <c r="P705">
        <f t="shared" si="10"/>
        <v>0</v>
      </c>
    </row>
    <row r="706" spans="1:16" x14ac:dyDescent="0.25">
      <c r="A706" t="s">
        <v>669</v>
      </c>
      <c r="B706">
        <v>0.55159999999999998</v>
      </c>
      <c r="C706">
        <v>0.55159999999999998</v>
      </c>
      <c r="D706" t="s">
        <v>303</v>
      </c>
      <c r="E706" t="s">
        <v>910</v>
      </c>
      <c r="F706" t="s">
        <v>910</v>
      </c>
      <c r="J706">
        <v>0.55159999999999998</v>
      </c>
      <c r="K706">
        <v>0.55159999999999998</v>
      </c>
      <c r="L706" t="s">
        <v>303</v>
      </c>
      <c r="M706">
        <v>0.55159999999999998</v>
      </c>
      <c r="N706">
        <v>0.55159999999999998</v>
      </c>
      <c r="O706" t="s">
        <v>303</v>
      </c>
      <c r="P706">
        <f t="shared" si="10"/>
        <v>0</v>
      </c>
    </row>
    <row r="707" spans="1:16" x14ac:dyDescent="0.25">
      <c r="A707" t="s">
        <v>527</v>
      </c>
      <c r="B707">
        <v>553.34349999999995</v>
      </c>
      <c r="C707">
        <v>553.34349999999995</v>
      </c>
      <c r="D707" t="s">
        <v>887</v>
      </c>
      <c r="E707">
        <v>8</v>
      </c>
      <c r="F707">
        <v>8</v>
      </c>
      <c r="G707" t="s">
        <v>687</v>
      </c>
      <c r="H707" t="s">
        <v>687</v>
      </c>
      <c r="J707">
        <v>0.55334349999999999</v>
      </c>
      <c r="K707">
        <v>0.55334349999999999</v>
      </c>
      <c r="L707" t="s">
        <v>303</v>
      </c>
      <c r="M707">
        <v>553.34349999999995</v>
      </c>
      <c r="N707">
        <v>553.34349999999995</v>
      </c>
      <c r="O707" t="s">
        <v>862</v>
      </c>
      <c r="P707">
        <f t="shared" ref="P707:P770" si="11">LEN(I707)</f>
        <v>0</v>
      </c>
    </row>
    <row r="708" spans="1:16" x14ac:dyDescent="0.25">
      <c r="A708" t="s">
        <v>669</v>
      </c>
      <c r="B708">
        <v>0.55569999999999997</v>
      </c>
      <c r="C708">
        <v>0.55569999999999997</v>
      </c>
      <c r="D708" t="s">
        <v>303</v>
      </c>
      <c r="E708" t="s">
        <v>910</v>
      </c>
      <c r="F708" t="s">
        <v>910</v>
      </c>
      <c r="J708">
        <v>0.55569999999999997</v>
      </c>
      <c r="K708">
        <v>0.55569999999999997</v>
      </c>
      <c r="L708" t="s">
        <v>303</v>
      </c>
      <c r="M708">
        <v>0.55569999999999997</v>
      </c>
      <c r="N708">
        <v>0.55569999999999997</v>
      </c>
      <c r="O708" t="s">
        <v>303</v>
      </c>
      <c r="P708">
        <f t="shared" si="11"/>
        <v>0</v>
      </c>
    </row>
    <row r="709" spans="1:16" x14ac:dyDescent="0.25">
      <c r="A709" t="s">
        <v>669</v>
      </c>
      <c r="B709">
        <v>0.55794200000000005</v>
      </c>
      <c r="C709">
        <v>0.55794200000000005</v>
      </c>
      <c r="D709" t="s">
        <v>303</v>
      </c>
      <c r="E709" t="s">
        <v>910</v>
      </c>
      <c r="F709" t="s">
        <v>910</v>
      </c>
      <c r="J709">
        <v>0.55794200000000005</v>
      </c>
      <c r="K709">
        <v>0.55794200000000005</v>
      </c>
      <c r="L709" t="s">
        <v>303</v>
      </c>
      <c r="M709">
        <v>0.55794200000000005</v>
      </c>
      <c r="N709">
        <v>0.55794200000000005</v>
      </c>
      <c r="O709" t="s">
        <v>303</v>
      </c>
      <c r="P709">
        <f t="shared" si="11"/>
        <v>0</v>
      </c>
    </row>
    <row r="710" spans="1:16" x14ac:dyDescent="0.25">
      <c r="A710" t="s">
        <v>669</v>
      </c>
      <c r="B710">
        <v>0.56000000000000005</v>
      </c>
      <c r="C710">
        <v>0.56000000000000005</v>
      </c>
      <c r="D710" t="s">
        <v>860</v>
      </c>
      <c r="E710" t="s">
        <v>910</v>
      </c>
      <c r="F710" t="s">
        <v>910</v>
      </c>
      <c r="J710">
        <v>0.56000000000000005</v>
      </c>
      <c r="K710">
        <v>0.56000000000000005</v>
      </c>
      <c r="L710" t="s">
        <v>303</v>
      </c>
      <c r="M710">
        <v>0.56000000000000005</v>
      </c>
      <c r="N710">
        <v>0.56000000000000005</v>
      </c>
      <c r="O710" t="s">
        <v>303</v>
      </c>
      <c r="P710">
        <f t="shared" si="11"/>
        <v>0</v>
      </c>
    </row>
    <row r="711" spans="1:16" x14ac:dyDescent="0.25">
      <c r="A711" t="s">
        <v>669</v>
      </c>
      <c r="B711">
        <v>0.56090899999999999</v>
      </c>
      <c r="C711">
        <v>0.56090899999999999</v>
      </c>
      <c r="D711" t="s">
        <v>303</v>
      </c>
      <c r="E711" t="s">
        <v>910</v>
      </c>
      <c r="F711" t="s">
        <v>910</v>
      </c>
      <c r="J711">
        <v>0.56090899999999999</v>
      </c>
      <c r="K711">
        <v>0.56090899999999999</v>
      </c>
      <c r="L711" t="s">
        <v>303</v>
      </c>
      <c r="M711">
        <v>0.56090899999999999</v>
      </c>
      <c r="N711">
        <v>0.56090899999999999</v>
      </c>
      <c r="O711" t="s">
        <v>303</v>
      </c>
      <c r="P711">
        <f t="shared" si="11"/>
        <v>0</v>
      </c>
    </row>
    <row r="712" spans="1:16" x14ac:dyDescent="0.25">
      <c r="A712" t="s">
        <v>578</v>
      </c>
      <c r="B712">
        <v>528.1</v>
      </c>
      <c r="C712">
        <v>561.5</v>
      </c>
      <c r="D712" t="s">
        <v>862</v>
      </c>
      <c r="E712">
        <v>8</v>
      </c>
      <c r="F712">
        <v>8</v>
      </c>
      <c r="G712" t="s">
        <v>687</v>
      </c>
      <c r="H712" t="s">
        <v>687</v>
      </c>
      <c r="J712">
        <v>0.5615</v>
      </c>
      <c r="K712">
        <v>0.52810000000000001</v>
      </c>
      <c r="L712" t="s">
        <v>303</v>
      </c>
      <c r="M712">
        <v>561.5</v>
      </c>
      <c r="N712">
        <v>528.1</v>
      </c>
      <c r="O712" t="s">
        <v>862</v>
      </c>
      <c r="P712">
        <f t="shared" si="11"/>
        <v>0</v>
      </c>
    </row>
    <row r="713" spans="1:16" x14ac:dyDescent="0.25">
      <c r="A713" t="s">
        <v>669</v>
      </c>
      <c r="B713">
        <v>0.56230899999999995</v>
      </c>
      <c r="C713">
        <v>0.56230899999999995</v>
      </c>
      <c r="D713" t="s">
        <v>303</v>
      </c>
      <c r="E713" t="s">
        <v>910</v>
      </c>
      <c r="F713" t="s">
        <v>910</v>
      </c>
      <c r="J713">
        <v>0.56230899999999995</v>
      </c>
      <c r="K713">
        <v>0.56230899999999995</v>
      </c>
      <c r="L713" t="s">
        <v>303</v>
      </c>
      <c r="M713">
        <v>0.56230899999999995</v>
      </c>
      <c r="N713">
        <v>0.56230899999999995</v>
      </c>
      <c r="O713" t="s">
        <v>303</v>
      </c>
      <c r="P713">
        <f t="shared" si="11"/>
        <v>0</v>
      </c>
    </row>
    <row r="714" spans="1:16" x14ac:dyDescent="0.25">
      <c r="A714" t="s">
        <v>669</v>
      </c>
      <c r="B714">
        <v>0.56527700000000003</v>
      </c>
      <c r="C714">
        <v>0.56527700000000003</v>
      </c>
      <c r="D714" t="s">
        <v>303</v>
      </c>
      <c r="E714" t="s">
        <v>910</v>
      </c>
      <c r="F714" t="s">
        <v>910</v>
      </c>
      <c r="J714">
        <v>0.56527700000000003</v>
      </c>
      <c r="K714">
        <v>0.56527700000000003</v>
      </c>
      <c r="L714" t="s">
        <v>303</v>
      </c>
      <c r="M714">
        <v>0.56527700000000003</v>
      </c>
      <c r="N714">
        <v>0.56527700000000003</v>
      </c>
      <c r="O714" t="s">
        <v>303</v>
      </c>
      <c r="P714">
        <f t="shared" si="11"/>
        <v>0</v>
      </c>
    </row>
    <row r="715" spans="1:16" x14ac:dyDescent="0.25">
      <c r="A715" t="s">
        <v>669</v>
      </c>
      <c r="B715">
        <v>0.56667699999999999</v>
      </c>
      <c r="C715">
        <v>0.56667699999999999</v>
      </c>
      <c r="D715" t="s">
        <v>303</v>
      </c>
      <c r="E715" t="s">
        <v>910</v>
      </c>
      <c r="F715" t="s">
        <v>910</v>
      </c>
      <c r="J715">
        <v>0.56667699999999999</v>
      </c>
      <c r="K715">
        <v>0.56667699999999999</v>
      </c>
      <c r="L715" t="s">
        <v>303</v>
      </c>
      <c r="M715">
        <v>0.56667699999999999</v>
      </c>
      <c r="N715">
        <v>0.56667699999999999</v>
      </c>
      <c r="O715" t="s">
        <v>303</v>
      </c>
      <c r="P715">
        <f t="shared" si="11"/>
        <v>0</v>
      </c>
    </row>
    <row r="716" spans="1:16" x14ac:dyDescent="0.25">
      <c r="A716" t="s">
        <v>669</v>
      </c>
      <c r="B716">
        <v>0.56859999999999999</v>
      </c>
      <c r="C716">
        <v>0.56859999999999999</v>
      </c>
      <c r="D716" t="s">
        <v>303</v>
      </c>
      <c r="E716" t="s">
        <v>910</v>
      </c>
      <c r="F716" t="s">
        <v>910</v>
      </c>
      <c r="J716">
        <v>0.56859999999999999</v>
      </c>
      <c r="K716">
        <v>0.56859999999999999</v>
      </c>
      <c r="L716" t="s">
        <v>303</v>
      </c>
      <c r="M716">
        <v>0.56859999999999999</v>
      </c>
      <c r="N716">
        <v>0.56859999999999999</v>
      </c>
      <c r="O716" t="s">
        <v>303</v>
      </c>
      <c r="P716">
        <f t="shared" si="11"/>
        <v>0</v>
      </c>
    </row>
    <row r="717" spans="1:16" x14ac:dyDescent="0.25">
      <c r="A717" t="s">
        <v>669</v>
      </c>
      <c r="B717">
        <v>0.56940000000000002</v>
      </c>
      <c r="C717">
        <v>0.56940000000000002</v>
      </c>
      <c r="D717" t="s">
        <v>303</v>
      </c>
      <c r="E717" t="s">
        <v>910</v>
      </c>
      <c r="F717" t="s">
        <v>910</v>
      </c>
      <c r="J717">
        <v>0.56940000000000002</v>
      </c>
      <c r="K717">
        <v>0.56940000000000002</v>
      </c>
      <c r="L717" t="s">
        <v>303</v>
      </c>
      <c r="M717">
        <v>0.56940000000000002</v>
      </c>
      <c r="N717">
        <v>0.56940000000000002</v>
      </c>
      <c r="O717" t="s">
        <v>303</v>
      </c>
      <c r="P717">
        <f t="shared" si="11"/>
        <v>0</v>
      </c>
    </row>
    <row r="718" spans="1:16" x14ac:dyDescent="0.25">
      <c r="A718" t="s">
        <v>669</v>
      </c>
      <c r="B718">
        <v>0.56966000000000006</v>
      </c>
      <c r="C718">
        <v>0.56966000000000006</v>
      </c>
      <c r="D718" t="s">
        <v>303</v>
      </c>
      <c r="E718" t="s">
        <v>910</v>
      </c>
      <c r="F718" t="s">
        <v>910</v>
      </c>
      <c r="J718">
        <v>0.56966000000000006</v>
      </c>
      <c r="K718">
        <v>0.56966000000000006</v>
      </c>
      <c r="L718" t="s">
        <v>303</v>
      </c>
      <c r="M718">
        <v>0.56966000000000006</v>
      </c>
      <c r="N718">
        <v>0.56966000000000006</v>
      </c>
      <c r="O718" t="s">
        <v>303</v>
      </c>
      <c r="P718">
        <f t="shared" si="11"/>
        <v>0</v>
      </c>
    </row>
    <row r="719" spans="1:16" x14ac:dyDescent="0.25">
      <c r="A719" t="s">
        <v>669</v>
      </c>
      <c r="B719">
        <v>0.56999999999999995</v>
      </c>
      <c r="C719">
        <v>0.56999999999999995</v>
      </c>
      <c r="D719" t="s">
        <v>303</v>
      </c>
      <c r="E719" t="s">
        <v>910</v>
      </c>
      <c r="F719" t="s">
        <v>910</v>
      </c>
      <c r="J719">
        <v>0.56999999999999995</v>
      </c>
      <c r="K719">
        <v>0.56999999999999995</v>
      </c>
      <c r="L719" t="s">
        <v>303</v>
      </c>
      <c r="M719">
        <v>0.56999999999999995</v>
      </c>
      <c r="N719">
        <v>0.56999999999999995</v>
      </c>
      <c r="O719" t="s">
        <v>303</v>
      </c>
      <c r="P719">
        <f t="shared" si="11"/>
        <v>0</v>
      </c>
    </row>
    <row r="720" spans="1:16" x14ac:dyDescent="0.25">
      <c r="A720" t="s">
        <v>59</v>
      </c>
      <c r="B720">
        <v>250</v>
      </c>
      <c r="C720">
        <v>570</v>
      </c>
      <c r="D720" t="s">
        <v>862</v>
      </c>
      <c r="E720">
        <v>8</v>
      </c>
      <c r="F720">
        <v>8</v>
      </c>
      <c r="G720" t="s">
        <v>687</v>
      </c>
      <c r="H720" t="s">
        <v>687</v>
      </c>
      <c r="J720">
        <v>0.56999999999999995</v>
      </c>
      <c r="K720">
        <v>0.25</v>
      </c>
      <c r="L720" t="s">
        <v>303</v>
      </c>
      <c r="M720">
        <v>570</v>
      </c>
      <c r="N720">
        <v>250</v>
      </c>
      <c r="O720" t="s">
        <v>862</v>
      </c>
      <c r="P720">
        <f t="shared" si="11"/>
        <v>0</v>
      </c>
    </row>
    <row r="721" spans="1:16" x14ac:dyDescent="0.25">
      <c r="A721" t="s">
        <v>669</v>
      </c>
      <c r="B721">
        <v>0.57050000000000001</v>
      </c>
      <c r="C721">
        <v>0.57050000000000001</v>
      </c>
      <c r="D721" t="s">
        <v>303</v>
      </c>
      <c r="E721" t="s">
        <v>910</v>
      </c>
      <c r="F721" t="s">
        <v>910</v>
      </c>
      <c r="J721">
        <v>0.57050000000000001</v>
      </c>
      <c r="K721">
        <v>0.57050000000000001</v>
      </c>
      <c r="L721" t="s">
        <v>303</v>
      </c>
      <c r="M721">
        <v>0.57050000000000001</v>
      </c>
      <c r="N721">
        <v>0.57050000000000001</v>
      </c>
      <c r="O721" t="s">
        <v>303</v>
      </c>
      <c r="P721">
        <f t="shared" si="11"/>
        <v>0</v>
      </c>
    </row>
    <row r="722" spans="1:16" x14ac:dyDescent="0.25">
      <c r="A722" t="s">
        <v>669</v>
      </c>
      <c r="B722">
        <v>0.57099999999999995</v>
      </c>
      <c r="C722">
        <v>0.57099999999999995</v>
      </c>
      <c r="D722" t="s">
        <v>303</v>
      </c>
      <c r="E722" t="s">
        <v>910</v>
      </c>
      <c r="F722" t="s">
        <v>910</v>
      </c>
      <c r="J722">
        <v>0.57099999999999995</v>
      </c>
      <c r="K722">
        <v>0.57099999999999995</v>
      </c>
      <c r="L722" t="s">
        <v>303</v>
      </c>
      <c r="M722">
        <v>0.57099999999999995</v>
      </c>
      <c r="N722">
        <v>0.57099999999999995</v>
      </c>
      <c r="O722" t="s">
        <v>303</v>
      </c>
      <c r="P722">
        <f t="shared" si="11"/>
        <v>0</v>
      </c>
    </row>
    <row r="723" spans="1:16" x14ac:dyDescent="0.25">
      <c r="A723" t="s">
        <v>669</v>
      </c>
      <c r="B723">
        <v>0.57189999999999996</v>
      </c>
      <c r="C723">
        <v>0.57189999999999996</v>
      </c>
      <c r="D723" t="s">
        <v>303</v>
      </c>
      <c r="E723" t="s">
        <v>910</v>
      </c>
      <c r="F723" t="s">
        <v>910</v>
      </c>
      <c r="J723">
        <v>0.57189999999999996</v>
      </c>
      <c r="K723">
        <v>0.57189999999999996</v>
      </c>
      <c r="L723" t="s">
        <v>303</v>
      </c>
      <c r="M723">
        <v>0.57189999999999996</v>
      </c>
      <c r="N723">
        <v>0.57189999999999996</v>
      </c>
      <c r="O723" t="s">
        <v>303</v>
      </c>
      <c r="P723">
        <f t="shared" si="11"/>
        <v>0</v>
      </c>
    </row>
    <row r="724" spans="1:16" x14ac:dyDescent="0.25">
      <c r="A724" t="s">
        <v>669</v>
      </c>
      <c r="B724">
        <v>0.57250000000000001</v>
      </c>
      <c r="C724">
        <v>0.57250000000000001</v>
      </c>
      <c r="D724" t="s">
        <v>303</v>
      </c>
      <c r="E724" t="s">
        <v>910</v>
      </c>
      <c r="F724" t="s">
        <v>910</v>
      </c>
      <c r="J724">
        <v>0.57250000000000001</v>
      </c>
      <c r="K724">
        <v>0.57250000000000001</v>
      </c>
      <c r="L724" t="s">
        <v>303</v>
      </c>
      <c r="M724">
        <v>0.57250000000000001</v>
      </c>
      <c r="N724">
        <v>0.57250000000000001</v>
      </c>
      <c r="O724" t="s">
        <v>303</v>
      </c>
      <c r="P724">
        <f t="shared" si="11"/>
        <v>0</v>
      </c>
    </row>
    <row r="725" spans="1:16" x14ac:dyDescent="0.25">
      <c r="A725" t="s">
        <v>669</v>
      </c>
      <c r="B725">
        <v>0.57258200000000004</v>
      </c>
      <c r="C725">
        <v>0.57258200000000004</v>
      </c>
      <c r="D725" t="s">
        <v>303</v>
      </c>
      <c r="E725" t="s">
        <v>910</v>
      </c>
      <c r="F725" t="s">
        <v>910</v>
      </c>
      <c r="J725">
        <v>0.57258200000000004</v>
      </c>
      <c r="K725">
        <v>0.57258200000000004</v>
      </c>
      <c r="L725" t="s">
        <v>303</v>
      </c>
      <c r="M725">
        <v>0.57258200000000004</v>
      </c>
      <c r="N725">
        <v>0.57258200000000004</v>
      </c>
      <c r="O725" t="s">
        <v>303</v>
      </c>
      <c r="P725">
        <f t="shared" si="11"/>
        <v>0</v>
      </c>
    </row>
    <row r="726" spans="1:16" x14ac:dyDescent="0.25">
      <c r="A726" t="s">
        <v>669</v>
      </c>
      <c r="B726">
        <v>0.57310000000000005</v>
      </c>
      <c r="C726">
        <v>0.57310000000000005</v>
      </c>
      <c r="D726" t="s">
        <v>303</v>
      </c>
      <c r="E726" t="s">
        <v>910</v>
      </c>
      <c r="F726" t="s">
        <v>910</v>
      </c>
      <c r="J726">
        <v>0.57310000000000005</v>
      </c>
      <c r="K726">
        <v>0.57310000000000005</v>
      </c>
      <c r="L726" t="s">
        <v>303</v>
      </c>
      <c r="M726">
        <v>0.57310000000000005</v>
      </c>
      <c r="N726">
        <v>0.57310000000000005</v>
      </c>
      <c r="O726" t="s">
        <v>303</v>
      </c>
      <c r="P726">
        <f t="shared" si="11"/>
        <v>0</v>
      </c>
    </row>
    <row r="727" spans="1:16" x14ac:dyDescent="0.25">
      <c r="A727" t="s">
        <v>669</v>
      </c>
      <c r="B727">
        <v>0.57369999999999999</v>
      </c>
      <c r="C727">
        <v>0.57369999999999999</v>
      </c>
      <c r="D727" t="s">
        <v>303</v>
      </c>
      <c r="E727" t="s">
        <v>910</v>
      </c>
      <c r="F727" t="s">
        <v>910</v>
      </c>
      <c r="J727">
        <v>0.57369999999999999</v>
      </c>
      <c r="K727">
        <v>0.57369999999999999</v>
      </c>
      <c r="L727" t="s">
        <v>303</v>
      </c>
      <c r="M727">
        <v>0.57369999999999999</v>
      </c>
      <c r="N727">
        <v>0.57369999999999999</v>
      </c>
      <c r="O727" t="s">
        <v>303</v>
      </c>
      <c r="P727">
        <f t="shared" si="11"/>
        <v>0</v>
      </c>
    </row>
    <row r="728" spans="1:16" x14ac:dyDescent="0.25">
      <c r="A728" t="s">
        <v>669</v>
      </c>
      <c r="B728">
        <v>0.57541299999999995</v>
      </c>
      <c r="C728">
        <v>0.57541299999999995</v>
      </c>
      <c r="D728" t="s">
        <v>303</v>
      </c>
      <c r="E728" t="s">
        <v>910</v>
      </c>
      <c r="F728" t="s">
        <v>910</v>
      </c>
      <c r="J728">
        <v>0.57541299999999995</v>
      </c>
      <c r="K728">
        <v>0.57541299999999995</v>
      </c>
      <c r="L728" t="s">
        <v>303</v>
      </c>
      <c r="M728">
        <v>0.57541299999999995</v>
      </c>
      <c r="N728">
        <v>0.57541299999999995</v>
      </c>
      <c r="O728" t="s">
        <v>303</v>
      </c>
      <c r="P728">
        <f t="shared" si="11"/>
        <v>0</v>
      </c>
    </row>
    <row r="729" spans="1:16" x14ac:dyDescent="0.25">
      <c r="A729" t="s">
        <v>669</v>
      </c>
      <c r="B729">
        <v>0.57693499999999998</v>
      </c>
      <c r="C729">
        <v>0.57693499999999998</v>
      </c>
      <c r="D729" t="s">
        <v>303</v>
      </c>
      <c r="E729" t="s">
        <v>910</v>
      </c>
      <c r="F729" t="s">
        <v>910</v>
      </c>
      <c r="J729">
        <v>0.57693499999999998</v>
      </c>
      <c r="K729">
        <v>0.57693499999999998</v>
      </c>
      <c r="L729" t="s">
        <v>303</v>
      </c>
      <c r="M729">
        <v>0.57693499999999998</v>
      </c>
      <c r="N729">
        <v>0.57693499999999998</v>
      </c>
      <c r="O729" t="s">
        <v>303</v>
      </c>
      <c r="P729">
        <f t="shared" si="11"/>
        <v>0</v>
      </c>
    </row>
    <row r="730" spans="1:16" x14ac:dyDescent="0.25">
      <c r="A730" t="s">
        <v>669</v>
      </c>
      <c r="B730">
        <v>0.57999999999999996</v>
      </c>
      <c r="C730">
        <v>0.57999999999999996</v>
      </c>
      <c r="D730" t="s">
        <v>303</v>
      </c>
      <c r="E730" t="s">
        <v>910</v>
      </c>
      <c r="F730" t="s">
        <v>910</v>
      </c>
      <c r="J730">
        <v>0.57999999999999996</v>
      </c>
      <c r="K730">
        <v>0.57999999999999996</v>
      </c>
      <c r="L730" t="s">
        <v>303</v>
      </c>
      <c r="M730">
        <v>0.57999999999999996</v>
      </c>
      <c r="N730">
        <v>0.57999999999999996</v>
      </c>
      <c r="O730" t="s">
        <v>303</v>
      </c>
      <c r="P730">
        <f t="shared" si="11"/>
        <v>0</v>
      </c>
    </row>
    <row r="731" spans="1:16" x14ac:dyDescent="0.25">
      <c r="A731" t="s">
        <v>669</v>
      </c>
      <c r="B731">
        <v>0.58040000000000003</v>
      </c>
      <c r="C731">
        <v>0.58040000000000003</v>
      </c>
      <c r="D731" t="s">
        <v>303</v>
      </c>
      <c r="E731" t="s">
        <v>910</v>
      </c>
      <c r="F731" t="s">
        <v>910</v>
      </c>
      <c r="J731">
        <v>0.58040000000000003</v>
      </c>
      <c r="K731">
        <v>0.58040000000000003</v>
      </c>
      <c r="L731" t="s">
        <v>303</v>
      </c>
      <c r="M731">
        <v>0.58040000000000003</v>
      </c>
      <c r="N731">
        <v>0.58040000000000003</v>
      </c>
      <c r="O731" t="s">
        <v>303</v>
      </c>
      <c r="P731">
        <f t="shared" si="11"/>
        <v>0</v>
      </c>
    </row>
    <row r="732" spans="1:16" x14ac:dyDescent="0.25">
      <c r="A732" t="s">
        <v>669</v>
      </c>
      <c r="B732">
        <v>0.51</v>
      </c>
      <c r="C732">
        <v>0.59</v>
      </c>
      <c r="D732" t="s">
        <v>669</v>
      </c>
      <c r="E732">
        <v>8</v>
      </c>
      <c r="F732">
        <v>8</v>
      </c>
      <c r="G732" t="s">
        <v>687</v>
      </c>
      <c r="H732" t="s">
        <v>687</v>
      </c>
      <c r="I732" t="s">
        <v>927</v>
      </c>
      <c r="J732">
        <v>0.59</v>
      </c>
      <c r="K732">
        <v>0.51</v>
      </c>
      <c r="L732" t="s">
        <v>930</v>
      </c>
      <c r="M732">
        <v>0.59</v>
      </c>
      <c r="N732">
        <v>0.51</v>
      </c>
      <c r="P732">
        <f t="shared" si="11"/>
        <v>14</v>
      </c>
    </row>
    <row r="733" spans="1:16" x14ac:dyDescent="0.25">
      <c r="A733" t="s">
        <v>669</v>
      </c>
      <c r="B733">
        <v>530</v>
      </c>
      <c r="C733">
        <v>590</v>
      </c>
      <c r="D733" t="s">
        <v>864</v>
      </c>
      <c r="E733">
        <v>8</v>
      </c>
      <c r="F733">
        <v>8</v>
      </c>
      <c r="G733" t="s">
        <v>687</v>
      </c>
      <c r="H733" t="s">
        <v>687</v>
      </c>
      <c r="J733">
        <v>0.59</v>
      </c>
      <c r="K733">
        <v>0.53</v>
      </c>
      <c r="L733" t="s">
        <v>303</v>
      </c>
      <c r="M733">
        <v>590</v>
      </c>
      <c r="N733">
        <v>530</v>
      </c>
      <c r="O733" t="s">
        <v>862</v>
      </c>
      <c r="P733">
        <f t="shared" si="11"/>
        <v>0</v>
      </c>
    </row>
    <row r="734" spans="1:16" x14ac:dyDescent="0.25">
      <c r="A734" t="s">
        <v>669</v>
      </c>
      <c r="B734">
        <v>0.59119999999999995</v>
      </c>
      <c r="C734">
        <v>0.59119999999999995</v>
      </c>
      <c r="D734" t="s">
        <v>303</v>
      </c>
      <c r="E734" t="s">
        <v>910</v>
      </c>
      <c r="F734" t="s">
        <v>910</v>
      </c>
      <c r="J734">
        <v>0.59119999999999995</v>
      </c>
      <c r="K734">
        <v>0.59119999999999995</v>
      </c>
      <c r="L734" t="s">
        <v>303</v>
      </c>
      <c r="M734">
        <v>0.59119999999999995</v>
      </c>
      <c r="N734">
        <v>0.59119999999999995</v>
      </c>
      <c r="O734" t="s">
        <v>303</v>
      </c>
      <c r="P734">
        <f t="shared" si="11"/>
        <v>0</v>
      </c>
    </row>
    <row r="735" spans="1:16" x14ac:dyDescent="0.25">
      <c r="A735" t="s">
        <v>669</v>
      </c>
      <c r="B735">
        <v>0.5917</v>
      </c>
      <c r="C735">
        <v>0.5917</v>
      </c>
      <c r="D735" t="s">
        <v>303</v>
      </c>
      <c r="E735" t="s">
        <v>910</v>
      </c>
      <c r="F735" t="s">
        <v>910</v>
      </c>
      <c r="J735">
        <v>0.5917</v>
      </c>
      <c r="K735">
        <v>0.5917</v>
      </c>
      <c r="L735" t="s">
        <v>303</v>
      </c>
      <c r="M735">
        <v>0.5917</v>
      </c>
      <c r="N735">
        <v>0.5917</v>
      </c>
      <c r="O735" t="s">
        <v>303</v>
      </c>
      <c r="P735">
        <f t="shared" si="11"/>
        <v>0</v>
      </c>
    </row>
    <row r="736" spans="1:16" x14ac:dyDescent="0.25">
      <c r="A736" t="s">
        <v>669</v>
      </c>
      <c r="B736">
        <v>0.59189999999999998</v>
      </c>
      <c r="C736">
        <v>0.59189999999999998</v>
      </c>
      <c r="D736" t="s">
        <v>303</v>
      </c>
      <c r="E736" t="s">
        <v>910</v>
      </c>
      <c r="F736" t="s">
        <v>910</v>
      </c>
      <c r="J736">
        <v>0.59189999999999998</v>
      </c>
      <c r="K736">
        <v>0.59189999999999998</v>
      </c>
      <c r="L736" t="s">
        <v>303</v>
      </c>
      <c r="M736">
        <v>0.59189999999999998</v>
      </c>
      <c r="N736">
        <v>0.59189999999999998</v>
      </c>
      <c r="O736" t="s">
        <v>303</v>
      </c>
      <c r="P736">
        <f t="shared" si="11"/>
        <v>0</v>
      </c>
    </row>
    <row r="737" spans="1:16" x14ac:dyDescent="0.25">
      <c r="A737" t="s">
        <v>669</v>
      </c>
      <c r="B737">
        <v>0.5927</v>
      </c>
      <c r="C737">
        <v>0.5927</v>
      </c>
      <c r="D737" t="s">
        <v>303</v>
      </c>
      <c r="E737" t="s">
        <v>910</v>
      </c>
      <c r="F737" t="s">
        <v>910</v>
      </c>
      <c r="J737">
        <v>0.5927</v>
      </c>
      <c r="K737">
        <v>0.5927</v>
      </c>
      <c r="L737" t="s">
        <v>303</v>
      </c>
      <c r="M737">
        <v>0.5927</v>
      </c>
      <c r="N737">
        <v>0.5927</v>
      </c>
      <c r="O737" t="s">
        <v>303</v>
      </c>
      <c r="P737">
        <f t="shared" si="11"/>
        <v>0</v>
      </c>
    </row>
    <row r="738" spans="1:16" x14ac:dyDescent="0.25">
      <c r="A738" t="s">
        <v>669</v>
      </c>
      <c r="B738">
        <v>0.59489999999999998</v>
      </c>
      <c r="C738">
        <v>0.59489999999999998</v>
      </c>
      <c r="D738" t="s">
        <v>303</v>
      </c>
      <c r="E738" t="s">
        <v>910</v>
      </c>
      <c r="F738" t="s">
        <v>910</v>
      </c>
      <c r="J738">
        <v>0.59489999999999998</v>
      </c>
      <c r="K738">
        <v>0.59489999999999998</v>
      </c>
      <c r="L738" t="s">
        <v>303</v>
      </c>
      <c r="M738">
        <v>0.59489999999999998</v>
      </c>
      <c r="N738">
        <v>0.59489999999999998</v>
      </c>
      <c r="O738" t="s">
        <v>303</v>
      </c>
      <c r="P738">
        <f t="shared" si="11"/>
        <v>0</v>
      </c>
    </row>
    <row r="739" spans="1:16" x14ac:dyDescent="0.25">
      <c r="A739" t="s">
        <v>669</v>
      </c>
      <c r="B739">
        <v>0.55000000000000004</v>
      </c>
      <c r="C739">
        <v>0.61</v>
      </c>
      <c r="D739" t="s">
        <v>860</v>
      </c>
      <c r="E739" t="s">
        <v>910</v>
      </c>
      <c r="F739" t="s">
        <v>910</v>
      </c>
      <c r="J739">
        <v>0.61</v>
      </c>
      <c r="K739">
        <v>0.55000000000000004</v>
      </c>
      <c r="L739" t="s">
        <v>303</v>
      </c>
      <c r="M739">
        <v>0.61</v>
      </c>
      <c r="N739">
        <v>0.55000000000000004</v>
      </c>
      <c r="O739" t="s">
        <v>303</v>
      </c>
      <c r="P739">
        <f t="shared" si="11"/>
        <v>0</v>
      </c>
    </row>
    <row r="740" spans="1:16" x14ac:dyDescent="0.25">
      <c r="A740" t="s">
        <v>59</v>
      </c>
      <c r="B740">
        <v>570</v>
      </c>
      <c r="C740">
        <v>615</v>
      </c>
      <c r="D740" t="s">
        <v>862</v>
      </c>
      <c r="E740">
        <v>8</v>
      </c>
      <c r="F740">
        <v>8</v>
      </c>
      <c r="G740" t="s">
        <v>687</v>
      </c>
      <c r="H740" t="s">
        <v>687</v>
      </c>
      <c r="J740">
        <v>0.61499999999999999</v>
      </c>
      <c r="K740">
        <v>0.56999999999999995</v>
      </c>
      <c r="L740" t="s">
        <v>303</v>
      </c>
      <c r="M740">
        <v>615</v>
      </c>
      <c r="N740">
        <v>570</v>
      </c>
      <c r="O740" t="s">
        <v>862</v>
      </c>
      <c r="P740">
        <f t="shared" si="11"/>
        <v>0</v>
      </c>
    </row>
    <row r="741" spans="1:16" x14ac:dyDescent="0.25">
      <c r="A741" t="s">
        <v>669</v>
      </c>
      <c r="B741">
        <v>0.61599999999999999</v>
      </c>
      <c r="C741">
        <v>0.61599999999999999</v>
      </c>
      <c r="D741" t="s">
        <v>303</v>
      </c>
      <c r="E741" t="s">
        <v>910</v>
      </c>
      <c r="F741" t="s">
        <v>910</v>
      </c>
      <c r="J741">
        <v>0.61599999999999999</v>
      </c>
      <c r="K741">
        <v>0.61599999999999999</v>
      </c>
      <c r="L741" t="s">
        <v>303</v>
      </c>
      <c r="M741">
        <v>0.61599999999999999</v>
      </c>
      <c r="N741">
        <v>0.61599999999999999</v>
      </c>
      <c r="O741" t="s">
        <v>303</v>
      </c>
      <c r="P741">
        <f t="shared" si="11"/>
        <v>0</v>
      </c>
    </row>
    <row r="742" spans="1:16" x14ac:dyDescent="0.25">
      <c r="A742" t="s">
        <v>669</v>
      </c>
      <c r="B742">
        <v>0.61739999999999995</v>
      </c>
      <c r="C742">
        <v>0.61739999999999995</v>
      </c>
      <c r="D742" t="s">
        <v>303</v>
      </c>
      <c r="E742" t="s">
        <v>910</v>
      </c>
      <c r="F742" t="s">
        <v>910</v>
      </c>
      <c r="J742">
        <v>0.61739999999999995</v>
      </c>
      <c r="K742">
        <v>0.61739999999999995</v>
      </c>
      <c r="L742" t="s">
        <v>303</v>
      </c>
      <c r="M742">
        <v>0.61739999999999995</v>
      </c>
      <c r="N742">
        <v>0.61739999999999995</v>
      </c>
      <c r="O742" t="s">
        <v>303</v>
      </c>
      <c r="P742">
        <f t="shared" si="11"/>
        <v>0</v>
      </c>
    </row>
    <row r="743" spans="1:16" x14ac:dyDescent="0.25">
      <c r="A743" t="s">
        <v>669</v>
      </c>
      <c r="B743">
        <v>0.5</v>
      </c>
      <c r="C743">
        <v>0.62</v>
      </c>
      <c r="D743" t="s">
        <v>860</v>
      </c>
      <c r="E743" t="s">
        <v>910</v>
      </c>
      <c r="F743" t="s">
        <v>910</v>
      </c>
      <c r="J743">
        <v>0.62</v>
      </c>
      <c r="K743">
        <v>0.5</v>
      </c>
      <c r="L743" t="s">
        <v>303</v>
      </c>
      <c r="M743">
        <v>0.62</v>
      </c>
      <c r="N743">
        <v>0.5</v>
      </c>
      <c r="O743" t="s">
        <v>303</v>
      </c>
      <c r="P743">
        <f t="shared" si="11"/>
        <v>0</v>
      </c>
    </row>
    <row r="744" spans="1:16" x14ac:dyDescent="0.25">
      <c r="A744" t="s">
        <v>669</v>
      </c>
      <c r="B744">
        <v>0.625</v>
      </c>
      <c r="C744">
        <v>0.625</v>
      </c>
      <c r="D744" t="s">
        <v>303</v>
      </c>
      <c r="E744" t="s">
        <v>910</v>
      </c>
      <c r="F744" t="s">
        <v>910</v>
      </c>
      <c r="J744">
        <v>0.625</v>
      </c>
      <c r="K744">
        <v>0.625</v>
      </c>
      <c r="L744" t="s">
        <v>303</v>
      </c>
      <c r="M744">
        <v>0.625</v>
      </c>
      <c r="N744">
        <v>0.625</v>
      </c>
      <c r="O744" t="s">
        <v>303</v>
      </c>
      <c r="P744">
        <f t="shared" si="11"/>
        <v>0</v>
      </c>
    </row>
    <row r="745" spans="1:16" x14ac:dyDescent="0.25">
      <c r="A745" t="s">
        <v>578</v>
      </c>
      <c r="B745" s="12">
        <v>0.62288999999999894</v>
      </c>
      <c r="C745" s="11">
        <v>0.63085000000000002</v>
      </c>
      <c r="D745" t="s">
        <v>303</v>
      </c>
      <c r="E745">
        <v>3</v>
      </c>
      <c r="F745">
        <v>3</v>
      </c>
      <c r="G745" t="s">
        <v>700</v>
      </c>
      <c r="H745" t="s">
        <v>700</v>
      </c>
      <c r="J745">
        <v>0.63085000000000002</v>
      </c>
      <c r="K745">
        <v>0.63085000000000002</v>
      </c>
      <c r="L745" t="s">
        <v>303</v>
      </c>
      <c r="M745">
        <v>0.63085000000000002</v>
      </c>
      <c r="N745">
        <v>0.63085000000000002</v>
      </c>
      <c r="O745" t="s">
        <v>303</v>
      </c>
      <c r="P745">
        <f t="shared" si="11"/>
        <v>0</v>
      </c>
    </row>
    <row r="746" spans="1:16" x14ac:dyDescent="0.25">
      <c r="A746" t="s">
        <v>669</v>
      </c>
      <c r="B746">
        <v>0.63739999999999997</v>
      </c>
      <c r="C746">
        <v>0.63739999999999997</v>
      </c>
      <c r="D746" t="s">
        <v>303</v>
      </c>
      <c r="E746" t="s">
        <v>910</v>
      </c>
      <c r="F746" t="s">
        <v>910</v>
      </c>
      <c r="J746">
        <v>0.63739999999999997</v>
      </c>
      <c r="K746">
        <v>0.63739999999999997</v>
      </c>
      <c r="L746" t="s">
        <v>303</v>
      </c>
      <c r="M746">
        <v>0.63739999999999997</v>
      </c>
      <c r="N746">
        <v>0.63739999999999997</v>
      </c>
      <c r="O746" t="s">
        <v>303</v>
      </c>
      <c r="P746">
        <f t="shared" si="11"/>
        <v>0</v>
      </c>
    </row>
    <row r="747" spans="1:16" x14ac:dyDescent="0.25">
      <c r="A747" t="s">
        <v>578</v>
      </c>
      <c r="B747">
        <v>70</v>
      </c>
      <c r="C747">
        <v>640</v>
      </c>
      <c r="D747" t="s">
        <v>864</v>
      </c>
      <c r="E747">
        <v>8</v>
      </c>
      <c r="F747">
        <v>8</v>
      </c>
      <c r="G747" t="s">
        <v>687</v>
      </c>
      <c r="H747" t="s">
        <v>687</v>
      </c>
      <c r="J747">
        <v>0.64</v>
      </c>
      <c r="K747">
        <v>7.0000000000000007E-2</v>
      </c>
      <c r="L747" t="s">
        <v>303</v>
      </c>
      <c r="M747">
        <v>640</v>
      </c>
      <c r="N747">
        <v>70</v>
      </c>
      <c r="O747" t="s">
        <v>862</v>
      </c>
      <c r="P747">
        <f t="shared" si="11"/>
        <v>0</v>
      </c>
    </row>
    <row r="748" spans="1:16" x14ac:dyDescent="0.25">
      <c r="A748" t="s">
        <v>669</v>
      </c>
      <c r="B748">
        <v>630</v>
      </c>
      <c r="C748">
        <v>640</v>
      </c>
      <c r="D748" t="s">
        <v>864</v>
      </c>
      <c r="E748">
        <v>8</v>
      </c>
      <c r="F748">
        <v>8</v>
      </c>
      <c r="G748" t="s">
        <v>687</v>
      </c>
      <c r="H748" t="s">
        <v>687</v>
      </c>
      <c r="J748">
        <v>0.64</v>
      </c>
      <c r="K748">
        <v>0.63</v>
      </c>
      <c r="L748" t="s">
        <v>303</v>
      </c>
      <c r="M748">
        <v>640</v>
      </c>
      <c r="N748">
        <v>630</v>
      </c>
      <c r="O748" t="s">
        <v>862</v>
      </c>
      <c r="P748">
        <f t="shared" si="11"/>
        <v>0</v>
      </c>
    </row>
    <row r="749" spans="1:16" x14ac:dyDescent="0.25">
      <c r="A749" t="s">
        <v>578</v>
      </c>
      <c r="B749">
        <v>70000</v>
      </c>
      <c r="C749">
        <v>640000</v>
      </c>
      <c r="D749" t="s">
        <v>857</v>
      </c>
      <c r="E749">
        <v>3</v>
      </c>
      <c r="F749">
        <v>3</v>
      </c>
      <c r="G749" t="s">
        <v>700</v>
      </c>
      <c r="H749" t="s">
        <v>700</v>
      </c>
      <c r="J749">
        <v>0.64</v>
      </c>
      <c r="K749">
        <v>7.0000000000000007E-2</v>
      </c>
      <c r="L749" t="s">
        <v>303</v>
      </c>
      <c r="M749">
        <v>640000</v>
      </c>
      <c r="N749">
        <v>70000</v>
      </c>
      <c r="O749" t="s">
        <v>303</v>
      </c>
      <c r="P749">
        <f t="shared" si="11"/>
        <v>0</v>
      </c>
    </row>
    <row r="750" spans="1:16" x14ac:dyDescent="0.25">
      <c r="A750" t="s">
        <v>527</v>
      </c>
      <c r="B750">
        <v>644.48299999999995</v>
      </c>
      <c r="C750">
        <v>644.48299999999995</v>
      </c>
      <c r="D750" t="s">
        <v>887</v>
      </c>
      <c r="E750">
        <v>8</v>
      </c>
      <c r="F750">
        <v>8</v>
      </c>
      <c r="G750" t="s">
        <v>687</v>
      </c>
      <c r="H750" t="s">
        <v>687</v>
      </c>
      <c r="J750">
        <v>0.64448299999999992</v>
      </c>
      <c r="K750">
        <v>0.64448299999999992</v>
      </c>
      <c r="L750" t="s">
        <v>303</v>
      </c>
      <c r="M750">
        <v>644.48299999999995</v>
      </c>
      <c r="N750">
        <v>644.48299999999995</v>
      </c>
      <c r="O750" t="s">
        <v>862</v>
      </c>
      <c r="P750">
        <f t="shared" si="11"/>
        <v>0</v>
      </c>
    </row>
    <row r="751" spans="1:16" x14ac:dyDescent="0.25">
      <c r="A751" t="s">
        <v>669</v>
      </c>
      <c r="B751">
        <v>0.64549999999999996</v>
      </c>
      <c r="C751">
        <v>0.64549999999999996</v>
      </c>
      <c r="D751" t="s">
        <v>303</v>
      </c>
      <c r="E751" t="s">
        <v>910</v>
      </c>
      <c r="F751" t="s">
        <v>910</v>
      </c>
      <c r="J751">
        <v>0.64549999999999996</v>
      </c>
      <c r="K751">
        <v>0.64549999999999996</v>
      </c>
      <c r="L751" t="s">
        <v>303</v>
      </c>
      <c r="M751">
        <v>0.64549999999999996</v>
      </c>
      <c r="N751">
        <v>0.64549999999999996</v>
      </c>
      <c r="O751" t="s">
        <v>303</v>
      </c>
      <c r="P751">
        <f t="shared" si="11"/>
        <v>0</v>
      </c>
    </row>
    <row r="752" spans="1:16" x14ac:dyDescent="0.25">
      <c r="A752" t="s">
        <v>669</v>
      </c>
      <c r="B752">
        <v>0.65</v>
      </c>
      <c r="C752">
        <v>0.65</v>
      </c>
      <c r="D752" t="s">
        <v>303</v>
      </c>
      <c r="E752" t="s">
        <v>910</v>
      </c>
      <c r="F752" t="s">
        <v>910</v>
      </c>
      <c r="J752">
        <v>0.65</v>
      </c>
      <c r="K752">
        <v>0.65</v>
      </c>
      <c r="L752" t="s">
        <v>303</v>
      </c>
      <c r="M752">
        <v>0.65</v>
      </c>
      <c r="N752">
        <v>0.65</v>
      </c>
      <c r="O752" t="s">
        <v>303</v>
      </c>
      <c r="P752">
        <f t="shared" si="11"/>
        <v>0</v>
      </c>
    </row>
    <row r="753" spans="1:16" x14ac:dyDescent="0.25">
      <c r="A753" t="s">
        <v>578</v>
      </c>
      <c r="B753" s="13">
        <v>0.64179999999999904</v>
      </c>
      <c r="C753" s="13">
        <v>0.65531999999999901</v>
      </c>
      <c r="D753" t="s">
        <v>303</v>
      </c>
      <c r="E753">
        <v>3</v>
      </c>
      <c r="F753">
        <v>3</v>
      </c>
      <c r="G753" t="s">
        <v>700</v>
      </c>
      <c r="H753" t="s">
        <v>700</v>
      </c>
      <c r="J753">
        <v>0.65531999999999901</v>
      </c>
      <c r="K753">
        <v>0.64179999999999904</v>
      </c>
      <c r="L753" t="s">
        <v>303</v>
      </c>
      <c r="M753">
        <v>0.65531999999999901</v>
      </c>
      <c r="N753">
        <v>0.64179999999999904</v>
      </c>
      <c r="O753" t="s">
        <v>303</v>
      </c>
      <c r="P753">
        <f t="shared" si="11"/>
        <v>0</v>
      </c>
    </row>
    <row r="754" spans="1:16" x14ac:dyDescent="0.25">
      <c r="A754" t="s">
        <v>578</v>
      </c>
      <c r="B754" s="11">
        <v>0.65539000000000003</v>
      </c>
      <c r="C754" s="12">
        <v>0.66970999999999903</v>
      </c>
      <c r="D754" t="s">
        <v>303</v>
      </c>
      <c r="E754">
        <v>3</v>
      </c>
      <c r="F754">
        <v>3</v>
      </c>
      <c r="G754" t="s">
        <v>700</v>
      </c>
      <c r="H754" t="s">
        <v>700</v>
      </c>
      <c r="J754">
        <v>0.65539000000000003</v>
      </c>
      <c r="K754">
        <v>0.65539000000000003</v>
      </c>
      <c r="L754" t="s">
        <v>303</v>
      </c>
      <c r="M754">
        <v>0.65539000000000003</v>
      </c>
      <c r="N754">
        <v>0.65539000000000003</v>
      </c>
      <c r="O754" t="s">
        <v>303</v>
      </c>
      <c r="P754">
        <f t="shared" si="11"/>
        <v>0</v>
      </c>
    </row>
    <row r="755" spans="1:16" x14ac:dyDescent="0.25">
      <c r="A755" t="s">
        <v>669</v>
      </c>
      <c r="B755">
        <v>0.65920000000000001</v>
      </c>
      <c r="C755">
        <v>0.65920000000000001</v>
      </c>
      <c r="D755" t="s">
        <v>303</v>
      </c>
      <c r="E755" t="s">
        <v>910</v>
      </c>
      <c r="F755" t="s">
        <v>910</v>
      </c>
      <c r="J755">
        <v>0.65920000000000001</v>
      </c>
      <c r="K755">
        <v>0.65920000000000001</v>
      </c>
      <c r="L755" t="s">
        <v>303</v>
      </c>
      <c r="M755">
        <v>0.65920000000000001</v>
      </c>
      <c r="N755">
        <v>0.65920000000000001</v>
      </c>
      <c r="O755" t="s">
        <v>303</v>
      </c>
      <c r="P755">
        <f t="shared" si="11"/>
        <v>0</v>
      </c>
    </row>
    <row r="756" spans="1:16" x14ac:dyDescent="0.25">
      <c r="A756" t="s">
        <v>669</v>
      </c>
      <c r="B756">
        <v>0.37</v>
      </c>
      <c r="C756">
        <v>0.66</v>
      </c>
      <c r="D756" t="s">
        <v>303</v>
      </c>
      <c r="E756" t="s">
        <v>910</v>
      </c>
      <c r="F756" t="s">
        <v>910</v>
      </c>
      <c r="J756">
        <v>0.66</v>
      </c>
      <c r="K756">
        <v>0.37</v>
      </c>
      <c r="L756" t="s">
        <v>303</v>
      </c>
      <c r="M756">
        <v>0.66</v>
      </c>
      <c r="N756">
        <v>0.37</v>
      </c>
      <c r="O756" t="s">
        <v>303</v>
      </c>
      <c r="P756">
        <f t="shared" si="11"/>
        <v>0</v>
      </c>
    </row>
    <row r="757" spans="1:16" x14ac:dyDescent="0.25">
      <c r="A757" t="s">
        <v>669</v>
      </c>
      <c r="B757">
        <v>0.66049999999999998</v>
      </c>
      <c r="C757">
        <v>0.66049999999999998</v>
      </c>
      <c r="D757" t="s">
        <v>303</v>
      </c>
      <c r="E757" t="s">
        <v>910</v>
      </c>
      <c r="F757" t="s">
        <v>910</v>
      </c>
      <c r="J757">
        <v>0.66049999999999998</v>
      </c>
      <c r="K757">
        <v>0.66049999999999998</v>
      </c>
      <c r="L757" t="s">
        <v>303</v>
      </c>
      <c r="M757">
        <v>0.66049999999999998</v>
      </c>
      <c r="N757">
        <v>0.66049999999999998</v>
      </c>
      <c r="O757" t="s">
        <v>303</v>
      </c>
      <c r="P757">
        <f t="shared" si="11"/>
        <v>0</v>
      </c>
    </row>
    <row r="758" spans="1:16" x14ac:dyDescent="0.25">
      <c r="A758" t="s">
        <v>527</v>
      </c>
      <c r="B758">
        <v>672.82069999999999</v>
      </c>
      <c r="C758">
        <v>672.82069999999999</v>
      </c>
      <c r="D758" t="s">
        <v>887</v>
      </c>
      <c r="E758">
        <v>8</v>
      </c>
      <c r="F758">
        <v>8</v>
      </c>
      <c r="G758" t="s">
        <v>687</v>
      </c>
      <c r="H758" t="s">
        <v>687</v>
      </c>
      <c r="J758">
        <v>0.67282069999999994</v>
      </c>
      <c r="K758">
        <v>0.67282069999999994</v>
      </c>
      <c r="L758" t="s">
        <v>303</v>
      </c>
      <c r="M758">
        <v>672.82069999999999</v>
      </c>
      <c r="N758">
        <v>672.82069999999999</v>
      </c>
      <c r="O758" t="s">
        <v>862</v>
      </c>
      <c r="P758">
        <f t="shared" si="11"/>
        <v>0</v>
      </c>
    </row>
    <row r="759" spans="1:16" x14ac:dyDescent="0.25">
      <c r="A759" t="s">
        <v>669</v>
      </c>
      <c r="B759">
        <v>0.67679999999999996</v>
      </c>
      <c r="C759">
        <v>0.67679999999999996</v>
      </c>
      <c r="D759" t="s">
        <v>303</v>
      </c>
      <c r="E759" t="s">
        <v>910</v>
      </c>
      <c r="F759" t="s">
        <v>910</v>
      </c>
      <c r="J759">
        <v>0.67679999999999996</v>
      </c>
      <c r="K759">
        <v>0.67679999999999996</v>
      </c>
      <c r="L759" t="s">
        <v>303</v>
      </c>
      <c r="M759">
        <v>0.67679999999999996</v>
      </c>
      <c r="N759">
        <v>0.67679999999999996</v>
      </c>
      <c r="O759" t="s">
        <v>303</v>
      </c>
      <c r="P759">
        <f t="shared" si="11"/>
        <v>0</v>
      </c>
    </row>
    <row r="760" spans="1:16" x14ac:dyDescent="0.25">
      <c r="A760" t="s">
        <v>578</v>
      </c>
      <c r="B760" s="12">
        <v>0.66830000000000001</v>
      </c>
      <c r="C760" s="11">
        <v>0.68015999999999999</v>
      </c>
      <c r="D760" t="s">
        <v>303</v>
      </c>
      <c r="E760">
        <v>3</v>
      </c>
      <c r="F760">
        <v>3</v>
      </c>
      <c r="G760" t="s">
        <v>700</v>
      </c>
      <c r="H760" t="s">
        <v>700</v>
      </c>
      <c r="J760">
        <v>0.68015999999999999</v>
      </c>
      <c r="K760">
        <v>0.68015999999999999</v>
      </c>
      <c r="L760" t="s">
        <v>303</v>
      </c>
      <c r="M760">
        <v>0.68015999999999999</v>
      </c>
      <c r="N760">
        <v>0.68015999999999999</v>
      </c>
      <c r="O760" t="s">
        <v>303</v>
      </c>
      <c r="P760">
        <f t="shared" si="11"/>
        <v>0</v>
      </c>
    </row>
    <row r="761" spans="1:16" x14ac:dyDescent="0.25">
      <c r="A761" t="s">
        <v>669</v>
      </c>
      <c r="B761">
        <v>0.68359999999999999</v>
      </c>
      <c r="C761">
        <v>0.68359999999999999</v>
      </c>
      <c r="D761" t="s">
        <v>303</v>
      </c>
      <c r="E761" t="s">
        <v>910</v>
      </c>
      <c r="F761" t="s">
        <v>910</v>
      </c>
      <c r="J761">
        <v>0.68359999999999999</v>
      </c>
      <c r="K761">
        <v>0.68359999999999999</v>
      </c>
      <c r="L761" t="s">
        <v>303</v>
      </c>
      <c r="M761">
        <v>0.68359999999999999</v>
      </c>
      <c r="N761">
        <v>0.68359999999999999</v>
      </c>
      <c r="O761" t="s">
        <v>303</v>
      </c>
      <c r="P761">
        <f t="shared" si="11"/>
        <v>0</v>
      </c>
    </row>
    <row r="762" spans="1:16" x14ac:dyDescent="0.25">
      <c r="A762" t="s">
        <v>669</v>
      </c>
      <c r="B762">
        <v>0.68479999999999996</v>
      </c>
      <c r="C762">
        <v>0.68479999999999996</v>
      </c>
      <c r="D762" t="s">
        <v>303</v>
      </c>
      <c r="E762" t="s">
        <v>910</v>
      </c>
      <c r="F762" t="s">
        <v>910</v>
      </c>
      <c r="J762">
        <v>0.68479999999999996</v>
      </c>
      <c r="K762">
        <v>0.68479999999999996</v>
      </c>
      <c r="L762" t="s">
        <v>303</v>
      </c>
      <c r="M762">
        <v>0.68479999999999996</v>
      </c>
      <c r="N762">
        <v>0.68479999999999996</v>
      </c>
      <c r="O762" t="s">
        <v>303</v>
      </c>
      <c r="P762">
        <f t="shared" si="11"/>
        <v>0</v>
      </c>
    </row>
    <row r="763" spans="1:16" x14ac:dyDescent="0.25">
      <c r="A763" t="s">
        <v>578</v>
      </c>
      <c r="B763" s="13">
        <v>0.67638999999999905</v>
      </c>
      <c r="C763" s="13">
        <v>0.68530999999999997</v>
      </c>
      <c r="D763" t="s">
        <v>303</v>
      </c>
      <c r="E763">
        <v>3</v>
      </c>
      <c r="F763">
        <v>3</v>
      </c>
      <c r="G763" t="s">
        <v>700</v>
      </c>
      <c r="H763" t="s">
        <v>700</v>
      </c>
      <c r="J763">
        <v>0.68530999999999997</v>
      </c>
      <c r="K763">
        <v>0.67638999999999905</v>
      </c>
      <c r="L763" t="s">
        <v>303</v>
      </c>
      <c r="M763">
        <v>0.68530999999999997</v>
      </c>
      <c r="N763">
        <v>0.67638999999999905</v>
      </c>
      <c r="O763" t="s">
        <v>303</v>
      </c>
      <c r="P763">
        <f t="shared" si="11"/>
        <v>0</v>
      </c>
    </row>
    <row r="764" spans="1:16" x14ac:dyDescent="0.25">
      <c r="A764" t="s">
        <v>669</v>
      </c>
      <c r="B764">
        <v>0.69</v>
      </c>
      <c r="C764">
        <v>0.69</v>
      </c>
      <c r="D764" t="s">
        <v>303</v>
      </c>
      <c r="E764" t="s">
        <v>910</v>
      </c>
      <c r="F764" t="s">
        <v>910</v>
      </c>
      <c r="J764">
        <v>0.69</v>
      </c>
      <c r="K764">
        <v>0.69</v>
      </c>
      <c r="L764" t="s">
        <v>303</v>
      </c>
      <c r="M764">
        <v>0.69</v>
      </c>
      <c r="N764">
        <v>0.69</v>
      </c>
      <c r="O764" t="s">
        <v>303</v>
      </c>
      <c r="P764">
        <f t="shared" si="11"/>
        <v>0</v>
      </c>
    </row>
    <row r="765" spans="1:16" x14ac:dyDescent="0.25">
      <c r="A765" t="s">
        <v>669</v>
      </c>
      <c r="B765">
        <v>0.69650000000000001</v>
      </c>
      <c r="C765">
        <v>0.6966</v>
      </c>
      <c r="D765" t="s">
        <v>303</v>
      </c>
      <c r="E765" t="s">
        <v>910</v>
      </c>
      <c r="F765" t="s">
        <v>910</v>
      </c>
      <c r="J765">
        <v>0.6966</v>
      </c>
      <c r="K765">
        <v>0.69650000000000001</v>
      </c>
      <c r="L765" t="s">
        <v>303</v>
      </c>
      <c r="M765">
        <v>0.6966</v>
      </c>
      <c r="N765">
        <v>0.69650000000000001</v>
      </c>
      <c r="O765" t="s">
        <v>303</v>
      </c>
      <c r="P765">
        <f t="shared" si="11"/>
        <v>0</v>
      </c>
    </row>
    <row r="766" spans="1:16" x14ac:dyDescent="0.25">
      <c r="A766" t="s">
        <v>669</v>
      </c>
      <c r="B766">
        <v>0.5</v>
      </c>
      <c r="C766">
        <v>0.7</v>
      </c>
      <c r="D766" t="s">
        <v>669</v>
      </c>
      <c r="E766">
        <v>8</v>
      </c>
      <c r="F766">
        <v>8</v>
      </c>
      <c r="G766" t="s">
        <v>687</v>
      </c>
      <c r="H766" t="s">
        <v>687</v>
      </c>
      <c r="I766" t="s">
        <v>927</v>
      </c>
      <c r="J766">
        <v>0.7</v>
      </c>
      <c r="K766">
        <v>0.5</v>
      </c>
      <c r="L766" t="s">
        <v>930</v>
      </c>
      <c r="M766">
        <v>0.7</v>
      </c>
      <c r="N766">
        <v>0.5</v>
      </c>
      <c r="P766">
        <f t="shared" si="11"/>
        <v>14</v>
      </c>
    </row>
    <row r="767" spans="1:16" x14ac:dyDescent="0.25">
      <c r="A767" t="s">
        <v>669</v>
      </c>
      <c r="B767">
        <v>0.7</v>
      </c>
      <c r="C767">
        <v>0.7</v>
      </c>
      <c r="D767" t="s">
        <v>303</v>
      </c>
      <c r="E767" t="s">
        <v>910</v>
      </c>
      <c r="F767" t="s">
        <v>910</v>
      </c>
      <c r="J767">
        <v>0.7</v>
      </c>
      <c r="K767">
        <v>0.7</v>
      </c>
      <c r="L767" t="s">
        <v>303</v>
      </c>
      <c r="M767">
        <v>0.7</v>
      </c>
      <c r="N767">
        <v>0.7</v>
      </c>
      <c r="O767" t="s">
        <v>303</v>
      </c>
      <c r="P767">
        <f t="shared" si="11"/>
        <v>0</v>
      </c>
    </row>
    <row r="768" spans="1:16" x14ac:dyDescent="0.25">
      <c r="A768" t="s">
        <v>669</v>
      </c>
      <c r="B768">
        <v>700000</v>
      </c>
      <c r="C768">
        <v>700000</v>
      </c>
      <c r="D768" t="s">
        <v>857</v>
      </c>
      <c r="E768" t="s">
        <v>910</v>
      </c>
      <c r="F768" t="s">
        <v>910</v>
      </c>
      <c r="J768">
        <v>0.7</v>
      </c>
      <c r="K768">
        <v>0.7</v>
      </c>
      <c r="L768" t="s">
        <v>303</v>
      </c>
      <c r="M768">
        <v>700000</v>
      </c>
      <c r="N768">
        <v>700000</v>
      </c>
      <c r="O768" t="s">
        <v>303</v>
      </c>
      <c r="P768">
        <f t="shared" si="11"/>
        <v>0</v>
      </c>
    </row>
    <row r="769" spans="1:16" x14ac:dyDescent="0.25">
      <c r="A769" t="s">
        <v>669</v>
      </c>
      <c r="B769">
        <v>0.70550000000000002</v>
      </c>
      <c r="C769">
        <v>0.70550000000000002</v>
      </c>
      <c r="D769" t="s">
        <v>303</v>
      </c>
      <c r="E769" t="s">
        <v>910</v>
      </c>
      <c r="F769" t="s">
        <v>910</v>
      </c>
      <c r="J769">
        <v>0.70550000000000002</v>
      </c>
      <c r="K769">
        <v>0.70550000000000002</v>
      </c>
      <c r="L769" t="s">
        <v>303</v>
      </c>
      <c r="M769">
        <v>0.70550000000000002</v>
      </c>
      <c r="N769">
        <v>0.70550000000000002</v>
      </c>
      <c r="O769" t="s">
        <v>303</v>
      </c>
      <c r="P769">
        <f t="shared" si="11"/>
        <v>0</v>
      </c>
    </row>
    <row r="770" spans="1:16" x14ac:dyDescent="0.25">
      <c r="A770" t="s">
        <v>669</v>
      </c>
      <c r="B770">
        <v>0.70650000000000002</v>
      </c>
      <c r="C770">
        <v>0.70650000000000002</v>
      </c>
      <c r="D770" t="s">
        <v>303</v>
      </c>
      <c r="E770" t="s">
        <v>910</v>
      </c>
      <c r="F770" t="s">
        <v>910</v>
      </c>
      <c r="J770">
        <v>0.70650000000000002</v>
      </c>
      <c r="K770">
        <v>0.70650000000000002</v>
      </c>
      <c r="L770" t="s">
        <v>303</v>
      </c>
      <c r="M770">
        <v>0.70650000000000002</v>
      </c>
      <c r="N770">
        <v>0.70650000000000002</v>
      </c>
      <c r="O770" t="s">
        <v>303</v>
      </c>
      <c r="P770">
        <f t="shared" si="11"/>
        <v>0</v>
      </c>
    </row>
    <row r="771" spans="1:16" x14ac:dyDescent="0.25">
      <c r="A771" t="s">
        <v>669</v>
      </c>
      <c r="B771">
        <v>0.70660000000000001</v>
      </c>
      <c r="C771">
        <v>0.70660000000000001</v>
      </c>
      <c r="D771" t="s">
        <v>303</v>
      </c>
      <c r="E771" t="s">
        <v>910</v>
      </c>
      <c r="F771" t="s">
        <v>910</v>
      </c>
      <c r="J771">
        <v>0.70660000000000001</v>
      </c>
      <c r="K771">
        <v>0.70660000000000001</v>
      </c>
      <c r="L771" t="s">
        <v>303</v>
      </c>
      <c r="M771">
        <v>0.70660000000000001</v>
      </c>
      <c r="N771">
        <v>0.70660000000000001</v>
      </c>
      <c r="O771" t="s">
        <v>303</v>
      </c>
      <c r="P771">
        <f t="shared" ref="P771:P834" si="12">LEN(I771)</f>
        <v>0</v>
      </c>
    </row>
    <row r="772" spans="1:16" x14ac:dyDescent="0.25">
      <c r="A772" t="s">
        <v>669</v>
      </c>
      <c r="B772">
        <v>0.70669999999999999</v>
      </c>
      <c r="C772">
        <v>0.70669999999999999</v>
      </c>
      <c r="D772" t="s">
        <v>303</v>
      </c>
      <c r="E772" t="s">
        <v>910</v>
      </c>
      <c r="F772" t="s">
        <v>910</v>
      </c>
      <c r="J772">
        <v>0.70669999999999999</v>
      </c>
      <c r="K772">
        <v>0.70669999999999999</v>
      </c>
      <c r="L772" t="s">
        <v>303</v>
      </c>
      <c r="M772">
        <v>0.70669999999999999</v>
      </c>
      <c r="N772">
        <v>0.70669999999999999</v>
      </c>
      <c r="O772" t="s">
        <v>303</v>
      </c>
      <c r="P772">
        <f t="shared" si="12"/>
        <v>0</v>
      </c>
    </row>
    <row r="773" spans="1:16" x14ac:dyDescent="0.25">
      <c r="A773" t="s">
        <v>669</v>
      </c>
      <c r="B773">
        <v>0.70679999999999998</v>
      </c>
      <c r="C773">
        <v>0.70679999999999998</v>
      </c>
      <c r="D773" t="s">
        <v>303</v>
      </c>
      <c r="E773" t="s">
        <v>910</v>
      </c>
      <c r="F773" t="s">
        <v>910</v>
      </c>
      <c r="J773">
        <v>0.70679999999999998</v>
      </c>
      <c r="K773">
        <v>0.70679999999999998</v>
      </c>
      <c r="L773" t="s">
        <v>303</v>
      </c>
      <c r="M773">
        <v>0.70679999999999998</v>
      </c>
      <c r="N773">
        <v>0.70679999999999998</v>
      </c>
      <c r="O773" t="s">
        <v>303</v>
      </c>
      <c r="P773">
        <f t="shared" si="12"/>
        <v>0</v>
      </c>
    </row>
    <row r="774" spans="1:16" x14ac:dyDescent="0.25">
      <c r="A774" t="s">
        <v>669</v>
      </c>
      <c r="B774">
        <v>0.70689999999999997</v>
      </c>
      <c r="C774">
        <v>0.70689999999999997</v>
      </c>
      <c r="D774" t="s">
        <v>303</v>
      </c>
      <c r="E774" t="s">
        <v>910</v>
      </c>
      <c r="F774" t="s">
        <v>910</v>
      </c>
      <c r="J774">
        <v>0.70689999999999997</v>
      </c>
      <c r="K774">
        <v>0.70689999999999997</v>
      </c>
      <c r="L774" t="s">
        <v>303</v>
      </c>
      <c r="M774">
        <v>0.70689999999999997</v>
      </c>
      <c r="N774">
        <v>0.70689999999999997</v>
      </c>
      <c r="O774" t="s">
        <v>303</v>
      </c>
      <c r="P774">
        <f t="shared" si="12"/>
        <v>0</v>
      </c>
    </row>
    <row r="775" spans="1:16" x14ac:dyDescent="0.25">
      <c r="A775" t="s">
        <v>669</v>
      </c>
      <c r="B775">
        <v>0.70699999999999996</v>
      </c>
      <c r="C775">
        <v>0.70699999999999996</v>
      </c>
      <c r="D775" t="s">
        <v>303</v>
      </c>
      <c r="E775" t="s">
        <v>910</v>
      </c>
      <c r="F775" t="s">
        <v>910</v>
      </c>
      <c r="J775">
        <v>0.70699999999999996</v>
      </c>
      <c r="K775">
        <v>0.70699999999999996</v>
      </c>
      <c r="L775" t="s">
        <v>303</v>
      </c>
      <c r="M775">
        <v>0.70699999999999996</v>
      </c>
      <c r="N775">
        <v>0.70699999999999996</v>
      </c>
      <c r="O775" t="s">
        <v>303</v>
      </c>
      <c r="P775">
        <f t="shared" si="12"/>
        <v>0</v>
      </c>
    </row>
    <row r="776" spans="1:16" x14ac:dyDescent="0.25">
      <c r="A776" t="s">
        <v>669</v>
      </c>
      <c r="B776">
        <v>0.70709999999999995</v>
      </c>
      <c r="C776">
        <v>0.70709999999999995</v>
      </c>
      <c r="D776" t="s">
        <v>303</v>
      </c>
      <c r="E776" t="s">
        <v>910</v>
      </c>
      <c r="F776" t="s">
        <v>910</v>
      </c>
      <c r="J776">
        <v>0.70709999999999995</v>
      </c>
      <c r="K776">
        <v>0.70709999999999995</v>
      </c>
      <c r="L776" t="s">
        <v>303</v>
      </c>
      <c r="M776">
        <v>0.70709999999999995</v>
      </c>
      <c r="N776">
        <v>0.70709999999999995</v>
      </c>
      <c r="O776" t="s">
        <v>303</v>
      </c>
      <c r="P776">
        <f t="shared" si="12"/>
        <v>0</v>
      </c>
    </row>
    <row r="777" spans="1:16" x14ac:dyDescent="0.25">
      <c r="A777" t="s">
        <v>669</v>
      </c>
      <c r="B777">
        <v>0.70960000000000001</v>
      </c>
      <c r="C777">
        <v>0.70960000000000001</v>
      </c>
      <c r="D777" t="s">
        <v>303</v>
      </c>
      <c r="E777" t="s">
        <v>910</v>
      </c>
      <c r="F777" t="s">
        <v>910</v>
      </c>
      <c r="J777">
        <v>0.70960000000000001</v>
      </c>
      <c r="K777">
        <v>0.70960000000000001</v>
      </c>
      <c r="L777" t="s">
        <v>303</v>
      </c>
      <c r="M777">
        <v>0.70960000000000001</v>
      </c>
      <c r="N777">
        <v>0.70960000000000001</v>
      </c>
      <c r="O777" t="s">
        <v>303</v>
      </c>
      <c r="P777">
        <f t="shared" si="12"/>
        <v>0</v>
      </c>
    </row>
    <row r="778" spans="1:16" x14ac:dyDescent="0.25">
      <c r="A778" t="s">
        <v>578</v>
      </c>
      <c r="B778" s="11">
        <v>0.71196000000000004</v>
      </c>
      <c r="C778" s="12">
        <v>0.72151999999999905</v>
      </c>
      <c r="D778" t="s">
        <v>303</v>
      </c>
      <c r="E778">
        <v>3</v>
      </c>
      <c r="F778">
        <v>3</v>
      </c>
      <c r="G778" t="s">
        <v>700</v>
      </c>
      <c r="H778" t="s">
        <v>700</v>
      </c>
      <c r="J778">
        <v>0.71196000000000004</v>
      </c>
      <c r="K778">
        <v>0.71196000000000004</v>
      </c>
      <c r="L778" t="s">
        <v>303</v>
      </c>
      <c r="M778">
        <v>0.71196000000000004</v>
      </c>
      <c r="N778">
        <v>0.71196000000000004</v>
      </c>
      <c r="O778" t="s">
        <v>303</v>
      </c>
      <c r="P778">
        <f t="shared" si="12"/>
        <v>0</v>
      </c>
    </row>
    <row r="779" spans="1:16" x14ac:dyDescent="0.25">
      <c r="A779" t="s">
        <v>578</v>
      </c>
      <c r="B779">
        <v>530.1</v>
      </c>
      <c r="C779">
        <v>713.9</v>
      </c>
      <c r="D779" t="s">
        <v>862</v>
      </c>
      <c r="E779">
        <v>8</v>
      </c>
      <c r="F779">
        <v>8</v>
      </c>
      <c r="G779" t="s">
        <v>687</v>
      </c>
      <c r="H779" t="s">
        <v>687</v>
      </c>
      <c r="J779">
        <v>0.71389999999999998</v>
      </c>
      <c r="K779">
        <v>0.53010000000000002</v>
      </c>
      <c r="L779" t="s">
        <v>303</v>
      </c>
      <c r="M779">
        <v>713.9</v>
      </c>
      <c r="N779">
        <v>530.1</v>
      </c>
      <c r="O779" t="s">
        <v>862</v>
      </c>
      <c r="P779">
        <f t="shared" si="12"/>
        <v>0</v>
      </c>
    </row>
    <row r="780" spans="1:16" x14ac:dyDescent="0.25">
      <c r="A780" t="s">
        <v>669</v>
      </c>
      <c r="B780">
        <v>0.71479999999999999</v>
      </c>
      <c r="C780">
        <v>0.71479999999999999</v>
      </c>
      <c r="D780" t="s">
        <v>303</v>
      </c>
      <c r="E780" t="s">
        <v>910</v>
      </c>
      <c r="F780" t="s">
        <v>910</v>
      </c>
      <c r="J780">
        <v>0.71479999999999999</v>
      </c>
      <c r="K780">
        <v>0.71479999999999999</v>
      </c>
      <c r="L780" t="s">
        <v>303</v>
      </c>
      <c r="M780">
        <v>0.71479999999999999</v>
      </c>
      <c r="N780">
        <v>0.71479999999999999</v>
      </c>
      <c r="O780" t="s">
        <v>303</v>
      </c>
      <c r="P780">
        <f t="shared" si="12"/>
        <v>0</v>
      </c>
    </row>
    <row r="781" spans="1:16" x14ac:dyDescent="0.25">
      <c r="A781" t="s">
        <v>669</v>
      </c>
      <c r="B781">
        <v>0.72840000000000005</v>
      </c>
      <c r="C781">
        <v>0.72840000000000005</v>
      </c>
      <c r="D781" t="s">
        <v>303</v>
      </c>
      <c r="E781" t="s">
        <v>910</v>
      </c>
      <c r="F781" t="s">
        <v>910</v>
      </c>
      <c r="J781">
        <v>0.72840000000000005</v>
      </c>
      <c r="K781">
        <v>0.72840000000000005</v>
      </c>
      <c r="L781" t="s">
        <v>303</v>
      </c>
      <c r="M781">
        <v>0.72840000000000005</v>
      </c>
      <c r="N781">
        <v>0.72840000000000005</v>
      </c>
      <c r="O781" t="s">
        <v>303</v>
      </c>
      <c r="P781">
        <f t="shared" si="12"/>
        <v>0</v>
      </c>
    </row>
    <row r="782" spans="1:16" x14ac:dyDescent="0.25">
      <c r="A782" t="s">
        <v>578</v>
      </c>
      <c r="B782" s="11">
        <v>0.72855999999999999</v>
      </c>
      <c r="C782" s="12">
        <v>0.74027999999999905</v>
      </c>
      <c r="D782" t="s">
        <v>303</v>
      </c>
      <c r="E782">
        <v>3</v>
      </c>
      <c r="F782">
        <v>3</v>
      </c>
      <c r="G782" t="s">
        <v>700</v>
      </c>
      <c r="H782" t="s">
        <v>700</v>
      </c>
      <c r="J782">
        <v>0.72855999999999999</v>
      </c>
      <c r="K782">
        <v>0.72855999999999999</v>
      </c>
      <c r="L782" t="s">
        <v>303</v>
      </c>
      <c r="M782">
        <v>0.72855999999999999</v>
      </c>
      <c r="N782">
        <v>0.72855999999999999</v>
      </c>
      <c r="O782" t="s">
        <v>303</v>
      </c>
      <c r="P782">
        <f t="shared" si="12"/>
        <v>0</v>
      </c>
    </row>
    <row r="783" spans="1:16" x14ac:dyDescent="0.25">
      <c r="A783" t="s">
        <v>669</v>
      </c>
      <c r="B783">
        <v>0.65</v>
      </c>
      <c r="C783">
        <v>0.73</v>
      </c>
      <c r="D783" t="s">
        <v>860</v>
      </c>
      <c r="E783" t="s">
        <v>910</v>
      </c>
      <c r="F783" t="s">
        <v>910</v>
      </c>
      <c r="J783">
        <v>0.73</v>
      </c>
      <c r="K783">
        <v>0.65</v>
      </c>
      <c r="L783" t="s">
        <v>303</v>
      </c>
      <c r="M783">
        <v>0.73</v>
      </c>
      <c r="N783">
        <v>0.65</v>
      </c>
      <c r="O783" t="s">
        <v>303</v>
      </c>
      <c r="P783">
        <f t="shared" si="12"/>
        <v>0</v>
      </c>
    </row>
    <row r="784" spans="1:16" x14ac:dyDescent="0.25">
      <c r="A784" t="s">
        <v>669</v>
      </c>
      <c r="B784">
        <v>0.73299999999999998</v>
      </c>
      <c r="C784">
        <v>0.73299999999999998</v>
      </c>
      <c r="D784" t="s">
        <v>303</v>
      </c>
      <c r="E784" t="s">
        <v>910</v>
      </c>
      <c r="F784" t="s">
        <v>910</v>
      </c>
      <c r="J784">
        <v>0.73299999999999998</v>
      </c>
      <c r="K784">
        <v>0.73299999999999998</v>
      </c>
      <c r="L784" t="s">
        <v>303</v>
      </c>
      <c r="M784">
        <v>0.73299999999999998</v>
      </c>
      <c r="N784">
        <v>0.73299999999999998</v>
      </c>
      <c r="O784" t="s">
        <v>303</v>
      </c>
      <c r="P784">
        <f t="shared" si="12"/>
        <v>0</v>
      </c>
    </row>
    <row r="785" spans="1:16" x14ac:dyDescent="0.25">
      <c r="A785" t="s">
        <v>669</v>
      </c>
      <c r="B785">
        <v>0.7339</v>
      </c>
      <c r="C785">
        <v>0.7339</v>
      </c>
      <c r="D785" t="s">
        <v>303</v>
      </c>
      <c r="E785" t="s">
        <v>910</v>
      </c>
      <c r="F785" t="s">
        <v>910</v>
      </c>
      <c r="J785">
        <v>0.7339</v>
      </c>
      <c r="K785">
        <v>0.7339</v>
      </c>
      <c r="L785" t="s">
        <v>303</v>
      </c>
      <c r="M785">
        <v>0.7339</v>
      </c>
      <c r="N785">
        <v>0.7339</v>
      </c>
      <c r="O785" t="s">
        <v>303</v>
      </c>
      <c r="P785">
        <f t="shared" si="12"/>
        <v>0</v>
      </c>
    </row>
    <row r="786" spans="1:16" x14ac:dyDescent="0.25">
      <c r="A786" t="s">
        <v>669</v>
      </c>
      <c r="B786">
        <v>0.73399999999999999</v>
      </c>
      <c r="C786">
        <v>0.73399999999999999</v>
      </c>
      <c r="D786" t="s">
        <v>303</v>
      </c>
      <c r="E786" t="s">
        <v>910</v>
      </c>
      <c r="F786" t="s">
        <v>910</v>
      </c>
      <c r="J786">
        <v>0.73399999999999999</v>
      </c>
      <c r="K786">
        <v>0.73399999999999999</v>
      </c>
      <c r="L786" t="s">
        <v>303</v>
      </c>
      <c r="M786">
        <v>0.73399999999999999</v>
      </c>
      <c r="N786">
        <v>0.73399999999999999</v>
      </c>
      <c r="O786" t="s">
        <v>303</v>
      </c>
      <c r="P786">
        <f t="shared" si="12"/>
        <v>0</v>
      </c>
    </row>
    <row r="787" spans="1:16" x14ac:dyDescent="0.25">
      <c r="A787" t="s">
        <v>669</v>
      </c>
      <c r="B787">
        <v>0.73560000000000003</v>
      </c>
      <c r="C787">
        <v>0.73560000000000003</v>
      </c>
      <c r="D787" t="s">
        <v>303</v>
      </c>
      <c r="E787" t="s">
        <v>910</v>
      </c>
      <c r="F787" t="s">
        <v>910</v>
      </c>
      <c r="J787">
        <v>0.73560000000000003</v>
      </c>
      <c r="K787">
        <v>0.73560000000000003</v>
      </c>
      <c r="L787" t="s">
        <v>303</v>
      </c>
      <c r="M787">
        <v>0.73560000000000003</v>
      </c>
      <c r="N787">
        <v>0.73560000000000003</v>
      </c>
      <c r="O787" t="s">
        <v>303</v>
      </c>
      <c r="P787">
        <f t="shared" si="12"/>
        <v>0</v>
      </c>
    </row>
    <row r="788" spans="1:16" x14ac:dyDescent="0.25">
      <c r="A788" t="s">
        <v>669</v>
      </c>
      <c r="B788">
        <v>0.73880000000000001</v>
      </c>
      <c r="C788">
        <v>0.73880000000000001</v>
      </c>
      <c r="D788" t="s">
        <v>303</v>
      </c>
      <c r="E788" t="s">
        <v>910</v>
      </c>
      <c r="F788" t="s">
        <v>910</v>
      </c>
      <c r="J788">
        <v>0.73880000000000001</v>
      </c>
      <c r="K788">
        <v>0.73880000000000001</v>
      </c>
      <c r="L788" t="s">
        <v>303</v>
      </c>
      <c r="M788">
        <v>0.73880000000000001</v>
      </c>
      <c r="N788">
        <v>0.73880000000000001</v>
      </c>
      <c r="O788" t="s">
        <v>303</v>
      </c>
      <c r="P788">
        <f t="shared" si="12"/>
        <v>0</v>
      </c>
    </row>
    <row r="789" spans="1:16" x14ac:dyDescent="0.25">
      <c r="A789" t="s">
        <v>527</v>
      </c>
      <c r="B789">
        <v>739.62710000000004</v>
      </c>
      <c r="C789">
        <v>739.62710000000004</v>
      </c>
      <c r="D789" t="s">
        <v>887</v>
      </c>
      <c r="E789">
        <v>8</v>
      </c>
      <c r="F789">
        <v>8</v>
      </c>
      <c r="G789" t="s">
        <v>687</v>
      </c>
      <c r="H789" t="s">
        <v>687</v>
      </c>
      <c r="J789">
        <v>0.73962710000000009</v>
      </c>
      <c r="K789">
        <v>0.73962710000000009</v>
      </c>
      <c r="L789" t="s">
        <v>303</v>
      </c>
      <c r="M789">
        <v>739.62710000000004</v>
      </c>
      <c r="N789">
        <v>739.62710000000004</v>
      </c>
      <c r="O789" t="s">
        <v>862</v>
      </c>
      <c r="P789">
        <f t="shared" si="12"/>
        <v>0</v>
      </c>
    </row>
    <row r="790" spans="1:16" x14ac:dyDescent="0.25">
      <c r="A790" t="s">
        <v>669</v>
      </c>
      <c r="B790">
        <v>0.74329999999999996</v>
      </c>
      <c r="C790">
        <v>0.74329999999999996</v>
      </c>
      <c r="D790" t="s">
        <v>303</v>
      </c>
      <c r="E790" t="s">
        <v>910</v>
      </c>
      <c r="F790" t="s">
        <v>910</v>
      </c>
      <c r="J790">
        <v>0.74329999999999996</v>
      </c>
      <c r="K790">
        <v>0.74329999999999996</v>
      </c>
      <c r="L790" t="s">
        <v>303</v>
      </c>
      <c r="M790">
        <v>0.74329999999999996</v>
      </c>
      <c r="N790">
        <v>0.74329999999999996</v>
      </c>
      <c r="O790" t="s">
        <v>303</v>
      </c>
      <c r="P790">
        <f t="shared" si="12"/>
        <v>0</v>
      </c>
    </row>
    <row r="791" spans="1:16" x14ac:dyDescent="0.25">
      <c r="A791" t="s">
        <v>669</v>
      </c>
      <c r="B791">
        <v>0.74609999999999999</v>
      </c>
      <c r="C791">
        <v>0.74609999999999999</v>
      </c>
      <c r="D791" t="s">
        <v>303</v>
      </c>
      <c r="E791" t="s">
        <v>910</v>
      </c>
      <c r="F791" t="s">
        <v>910</v>
      </c>
      <c r="J791">
        <v>0.74609999999999999</v>
      </c>
      <c r="K791">
        <v>0.74609999999999999</v>
      </c>
      <c r="L791" t="s">
        <v>303</v>
      </c>
      <c r="M791">
        <v>0.74609999999999999</v>
      </c>
      <c r="N791">
        <v>0.74609999999999999</v>
      </c>
      <c r="O791" t="s">
        <v>303</v>
      </c>
      <c r="P791">
        <f t="shared" si="12"/>
        <v>0</v>
      </c>
    </row>
    <row r="792" spans="1:16" x14ac:dyDescent="0.25">
      <c r="A792" t="s">
        <v>669</v>
      </c>
      <c r="B792">
        <v>0.74729999999999996</v>
      </c>
      <c r="C792">
        <v>0.74729999999999996</v>
      </c>
      <c r="D792" t="s">
        <v>303</v>
      </c>
      <c r="E792" t="s">
        <v>910</v>
      </c>
      <c r="F792" t="s">
        <v>910</v>
      </c>
      <c r="J792">
        <v>0.74729999999999996</v>
      </c>
      <c r="K792">
        <v>0.74729999999999996</v>
      </c>
      <c r="L792" t="s">
        <v>303</v>
      </c>
      <c r="M792">
        <v>0.74729999999999996</v>
      </c>
      <c r="N792">
        <v>0.74729999999999996</v>
      </c>
      <c r="O792" t="s">
        <v>303</v>
      </c>
      <c r="P792">
        <f t="shared" si="12"/>
        <v>0</v>
      </c>
    </row>
    <row r="793" spans="1:16" x14ac:dyDescent="0.25">
      <c r="A793" t="s">
        <v>669</v>
      </c>
      <c r="B793">
        <v>0.74760000000000004</v>
      </c>
      <c r="C793">
        <v>0.74760000000000004</v>
      </c>
      <c r="D793" t="s">
        <v>303</v>
      </c>
      <c r="E793" t="s">
        <v>910</v>
      </c>
      <c r="F793" t="s">
        <v>910</v>
      </c>
      <c r="J793">
        <v>0.74760000000000004</v>
      </c>
      <c r="K793">
        <v>0.74760000000000004</v>
      </c>
      <c r="L793" t="s">
        <v>303</v>
      </c>
      <c r="M793">
        <v>0.74760000000000004</v>
      </c>
      <c r="N793">
        <v>0.74760000000000004</v>
      </c>
      <c r="O793" t="s">
        <v>303</v>
      </c>
      <c r="P793">
        <f t="shared" si="12"/>
        <v>0</v>
      </c>
    </row>
    <row r="794" spans="1:16" x14ac:dyDescent="0.25">
      <c r="A794" t="s">
        <v>669</v>
      </c>
      <c r="B794">
        <v>0.74839999999999995</v>
      </c>
      <c r="C794">
        <v>0.74839999999999995</v>
      </c>
      <c r="D794" t="s">
        <v>303</v>
      </c>
      <c r="E794" t="s">
        <v>910</v>
      </c>
      <c r="F794" t="s">
        <v>910</v>
      </c>
      <c r="J794">
        <v>0.74839999999999995</v>
      </c>
      <c r="K794">
        <v>0.74839999999999995</v>
      </c>
      <c r="L794" t="s">
        <v>303</v>
      </c>
      <c r="M794">
        <v>0.74839999999999995</v>
      </c>
      <c r="N794">
        <v>0.74839999999999995</v>
      </c>
      <c r="O794" t="s">
        <v>303</v>
      </c>
      <c r="P794">
        <f t="shared" si="12"/>
        <v>0</v>
      </c>
    </row>
    <row r="795" spans="1:16" x14ac:dyDescent="0.25">
      <c r="A795" t="s">
        <v>669</v>
      </c>
      <c r="B795">
        <v>0.74870000000000003</v>
      </c>
      <c r="C795">
        <v>0.74870000000000003</v>
      </c>
      <c r="D795" t="s">
        <v>303</v>
      </c>
      <c r="E795" t="s">
        <v>910</v>
      </c>
      <c r="F795" t="s">
        <v>910</v>
      </c>
      <c r="J795">
        <v>0.74870000000000003</v>
      </c>
      <c r="K795">
        <v>0.74870000000000003</v>
      </c>
      <c r="L795" t="s">
        <v>303</v>
      </c>
      <c r="M795">
        <v>0.74870000000000003</v>
      </c>
      <c r="N795">
        <v>0.74870000000000003</v>
      </c>
      <c r="O795" t="s">
        <v>303</v>
      </c>
      <c r="P795">
        <f t="shared" si="12"/>
        <v>0</v>
      </c>
    </row>
    <row r="796" spans="1:16" x14ac:dyDescent="0.25">
      <c r="A796" t="s">
        <v>527</v>
      </c>
      <c r="B796">
        <v>748.93889999999999</v>
      </c>
      <c r="C796">
        <v>748.93889999999999</v>
      </c>
      <c r="D796" t="s">
        <v>887</v>
      </c>
      <c r="E796">
        <v>8</v>
      </c>
      <c r="F796">
        <v>8</v>
      </c>
      <c r="G796" t="s">
        <v>687</v>
      </c>
      <c r="H796" t="s">
        <v>687</v>
      </c>
      <c r="J796">
        <v>0.74893889999999996</v>
      </c>
      <c r="K796">
        <v>0.74893889999999996</v>
      </c>
      <c r="L796" t="s">
        <v>303</v>
      </c>
      <c r="M796">
        <v>748.93889999999999</v>
      </c>
      <c r="N796">
        <v>748.93889999999999</v>
      </c>
      <c r="O796" t="s">
        <v>862</v>
      </c>
      <c r="P796">
        <f t="shared" si="12"/>
        <v>0</v>
      </c>
    </row>
    <row r="797" spans="1:16" x14ac:dyDescent="0.25">
      <c r="A797" t="s">
        <v>669</v>
      </c>
      <c r="B797">
        <v>0.74950000000000006</v>
      </c>
      <c r="C797">
        <v>0.74950000000000006</v>
      </c>
      <c r="D797" t="s">
        <v>303</v>
      </c>
      <c r="E797" t="s">
        <v>910</v>
      </c>
      <c r="F797" t="s">
        <v>910</v>
      </c>
      <c r="J797">
        <v>0.74950000000000006</v>
      </c>
      <c r="K797">
        <v>0.74950000000000006</v>
      </c>
      <c r="L797" t="s">
        <v>303</v>
      </c>
      <c r="M797">
        <v>0.74950000000000006</v>
      </c>
      <c r="N797">
        <v>0.74950000000000006</v>
      </c>
      <c r="O797" t="s">
        <v>303</v>
      </c>
      <c r="P797">
        <f t="shared" si="12"/>
        <v>0</v>
      </c>
    </row>
    <row r="798" spans="1:16" x14ac:dyDescent="0.25">
      <c r="A798" t="s">
        <v>669</v>
      </c>
      <c r="B798">
        <v>0.69</v>
      </c>
      <c r="C798">
        <v>0.75</v>
      </c>
      <c r="D798" t="s">
        <v>669</v>
      </c>
      <c r="E798">
        <v>8</v>
      </c>
      <c r="F798">
        <v>8</v>
      </c>
      <c r="G798" t="s">
        <v>687</v>
      </c>
      <c r="H798" t="s">
        <v>687</v>
      </c>
      <c r="I798" t="s">
        <v>927</v>
      </c>
      <c r="J798">
        <v>0.75</v>
      </c>
      <c r="K798">
        <v>0.69</v>
      </c>
      <c r="L798" t="s">
        <v>930</v>
      </c>
      <c r="M798">
        <v>0.75</v>
      </c>
      <c r="N798">
        <v>0.69</v>
      </c>
      <c r="P798">
        <f t="shared" si="12"/>
        <v>14</v>
      </c>
    </row>
    <row r="799" spans="1:16" x14ac:dyDescent="0.25">
      <c r="A799" t="s">
        <v>669</v>
      </c>
      <c r="B799">
        <v>0.753</v>
      </c>
      <c r="C799">
        <v>0.753</v>
      </c>
      <c r="D799" t="s">
        <v>303</v>
      </c>
      <c r="E799" t="s">
        <v>910</v>
      </c>
      <c r="F799" t="s">
        <v>910</v>
      </c>
      <c r="J799">
        <v>0.753</v>
      </c>
      <c r="K799">
        <v>0.753</v>
      </c>
      <c r="L799" t="s">
        <v>303</v>
      </c>
      <c r="M799">
        <v>0.753</v>
      </c>
      <c r="N799">
        <v>0.753</v>
      </c>
      <c r="O799" t="s">
        <v>303</v>
      </c>
      <c r="P799">
        <f t="shared" si="12"/>
        <v>0</v>
      </c>
    </row>
    <row r="800" spans="1:16" x14ac:dyDescent="0.25">
      <c r="A800" t="s">
        <v>669</v>
      </c>
      <c r="B800">
        <v>0.75939999999999996</v>
      </c>
      <c r="C800">
        <v>0.75939999999999996</v>
      </c>
      <c r="D800" t="s">
        <v>303</v>
      </c>
      <c r="E800" t="s">
        <v>910</v>
      </c>
      <c r="F800" t="s">
        <v>910</v>
      </c>
      <c r="J800">
        <v>0.75939999999999996</v>
      </c>
      <c r="K800">
        <v>0.75939999999999996</v>
      </c>
      <c r="L800" t="s">
        <v>303</v>
      </c>
      <c r="M800">
        <v>0.75939999999999996</v>
      </c>
      <c r="N800">
        <v>0.75939999999999996</v>
      </c>
      <c r="O800" t="s">
        <v>303</v>
      </c>
      <c r="P800">
        <f t="shared" si="12"/>
        <v>0</v>
      </c>
    </row>
    <row r="801" spans="1:16" x14ac:dyDescent="0.25">
      <c r="A801" t="s">
        <v>669</v>
      </c>
      <c r="B801">
        <v>0.76270000000000004</v>
      </c>
      <c r="C801">
        <v>0.76270000000000004</v>
      </c>
      <c r="D801" t="s">
        <v>303</v>
      </c>
      <c r="E801" t="s">
        <v>910</v>
      </c>
      <c r="F801" t="s">
        <v>910</v>
      </c>
      <c r="J801">
        <v>0.76270000000000004</v>
      </c>
      <c r="K801">
        <v>0.76270000000000004</v>
      </c>
      <c r="L801" t="s">
        <v>303</v>
      </c>
      <c r="M801">
        <v>0.76270000000000004</v>
      </c>
      <c r="N801">
        <v>0.76270000000000004</v>
      </c>
      <c r="O801" t="s">
        <v>303</v>
      </c>
      <c r="P801">
        <f t="shared" si="12"/>
        <v>0</v>
      </c>
    </row>
    <row r="802" spans="1:16" x14ac:dyDescent="0.25">
      <c r="A802" t="s">
        <v>669</v>
      </c>
      <c r="B802">
        <v>0.76719999999999999</v>
      </c>
      <c r="C802">
        <v>0.76719999999999999</v>
      </c>
      <c r="D802" t="s">
        <v>303</v>
      </c>
      <c r="E802" t="s">
        <v>910</v>
      </c>
      <c r="F802" t="s">
        <v>910</v>
      </c>
      <c r="J802">
        <v>0.76719999999999999</v>
      </c>
      <c r="K802">
        <v>0.76719999999999999</v>
      </c>
      <c r="L802" t="s">
        <v>303</v>
      </c>
      <c r="M802">
        <v>0.76719999999999999</v>
      </c>
      <c r="N802">
        <v>0.76719999999999999</v>
      </c>
      <c r="O802" t="s">
        <v>303</v>
      </c>
      <c r="P802">
        <f t="shared" si="12"/>
        <v>0</v>
      </c>
    </row>
    <row r="803" spans="1:16" x14ac:dyDescent="0.25">
      <c r="A803" t="s">
        <v>669</v>
      </c>
      <c r="B803">
        <v>0.69</v>
      </c>
      <c r="C803">
        <v>0.77</v>
      </c>
      <c r="D803" t="s">
        <v>669</v>
      </c>
      <c r="E803">
        <v>8</v>
      </c>
      <c r="F803">
        <v>8</v>
      </c>
      <c r="G803" t="s">
        <v>687</v>
      </c>
      <c r="H803" t="s">
        <v>687</v>
      </c>
      <c r="I803" t="s">
        <v>927</v>
      </c>
      <c r="J803">
        <v>0.77</v>
      </c>
      <c r="K803">
        <v>0.69</v>
      </c>
      <c r="L803" t="s">
        <v>930</v>
      </c>
      <c r="M803">
        <v>0.77</v>
      </c>
      <c r="N803">
        <v>0.69</v>
      </c>
      <c r="P803">
        <f t="shared" si="12"/>
        <v>14</v>
      </c>
    </row>
    <row r="804" spans="1:16" x14ac:dyDescent="0.25">
      <c r="A804" t="s">
        <v>669</v>
      </c>
      <c r="B804">
        <v>0.77</v>
      </c>
      <c r="C804">
        <v>0.77</v>
      </c>
      <c r="D804" t="s">
        <v>303</v>
      </c>
      <c r="E804" t="s">
        <v>910</v>
      </c>
      <c r="F804" t="s">
        <v>910</v>
      </c>
      <c r="J804">
        <v>0.77</v>
      </c>
      <c r="K804">
        <v>0.77</v>
      </c>
      <c r="L804" t="s">
        <v>303</v>
      </c>
      <c r="M804">
        <v>0.77</v>
      </c>
      <c r="N804">
        <v>0.77</v>
      </c>
      <c r="O804" t="s">
        <v>303</v>
      </c>
      <c r="P804">
        <f t="shared" si="12"/>
        <v>0</v>
      </c>
    </row>
    <row r="805" spans="1:16" x14ac:dyDescent="0.25">
      <c r="A805" t="s">
        <v>669</v>
      </c>
      <c r="B805">
        <v>0.77139999999999997</v>
      </c>
      <c r="C805">
        <v>0.77139999999999997</v>
      </c>
      <c r="D805" t="s">
        <v>303</v>
      </c>
      <c r="E805" t="s">
        <v>910</v>
      </c>
      <c r="F805" t="s">
        <v>910</v>
      </c>
      <c r="J805">
        <v>0.77139999999999997</v>
      </c>
      <c r="K805">
        <v>0.77139999999999997</v>
      </c>
      <c r="L805" t="s">
        <v>303</v>
      </c>
      <c r="M805">
        <v>0.77139999999999997</v>
      </c>
      <c r="N805">
        <v>0.77139999999999997</v>
      </c>
      <c r="O805" t="s">
        <v>303</v>
      </c>
      <c r="P805">
        <f t="shared" si="12"/>
        <v>0</v>
      </c>
    </row>
    <row r="806" spans="1:16" x14ac:dyDescent="0.25">
      <c r="A806" t="s">
        <v>669</v>
      </c>
      <c r="B806">
        <v>0.77180000000000004</v>
      </c>
      <c r="C806">
        <v>0.77180000000000004</v>
      </c>
      <c r="D806" t="s">
        <v>303</v>
      </c>
      <c r="E806" t="s">
        <v>910</v>
      </c>
      <c r="F806" t="s">
        <v>910</v>
      </c>
      <c r="J806">
        <v>0.77180000000000004</v>
      </c>
      <c r="K806">
        <v>0.77180000000000004</v>
      </c>
      <c r="L806" t="s">
        <v>303</v>
      </c>
      <c r="M806">
        <v>0.77180000000000004</v>
      </c>
      <c r="N806">
        <v>0.77180000000000004</v>
      </c>
      <c r="O806" t="s">
        <v>303</v>
      </c>
      <c r="P806">
        <f t="shared" si="12"/>
        <v>0</v>
      </c>
    </row>
    <row r="807" spans="1:16" x14ac:dyDescent="0.25">
      <c r="A807" t="s">
        <v>527</v>
      </c>
      <c r="B807">
        <v>0.76</v>
      </c>
      <c r="C807">
        <v>0.78</v>
      </c>
      <c r="D807" t="s">
        <v>669</v>
      </c>
      <c r="E807">
        <v>8</v>
      </c>
      <c r="F807">
        <v>8</v>
      </c>
      <c r="G807" t="s">
        <v>687</v>
      </c>
      <c r="H807" t="s">
        <v>687</v>
      </c>
      <c r="I807" t="s">
        <v>927</v>
      </c>
      <c r="J807">
        <v>0.78</v>
      </c>
      <c r="K807">
        <v>0.76</v>
      </c>
      <c r="L807" t="s">
        <v>930</v>
      </c>
      <c r="M807">
        <v>0.78</v>
      </c>
      <c r="N807">
        <v>0.76</v>
      </c>
      <c r="P807">
        <f t="shared" si="12"/>
        <v>14</v>
      </c>
    </row>
    <row r="808" spans="1:16" x14ac:dyDescent="0.25">
      <c r="A808" t="s">
        <v>669</v>
      </c>
      <c r="B808">
        <v>0.78100000000000003</v>
      </c>
      <c r="C808">
        <v>0.78100000000000003</v>
      </c>
      <c r="D808" t="s">
        <v>303</v>
      </c>
      <c r="E808" t="s">
        <v>910</v>
      </c>
      <c r="F808" t="s">
        <v>910</v>
      </c>
      <c r="J808">
        <v>0.78100000000000003</v>
      </c>
      <c r="K808">
        <v>0.78100000000000003</v>
      </c>
      <c r="L808" t="s">
        <v>303</v>
      </c>
      <c r="M808">
        <v>0.78100000000000003</v>
      </c>
      <c r="N808">
        <v>0.78100000000000003</v>
      </c>
      <c r="O808" t="s">
        <v>303</v>
      </c>
      <c r="P808">
        <f t="shared" si="12"/>
        <v>0</v>
      </c>
    </row>
    <row r="809" spans="1:16" x14ac:dyDescent="0.25">
      <c r="A809" t="s">
        <v>578</v>
      </c>
      <c r="B809" s="11">
        <v>0.77137</v>
      </c>
      <c r="C809" s="11">
        <v>0.78164999999999996</v>
      </c>
      <c r="D809" t="s">
        <v>303</v>
      </c>
      <c r="E809">
        <v>3</v>
      </c>
      <c r="F809">
        <v>3</v>
      </c>
      <c r="G809" t="s">
        <v>700</v>
      </c>
      <c r="H809" t="s">
        <v>700</v>
      </c>
      <c r="J809">
        <v>0.78164999999999996</v>
      </c>
      <c r="K809">
        <v>0.77137</v>
      </c>
      <c r="L809" t="s">
        <v>303</v>
      </c>
      <c r="M809">
        <v>0.78164999999999996</v>
      </c>
      <c r="N809">
        <v>0.77137</v>
      </c>
      <c r="O809" t="s">
        <v>303</v>
      </c>
      <c r="P809">
        <f t="shared" si="12"/>
        <v>0</v>
      </c>
    </row>
    <row r="810" spans="1:16" x14ac:dyDescent="0.25">
      <c r="A810" t="s">
        <v>669</v>
      </c>
      <c r="B810">
        <v>0.79</v>
      </c>
      <c r="C810">
        <v>0.79</v>
      </c>
      <c r="D810" t="s">
        <v>860</v>
      </c>
      <c r="E810" t="s">
        <v>910</v>
      </c>
      <c r="F810" t="s">
        <v>910</v>
      </c>
      <c r="J810">
        <v>0.79</v>
      </c>
      <c r="K810">
        <v>0.79</v>
      </c>
      <c r="L810" t="s">
        <v>303</v>
      </c>
      <c r="M810">
        <v>0.79</v>
      </c>
      <c r="N810">
        <v>0.79</v>
      </c>
      <c r="O810" t="s">
        <v>303</v>
      </c>
      <c r="P810">
        <f t="shared" si="12"/>
        <v>0</v>
      </c>
    </row>
    <row r="811" spans="1:16" x14ac:dyDescent="0.25">
      <c r="A811" t="s">
        <v>578</v>
      </c>
      <c r="B811" s="12">
        <v>0.78621999999999903</v>
      </c>
      <c r="C811" s="11">
        <v>0.79312000000000005</v>
      </c>
      <c r="D811" t="s">
        <v>303</v>
      </c>
      <c r="E811">
        <v>3</v>
      </c>
      <c r="F811">
        <v>3</v>
      </c>
      <c r="G811" t="s">
        <v>700</v>
      </c>
      <c r="H811" t="s">
        <v>700</v>
      </c>
      <c r="J811">
        <v>0.79312000000000005</v>
      </c>
      <c r="K811">
        <v>0.79312000000000005</v>
      </c>
      <c r="L811" t="s">
        <v>303</v>
      </c>
      <c r="M811">
        <v>0.79312000000000005</v>
      </c>
      <c r="N811">
        <v>0.79312000000000005</v>
      </c>
      <c r="O811" t="s">
        <v>303</v>
      </c>
      <c r="P811">
        <f t="shared" si="12"/>
        <v>0</v>
      </c>
    </row>
    <row r="812" spans="1:16" x14ac:dyDescent="0.25">
      <c r="A812" t="s">
        <v>669</v>
      </c>
      <c r="B812">
        <v>0.2</v>
      </c>
      <c r="C812">
        <v>0.8</v>
      </c>
      <c r="D812" t="s">
        <v>303</v>
      </c>
      <c r="E812" t="s">
        <v>910</v>
      </c>
      <c r="F812" t="s">
        <v>910</v>
      </c>
      <c r="J812">
        <v>0.8</v>
      </c>
      <c r="K812">
        <v>0.2</v>
      </c>
      <c r="L812" t="s">
        <v>303</v>
      </c>
      <c r="M812">
        <v>0.8</v>
      </c>
      <c r="N812">
        <v>0.2</v>
      </c>
      <c r="O812" t="s">
        <v>303</v>
      </c>
      <c r="P812">
        <f t="shared" si="12"/>
        <v>0</v>
      </c>
    </row>
    <row r="813" spans="1:16" x14ac:dyDescent="0.25">
      <c r="A813" t="s">
        <v>669</v>
      </c>
      <c r="B813">
        <v>760</v>
      </c>
      <c r="C813">
        <v>800</v>
      </c>
      <c r="D813" t="s">
        <v>864</v>
      </c>
      <c r="E813">
        <v>8</v>
      </c>
      <c r="F813">
        <v>8</v>
      </c>
      <c r="G813" t="s">
        <v>687</v>
      </c>
      <c r="H813" t="s">
        <v>687</v>
      </c>
      <c r="J813">
        <v>0.8</v>
      </c>
      <c r="K813">
        <v>0.76</v>
      </c>
      <c r="L813" t="s">
        <v>303</v>
      </c>
      <c r="M813">
        <v>800</v>
      </c>
      <c r="N813">
        <v>760</v>
      </c>
      <c r="O813" t="s">
        <v>862</v>
      </c>
      <c r="P813">
        <f t="shared" si="12"/>
        <v>0</v>
      </c>
    </row>
    <row r="814" spans="1:16" x14ac:dyDescent="0.25">
      <c r="A814" t="s">
        <v>669</v>
      </c>
      <c r="B814">
        <v>0.80859999999999999</v>
      </c>
      <c r="C814">
        <v>0.80859999999999999</v>
      </c>
      <c r="D814" t="s">
        <v>303</v>
      </c>
      <c r="E814" t="s">
        <v>910</v>
      </c>
      <c r="F814" t="s">
        <v>910</v>
      </c>
      <c r="J814">
        <v>0.80859999999999999</v>
      </c>
      <c r="K814">
        <v>0.80859999999999999</v>
      </c>
      <c r="L814" t="s">
        <v>303</v>
      </c>
      <c r="M814">
        <v>0.80859999999999999</v>
      </c>
      <c r="N814">
        <v>0.80859999999999999</v>
      </c>
      <c r="O814" t="s">
        <v>303</v>
      </c>
      <c r="P814">
        <f t="shared" si="12"/>
        <v>0</v>
      </c>
    </row>
    <row r="815" spans="1:16" x14ac:dyDescent="0.25">
      <c r="A815" t="s">
        <v>669</v>
      </c>
      <c r="B815">
        <v>0.80889999999999995</v>
      </c>
      <c r="C815">
        <v>0.80889999999999995</v>
      </c>
      <c r="D815" t="s">
        <v>303</v>
      </c>
      <c r="E815" t="s">
        <v>910</v>
      </c>
      <c r="F815" t="s">
        <v>910</v>
      </c>
      <c r="J815">
        <v>0.80889999999999995</v>
      </c>
      <c r="K815">
        <v>0.80889999999999995</v>
      </c>
      <c r="L815" t="s">
        <v>303</v>
      </c>
      <c r="M815">
        <v>0.80889999999999995</v>
      </c>
      <c r="N815">
        <v>0.80889999999999995</v>
      </c>
      <c r="O815" t="s">
        <v>303</v>
      </c>
      <c r="P815">
        <f t="shared" si="12"/>
        <v>0</v>
      </c>
    </row>
    <row r="816" spans="1:16" x14ac:dyDescent="0.25">
      <c r="A816" t="s">
        <v>669</v>
      </c>
      <c r="B816">
        <v>0.81</v>
      </c>
      <c r="C816">
        <v>0.81</v>
      </c>
      <c r="D816" t="s">
        <v>303</v>
      </c>
      <c r="E816" t="s">
        <v>910</v>
      </c>
      <c r="F816" t="s">
        <v>910</v>
      </c>
      <c r="J816">
        <v>0.81</v>
      </c>
      <c r="K816">
        <v>0.81</v>
      </c>
      <c r="L816" t="s">
        <v>303</v>
      </c>
      <c r="M816">
        <v>0.81</v>
      </c>
      <c r="N816">
        <v>0.81</v>
      </c>
      <c r="O816" t="s">
        <v>303</v>
      </c>
      <c r="P816">
        <f t="shared" si="12"/>
        <v>0</v>
      </c>
    </row>
    <row r="817" spans="1:16" x14ac:dyDescent="0.25">
      <c r="A817" t="s">
        <v>527</v>
      </c>
      <c r="B817">
        <v>818.69910000000004</v>
      </c>
      <c r="C817">
        <v>818.69910000000004</v>
      </c>
      <c r="D817" t="s">
        <v>887</v>
      </c>
      <c r="E817">
        <v>8</v>
      </c>
      <c r="F817">
        <v>8</v>
      </c>
      <c r="G817" t="s">
        <v>687</v>
      </c>
      <c r="H817" t="s">
        <v>687</v>
      </c>
      <c r="J817">
        <v>0.81869910000000001</v>
      </c>
      <c r="K817">
        <v>0.81869910000000001</v>
      </c>
      <c r="L817" t="s">
        <v>303</v>
      </c>
      <c r="M817">
        <v>818.69910000000004</v>
      </c>
      <c r="N817">
        <v>818.69910000000004</v>
      </c>
      <c r="O817" t="s">
        <v>862</v>
      </c>
      <c r="P817">
        <f t="shared" si="12"/>
        <v>0</v>
      </c>
    </row>
    <row r="818" spans="1:16" x14ac:dyDescent="0.25">
      <c r="A818" t="s">
        <v>669</v>
      </c>
      <c r="B818">
        <v>0.82</v>
      </c>
      <c r="C818">
        <v>0.82</v>
      </c>
      <c r="D818" t="s">
        <v>860</v>
      </c>
      <c r="E818" t="s">
        <v>910</v>
      </c>
      <c r="F818" t="s">
        <v>910</v>
      </c>
      <c r="J818">
        <v>0.82</v>
      </c>
      <c r="K818">
        <v>0.82</v>
      </c>
      <c r="L818" t="s">
        <v>303</v>
      </c>
      <c r="M818">
        <v>0.82</v>
      </c>
      <c r="N818">
        <v>0.82</v>
      </c>
      <c r="O818" t="s">
        <v>303</v>
      </c>
      <c r="P818">
        <f t="shared" si="12"/>
        <v>0</v>
      </c>
    </row>
    <row r="819" spans="1:16" x14ac:dyDescent="0.25">
      <c r="A819" t="s">
        <v>669</v>
      </c>
      <c r="B819">
        <v>0.82050000000000001</v>
      </c>
      <c r="C819">
        <v>0.82050000000000001</v>
      </c>
      <c r="D819" t="s">
        <v>303</v>
      </c>
      <c r="E819" t="s">
        <v>910</v>
      </c>
      <c r="F819" t="s">
        <v>910</v>
      </c>
      <c r="J819">
        <v>0.82050000000000001</v>
      </c>
      <c r="K819">
        <v>0.82050000000000001</v>
      </c>
      <c r="L819" t="s">
        <v>303</v>
      </c>
      <c r="M819">
        <v>0.82050000000000001</v>
      </c>
      <c r="N819">
        <v>0.82050000000000001</v>
      </c>
      <c r="O819" t="s">
        <v>303</v>
      </c>
      <c r="P819">
        <f t="shared" si="12"/>
        <v>0</v>
      </c>
    </row>
    <row r="820" spans="1:16" x14ac:dyDescent="0.25">
      <c r="A820" t="s">
        <v>527</v>
      </c>
      <c r="B820">
        <v>820.64919999999995</v>
      </c>
      <c r="C820">
        <v>820.64919999999995</v>
      </c>
      <c r="D820" t="s">
        <v>887</v>
      </c>
      <c r="E820">
        <v>8</v>
      </c>
      <c r="F820">
        <v>8</v>
      </c>
      <c r="G820" t="s">
        <v>687</v>
      </c>
      <c r="H820" t="s">
        <v>687</v>
      </c>
      <c r="J820">
        <v>0.82064919999999997</v>
      </c>
      <c r="K820">
        <v>0.82064919999999997</v>
      </c>
      <c r="L820" t="s">
        <v>303</v>
      </c>
      <c r="M820">
        <v>820.64919999999995</v>
      </c>
      <c r="N820">
        <v>820.64919999999995</v>
      </c>
      <c r="O820" t="s">
        <v>862</v>
      </c>
      <c r="P820">
        <f t="shared" si="12"/>
        <v>0</v>
      </c>
    </row>
    <row r="821" spans="1:16" x14ac:dyDescent="0.25">
      <c r="A821" t="s">
        <v>669</v>
      </c>
      <c r="B821">
        <v>0.82079999999999997</v>
      </c>
      <c r="C821">
        <v>0.82079999999999997</v>
      </c>
      <c r="D821" t="s">
        <v>303</v>
      </c>
      <c r="E821" t="s">
        <v>910</v>
      </c>
      <c r="F821" t="s">
        <v>910</v>
      </c>
      <c r="J821">
        <v>0.82079999999999997</v>
      </c>
      <c r="K821">
        <v>0.82079999999999997</v>
      </c>
      <c r="L821" t="s">
        <v>303</v>
      </c>
      <c r="M821">
        <v>0.82079999999999997</v>
      </c>
      <c r="N821">
        <v>0.82079999999999997</v>
      </c>
      <c r="O821" t="s">
        <v>303</v>
      </c>
      <c r="P821">
        <f t="shared" si="12"/>
        <v>0</v>
      </c>
    </row>
    <row r="822" spans="1:16" x14ac:dyDescent="0.25">
      <c r="A822" t="s">
        <v>669</v>
      </c>
      <c r="B822">
        <v>0.82809999999999995</v>
      </c>
      <c r="C822">
        <v>0.82809999999999995</v>
      </c>
      <c r="D822" t="s">
        <v>303</v>
      </c>
      <c r="E822" t="s">
        <v>910</v>
      </c>
      <c r="F822" t="s">
        <v>910</v>
      </c>
      <c r="J822">
        <v>0.82809999999999995</v>
      </c>
      <c r="K822">
        <v>0.82809999999999995</v>
      </c>
      <c r="L822" t="s">
        <v>303</v>
      </c>
      <c r="M822">
        <v>0.82809999999999995</v>
      </c>
      <c r="N822">
        <v>0.82809999999999995</v>
      </c>
      <c r="O822" t="s">
        <v>303</v>
      </c>
      <c r="P822">
        <f t="shared" si="12"/>
        <v>0</v>
      </c>
    </row>
    <row r="823" spans="1:16" x14ac:dyDescent="0.25">
      <c r="A823" t="s">
        <v>669</v>
      </c>
      <c r="B823">
        <v>0.28000000000000003</v>
      </c>
      <c r="C823">
        <v>0.83</v>
      </c>
      <c r="D823" t="s">
        <v>669</v>
      </c>
      <c r="E823">
        <v>8</v>
      </c>
      <c r="F823">
        <v>8</v>
      </c>
      <c r="G823" t="s">
        <v>687</v>
      </c>
      <c r="H823" t="s">
        <v>687</v>
      </c>
      <c r="I823" t="s">
        <v>927</v>
      </c>
      <c r="J823">
        <v>0.83</v>
      </c>
      <c r="K823">
        <v>0.28000000000000003</v>
      </c>
      <c r="L823" t="s">
        <v>930</v>
      </c>
      <c r="M823">
        <v>0.83</v>
      </c>
      <c r="N823">
        <v>0.28000000000000003</v>
      </c>
      <c r="P823">
        <f t="shared" si="12"/>
        <v>14</v>
      </c>
    </row>
    <row r="824" spans="1:16" x14ac:dyDescent="0.25">
      <c r="A824" t="s">
        <v>669</v>
      </c>
      <c r="B824">
        <v>0.83099999999999996</v>
      </c>
      <c r="C824">
        <v>0.83099999999999996</v>
      </c>
      <c r="D824" t="s">
        <v>303</v>
      </c>
      <c r="E824" t="s">
        <v>910</v>
      </c>
      <c r="F824" t="s">
        <v>910</v>
      </c>
      <c r="J824">
        <v>0.83099999999999996</v>
      </c>
      <c r="K824">
        <v>0.83099999999999996</v>
      </c>
      <c r="L824" t="s">
        <v>303</v>
      </c>
      <c r="M824">
        <v>0.83099999999999996</v>
      </c>
      <c r="N824">
        <v>0.83099999999999996</v>
      </c>
      <c r="O824" t="s">
        <v>303</v>
      </c>
      <c r="P824">
        <f t="shared" si="12"/>
        <v>0</v>
      </c>
    </row>
    <row r="825" spans="1:16" x14ac:dyDescent="0.25">
      <c r="A825" t="s">
        <v>527</v>
      </c>
      <c r="B825">
        <v>838.14610000000005</v>
      </c>
      <c r="C825">
        <v>838.14610000000005</v>
      </c>
      <c r="D825" t="s">
        <v>887</v>
      </c>
      <c r="E825">
        <v>8</v>
      </c>
      <c r="F825">
        <v>8</v>
      </c>
      <c r="G825" t="s">
        <v>687</v>
      </c>
      <c r="H825" t="s">
        <v>687</v>
      </c>
      <c r="J825">
        <v>0.83814610000000001</v>
      </c>
      <c r="K825">
        <v>0.83814610000000001</v>
      </c>
      <c r="L825" t="s">
        <v>303</v>
      </c>
      <c r="M825">
        <v>838.14610000000005</v>
      </c>
      <c r="N825">
        <v>838.14610000000005</v>
      </c>
      <c r="O825" t="s">
        <v>862</v>
      </c>
      <c r="P825">
        <f t="shared" si="12"/>
        <v>0</v>
      </c>
    </row>
    <row r="826" spans="1:16" x14ac:dyDescent="0.25">
      <c r="A826" t="s">
        <v>527</v>
      </c>
      <c r="B826">
        <v>839.5471</v>
      </c>
      <c r="C826">
        <v>839.5471</v>
      </c>
      <c r="D826" t="s">
        <v>887</v>
      </c>
      <c r="E826">
        <v>8</v>
      </c>
      <c r="F826">
        <v>8</v>
      </c>
      <c r="G826" t="s">
        <v>687</v>
      </c>
      <c r="H826" t="s">
        <v>687</v>
      </c>
      <c r="J826">
        <v>0.83954709999999999</v>
      </c>
      <c r="K826">
        <v>0.83954709999999999</v>
      </c>
      <c r="L826" t="s">
        <v>303</v>
      </c>
      <c r="M826">
        <v>839.5471</v>
      </c>
      <c r="N826">
        <v>839.5471</v>
      </c>
      <c r="O826" t="s">
        <v>862</v>
      </c>
      <c r="P826">
        <f t="shared" si="12"/>
        <v>0</v>
      </c>
    </row>
    <row r="827" spans="1:16" x14ac:dyDescent="0.25">
      <c r="A827" t="s">
        <v>669</v>
      </c>
      <c r="B827">
        <v>0.84609999999999996</v>
      </c>
      <c r="C827">
        <v>0.84609999999999996</v>
      </c>
      <c r="D827" t="s">
        <v>303</v>
      </c>
      <c r="E827" t="s">
        <v>910</v>
      </c>
      <c r="F827" t="s">
        <v>910</v>
      </c>
      <c r="J827">
        <v>0.84609999999999996</v>
      </c>
      <c r="K827">
        <v>0.84609999999999996</v>
      </c>
      <c r="L827" t="s">
        <v>303</v>
      </c>
      <c r="M827">
        <v>0.84609999999999996</v>
      </c>
      <c r="N827">
        <v>0.84609999999999996</v>
      </c>
      <c r="O827" t="s">
        <v>303</v>
      </c>
      <c r="P827">
        <f t="shared" si="12"/>
        <v>0</v>
      </c>
    </row>
    <row r="828" spans="1:16" x14ac:dyDescent="0.25">
      <c r="A828" t="s">
        <v>669</v>
      </c>
      <c r="B828">
        <v>0.84650000000000003</v>
      </c>
      <c r="C828">
        <v>0.84650000000000003</v>
      </c>
      <c r="D828" t="s">
        <v>303</v>
      </c>
      <c r="E828" t="s">
        <v>910</v>
      </c>
      <c r="F828" t="s">
        <v>910</v>
      </c>
      <c r="J828">
        <v>0.84650000000000003</v>
      </c>
      <c r="K828">
        <v>0.84650000000000003</v>
      </c>
      <c r="L828" t="s">
        <v>303</v>
      </c>
      <c r="M828">
        <v>0.84650000000000003</v>
      </c>
      <c r="N828">
        <v>0.84650000000000003</v>
      </c>
      <c r="O828" t="s">
        <v>303</v>
      </c>
      <c r="P828">
        <f t="shared" si="12"/>
        <v>0</v>
      </c>
    </row>
    <row r="829" spans="1:16" x14ac:dyDescent="0.25">
      <c r="A829" t="s">
        <v>669</v>
      </c>
      <c r="B829">
        <v>0.85029999999999994</v>
      </c>
      <c r="C829">
        <v>0.85029999999999994</v>
      </c>
      <c r="D829" t="s">
        <v>303</v>
      </c>
      <c r="E829" t="s">
        <v>910</v>
      </c>
      <c r="F829" t="s">
        <v>910</v>
      </c>
      <c r="J829">
        <v>0.85029999999999994</v>
      </c>
      <c r="K829">
        <v>0.85029999999999994</v>
      </c>
      <c r="L829" t="s">
        <v>303</v>
      </c>
      <c r="M829">
        <v>0.85029999999999994</v>
      </c>
      <c r="N829">
        <v>0.85029999999999994</v>
      </c>
      <c r="O829" t="s">
        <v>303</v>
      </c>
      <c r="P829">
        <f t="shared" si="12"/>
        <v>0</v>
      </c>
    </row>
    <row r="830" spans="1:16" x14ac:dyDescent="0.25">
      <c r="A830" t="s">
        <v>527</v>
      </c>
      <c r="B830">
        <v>862.11069999999995</v>
      </c>
      <c r="C830">
        <v>862.11069999999995</v>
      </c>
      <c r="D830" t="s">
        <v>887</v>
      </c>
      <c r="E830">
        <v>8</v>
      </c>
      <c r="F830">
        <v>8</v>
      </c>
      <c r="G830" t="s">
        <v>687</v>
      </c>
      <c r="H830" t="s">
        <v>687</v>
      </c>
      <c r="J830">
        <v>0.8621106999999999</v>
      </c>
      <c r="K830">
        <v>0.8621106999999999</v>
      </c>
      <c r="L830" t="s">
        <v>303</v>
      </c>
      <c r="M830">
        <v>862.11069999999995</v>
      </c>
      <c r="N830">
        <v>862.11069999999995</v>
      </c>
      <c r="O830" t="s">
        <v>862</v>
      </c>
      <c r="P830">
        <f t="shared" si="12"/>
        <v>0</v>
      </c>
    </row>
    <row r="831" spans="1:16" x14ac:dyDescent="0.25">
      <c r="A831" t="s">
        <v>669</v>
      </c>
      <c r="B831">
        <v>0.878</v>
      </c>
      <c r="C831">
        <v>0.878</v>
      </c>
      <c r="D831" t="s">
        <v>303</v>
      </c>
      <c r="E831" t="s">
        <v>910</v>
      </c>
      <c r="F831" t="s">
        <v>910</v>
      </c>
      <c r="J831">
        <v>0.878</v>
      </c>
      <c r="K831">
        <v>0.878</v>
      </c>
      <c r="L831" t="s">
        <v>303</v>
      </c>
      <c r="M831">
        <v>0.878</v>
      </c>
      <c r="N831">
        <v>0.878</v>
      </c>
      <c r="O831" t="s">
        <v>303</v>
      </c>
      <c r="P831">
        <f t="shared" si="12"/>
        <v>0</v>
      </c>
    </row>
    <row r="832" spans="1:16" x14ac:dyDescent="0.25">
      <c r="A832" t="s">
        <v>578</v>
      </c>
      <c r="B832" s="11">
        <v>0.88290000000000002</v>
      </c>
      <c r="C832" s="12">
        <v>0.89345999999999903</v>
      </c>
      <c r="D832" t="s">
        <v>303</v>
      </c>
      <c r="E832">
        <v>3</v>
      </c>
      <c r="F832">
        <v>3</v>
      </c>
      <c r="G832" t="s">
        <v>700</v>
      </c>
      <c r="H832" t="s">
        <v>700</v>
      </c>
      <c r="J832">
        <v>0.88290000000000002</v>
      </c>
      <c r="K832">
        <v>0.88290000000000002</v>
      </c>
      <c r="L832" t="s">
        <v>303</v>
      </c>
      <c r="M832">
        <v>0.88290000000000002</v>
      </c>
      <c r="N832">
        <v>0.88290000000000002</v>
      </c>
      <c r="O832" t="s">
        <v>303</v>
      </c>
      <c r="P832">
        <f t="shared" si="12"/>
        <v>0</v>
      </c>
    </row>
    <row r="833" spans="1:16" x14ac:dyDescent="0.25">
      <c r="A833" t="s">
        <v>669</v>
      </c>
      <c r="B833">
        <v>0.83</v>
      </c>
      <c r="C833">
        <v>0.89</v>
      </c>
      <c r="D833" t="s">
        <v>669</v>
      </c>
      <c r="E833">
        <v>8</v>
      </c>
      <c r="F833">
        <v>8</v>
      </c>
      <c r="G833" t="s">
        <v>687</v>
      </c>
      <c r="H833" t="s">
        <v>687</v>
      </c>
      <c r="I833" t="s">
        <v>927</v>
      </c>
      <c r="J833">
        <v>0.89</v>
      </c>
      <c r="K833">
        <v>0.83</v>
      </c>
      <c r="L833" t="s">
        <v>930</v>
      </c>
      <c r="M833">
        <v>0.89</v>
      </c>
      <c r="N833">
        <v>0.83</v>
      </c>
      <c r="P833">
        <f t="shared" si="12"/>
        <v>14</v>
      </c>
    </row>
    <row r="834" spans="1:16" x14ac:dyDescent="0.25">
      <c r="A834" t="s">
        <v>669</v>
      </c>
      <c r="B834">
        <v>0.89539999999999997</v>
      </c>
      <c r="C834">
        <v>0.89539999999999997</v>
      </c>
      <c r="D834" t="s">
        <v>303</v>
      </c>
      <c r="E834" t="s">
        <v>910</v>
      </c>
      <c r="F834" t="s">
        <v>910</v>
      </c>
      <c r="J834">
        <v>0.89539999999999997</v>
      </c>
      <c r="K834">
        <v>0.89539999999999997</v>
      </c>
      <c r="L834" t="s">
        <v>303</v>
      </c>
      <c r="M834">
        <v>0.89539999999999997</v>
      </c>
      <c r="N834">
        <v>0.89539999999999997</v>
      </c>
      <c r="O834" t="s">
        <v>303</v>
      </c>
      <c r="P834">
        <f t="shared" si="12"/>
        <v>0</v>
      </c>
    </row>
    <row r="835" spans="1:16" x14ac:dyDescent="0.25">
      <c r="A835" t="s">
        <v>669</v>
      </c>
      <c r="B835">
        <v>0.8972</v>
      </c>
      <c r="C835">
        <v>0.8972</v>
      </c>
      <c r="D835" t="s">
        <v>303</v>
      </c>
      <c r="E835" t="s">
        <v>910</v>
      </c>
      <c r="F835" t="s">
        <v>910</v>
      </c>
      <c r="J835">
        <v>0.8972</v>
      </c>
      <c r="K835">
        <v>0.8972</v>
      </c>
      <c r="L835" t="s">
        <v>303</v>
      </c>
      <c r="M835">
        <v>0.8972</v>
      </c>
      <c r="N835">
        <v>0.8972</v>
      </c>
      <c r="O835" t="s">
        <v>303</v>
      </c>
      <c r="P835">
        <f t="shared" ref="P835:P898" si="13">LEN(I835)</f>
        <v>0</v>
      </c>
    </row>
    <row r="836" spans="1:16" x14ac:dyDescent="0.25">
      <c r="A836" t="s">
        <v>669</v>
      </c>
      <c r="B836">
        <v>0.9</v>
      </c>
      <c r="C836">
        <v>0.9</v>
      </c>
      <c r="D836" t="s">
        <v>303</v>
      </c>
      <c r="E836" t="s">
        <v>910</v>
      </c>
      <c r="F836" t="s">
        <v>910</v>
      </c>
      <c r="J836">
        <v>0.9</v>
      </c>
      <c r="K836">
        <v>0.9</v>
      </c>
      <c r="L836" t="s">
        <v>303</v>
      </c>
      <c r="M836">
        <v>0.9</v>
      </c>
      <c r="N836">
        <v>0.9</v>
      </c>
      <c r="O836" t="s">
        <v>303</v>
      </c>
      <c r="P836">
        <f t="shared" si="13"/>
        <v>0</v>
      </c>
    </row>
    <row r="837" spans="1:16" x14ac:dyDescent="0.25">
      <c r="A837" t="s">
        <v>669</v>
      </c>
      <c r="B837">
        <v>0.9</v>
      </c>
      <c r="C837">
        <v>0.9</v>
      </c>
      <c r="D837" t="s">
        <v>669</v>
      </c>
      <c r="E837">
        <v>8</v>
      </c>
      <c r="F837">
        <v>8</v>
      </c>
      <c r="G837" t="s">
        <v>687</v>
      </c>
      <c r="H837" t="s">
        <v>687</v>
      </c>
      <c r="I837" t="s">
        <v>927</v>
      </c>
      <c r="J837">
        <v>0.9</v>
      </c>
      <c r="K837">
        <v>0.9</v>
      </c>
      <c r="L837" t="s">
        <v>930</v>
      </c>
      <c r="M837">
        <v>0.9</v>
      </c>
      <c r="N837">
        <v>0.9</v>
      </c>
      <c r="P837">
        <f t="shared" si="13"/>
        <v>14</v>
      </c>
    </row>
    <row r="838" spans="1:16" x14ac:dyDescent="0.25">
      <c r="A838" t="s">
        <v>669</v>
      </c>
      <c r="B838">
        <v>0.90969999999999995</v>
      </c>
      <c r="C838">
        <v>0.90969999999999995</v>
      </c>
      <c r="D838" t="s">
        <v>303</v>
      </c>
      <c r="E838" t="s">
        <v>910</v>
      </c>
      <c r="F838" t="s">
        <v>910</v>
      </c>
      <c r="J838">
        <v>0.90969999999999995</v>
      </c>
      <c r="K838">
        <v>0.90969999999999995</v>
      </c>
      <c r="L838" t="s">
        <v>303</v>
      </c>
      <c r="M838">
        <v>0.90969999999999995</v>
      </c>
      <c r="N838">
        <v>0.90969999999999995</v>
      </c>
      <c r="O838" t="s">
        <v>303</v>
      </c>
      <c r="P838">
        <f t="shared" si="13"/>
        <v>0</v>
      </c>
    </row>
    <row r="839" spans="1:16" x14ac:dyDescent="0.25">
      <c r="A839" t="s">
        <v>669</v>
      </c>
      <c r="B839">
        <v>0.92600000000000005</v>
      </c>
      <c r="C839">
        <v>0.92600000000000005</v>
      </c>
      <c r="D839" t="s">
        <v>860</v>
      </c>
      <c r="E839" t="s">
        <v>910</v>
      </c>
      <c r="F839" t="s">
        <v>910</v>
      </c>
      <c r="J839">
        <v>0.92600000000000005</v>
      </c>
      <c r="K839">
        <v>0.92600000000000005</v>
      </c>
      <c r="L839" t="s">
        <v>303</v>
      </c>
      <c r="M839">
        <v>0.92600000000000005</v>
      </c>
      <c r="N839">
        <v>0.92600000000000005</v>
      </c>
      <c r="O839" t="s">
        <v>303</v>
      </c>
      <c r="P839">
        <f t="shared" si="13"/>
        <v>0</v>
      </c>
    </row>
    <row r="840" spans="1:16" x14ac:dyDescent="0.25">
      <c r="A840" t="s">
        <v>669</v>
      </c>
      <c r="B840">
        <v>890</v>
      </c>
      <c r="C840">
        <v>930</v>
      </c>
      <c r="D840" t="s">
        <v>864</v>
      </c>
      <c r="E840">
        <v>8</v>
      </c>
      <c r="F840">
        <v>8</v>
      </c>
      <c r="G840" t="s">
        <v>687</v>
      </c>
      <c r="H840" t="s">
        <v>687</v>
      </c>
      <c r="J840">
        <v>0.93</v>
      </c>
      <c r="K840">
        <v>0.89</v>
      </c>
      <c r="L840" t="s">
        <v>303</v>
      </c>
      <c r="M840">
        <v>930</v>
      </c>
      <c r="N840">
        <v>890</v>
      </c>
      <c r="O840" t="s">
        <v>862</v>
      </c>
      <c r="P840">
        <f t="shared" si="13"/>
        <v>0</v>
      </c>
    </row>
    <row r="841" spans="1:16" x14ac:dyDescent="0.25">
      <c r="A841" t="s">
        <v>669</v>
      </c>
      <c r="B841">
        <v>0.93400000000000005</v>
      </c>
      <c r="C841">
        <v>0.93400000000000005</v>
      </c>
      <c r="D841" t="s">
        <v>303</v>
      </c>
      <c r="E841" t="s">
        <v>910</v>
      </c>
      <c r="F841" t="s">
        <v>910</v>
      </c>
      <c r="J841">
        <v>0.93400000000000005</v>
      </c>
      <c r="K841">
        <v>0.93400000000000005</v>
      </c>
      <c r="L841" t="s">
        <v>303</v>
      </c>
      <c r="M841">
        <v>0.93400000000000005</v>
      </c>
      <c r="N841">
        <v>0.93400000000000005</v>
      </c>
      <c r="O841" t="s">
        <v>303</v>
      </c>
      <c r="P841">
        <f t="shared" si="13"/>
        <v>0</v>
      </c>
    </row>
    <row r="842" spans="1:16" x14ac:dyDescent="0.25">
      <c r="A842" t="s">
        <v>669</v>
      </c>
      <c r="B842">
        <v>0.93510000000000004</v>
      </c>
      <c r="C842">
        <v>0.93510000000000004</v>
      </c>
      <c r="D842" t="s">
        <v>303</v>
      </c>
      <c r="E842" t="s">
        <v>910</v>
      </c>
      <c r="F842" t="s">
        <v>910</v>
      </c>
      <c r="J842">
        <v>0.93510000000000004</v>
      </c>
      <c r="K842">
        <v>0.93510000000000004</v>
      </c>
      <c r="L842" t="s">
        <v>303</v>
      </c>
      <c r="M842">
        <v>0.93510000000000004</v>
      </c>
      <c r="N842">
        <v>0.93510000000000004</v>
      </c>
      <c r="O842" t="s">
        <v>303</v>
      </c>
      <c r="P842">
        <f t="shared" si="13"/>
        <v>0</v>
      </c>
    </row>
    <row r="843" spans="1:16" x14ac:dyDescent="0.25">
      <c r="A843" t="s">
        <v>669</v>
      </c>
      <c r="B843">
        <v>0.93799999999999994</v>
      </c>
      <c r="C843">
        <v>0.93799999999999994</v>
      </c>
      <c r="D843" t="s">
        <v>303</v>
      </c>
      <c r="E843" t="s">
        <v>910</v>
      </c>
      <c r="F843" t="s">
        <v>910</v>
      </c>
      <c r="J843">
        <v>0.93799999999999994</v>
      </c>
      <c r="K843">
        <v>0.93799999999999994</v>
      </c>
      <c r="L843" t="s">
        <v>303</v>
      </c>
      <c r="M843">
        <v>0.93799999999999994</v>
      </c>
      <c r="N843">
        <v>0.93799999999999994</v>
      </c>
      <c r="O843" t="s">
        <v>303</v>
      </c>
      <c r="P843">
        <f t="shared" si="13"/>
        <v>0</v>
      </c>
    </row>
    <row r="844" spans="1:16" x14ac:dyDescent="0.25">
      <c r="A844" t="s">
        <v>669</v>
      </c>
      <c r="B844">
        <v>0.9385</v>
      </c>
      <c r="C844">
        <v>0.9385</v>
      </c>
      <c r="D844" t="s">
        <v>303</v>
      </c>
      <c r="E844" t="s">
        <v>910</v>
      </c>
      <c r="F844" t="s">
        <v>910</v>
      </c>
      <c r="J844">
        <v>0.9385</v>
      </c>
      <c r="K844">
        <v>0.9385</v>
      </c>
      <c r="L844" t="s">
        <v>303</v>
      </c>
      <c r="M844">
        <v>0.9385</v>
      </c>
      <c r="N844">
        <v>0.9385</v>
      </c>
      <c r="O844" t="s">
        <v>303</v>
      </c>
      <c r="P844">
        <f t="shared" si="13"/>
        <v>0</v>
      </c>
    </row>
    <row r="845" spans="1:16" x14ac:dyDescent="0.25">
      <c r="A845" t="s">
        <v>669</v>
      </c>
      <c r="B845">
        <v>0.94299999999999995</v>
      </c>
      <c r="C845">
        <v>0.94299999999999995</v>
      </c>
      <c r="D845" t="s">
        <v>303</v>
      </c>
      <c r="E845" t="s">
        <v>910</v>
      </c>
      <c r="F845" t="s">
        <v>910</v>
      </c>
      <c r="J845">
        <v>0.94299999999999995</v>
      </c>
      <c r="K845">
        <v>0.94299999999999995</v>
      </c>
      <c r="L845" t="s">
        <v>303</v>
      </c>
      <c r="M845">
        <v>0.94299999999999995</v>
      </c>
      <c r="N845">
        <v>0.94299999999999995</v>
      </c>
      <c r="O845" t="s">
        <v>303</v>
      </c>
      <c r="P845">
        <f t="shared" si="13"/>
        <v>0</v>
      </c>
    </row>
    <row r="846" spans="1:16" x14ac:dyDescent="0.25">
      <c r="A846" t="s">
        <v>527</v>
      </c>
      <c r="B846">
        <v>943.58870000000002</v>
      </c>
      <c r="C846">
        <v>943.58870000000002</v>
      </c>
      <c r="D846" t="s">
        <v>887</v>
      </c>
      <c r="E846">
        <v>8</v>
      </c>
      <c r="F846">
        <v>8</v>
      </c>
      <c r="G846" t="s">
        <v>687</v>
      </c>
      <c r="H846" t="s">
        <v>687</v>
      </c>
      <c r="J846">
        <v>0.94358870000000006</v>
      </c>
      <c r="K846">
        <v>0.94358870000000006</v>
      </c>
      <c r="L846" t="s">
        <v>303</v>
      </c>
      <c r="M846">
        <v>943.58870000000002</v>
      </c>
      <c r="N846">
        <v>943.58870000000002</v>
      </c>
      <c r="O846" t="s">
        <v>862</v>
      </c>
      <c r="P846">
        <f t="shared" si="13"/>
        <v>0</v>
      </c>
    </row>
    <row r="847" spans="1:16" x14ac:dyDescent="0.25">
      <c r="A847" t="s">
        <v>527</v>
      </c>
      <c r="B847">
        <v>949.82420000000002</v>
      </c>
      <c r="C847">
        <v>949.82420000000002</v>
      </c>
      <c r="D847" t="s">
        <v>887</v>
      </c>
      <c r="E847">
        <v>8</v>
      </c>
      <c r="F847">
        <v>8</v>
      </c>
      <c r="G847" t="s">
        <v>687</v>
      </c>
      <c r="H847" t="s">
        <v>687</v>
      </c>
      <c r="J847">
        <v>0.94982420000000001</v>
      </c>
      <c r="K847">
        <v>0.94982420000000001</v>
      </c>
      <c r="L847" t="s">
        <v>303</v>
      </c>
      <c r="M847">
        <v>949.82420000000002</v>
      </c>
      <c r="N847">
        <v>949.82420000000002</v>
      </c>
      <c r="O847" t="s">
        <v>862</v>
      </c>
      <c r="P847">
        <f t="shared" si="13"/>
        <v>0</v>
      </c>
    </row>
    <row r="848" spans="1:16" x14ac:dyDescent="0.25">
      <c r="A848" t="s">
        <v>669</v>
      </c>
      <c r="B848">
        <v>0.63</v>
      </c>
      <c r="C848">
        <v>0.95</v>
      </c>
      <c r="D848" t="s">
        <v>860</v>
      </c>
      <c r="E848" t="s">
        <v>910</v>
      </c>
      <c r="F848" t="s">
        <v>910</v>
      </c>
      <c r="J848">
        <v>0.95</v>
      </c>
      <c r="K848">
        <v>0.63</v>
      </c>
      <c r="L848" t="s">
        <v>303</v>
      </c>
      <c r="M848">
        <v>0.95</v>
      </c>
      <c r="N848">
        <v>0.63</v>
      </c>
      <c r="O848" t="s">
        <v>303</v>
      </c>
      <c r="P848">
        <f t="shared" si="13"/>
        <v>0</v>
      </c>
    </row>
    <row r="849" spans="1:16" x14ac:dyDescent="0.25">
      <c r="A849" t="s">
        <v>669</v>
      </c>
      <c r="B849">
        <v>860</v>
      </c>
      <c r="C849">
        <v>960</v>
      </c>
      <c r="D849" t="s">
        <v>864</v>
      </c>
      <c r="E849">
        <v>8</v>
      </c>
      <c r="F849">
        <v>8</v>
      </c>
      <c r="G849" t="s">
        <v>687</v>
      </c>
      <c r="H849" t="s">
        <v>687</v>
      </c>
      <c r="J849">
        <v>0.96</v>
      </c>
      <c r="K849">
        <v>0.86</v>
      </c>
      <c r="L849" t="s">
        <v>303</v>
      </c>
      <c r="M849">
        <v>960</v>
      </c>
      <c r="N849">
        <v>860</v>
      </c>
      <c r="O849" t="s">
        <v>862</v>
      </c>
      <c r="P849">
        <f t="shared" si="13"/>
        <v>0</v>
      </c>
    </row>
    <row r="850" spans="1:16" x14ac:dyDescent="0.25">
      <c r="A850" t="s">
        <v>669</v>
      </c>
      <c r="B850">
        <v>0.96650000000000003</v>
      </c>
      <c r="C850">
        <v>0.96650000000000003</v>
      </c>
      <c r="D850" t="s">
        <v>303</v>
      </c>
      <c r="E850" t="s">
        <v>910</v>
      </c>
      <c r="F850" t="s">
        <v>910</v>
      </c>
      <c r="J850">
        <v>0.96650000000000003</v>
      </c>
      <c r="K850">
        <v>0.96650000000000003</v>
      </c>
      <c r="L850" t="s">
        <v>303</v>
      </c>
      <c r="M850">
        <v>0.96650000000000003</v>
      </c>
      <c r="N850">
        <v>0.96650000000000003</v>
      </c>
      <c r="O850" t="s">
        <v>303</v>
      </c>
      <c r="P850">
        <f t="shared" si="13"/>
        <v>0</v>
      </c>
    </row>
    <row r="851" spans="1:16" x14ac:dyDescent="0.25">
      <c r="A851" t="s">
        <v>669</v>
      </c>
      <c r="B851">
        <v>0.93</v>
      </c>
      <c r="C851">
        <v>0.97</v>
      </c>
      <c r="D851" t="s">
        <v>669</v>
      </c>
      <c r="E851">
        <v>8</v>
      </c>
      <c r="F851">
        <v>8</v>
      </c>
      <c r="G851" t="s">
        <v>687</v>
      </c>
      <c r="H851" t="s">
        <v>687</v>
      </c>
      <c r="I851" t="s">
        <v>927</v>
      </c>
      <c r="J851">
        <v>0.97</v>
      </c>
      <c r="K851">
        <v>0.93</v>
      </c>
      <c r="L851" t="s">
        <v>930</v>
      </c>
      <c r="M851">
        <v>0.97</v>
      </c>
      <c r="N851">
        <v>0.93</v>
      </c>
      <c r="P851">
        <f t="shared" si="13"/>
        <v>14</v>
      </c>
    </row>
    <row r="852" spans="1:16" x14ac:dyDescent="0.25">
      <c r="A852" t="s">
        <v>669</v>
      </c>
      <c r="B852">
        <v>0.95</v>
      </c>
      <c r="C852">
        <v>0.97</v>
      </c>
      <c r="D852" t="s">
        <v>669</v>
      </c>
      <c r="E852">
        <v>8</v>
      </c>
      <c r="F852">
        <v>8</v>
      </c>
      <c r="G852" t="s">
        <v>687</v>
      </c>
      <c r="H852" t="s">
        <v>687</v>
      </c>
      <c r="I852" t="s">
        <v>927</v>
      </c>
      <c r="J852">
        <v>0.97</v>
      </c>
      <c r="K852">
        <v>0.95</v>
      </c>
      <c r="L852" t="s">
        <v>930</v>
      </c>
      <c r="M852">
        <v>0.97</v>
      </c>
      <c r="N852">
        <v>0.95</v>
      </c>
      <c r="P852">
        <f t="shared" si="13"/>
        <v>14</v>
      </c>
    </row>
    <row r="853" spans="1:16" x14ac:dyDescent="0.25">
      <c r="A853" t="s">
        <v>669</v>
      </c>
      <c r="B853">
        <v>850</v>
      </c>
      <c r="C853">
        <v>970</v>
      </c>
      <c r="D853" t="s">
        <v>864</v>
      </c>
      <c r="E853">
        <v>8</v>
      </c>
      <c r="F853">
        <v>8</v>
      </c>
      <c r="G853" t="s">
        <v>687</v>
      </c>
      <c r="H853" t="s">
        <v>687</v>
      </c>
      <c r="J853">
        <v>0.97</v>
      </c>
      <c r="K853">
        <v>0.85</v>
      </c>
      <c r="L853" t="s">
        <v>303</v>
      </c>
      <c r="M853">
        <v>970</v>
      </c>
      <c r="N853">
        <v>850</v>
      </c>
      <c r="O853" t="s">
        <v>862</v>
      </c>
      <c r="P853">
        <f t="shared" si="13"/>
        <v>0</v>
      </c>
    </row>
    <row r="854" spans="1:16" x14ac:dyDescent="0.25">
      <c r="A854" t="s">
        <v>578</v>
      </c>
      <c r="B854" s="11">
        <v>0.97314000000000001</v>
      </c>
      <c r="C854" s="12">
        <v>0.98551999999999995</v>
      </c>
      <c r="D854" t="s">
        <v>303</v>
      </c>
      <c r="E854">
        <v>3</v>
      </c>
      <c r="F854">
        <v>3</v>
      </c>
      <c r="G854" t="s">
        <v>700</v>
      </c>
      <c r="H854" t="s">
        <v>700</v>
      </c>
      <c r="J854">
        <v>0.97314000000000001</v>
      </c>
      <c r="K854">
        <v>0.97314000000000001</v>
      </c>
      <c r="L854" t="s">
        <v>303</v>
      </c>
      <c r="M854">
        <v>0.97314000000000001</v>
      </c>
      <c r="N854">
        <v>0.97314000000000001</v>
      </c>
      <c r="O854" t="s">
        <v>303</v>
      </c>
      <c r="P854">
        <f t="shared" si="13"/>
        <v>0</v>
      </c>
    </row>
    <row r="855" spans="1:16" x14ac:dyDescent="0.25">
      <c r="A855" t="s">
        <v>669</v>
      </c>
      <c r="B855">
        <v>0.88</v>
      </c>
      <c r="C855">
        <v>0.98</v>
      </c>
      <c r="D855" t="s">
        <v>303</v>
      </c>
      <c r="E855" t="s">
        <v>910</v>
      </c>
      <c r="F855" t="s">
        <v>910</v>
      </c>
      <c r="J855">
        <v>0.98</v>
      </c>
      <c r="K855">
        <v>0.88</v>
      </c>
      <c r="L855" t="s">
        <v>303</v>
      </c>
      <c r="M855">
        <v>0.98</v>
      </c>
      <c r="N855">
        <v>0.88</v>
      </c>
      <c r="O855" t="s">
        <v>303</v>
      </c>
      <c r="P855">
        <f t="shared" si="13"/>
        <v>0</v>
      </c>
    </row>
    <row r="856" spans="1:16" x14ac:dyDescent="0.25">
      <c r="A856" t="s">
        <v>669</v>
      </c>
      <c r="B856">
        <v>920</v>
      </c>
      <c r="C856">
        <v>980</v>
      </c>
      <c r="D856" t="s">
        <v>864</v>
      </c>
      <c r="E856">
        <v>8</v>
      </c>
      <c r="F856">
        <v>8</v>
      </c>
      <c r="G856" t="s">
        <v>687</v>
      </c>
      <c r="H856" t="s">
        <v>687</v>
      </c>
      <c r="J856">
        <v>0.98</v>
      </c>
      <c r="K856">
        <v>0.92</v>
      </c>
      <c r="L856" t="s">
        <v>303</v>
      </c>
      <c r="M856">
        <v>980</v>
      </c>
      <c r="N856">
        <v>920</v>
      </c>
      <c r="O856" t="s">
        <v>862</v>
      </c>
      <c r="P856">
        <f t="shared" si="13"/>
        <v>0</v>
      </c>
    </row>
    <row r="857" spans="1:16" x14ac:dyDescent="0.25">
      <c r="A857" t="s">
        <v>669</v>
      </c>
      <c r="B857">
        <v>0.99150000000000005</v>
      </c>
      <c r="C857">
        <v>0.99150000000000005</v>
      </c>
      <c r="D857" t="s">
        <v>303</v>
      </c>
      <c r="E857" t="s">
        <v>910</v>
      </c>
      <c r="F857" t="s">
        <v>910</v>
      </c>
      <c r="J857">
        <v>0.99150000000000005</v>
      </c>
      <c r="K857">
        <v>0.99150000000000005</v>
      </c>
      <c r="L857" t="s">
        <v>303</v>
      </c>
      <c r="M857">
        <v>0.99150000000000005</v>
      </c>
      <c r="N857">
        <v>0.99150000000000005</v>
      </c>
      <c r="O857" t="s">
        <v>303</v>
      </c>
      <c r="P857">
        <f t="shared" si="13"/>
        <v>0</v>
      </c>
    </row>
    <row r="858" spans="1:16" x14ac:dyDescent="0.25">
      <c r="A858" t="s">
        <v>669</v>
      </c>
      <c r="B858">
        <v>0.99670000000000003</v>
      </c>
      <c r="C858">
        <v>0.99670000000000003</v>
      </c>
      <c r="D858" t="s">
        <v>303</v>
      </c>
      <c r="E858" t="s">
        <v>910</v>
      </c>
      <c r="F858" t="s">
        <v>910</v>
      </c>
      <c r="J858">
        <v>0.99670000000000003</v>
      </c>
      <c r="K858">
        <v>0.99670000000000003</v>
      </c>
      <c r="L858" t="s">
        <v>303</v>
      </c>
      <c r="M858">
        <v>0.99670000000000003</v>
      </c>
      <c r="N858">
        <v>0.99670000000000003</v>
      </c>
      <c r="O858" t="s">
        <v>303</v>
      </c>
      <c r="P858">
        <f t="shared" si="13"/>
        <v>0</v>
      </c>
    </row>
    <row r="859" spans="1:16" x14ac:dyDescent="0.25">
      <c r="A859" t="s">
        <v>669</v>
      </c>
      <c r="B859">
        <v>0.997</v>
      </c>
      <c r="C859">
        <v>0.997</v>
      </c>
      <c r="D859" t="s">
        <v>303</v>
      </c>
      <c r="E859" t="s">
        <v>910</v>
      </c>
      <c r="F859" t="s">
        <v>910</v>
      </c>
      <c r="J859">
        <v>0.997</v>
      </c>
      <c r="K859">
        <v>0.997</v>
      </c>
      <c r="L859" t="s">
        <v>303</v>
      </c>
      <c r="M859">
        <v>0.997</v>
      </c>
      <c r="N859">
        <v>0.997</v>
      </c>
      <c r="O859" t="s">
        <v>303</v>
      </c>
      <c r="P859">
        <f t="shared" si="13"/>
        <v>0</v>
      </c>
    </row>
    <row r="860" spans="1:16" x14ac:dyDescent="0.25">
      <c r="A860" t="s">
        <v>669</v>
      </c>
      <c r="B860">
        <v>0.99709999999999999</v>
      </c>
      <c r="C860">
        <v>0.99709999999999999</v>
      </c>
      <c r="D860" t="s">
        <v>303</v>
      </c>
      <c r="E860" t="s">
        <v>910</v>
      </c>
      <c r="F860" t="s">
        <v>910</v>
      </c>
      <c r="J860">
        <v>0.99709999999999999</v>
      </c>
      <c r="K860">
        <v>0.99709999999999999</v>
      </c>
      <c r="L860" t="s">
        <v>303</v>
      </c>
      <c r="M860">
        <v>0.99709999999999999</v>
      </c>
      <c r="N860">
        <v>0.99709999999999999</v>
      </c>
      <c r="O860" t="s">
        <v>303</v>
      </c>
      <c r="P860">
        <f t="shared" si="13"/>
        <v>0</v>
      </c>
    </row>
    <row r="861" spans="1:16" x14ac:dyDescent="0.25">
      <c r="A861" t="s">
        <v>669</v>
      </c>
      <c r="B861">
        <v>0</v>
      </c>
      <c r="C861">
        <v>1</v>
      </c>
      <c r="D861" t="s">
        <v>860</v>
      </c>
      <c r="E861" t="s">
        <v>910</v>
      </c>
      <c r="F861" t="s">
        <v>910</v>
      </c>
      <c r="J861">
        <v>1</v>
      </c>
      <c r="K861">
        <v>0</v>
      </c>
      <c r="L861" t="s">
        <v>303</v>
      </c>
      <c r="M861">
        <v>1</v>
      </c>
      <c r="N861">
        <v>0</v>
      </c>
      <c r="O861" t="s">
        <v>303</v>
      </c>
      <c r="P861">
        <f t="shared" si="13"/>
        <v>0</v>
      </c>
    </row>
    <row r="862" spans="1:16" x14ac:dyDescent="0.25">
      <c r="A862" t="s">
        <v>669</v>
      </c>
      <c r="B862">
        <v>1</v>
      </c>
      <c r="C862">
        <v>1</v>
      </c>
      <c r="D862" t="s">
        <v>303</v>
      </c>
      <c r="E862" t="s">
        <v>910</v>
      </c>
      <c r="F862" t="s">
        <v>910</v>
      </c>
      <c r="J862">
        <v>1</v>
      </c>
      <c r="K862">
        <v>1</v>
      </c>
      <c r="L862" t="s">
        <v>303</v>
      </c>
      <c r="M862">
        <v>1</v>
      </c>
      <c r="N862">
        <v>1</v>
      </c>
      <c r="O862" t="s">
        <v>303</v>
      </c>
      <c r="P862">
        <f t="shared" si="13"/>
        <v>0</v>
      </c>
    </row>
    <row r="863" spans="1:16" x14ac:dyDescent="0.25">
      <c r="A863" t="s">
        <v>669</v>
      </c>
      <c r="B863">
        <v>1</v>
      </c>
      <c r="C863">
        <v>1</v>
      </c>
      <c r="D863" t="s">
        <v>860</v>
      </c>
      <c r="E863" t="s">
        <v>910</v>
      </c>
      <c r="F863" t="s">
        <v>910</v>
      </c>
      <c r="J863">
        <v>1</v>
      </c>
      <c r="K863">
        <v>1</v>
      </c>
      <c r="L863" t="s">
        <v>303</v>
      </c>
      <c r="M863">
        <v>1</v>
      </c>
      <c r="N863">
        <v>1</v>
      </c>
      <c r="O863" t="s">
        <v>303</v>
      </c>
      <c r="P863">
        <f t="shared" si="13"/>
        <v>0</v>
      </c>
    </row>
    <row r="864" spans="1:16" x14ac:dyDescent="0.25">
      <c r="A864" t="s">
        <v>669</v>
      </c>
      <c r="B864" t="s">
        <v>669</v>
      </c>
      <c r="C864">
        <v>1</v>
      </c>
      <c r="D864" t="s">
        <v>303</v>
      </c>
      <c r="E864" t="s">
        <v>910</v>
      </c>
      <c r="F864" t="s">
        <v>910</v>
      </c>
      <c r="J864">
        <v>1</v>
      </c>
      <c r="K864">
        <v>1</v>
      </c>
      <c r="L864" t="s">
        <v>303</v>
      </c>
      <c r="M864">
        <v>1</v>
      </c>
      <c r="N864">
        <v>1</v>
      </c>
      <c r="O864" t="s">
        <v>303</v>
      </c>
      <c r="P864">
        <f t="shared" si="13"/>
        <v>0</v>
      </c>
    </row>
    <row r="865" spans="1:16" x14ac:dyDescent="0.25">
      <c r="A865" t="s">
        <v>669</v>
      </c>
      <c r="B865">
        <v>950</v>
      </c>
      <c r="C865">
        <v>1010</v>
      </c>
      <c r="D865" t="s">
        <v>864</v>
      </c>
      <c r="E865">
        <v>8</v>
      </c>
      <c r="F865">
        <v>8</v>
      </c>
      <c r="G865" t="s">
        <v>687</v>
      </c>
      <c r="H865" t="s">
        <v>687</v>
      </c>
      <c r="J865">
        <v>1.01</v>
      </c>
      <c r="K865">
        <v>0.95</v>
      </c>
      <c r="L865" t="s">
        <v>303</v>
      </c>
      <c r="M865">
        <v>1010</v>
      </c>
      <c r="N865">
        <v>950</v>
      </c>
      <c r="O865" t="s">
        <v>862</v>
      </c>
      <c r="P865">
        <f t="shared" si="13"/>
        <v>0</v>
      </c>
    </row>
    <row r="866" spans="1:16" x14ac:dyDescent="0.25">
      <c r="A866" t="s">
        <v>669</v>
      </c>
      <c r="B866">
        <v>1.02</v>
      </c>
      <c r="C866">
        <v>1.02</v>
      </c>
      <c r="D866" t="s">
        <v>303</v>
      </c>
      <c r="E866" t="s">
        <v>910</v>
      </c>
      <c r="F866" t="s">
        <v>910</v>
      </c>
      <c r="J866">
        <v>1.02</v>
      </c>
      <c r="K866">
        <v>1.02</v>
      </c>
      <c r="L866" t="s">
        <v>303</v>
      </c>
      <c r="M866">
        <v>1.02</v>
      </c>
      <c r="N866">
        <v>1.02</v>
      </c>
      <c r="O866" t="s">
        <v>303</v>
      </c>
      <c r="P866">
        <f t="shared" si="13"/>
        <v>0</v>
      </c>
    </row>
    <row r="867" spans="1:16" x14ac:dyDescent="0.25">
      <c r="A867" t="s">
        <v>527</v>
      </c>
      <c r="B867">
        <v>1026.68</v>
      </c>
      <c r="C867">
        <v>1026.68</v>
      </c>
      <c r="D867" t="s">
        <v>887</v>
      </c>
      <c r="E867">
        <v>8</v>
      </c>
      <c r="F867">
        <v>8</v>
      </c>
      <c r="G867" t="s">
        <v>687</v>
      </c>
      <c r="H867" t="s">
        <v>687</v>
      </c>
      <c r="J867">
        <v>1.02668</v>
      </c>
      <c r="K867">
        <v>1.02668</v>
      </c>
      <c r="L867" t="s">
        <v>303</v>
      </c>
      <c r="M867">
        <v>1026.68</v>
      </c>
      <c r="N867">
        <v>1026.68</v>
      </c>
      <c r="O867" t="s">
        <v>862</v>
      </c>
      <c r="P867">
        <f t="shared" si="13"/>
        <v>0</v>
      </c>
    </row>
    <row r="868" spans="1:16" x14ac:dyDescent="0.25">
      <c r="A868" t="s">
        <v>669</v>
      </c>
      <c r="B868">
        <v>1.0269999999999999</v>
      </c>
      <c r="C868">
        <v>1.0269999999999999</v>
      </c>
      <c r="D868" t="s">
        <v>303</v>
      </c>
      <c r="E868" t="s">
        <v>910</v>
      </c>
      <c r="F868" t="s">
        <v>910</v>
      </c>
      <c r="J868">
        <v>1.0269999999999999</v>
      </c>
      <c r="K868">
        <v>1.0269999999999999</v>
      </c>
      <c r="L868" t="s">
        <v>303</v>
      </c>
      <c r="M868">
        <v>1.0269999999999999</v>
      </c>
      <c r="N868">
        <v>1.0269999999999999</v>
      </c>
      <c r="O868" t="s">
        <v>303</v>
      </c>
      <c r="P868">
        <f t="shared" si="13"/>
        <v>0</v>
      </c>
    </row>
    <row r="869" spans="1:16" x14ac:dyDescent="0.25">
      <c r="A869" t="s">
        <v>669</v>
      </c>
      <c r="B869">
        <v>1.0274000000000001</v>
      </c>
      <c r="C869">
        <v>1.0274000000000001</v>
      </c>
      <c r="D869" t="s">
        <v>303</v>
      </c>
      <c r="E869" t="s">
        <v>910</v>
      </c>
      <c r="F869" t="s">
        <v>910</v>
      </c>
      <c r="J869">
        <v>1.0274000000000001</v>
      </c>
      <c r="K869">
        <v>1.0274000000000001</v>
      </c>
      <c r="L869" t="s">
        <v>303</v>
      </c>
      <c r="M869">
        <v>1.0274000000000001</v>
      </c>
      <c r="N869">
        <v>1.0274000000000001</v>
      </c>
      <c r="O869" t="s">
        <v>303</v>
      </c>
      <c r="P869">
        <f t="shared" si="13"/>
        <v>0</v>
      </c>
    </row>
    <row r="870" spans="1:16" x14ac:dyDescent="0.25">
      <c r="A870" t="s">
        <v>669</v>
      </c>
      <c r="B870">
        <v>1.0287999999999999</v>
      </c>
      <c r="C870">
        <v>1.0287999999999999</v>
      </c>
      <c r="D870" t="s">
        <v>303</v>
      </c>
      <c r="E870" t="s">
        <v>910</v>
      </c>
      <c r="F870" t="s">
        <v>910</v>
      </c>
      <c r="J870">
        <v>1.0287999999999999</v>
      </c>
      <c r="K870">
        <v>1.0287999999999999</v>
      </c>
      <c r="L870" t="s">
        <v>303</v>
      </c>
      <c r="M870">
        <v>1.0287999999999999</v>
      </c>
      <c r="N870">
        <v>1.0287999999999999</v>
      </c>
      <c r="O870" t="s">
        <v>303</v>
      </c>
      <c r="P870">
        <f t="shared" si="13"/>
        <v>0</v>
      </c>
    </row>
    <row r="871" spans="1:16" x14ac:dyDescent="0.25">
      <c r="A871" t="s">
        <v>669</v>
      </c>
      <c r="B871">
        <v>0.97</v>
      </c>
      <c r="C871">
        <v>1.03</v>
      </c>
      <c r="D871" t="s">
        <v>669</v>
      </c>
      <c r="E871">
        <v>8</v>
      </c>
      <c r="F871">
        <v>8</v>
      </c>
      <c r="G871" t="s">
        <v>687</v>
      </c>
      <c r="H871" t="s">
        <v>687</v>
      </c>
      <c r="I871" t="s">
        <v>927</v>
      </c>
      <c r="J871">
        <v>1.03</v>
      </c>
      <c r="K871">
        <v>0.97</v>
      </c>
      <c r="L871" t="s">
        <v>930</v>
      </c>
      <c r="M871">
        <v>1.03</v>
      </c>
      <c r="N871">
        <v>0.97</v>
      </c>
      <c r="P871">
        <f t="shared" si="13"/>
        <v>14</v>
      </c>
    </row>
    <row r="872" spans="1:16" x14ac:dyDescent="0.25">
      <c r="A872" t="s">
        <v>669</v>
      </c>
      <c r="B872">
        <v>1.03</v>
      </c>
      <c r="C872">
        <v>1.03</v>
      </c>
      <c r="D872" t="s">
        <v>303</v>
      </c>
      <c r="E872" t="s">
        <v>910</v>
      </c>
      <c r="F872" t="s">
        <v>910</v>
      </c>
      <c r="J872">
        <v>1.03</v>
      </c>
      <c r="K872">
        <v>1.03</v>
      </c>
      <c r="L872" t="s">
        <v>303</v>
      </c>
      <c r="M872">
        <v>1.03</v>
      </c>
      <c r="N872">
        <v>1.03</v>
      </c>
      <c r="O872" t="s">
        <v>303</v>
      </c>
      <c r="P872">
        <f t="shared" si="13"/>
        <v>0</v>
      </c>
    </row>
    <row r="873" spans="1:16" x14ac:dyDescent="0.25">
      <c r="A873" t="s">
        <v>669</v>
      </c>
      <c r="B873">
        <v>1.0301</v>
      </c>
      <c r="C873">
        <v>1.0301</v>
      </c>
      <c r="D873" t="s">
        <v>303</v>
      </c>
      <c r="E873" t="s">
        <v>910</v>
      </c>
      <c r="F873" t="s">
        <v>910</v>
      </c>
      <c r="J873">
        <v>1.0301</v>
      </c>
      <c r="K873">
        <v>1.0301</v>
      </c>
      <c r="L873" t="s">
        <v>303</v>
      </c>
      <c r="M873">
        <v>1.0301</v>
      </c>
      <c r="N873">
        <v>1.0301</v>
      </c>
      <c r="O873" t="s">
        <v>303</v>
      </c>
      <c r="P873">
        <f t="shared" si="13"/>
        <v>0</v>
      </c>
    </row>
    <row r="874" spans="1:16" x14ac:dyDescent="0.25">
      <c r="A874" t="s">
        <v>669</v>
      </c>
      <c r="B874">
        <v>1.032</v>
      </c>
      <c r="C874">
        <v>1.032</v>
      </c>
      <c r="D874" t="s">
        <v>303</v>
      </c>
      <c r="E874" t="s">
        <v>910</v>
      </c>
      <c r="F874" t="s">
        <v>910</v>
      </c>
      <c r="J874">
        <v>1.032</v>
      </c>
      <c r="K874">
        <v>1.032</v>
      </c>
      <c r="L874" t="s">
        <v>303</v>
      </c>
      <c r="M874">
        <v>1.032</v>
      </c>
      <c r="N874">
        <v>1.032</v>
      </c>
      <c r="O874" t="s">
        <v>303</v>
      </c>
      <c r="P874">
        <f t="shared" si="13"/>
        <v>0</v>
      </c>
    </row>
    <row r="875" spans="1:16" x14ac:dyDescent="0.25">
      <c r="A875" t="s">
        <v>669</v>
      </c>
      <c r="B875">
        <v>1.0322</v>
      </c>
      <c r="C875">
        <v>1.0322</v>
      </c>
      <c r="D875" t="s">
        <v>303</v>
      </c>
      <c r="E875" t="s">
        <v>910</v>
      </c>
      <c r="F875" t="s">
        <v>910</v>
      </c>
      <c r="J875">
        <v>1.0322</v>
      </c>
      <c r="K875">
        <v>1.0322</v>
      </c>
      <c r="L875" t="s">
        <v>303</v>
      </c>
      <c r="M875">
        <v>1.0322</v>
      </c>
      <c r="N875">
        <v>1.0322</v>
      </c>
      <c r="O875" t="s">
        <v>303</v>
      </c>
      <c r="P875">
        <f t="shared" si="13"/>
        <v>0</v>
      </c>
    </row>
    <row r="876" spans="1:16" x14ac:dyDescent="0.25">
      <c r="A876" t="s">
        <v>669</v>
      </c>
      <c r="B876">
        <v>1.0334000000000001</v>
      </c>
      <c r="C876">
        <v>1.0334000000000001</v>
      </c>
      <c r="D876" t="s">
        <v>303</v>
      </c>
      <c r="E876" t="s">
        <v>910</v>
      </c>
      <c r="F876" t="s">
        <v>910</v>
      </c>
      <c r="J876">
        <v>1.0334000000000001</v>
      </c>
      <c r="K876">
        <v>1.0334000000000001</v>
      </c>
      <c r="L876" t="s">
        <v>303</v>
      </c>
      <c r="M876">
        <v>1.0334000000000001</v>
      </c>
      <c r="N876">
        <v>1.0334000000000001</v>
      </c>
      <c r="O876" t="s">
        <v>303</v>
      </c>
      <c r="P876">
        <f t="shared" si="13"/>
        <v>0</v>
      </c>
    </row>
    <row r="877" spans="1:16" x14ac:dyDescent="0.25">
      <c r="A877" t="s">
        <v>669</v>
      </c>
      <c r="B877">
        <v>1.0348999999999999</v>
      </c>
      <c r="C877">
        <v>1.0348999999999999</v>
      </c>
      <c r="D877" t="s">
        <v>303</v>
      </c>
      <c r="E877" t="s">
        <v>910</v>
      </c>
      <c r="F877" t="s">
        <v>910</v>
      </c>
      <c r="J877">
        <v>1.0348999999999999</v>
      </c>
      <c r="K877">
        <v>1.0348999999999999</v>
      </c>
      <c r="L877" t="s">
        <v>303</v>
      </c>
      <c r="M877">
        <v>1.0348999999999999</v>
      </c>
      <c r="N877">
        <v>1.0348999999999999</v>
      </c>
      <c r="O877" t="s">
        <v>303</v>
      </c>
      <c r="P877">
        <f t="shared" si="13"/>
        <v>0</v>
      </c>
    </row>
    <row r="878" spans="1:16" x14ac:dyDescent="0.25">
      <c r="A878" t="s">
        <v>669</v>
      </c>
      <c r="B878">
        <v>1.0387999999999999</v>
      </c>
      <c r="C878">
        <v>1.0387999999999999</v>
      </c>
      <c r="D878" t="s">
        <v>303</v>
      </c>
      <c r="E878" t="s">
        <v>910</v>
      </c>
      <c r="F878" t="s">
        <v>910</v>
      </c>
      <c r="J878">
        <v>1.0387999999999999</v>
      </c>
      <c r="K878">
        <v>1.0387999999999999</v>
      </c>
      <c r="L878" t="s">
        <v>303</v>
      </c>
      <c r="M878">
        <v>1.0387999999999999</v>
      </c>
      <c r="N878">
        <v>1.0387999999999999</v>
      </c>
      <c r="O878" t="s">
        <v>303</v>
      </c>
      <c r="P878">
        <f t="shared" si="13"/>
        <v>0</v>
      </c>
    </row>
    <row r="879" spans="1:16" x14ac:dyDescent="0.25">
      <c r="A879" t="s">
        <v>669</v>
      </c>
      <c r="B879">
        <v>1.0394000000000001</v>
      </c>
      <c r="C879">
        <v>1.0394000000000001</v>
      </c>
      <c r="D879" t="s">
        <v>303</v>
      </c>
      <c r="E879" t="s">
        <v>910</v>
      </c>
      <c r="F879" t="s">
        <v>910</v>
      </c>
      <c r="J879">
        <v>1.0394000000000001</v>
      </c>
      <c r="K879">
        <v>1.0394000000000001</v>
      </c>
      <c r="L879" t="s">
        <v>303</v>
      </c>
      <c r="M879">
        <v>1.0394000000000001</v>
      </c>
      <c r="N879">
        <v>1.0394000000000001</v>
      </c>
      <c r="O879" t="s">
        <v>303</v>
      </c>
      <c r="P879">
        <f t="shared" si="13"/>
        <v>0</v>
      </c>
    </row>
    <row r="880" spans="1:16" x14ac:dyDescent="0.25">
      <c r="A880" t="s">
        <v>669</v>
      </c>
      <c r="B880">
        <v>1.0403</v>
      </c>
      <c r="C880">
        <v>1.0403</v>
      </c>
      <c r="D880" t="s">
        <v>303</v>
      </c>
      <c r="E880" t="s">
        <v>910</v>
      </c>
      <c r="F880" t="s">
        <v>910</v>
      </c>
      <c r="J880">
        <v>1.0403</v>
      </c>
      <c r="K880">
        <v>1.0403</v>
      </c>
      <c r="L880" t="s">
        <v>303</v>
      </c>
      <c r="M880">
        <v>1.0403</v>
      </c>
      <c r="N880">
        <v>1.0403</v>
      </c>
      <c r="O880" t="s">
        <v>303</v>
      </c>
      <c r="P880">
        <f t="shared" si="13"/>
        <v>0</v>
      </c>
    </row>
    <row r="881" spans="1:16" x14ac:dyDescent="0.25">
      <c r="A881" t="s">
        <v>669</v>
      </c>
      <c r="B881">
        <v>1.0416000000000001</v>
      </c>
      <c r="C881">
        <v>1.0416000000000001</v>
      </c>
      <c r="D881" t="s">
        <v>303</v>
      </c>
      <c r="E881" t="s">
        <v>910</v>
      </c>
      <c r="F881" t="s">
        <v>910</v>
      </c>
      <c r="J881">
        <v>1.0416000000000001</v>
      </c>
      <c r="K881">
        <v>1.0416000000000001</v>
      </c>
      <c r="L881" t="s">
        <v>303</v>
      </c>
      <c r="M881">
        <v>1.0416000000000001</v>
      </c>
      <c r="N881">
        <v>1.0416000000000001</v>
      </c>
      <c r="O881" t="s">
        <v>303</v>
      </c>
      <c r="P881">
        <f t="shared" si="13"/>
        <v>0</v>
      </c>
    </row>
    <row r="882" spans="1:16" x14ac:dyDescent="0.25">
      <c r="A882" t="s">
        <v>669</v>
      </c>
      <c r="B882">
        <v>1.0423</v>
      </c>
      <c r="C882">
        <v>1.0423</v>
      </c>
      <c r="D882" t="s">
        <v>303</v>
      </c>
      <c r="E882" t="s">
        <v>910</v>
      </c>
      <c r="F882" t="s">
        <v>910</v>
      </c>
      <c r="J882">
        <v>1.0423</v>
      </c>
      <c r="K882">
        <v>1.0423</v>
      </c>
      <c r="L882" t="s">
        <v>303</v>
      </c>
      <c r="M882">
        <v>1.0423</v>
      </c>
      <c r="N882">
        <v>1.0423</v>
      </c>
      <c r="O882" t="s">
        <v>303</v>
      </c>
      <c r="P882">
        <f t="shared" si="13"/>
        <v>0</v>
      </c>
    </row>
    <row r="883" spans="1:16" x14ac:dyDescent="0.25">
      <c r="A883" t="s">
        <v>669</v>
      </c>
      <c r="B883">
        <v>1.0426</v>
      </c>
      <c r="C883">
        <v>1.0426</v>
      </c>
      <c r="D883" t="s">
        <v>303</v>
      </c>
      <c r="E883" t="s">
        <v>910</v>
      </c>
      <c r="F883" t="s">
        <v>910</v>
      </c>
      <c r="J883">
        <v>1.0426</v>
      </c>
      <c r="K883">
        <v>1.0426</v>
      </c>
      <c r="L883" t="s">
        <v>303</v>
      </c>
      <c r="M883">
        <v>1.0426</v>
      </c>
      <c r="N883">
        <v>1.0426</v>
      </c>
      <c r="O883" t="s">
        <v>303</v>
      </c>
      <c r="P883">
        <f t="shared" si="13"/>
        <v>0</v>
      </c>
    </row>
    <row r="884" spans="1:16" x14ac:dyDescent="0.25">
      <c r="A884" t="s">
        <v>527</v>
      </c>
      <c r="B884">
        <v>1048.366</v>
      </c>
      <c r="C884">
        <v>1048.366</v>
      </c>
      <c r="D884" t="s">
        <v>887</v>
      </c>
      <c r="E884">
        <v>8</v>
      </c>
      <c r="F884">
        <v>8</v>
      </c>
      <c r="G884" t="s">
        <v>687</v>
      </c>
      <c r="H884" t="s">
        <v>687</v>
      </c>
      <c r="J884">
        <v>1.0483659999999999</v>
      </c>
      <c r="K884">
        <v>1.0483659999999999</v>
      </c>
      <c r="L884" t="s">
        <v>303</v>
      </c>
      <c r="M884">
        <v>1048.366</v>
      </c>
      <c r="N884">
        <v>1048.366</v>
      </c>
      <c r="O884" t="s">
        <v>862</v>
      </c>
      <c r="P884">
        <f t="shared" si="13"/>
        <v>0</v>
      </c>
    </row>
    <row r="885" spans="1:16" x14ac:dyDescent="0.25">
      <c r="A885" t="s">
        <v>669</v>
      </c>
      <c r="B885">
        <v>1.01</v>
      </c>
      <c r="C885">
        <v>1.05</v>
      </c>
      <c r="D885" t="s">
        <v>669</v>
      </c>
      <c r="E885">
        <v>8</v>
      </c>
      <c r="F885">
        <v>8</v>
      </c>
      <c r="G885" t="s">
        <v>687</v>
      </c>
      <c r="H885" t="s">
        <v>687</v>
      </c>
      <c r="I885" t="s">
        <v>927</v>
      </c>
      <c r="J885">
        <v>1.05</v>
      </c>
      <c r="K885">
        <v>1.01</v>
      </c>
      <c r="L885" t="s">
        <v>930</v>
      </c>
      <c r="M885">
        <v>1.05</v>
      </c>
      <c r="N885">
        <v>1.01</v>
      </c>
      <c r="P885">
        <f t="shared" si="13"/>
        <v>14</v>
      </c>
    </row>
    <row r="886" spans="1:16" x14ac:dyDescent="0.25">
      <c r="A886" t="s">
        <v>537</v>
      </c>
      <c r="B886">
        <v>1050.2739999999999</v>
      </c>
      <c r="C886">
        <v>1050.2739999999999</v>
      </c>
      <c r="D886" t="s">
        <v>887</v>
      </c>
      <c r="E886">
        <v>8</v>
      </c>
      <c r="F886">
        <v>8</v>
      </c>
      <c r="G886" t="s">
        <v>687</v>
      </c>
      <c r="H886" t="s">
        <v>687</v>
      </c>
      <c r="J886">
        <v>1.0502739999999999</v>
      </c>
      <c r="K886">
        <v>1.0502739999999999</v>
      </c>
      <c r="L886" t="s">
        <v>303</v>
      </c>
      <c r="M886">
        <v>1050.2739999999999</v>
      </c>
      <c r="N886">
        <v>1050.2739999999999</v>
      </c>
      <c r="O886" t="s">
        <v>862</v>
      </c>
      <c r="P886">
        <f t="shared" si="13"/>
        <v>0</v>
      </c>
    </row>
    <row r="887" spans="1:16" x14ac:dyDescent="0.25">
      <c r="A887" t="s">
        <v>669</v>
      </c>
      <c r="B887">
        <v>940</v>
      </c>
      <c r="C887">
        <v>1060</v>
      </c>
      <c r="D887" t="s">
        <v>864</v>
      </c>
      <c r="E887">
        <v>8</v>
      </c>
      <c r="F887">
        <v>8</v>
      </c>
      <c r="G887" t="s">
        <v>687</v>
      </c>
      <c r="H887" t="s">
        <v>687</v>
      </c>
      <c r="J887">
        <v>1.06</v>
      </c>
      <c r="K887">
        <v>0.94</v>
      </c>
      <c r="L887" t="s">
        <v>303</v>
      </c>
      <c r="M887">
        <v>1060</v>
      </c>
      <c r="N887">
        <v>940</v>
      </c>
      <c r="O887" t="s">
        <v>862</v>
      </c>
      <c r="P887">
        <f t="shared" si="13"/>
        <v>0</v>
      </c>
    </row>
    <row r="888" spans="1:16" x14ac:dyDescent="0.25">
      <c r="A888" t="s">
        <v>527</v>
      </c>
      <c r="B888">
        <v>1061.0419999999999</v>
      </c>
      <c r="C888">
        <v>1061.0419999999999</v>
      </c>
      <c r="D888" t="s">
        <v>887</v>
      </c>
      <c r="E888">
        <v>8</v>
      </c>
      <c r="F888">
        <v>8</v>
      </c>
      <c r="G888" t="s">
        <v>687</v>
      </c>
      <c r="H888" t="s">
        <v>687</v>
      </c>
      <c r="J888">
        <v>1.0610419999999998</v>
      </c>
      <c r="K888">
        <v>1.0610419999999998</v>
      </c>
      <c r="L888" t="s">
        <v>303</v>
      </c>
      <c r="M888">
        <v>1061.0419999999999</v>
      </c>
      <c r="N888">
        <v>1061.0419999999999</v>
      </c>
      <c r="O888" t="s">
        <v>862</v>
      </c>
      <c r="P888">
        <f t="shared" si="13"/>
        <v>0</v>
      </c>
    </row>
    <row r="889" spans="1:16" x14ac:dyDescent="0.25">
      <c r="A889" t="s">
        <v>527</v>
      </c>
      <c r="B889">
        <v>1061.47</v>
      </c>
      <c r="C889">
        <v>1061.47</v>
      </c>
      <c r="D889" t="s">
        <v>887</v>
      </c>
      <c r="E889">
        <v>8</v>
      </c>
      <c r="F889">
        <v>8</v>
      </c>
      <c r="G889" t="s">
        <v>687</v>
      </c>
      <c r="H889" t="s">
        <v>687</v>
      </c>
      <c r="J889">
        <v>1.0614700000000001</v>
      </c>
      <c r="K889">
        <v>1.0614700000000001</v>
      </c>
      <c r="L889" t="s">
        <v>303</v>
      </c>
      <c r="M889">
        <v>1061.47</v>
      </c>
      <c r="N889">
        <v>1061.47</v>
      </c>
      <c r="O889" t="s">
        <v>862</v>
      </c>
      <c r="P889">
        <f t="shared" si="13"/>
        <v>0</v>
      </c>
    </row>
    <row r="890" spans="1:16" x14ac:dyDescent="0.25">
      <c r="A890" t="s">
        <v>669</v>
      </c>
      <c r="B890">
        <v>1.069</v>
      </c>
      <c r="C890">
        <v>1.069</v>
      </c>
      <c r="D890" t="s">
        <v>303</v>
      </c>
      <c r="E890" t="s">
        <v>910</v>
      </c>
      <c r="F890" t="s">
        <v>910</v>
      </c>
      <c r="J890">
        <v>1.069</v>
      </c>
      <c r="K890">
        <v>1.069</v>
      </c>
      <c r="L890" t="s">
        <v>303</v>
      </c>
      <c r="M890">
        <v>1.069</v>
      </c>
      <c r="N890">
        <v>1.069</v>
      </c>
      <c r="O890" t="s">
        <v>303</v>
      </c>
      <c r="P890">
        <f t="shared" si="13"/>
        <v>0</v>
      </c>
    </row>
    <row r="891" spans="1:16" x14ac:dyDescent="0.25">
      <c r="A891" t="s">
        <v>669</v>
      </c>
      <c r="B891">
        <v>1.0831999999999999</v>
      </c>
      <c r="C891">
        <v>1.0831999999999999</v>
      </c>
      <c r="D891" t="s">
        <v>303</v>
      </c>
      <c r="E891" t="s">
        <v>910</v>
      </c>
      <c r="F891" t="s">
        <v>910</v>
      </c>
      <c r="J891">
        <v>1.0831999999999999</v>
      </c>
      <c r="K891">
        <v>1.0831999999999999</v>
      </c>
      <c r="L891" t="s">
        <v>303</v>
      </c>
      <c r="M891">
        <v>1.0831999999999999</v>
      </c>
      <c r="N891">
        <v>1.0831999999999999</v>
      </c>
      <c r="O891" t="s">
        <v>303</v>
      </c>
      <c r="P891">
        <f t="shared" si="13"/>
        <v>0</v>
      </c>
    </row>
    <row r="892" spans="1:16" x14ac:dyDescent="0.25">
      <c r="A892" t="s">
        <v>669</v>
      </c>
      <c r="B892">
        <v>1.01</v>
      </c>
      <c r="C892">
        <v>1.0900000000000001</v>
      </c>
      <c r="D892" t="s">
        <v>669</v>
      </c>
      <c r="E892">
        <v>8</v>
      </c>
      <c r="F892">
        <v>8</v>
      </c>
      <c r="G892" t="s">
        <v>687</v>
      </c>
      <c r="H892" t="s">
        <v>687</v>
      </c>
      <c r="I892" t="s">
        <v>927</v>
      </c>
      <c r="J892">
        <v>1.0900000000000001</v>
      </c>
      <c r="K892">
        <v>1.01</v>
      </c>
      <c r="L892" t="s">
        <v>930</v>
      </c>
      <c r="M892">
        <v>1.0900000000000001</v>
      </c>
      <c r="N892">
        <v>1.01</v>
      </c>
      <c r="P892">
        <f t="shared" si="13"/>
        <v>14</v>
      </c>
    </row>
    <row r="893" spans="1:16" x14ac:dyDescent="0.25">
      <c r="A893" t="s">
        <v>669</v>
      </c>
      <c r="B893">
        <v>1.0900000000000001</v>
      </c>
      <c r="C893">
        <v>1.0900000000000001</v>
      </c>
      <c r="D893" t="s">
        <v>303</v>
      </c>
      <c r="E893" t="s">
        <v>910</v>
      </c>
      <c r="F893" t="s">
        <v>910</v>
      </c>
      <c r="J893">
        <v>1.0900000000000001</v>
      </c>
      <c r="K893">
        <v>1.0900000000000001</v>
      </c>
      <c r="L893" t="s">
        <v>303</v>
      </c>
      <c r="M893">
        <v>1.0900000000000001</v>
      </c>
      <c r="N893">
        <v>1.0900000000000001</v>
      </c>
      <c r="O893" t="s">
        <v>303</v>
      </c>
      <c r="P893">
        <f t="shared" si="13"/>
        <v>0</v>
      </c>
    </row>
    <row r="894" spans="1:16" x14ac:dyDescent="0.25">
      <c r="A894" t="s">
        <v>669</v>
      </c>
      <c r="B894">
        <v>1050</v>
      </c>
      <c r="C894">
        <v>1090</v>
      </c>
      <c r="D894" t="s">
        <v>864</v>
      </c>
      <c r="E894">
        <v>8</v>
      </c>
      <c r="F894">
        <v>8</v>
      </c>
      <c r="G894" t="s">
        <v>687</v>
      </c>
      <c r="H894" t="s">
        <v>687</v>
      </c>
      <c r="J894">
        <v>1.0900000000000001</v>
      </c>
      <c r="K894">
        <v>1.05</v>
      </c>
      <c r="L894" t="s">
        <v>303</v>
      </c>
      <c r="M894">
        <v>1090</v>
      </c>
      <c r="N894">
        <v>1050</v>
      </c>
      <c r="O894" t="s">
        <v>862</v>
      </c>
      <c r="P894">
        <f t="shared" si="13"/>
        <v>0</v>
      </c>
    </row>
    <row r="895" spans="1:16" x14ac:dyDescent="0.25">
      <c r="A895" t="s">
        <v>578</v>
      </c>
      <c r="B895">
        <v>1047.4000000000001</v>
      </c>
      <c r="C895">
        <v>1091.5999999999999</v>
      </c>
      <c r="D895" t="s">
        <v>862</v>
      </c>
      <c r="E895">
        <v>8</v>
      </c>
      <c r="F895">
        <v>8</v>
      </c>
      <c r="G895" t="s">
        <v>687</v>
      </c>
      <c r="H895" t="s">
        <v>687</v>
      </c>
      <c r="J895">
        <v>1.0915999999999999</v>
      </c>
      <c r="K895">
        <v>1.0474000000000001</v>
      </c>
      <c r="L895" t="s">
        <v>303</v>
      </c>
      <c r="M895">
        <v>1091.5999999999999</v>
      </c>
      <c r="N895">
        <v>1047.4000000000001</v>
      </c>
      <c r="O895" t="s">
        <v>862</v>
      </c>
      <c r="P895">
        <f t="shared" si="13"/>
        <v>0</v>
      </c>
    </row>
    <row r="896" spans="1:16" x14ac:dyDescent="0.25">
      <c r="A896" t="s">
        <v>669</v>
      </c>
      <c r="B896">
        <v>1060</v>
      </c>
      <c r="C896">
        <v>1100</v>
      </c>
      <c r="D896" t="s">
        <v>864</v>
      </c>
      <c r="E896">
        <v>8</v>
      </c>
      <c r="F896">
        <v>8</v>
      </c>
      <c r="G896" t="s">
        <v>687</v>
      </c>
      <c r="H896" t="s">
        <v>687</v>
      </c>
      <c r="J896">
        <v>1.1000000000000001</v>
      </c>
      <c r="K896">
        <v>1.06</v>
      </c>
      <c r="L896" t="s">
        <v>303</v>
      </c>
      <c r="M896">
        <v>1100</v>
      </c>
      <c r="N896">
        <v>1060</v>
      </c>
      <c r="O896" t="s">
        <v>862</v>
      </c>
      <c r="P896">
        <f t="shared" si="13"/>
        <v>0</v>
      </c>
    </row>
    <row r="897" spans="1:16" x14ac:dyDescent="0.25">
      <c r="A897" t="s">
        <v>527</v>
      </c>
      <c r="B897">
        <v>1103.5940000000001</v>
      </c>
      <c r="C897">
        <v>1103.5940000000001</v>
      </c>
      <c r="D897" t="s">
        <v>887</v>
      </c>
      <c r="E897">
        <v>8</v>
      </c>
      <c r="F897">
        <v>8</v>
      </c>
      <c r="G897" t="s">
        <v>687</v>
      </c>
      <c r="H897" t="s">
        <v>687</v>
      </c>
      <c r="J897">
        <v>1.103594</v>
      </c>
      <c r="K897">
        <v>1.103594</v>
      </c>
      <c r="L897" t="s">
        <v>303</v>
      </c>
      <c r="M897">
        <v>1103.5940000000001</v>
      </c>
      <c r="N897">
        <v>1103.5940000000001</v>
      </c>
      <c r="O897" t="s">
        <v>862</v>
      </c>
      <c r="P897">
        <f t="shared" si="13"/>
        <v>0</v>
      </c>
    </row>
    <row r="898" spans="1:16" x14ac:dyDescent="0.25">
      <c r="A898" t="s">
        <v>527</v>
      </c>
      <c r="B898">
        <v>1104.4390000000001</v>
      </c>
      <c r="C898">
        <v>1104.4390000000001</v>
      </c>
      <c r="D898" t="s">
        <v>887</v>
      </c>
      <c r="E898">
        <v>8</v>
      </c>
      <c r="F898">
        <v>8</v>
      </c>
      <c r="G898" t="s">
        <v>687</v>
      </c>
      <c r="H898" t="s">
        <v>687</v>
      </c>
      <c r="J898">
        <v>1.1044390000000002</v>
      </c>
      <c r="K898">
        <v>1.1044390000000002</v>
      </c>
      <c r="L898" t="s">
        <v>303</v>
      </c>
      <c r="M898">
        <v>1104.4390000000001</v>
      </c>
      <c r="N898">
        <v>1104.4390000000001</v>
      </c>
      <c r="O898" t="s">
        <v>862</v>
      </c>
      <c r="P898">
        <f t="shared" si="13"/>
        <v>0</v>
      </c>
    </row>
    <row r="899" spans="1:16" x14ac:dyDescent="0.25">
      <c r="A899" t="s">
        <v>669</v>
      </c>
      <c r="B899">
        <v>1.105</v>
      </c>
      <c r="C899">
        <v>1.105</v>
      </c>
      <c r="D899" t="s">
        <v>303</v>
      </c>
      <c r="E899" t="s">
        <v>910</v>
      </c>
      <c r="F899" t="s">
        <v>910</v>
      </c>
      <c r="J899">
        <v>1.105</v>
      </c>
      <c r="K899">
        <v>1.105</v>
      </c>
      <c r="L899" t="s">
        <v>303</v>
      </c>
      <c r="M899">
        <v>1.105</v>
      </c>
      <c r="N899">
        <v>1.105</v>
      </c>
      <c r="O899" t="s">
        <v>303</v>
      </c>
      <c r="P899">
        <f t="shared" ref="P899:P962" si="14">LEN(I899)</f>
        <v>0</v>
      </c>
    </row>
    <row r="900" spans="1:16" x14ac:dyDescent="0.25">
      <c r="A900" t="s">
        <v>669</v>
      </c>
      <c r="B900">
        <v>1.1160000000000001</v>
      </c>
      <c r="C900">
        <v>1.1160000000000001</v>
      </c>
      <c r="D900" t="s">
        <v>303</v>
      </c>
      <c r="E900" t="s">
        <v>910</v>
      </c>
      <c r="F900" t="s">
        <v>910</v>
      </c>
      <c r="J900">
        <v>1.1160000000000001</v>
      </c>
      <c r="K900">
        <v>1.1160000000000001</v>
      </c>
      <c r="L900" t="s">
        <v>303</v>
      </c>
      <c r="M900">
        <v>1.1160000000000001</v>
      </c>
      <c r="N900">
        <v>1.1160000000000001</v>
      </c>
      <c r="O900" t="s">
        <v>303</v>
      </c>
      <c r="P900">
        <f t="shared" si="14"/>
        <v>0</v>
      </c>
    </row>
    <row r="901" spans="1:16" x14ac:dyDescent="0.25">
      <c r="A901" t="s">
        <v>669</v>
      </c>
      <c r="B901">
        <v>1.1162000000000001</v>
      </c>
      <c r="C901">
        <v>1.1162000000000001</v>
      </c>
      <c r="D901" t="s">
        <v>303</v>
      </c>
      <c r="E901" t="s">
        <v>910</v>
      </c>
      <c r="F901" t="s">
        <v>910</v>
      </c>
      <c r="J901">
        <v>1.1162000000000001</v>
      </c>
      <c r="K901">
        <v>1.1162000000000001</v>
      </c>
      <c r="L901" t="s">
        <v>303</v>
      </c>
      <c r="M901">
        <v>1.1162000000000001</v>
      </c>
      <c r="N901">
        <v>1.1162000000000001</v>
      </c>
      <c r="O901" t="s">
        <v>303</v>
      </c>
      <c r="P901">
        <f t="shared" si="14"/>
        <v>0</v>
      </c>
    </row>
    <row r="902" spans="1:16" x14ac:dyDescent="0.25">
      <c r="A902" t="s">
        <v>669</v>
      </c>
      <c r="B902">
        <v>1060</v>
      </c>
      <c r="C902">
        <v>1120</v>
      </c>
      <c r="D902" t="s">
        <v>864</v>
      </c>
      <c r="E902">
        <v>8</v>
      </c>
      <c r="F902">
        <v>8</v>
      </c>
      <c r="G902" t="s">
        <v>687</v>
      </c>
      <c r="H902" t="s">
        <v>687</v>
      </c>
      <c r="J902">
        <v>1.1200000000000001</v>
      </c>
      <c r="K902">
        <v>1.06</v>
      </c>
      <c r="L902" t="s">
        <v>303</v>
      </c>
      <c r="M902">
        <v>1120</v>
      </c>
      <c r="N902">
        <v>1060</v>
      </c>
      <c r="O902" t="s">
        <v>862</v>
      </c>
      <c r="P902">
        <f t="shared" si="14"/>
        <v>0</v>
      </c>
    </row>
    <row r="903" spans="1:16" x14ac:dyDescent="0.25">
      <c r="A903" t="s">
        <v>578</v>
      </c>
      <c r="B903">
        <v>1.10632</v>
      </c>
      <c r="C903">
        <v>1.12104</v>
      </c>
      <c r="D903" t="s">
        <v>669</v>
      </c>
      <c r="E903">
        <v>8</v>
      </c>
      <c r="F903">
        <v>8</v>
      </c>
      <c r="G903" t="s">
        <v>687</v>
      </c>
      <c r="H903" t="s">
        <v>687</v>
      </c>
      <c r="I903" t="s">
        <v>927</v>
      </c>
      <c r="J903">
        <v>1.12104</v>
      </c>
      <c r="K903">
        <v>1.10632</v>
      </c>
      <c r="L903" t="s">
        <v>930</v>
      </c>
      <c r="M903">
        <v>1.12104</v>
      </c>
      <c r="N903">
        <v>1.10632</v>
      </c>
      <c r="P903">
        <f t="shared" si="14"/>
        <v>14</v>
      </c>
    </row>
    <row r="904" spans="1:16" x14ac:dyDescent="0.25">
      <c r="A904" t="s">
        <v>669</v>
      </c>
      <c r="B904">
        <v>1.1236999999999999</v>
      </c>
      <c r="C904">
        <v>1.1236999999999999</v>
      </c>
      <c r="D904" t="s">
        <v>303</v>
      </c>
      <c r="E904" t="s">
        <v>910</v>
      </c>
      <c r="F904" t="s">
        <v>910</v>
      </c>
      <c r="J904">
        <v>1.1236999999999999</v>
      </c>
      <c r="K904">
        <v>1.1236999999999999</v>
      </c>
      <c r="L904" t="s">
        <v>303</v>
      </c>
      <c r="M904">
        <v>1.1236999999999999</v>
      </c>
      <c r="N904">
        <v>1.1236999999999999</v>
      </c>
      <c r="O904" t="s">
        <v>303</v>
      </c>
      <c r="P904">
        <f t="shared" si="14"/>
        <v>0</v>
      </c>
    </row>
    <row r="905" spans="1:16" x14ac:dyDescent="0.25">
      <c r="A905" t="s">
        <v>669</v>
      </c>
      <c r="B905">
        <v>1070</v>
      </c>
      <c r="C905">
        <v>1130</v>
      </c>
      <c r="D905" t="s">
        <v>864</v>
      </c>
      <c r="E905">
        <v>8</v>
      </c>
      <c r="F905">
        <v>8</v>
      </c>
      <c r="G905" t="s">
        <v>687</v>
      </c>
      <c r="H905" t="s">
        <v>687</v>
      </c>
      <c r="J905">
        <v>1.1299999999999999</v>
      </c>
      <c r="K905">
        <v>1.07</v>
      </c>
      <c r="L905" t="s">
        <v>303</v>
      </c>
      <c r="M905">
        <v>1130</v>
      </c>
      <c r="N905">
        <v>1070</v>
      </c>
      <c r="O905" t="s">
        <v>862</v>
      </c>
      <c r="P905">
        <f t="shared" si="14"/>
        <v>0</v>
      </c>
    </row>
    <row r="906" spans="1:16" x14ac:dyDescent="0.25">
      <c r="A906" t="s">
        <v>669</v>
      </c>
      <c r="B906">
        <v>1.135</v>
      </c>
      <c r="C906">
        <v>1.135</v>
      </c>
      <c r="D906" t="s">
        <v>303</v>
      </c>
      <c r="E906" t="s">
        <v>910</v>
      </c>
      <c r="F906" t="s">
        <v>910</v>
      </c>
      <c r="J906">
        <v>1.135</v>
      </c>
      <c r="K906">
        <v>1.135</v>
      </c>
      <c r="L906" t="s">
        <v>303</v>
      </c>
      <c r="M906">
        <v>1.135</v>
      </c>
      <c r="N906">
        <v>1.135</v>
      </c>
      <c r="O906" t="s">
        <v>303</v>
      </c>
      <c r="P906">
        <f t="shared" si="14"/>
        <v>0</v>
      </c>
    </row>
    <row r="907" spans="1:16" x14ac:dyDescent="0.25">
      <c r="A907" t="s">
        <v>578</v>
      </c>
      <c r="B907">
        <v>1.1283099999999999</v>
      </c>
      <c r="C907">
        <v>1.1368499999999999</v>
      </c>
      <c r="D907" t="s">
        <v>669</v>
      </c>
      <c r="E907">
        <v>8</v>
      </c>
      <c r="F907">
        <v>8</v>
      </c>
      <c r="G907" t="s">
        <v>687</v>
      </c>
      <c r="H907" t="s">
        <v>687</v>
      </c>
      <c r="I907" t="s">
        <v>927</v>
      </c>
      <c r="J907">
        <v>1.1368499999999999</v>
      </c>
      <c r="K907">
        <v>1.1283099999999999</v>
      </c>
      <c r="L907" t="s">
        <v>930</v>
      </c>
      <c r="M907">
        <v>1.1368499999999999</v>
      </c>
      <c r="N907">
        <v>1.1283099999999999</v>
      </c>
      <c r="P907">
        <f t="shared" si="14"/>
        <v>14</v>
      </c>
    </row>
    <row r="908" spans="1:16" x14ac:dyDescent="0.25">
      <c r="A908" t="s">
        <v>669</v>
      </c>
      <c r="B908">
        <v>1.1396999999999999</v>
      </c>
      <c r="C908">
        <v>1.1396999999999999</v>
      </c>
      <c r="D908" t="s">
        <v>303</v>
      </c>
      <c r="E908" t="s">
        <v>910</v>
      </c>
      <c r="F908" t="s">
        <v>910</v>
      </c>
      <c r="J908">
        <v>1.1396999999999999</v>
      </c>
      <c r="K908">
        <v>1.1396999999999999</v>
      </c>
      <c r="L908" t="s">
        <v>303</v>
      </c>
      <c r="M908">
        <v>1.1396999999999999</v>
      </c>
      <c r="N908">
        <v>1.1396999999999999</v>
      </c>
      <c r="O908" t="s">
        <v>303</v>
      </c>
      <c r="P908">
        <f t="shared" si="14"/>
        <v>0</v>
      </c>
    </row>
    <row r="909" spans="1:16" x14ac:dyDescent="0.25">
      <c r="A909" t="s">
        <v>669</v>
      </c>
      <c r="B909">
        <v>1.1399999999999999</v>
      </c>
      <c r="C909">
        <v>1.1399999999999999</v>
      </c>
      <c r="D909" t="s">
        <v>303</v>
      </c>
      <c r="E909" t="s">
        <v>910</v>
      </c>
      <c r="F909" t="s">
        <v>910</v>
      </c>
      <c r="J909">
        <v>1.1399999999999999</v>
      </c>
      <c r="K909">
        <v>1.1399999999999999</v>
      </c>
      <c r="L909" t="s">
        <v>303</v>
      </c>
      <c r="M909">
        <v>1.1399999999999999</v>
      </c>
      <c r="N909">
        <v>1.1399999999999999</v>
      </c>
      <c r="O909" t="s">
        <v>303</v>
      </c>
      <c r="P909">
        <f t="shared" si="14"/>
        <v>0</v>
      </c>
    </row>
    <row r="910" spans="1:16" x14ac:dyDescent="0.25">
      <c r="A910" t="s">
        <v>669</v>
      </c>
      <c r="B910">
        <v>1.1402000000000001</v>
      </c>
      <c r="C910">
        <v>1.1402000000000001</v>
      </c>
      <c r="D910" t="s">
        <v>303</v>
      </c>
      <c r="E910" t="s">
        <v>910</v>
      </c>
      <c r="F910" t="s">
        <v>910</v>
      </c>
      <c r="J910">
        <v>1.1402000000000001</v>
      </c>
      <c r="K910">
        <v>1.1402000000000001</v>
      </c>
      <c r="L910" t="s">
        <v>303</v>
      </c>
      <c r="M910">
        <v>1.1402000000000001</v>
      </c>
      <c r="N910">
        <v>1.1402000000000001</v>
      </c>
      <c r="O910" t="s">
        <v>303</v>
      </c>
      <c r="P910">
        <f t="shared" si="14"/>
        <v>0</v>
      </c>
    </row>
    <row r="911" spans="1:16" x14ac:dyDescent="0.25">
      <c r="A911" t="s">
        <v>669</v>
      </c>
      <c r="B911">
        <v>1.1408</v>
      </c>
      <c r="C911">
        <v>1.1408</v>
      </c>
      <c r="D911" t="s">
        <v>303</v>
      </c>
      <c r="E911" t="s">
        <v>910</v>
      </c>
      <c r="F911" t="s">
        <v>910</v>
      </c>
      <c r="J911">
        <v>1.1408</v>
      </c>
      <c r="K911">
        <v>1.1408</v>
      </c>
      <c r="L911" t="s">
        <v>303</v>
      </c>
      <c r="M911">
        <v>1.1408</v>
      </c>
      <c r="N911">
        <v>1.1408</v>
      </c>
      <c r="O911" t="s">
        <v>303</v>
      </c>
      <c r="P911">
        <f t="shared" si="14"/>
        <v>0</v>
      </c>
    </row>
    <row r="912" spans="1:16" x14ac:dyDescent="0.25">
      <c r="A912" t="s">
        <v>669</v>
      </c>
      <c r="B912">
        <v>1.1411</v>
      </c>
      <c r="C912">
        <v>1.1411</v>
      </c>
      <c r="D912" t="s">
        <v>303</v>
      </c>
      <c r="E912" t="s">
        <v>910</v>
      </c>
      <c r="F912" t="s">
        <v>910</v>
      </c>
      <c r="J912">
        <v>1.1411</v>
      </c>
      <c r="K912">
        <v>1.1411</v>
      </c>
      <c r="L912" t="s">
        <v>303</v>
      </c>
      <c r="M912">
        <v>1.1411</v>
      </c>
      <c r="N912">
        <v>1.1411</v>
      </c>
      <c r="O912" t="s">
        <v>303</v>
      </c>
      <c r="P912">
        <f t="shared" si="14"/>
        <v>0</v>
      </c>
    </row>
    <row r="913" spans="1:16" x14ac:dyDescent="0.25">
      <c r="A913" t="s">
        <v>669</v>
      </c>
      <c r="B913">
        <v>1.1415999999999999</v>
      </c>
      <c r="C913">
        <v>1.1415999999999999</v>
      </c>
      <c r="D913" t="s">
        <v>303</v>
      </c>
      <c r="E913" t="s">
        <v>910</v>
      </c>
      <c r="F913" t="s">
        <v>910</v>
      </c>
      <c r="J913">
        <v>1.1415999999999999</v>
      </c>
      <c r="K913">
        <v>1.1415999999999999</v>
      </c>
      <c r="L913" t="s">
        <v>303</v>
      </c>
      <c r="M913">
        <v>1.1415999999999999</v>
      </c>
      <c r="N913">
        <v>1.1415999999999999</v>
      </c>
      <c r="O913" t="s">
        <v>303</v>
      </c>
      <c r="P913">
        <f t="shared" si="14"/>
        <v>0</v>
      </c>
    </row>
    <row r="914" spans="1:16" x14ac:dyDescent="0.25">
      <c r="A914" t="s">
        <v>669</v>
      </c>
      <c r="B914">
        <v>1.1417999999999999</v>
      </c>
      <c r="C914">
        <v>1.1417999999999999</v>
      </c>
      <c r="D914" t="s">
        <v>303</v>
      </c>
      <c r="E914" t="s">
        <v>910</v>
      </c>
      <c r="F914" t="s">
        <v>910</v>
      </c>
      <c r="J914">
        <v>1.1417999999999999</v>
      </c>
      <c r="K914">
        <v>1.1417999999999999</v>
      </c>
      <c r="L914" t="s">
        <v>303</v>
      </c>
      <c r="M914">
        <v>1.1417999999999999</v>
      </c>
      <c r="N914">
        <v>1.1417999999999999</v>
      </c>
      <c r="O914" t="s">
        <v>303</v>
      </c>
      <c r="P914">
        <f t="shared" si="14"/>
        <v>0</v>
      </c>
    </row>
    <row r="915" spans="1:16" x14ac:dyDescent="0.25">
      <c r="A915" t="s">
        <v>669</v>
      </c>
      <c r="B915">
        <v>1.1418999999999999</v>
      </c>
      <c r="C915">
        <v>1.1418999999999999</v>
      </c>
      <c r="D915" t="s">
        <v>303</v>
      </c>
      <c r="E915" t="s">
        <v>910</v>
      </c>
      <c r="F915" t="s">
        <v>910</v>
      </c>
      <c r="J915">
        <v>1.1418999999999999</v>
      </c>
      <c r="K915">
        <v>1.1418999999999999</v>
      </c>
      <c r="L915" t="s">
        <v>303</v>
      </c>
      <c r="M915">
        <v>1.1418999999999999</v>
      </c>
      <c r="N915">
        <v>1.1418999999999999</v>
      </c>
      <c r="O915" t="s">
        <v>303</v>
      </c>
      <c r="P915">
        <f t="shared" si="14"/>
        <v>0</v>
      </c>
    </row>
    <row r="916" spans="1:16" x14ac:dyDescent="0.25">
      <c r="A916" t="s">
        <v>669</v>
      </c>
      <c r="B916">
        <v>1.1422000000000001</v>
      </c>
      <c r="C916">
        <v>1.1422000000000001</v>
      </c>
      <c r="D916" t="s">
        <v>303</v>
      </c>
      <c r="E916" t="s">
        <v>910</v>
      </c>
      <c r="F916" t="s">
        <v>910</v>
      </c>
      <c r="J916">
        <v>1.1422000000000001</v>
      </c>
      <c r="K916">
        <v>1.1422000000000001</v>
      </c>
      <c r="L916" t="s">
        <v>303</v>
      </c>
      <c r="M916">
        <v>1.1422000000000001</v>
      </c>
      <c r="N916">
        <v>1.1422000000000001</v>
      </c>
      <c r="O916" t="s">
        <v>303</v>
      </c>
      <c r="P916">
        <f t="shared" si="14"/>
        <v>0</v>
      </c>
    </row>
    <row r="917" spans="1:16" x14ac:dyDescent="0.25">
      <c r="A917" t="s">
        <v>669</v>
      </c>
      <c r="B917">
        <v>1.1424000000000001</v>
      </c>
      <c r="C917">
        <v>1.1424000000000001</v>
      </c>
      <c r="D917" t="s">
        <v>303</v>
      </c>
      <c r="E917" t="s">
        <v>910</v>
      </c>
      <c r="F917" t="s">
        <v>910</v>
      </c>
      <c r="J917">
        <v>1.1424000000000001</v>
      </c>
      <c r="K917">
        <v>1.1424000000000001</v>
      </c>
      <c r="L917" t="s">
        <v>303</v>
      </c>
      <c r="M917">
        <v>1.1424000000000001</v>
      </c>
      <c r="N917">
        <v>1.1424000000000001</v>
      </c>
      <c r="O917" t="s">
        <v>303</v>
      </c>
      <c r="P917">
        <f t="shared" si="14"/>
        <v>0</v>
      </c>
    </row>
    <row r="918" spans="1:16" x14ac:dyDescent="0.25">
      <c r="A918" t="s">
        <v>669</v>
      </c>
      <c r="B918">
        <v>1.1452</v>
      </c>
      <c r="C918">
        <v>1.1452</v>
      </c>
      <c r="D918" t="s">
        <v>303</v>
      </c>
      <c r="E918" t="s">
        <v>910</v>
      </c>
      <c r="F918" t="s">
        <v>910</v>
      </c>
      <c r="J918">
        <v>1.1452</v>
      </c>
      <c r="K918">
        <v>1.1452</v>
      </c>
      <c r="L918" t="s">
        <v>303</v>
      </c>
      <c r="M918">
        <v>1.1452</v>
      </c>
      <c r="N918">
        <v>1.1452</v>
      </c>
      <c r="O918" t="s">
        <v>303</v>
      </c>
      <c r="P918">
        <f t="shared" si="14"/>
        <v>0</v>
      </c>
    </row>
    <row r="919" spans="1:16" x14ac:dyDescent="0.25">
      <c r="A919" t="s">
        <v>527</v>
      </c>
      <c r="B919">
        <v>1147.6010000000001</v>
      </c>
      <c r="C919">
        <v>1147.6010000000001</v>
      </c>
      <c r="D919" t="s">
        <v>887</v>
      </c>
      <c r="E919">
        <v>8</v>
      </c>
      <c r="F919">
        <v>8</v>
      </c>
      <c r="G919" t="s">
        <v>687</v>
      </c>
      <c r="H919" t="s">
        <v>687</v>
      </c>
      <c r="J919">
        <v>1.1476010000000001</v>
      </c>
      <c r="K919">
        <v>1.1476010000000001</v>
      </c>
      <c r="L919" t="s">
        <v>303</v>
      </c>
      <c r="M919">
        <v>1147.6010000000001</v>
      </c>
      <c r="N919">
        <v>1147.6010000000001</v>
      </c>
      <c r="O919" t="s">
        <v>862</v>
      </c>
      <c r="P919">
        <f t="shared" si="14"/>
        <v>0</v>
      </c>
    </row>
    <row r="920" spans="1:16" x14ac:dyDescent="0.25">
      <c r="A920" t="s">
        <v>669</v>
      </c>
      <c r="B920">
        <v>1.07</v>
      </c>
      <c r="C920">
        <v>1.1499999999999999</v>
      </c>
      <c r="D920" t="s">
        <v>669</v>
      </c>
      <c r="E920">
        <v>8</v>
      </c>
      <c r="F920">
        <v>8</v>
      </c>
      <c r="G920" t="s">
        <v>687</v>
      </c>
      <c r="H920" t="s">
        <v>687</v>
      </c>
      <c r="I920" t="s">
        <v>927</v>
      </c>
      <c r="J920">
        <v>1.1499999999999999</v>
      </c>
      <c r="K920">
        <v>1.07</v>
      </c>
      <c r="L920" t="s">
        <v>930</v>
      </c>
      <c r="M920">
        <v>1.1499999999999999</v>
      </c>
      <c r="N920">
        <v>1.07</v>
      </c>
      <c r="P920">
        <f t="shared" si="14"/>
        <v>14</v>
      </c>
    </row>
    <row r="921" spans="1:16" x14ac:dyDescent="0.25">
      <c r="A921" t="s">
        <v>669</v>
      </c>
      <c r="B921">
        <v>1.1100000000000001</v>
      </c>
      <c r="C921">
        <v>1.1499999999999999</v>
      </c>
      <c r="D921" t="s">
        <v>669</v>
      </c>
      <c r="E921">
        <v>8</v>
      </c>
      <c r="F921">
        <v>8</v>
      </c>
      <c r="G921" t="s">
        <v>687</v>
      </c>
      <c r="H921" t="s">
        <v>687</v>
      </c>
      <c r="I921" t="s">
        <v>927</v>
      </c>
      <c r="J921">
        <v>1.1499999999999999</v>
      </c>
      <c r="K921">
        <v>1.1100000000000001</v>
      </c>
      <c r="L921" t="s">
        <v>930</v>
      </c>
      <c r="M921">
        <v>1.1499999999999999</v>
      </c>
      <c r="N921">
        <v>1.1100000000000001</v>
      </c>
      <c r="P921">
        <f t="shared" si="14"/>
        <v>14</v>
      </c>
    </row>
    <row r="922" spans="1:16" x14ac:dyDescent="0.25">
      <c r="A922" t="s">
        <v>527</v>
      </c>
      <c r="B922">
        <v>1152.702</v>
      </c>
      <c r="C922">
        <v>1152.702</v>
      </c>
      <c r="D922" t="s">
        <v>887</v>
      </c>
      <c r="E922">
        <v>8</v>
      </c>
      <c r="F922">
        <v>8</v>
      </c>
      <c r="G922" t="s">
        <v>687</v>
      </c>
      <c r="H922" t="s">
        <v>687</v>
      </c>
      <c r="J922">
        <v>1.1527019999999999</v>
      </c>
      <c r="K922">
        <v>1.1527019999999999</v>
      </c>
      <c r="L922" t="s">
        <v>303</v>
      </c>
      <c r="M922">
        <v>1152.702</v>
      </c>
      <c r="N922">
        <v>1152.702</v>
      </c>
      <c r="O922" t="s">
        <v>862</v>
      </c>
      <c r="P922">
        <f t="shared" si="14"/>
        <v>0</v>
      </c>
    </row>
    <row r="923" spans="1:16" x14ac:dyDescent="0.25">
      <c r="A923" t="s">
        <v>669</v>
      </c>
      <c r="B923">
        <v>1.153</v>
      </c>
      <c r="C923">
        <v>1.153</v>
      </c>
      <c r="D923" t="s">
        <v>303</v>
      </c>
      <c r="E923" t="s">
        <v>910</v>
      </c>
      <c r="F923" t="s">
        <v>910</v>
      </c>
      <c r="J923">
        <v>1.153</v>
      </c>
      <c r="K923">
        <v>1.153</v>
      </c>
      <c r="L923" t="s">
        <v>303</v>
      </c>
      <c r="M923">
        <v>1.153</v>
      </c>
      <c r="N923">
        <v>1.153</v>
      </c>
      <c r="O923" t="s">
        <v>303</v>
      </c>
      <c r="P923">
        <f t="shared" si="14"/>
        <v>0</v>
      </c>
    </row>
    <row r="924" spans="1:16" x14ac:dyDescent="0.25">
      <c r="A924" t="s">
        <v>669</v>
      </c>
      <c r="B924">
        <v>1.1604000000000001</v>
      </c>
      <c r="C924">
        <v>1.1604000000000001</v>
      </c>
      <c r="D924" t="s">
        <v>303</v>
      </c>
      <c r="E924" t="s">
        <v>910</v>
      </c>
      <c r="F924" t="s">
        <v>910</v>
      </c>
      <c r="J924">
        <v>1.1604000000000001</v>
      </c>
      <c r="K924">
        <v>1.1604000000000001</v>
      </c>
      <c r="L924" t="s">
        <v>303</v>
      </c>
      <c r="M924">
        <v>1.1604000000000001</v>
      </c>
      <c r="N924">
        <v>1.1604000000000001</v>
      </c>
      <c r="O924" t="s">
        <v>303</v>
      </c>
      <c r="P924">
        <f t="shared" si="14"/>
        <v>0</v>
      </c>
    </row>
    <row r="925" spans="1:16" x14ac:dyDescent="0.25">
      <c r="A925" t="s">
        <v>669</v>
      </c>
      <c r="B925">
        <v>1.1619999999999999</v>
      </c>
      <c r="C925">
        <v>1.1619999999999999</v>
      </c>
      <c r="D925" t="s">
        <v>303</v>
      </c>
      <c r="E925" t="s">
        <v>910</v>
      </c>
      <c r="F925" t="s">
        <v>910</v>
      </c>
      <c r="J925">
        <v>1.1619999999999999</v>
      </c>
      <c r="K925">
        <v>1.1619999999999999</v>
      </c>
      <c r="L925" t="s">
        <v>303</v>
      </c>
      <c r="M925">
        <v>1.1619999999999999</v>
      </c>
      <c r="N925">
        <v>1.1619999999999999</v>
      </c>
      <c r="O925" t="s">
        <v>303</v>
      </c>
      <c r="P925">
        <f t="shared" si="14"/>
        <v>0</v>
      </c>
    </row>
    <row r="926" spans="1:16" x14ac:dyDescent="0.25">
      <c r="A926" t="s">
        <v>527</v>
      </c>
      <c r="B926">
        <v>0.88</v>
      </c>
      <c r="C926">
        <v>1.18</v>
      </c>
      <c r="D926" t="s">
        <v>303</v>
      </c>
      <c r="E926">
        <v>8</v>
      </c>
      <c r="F926">
        <v>8</v>
      </c>
      <c r="G926" t="s">
        <v>687</v>
      </c>
      <c r="H926" t="s">
        <v>687</v>
      </c>
      <c r="J926">
        <v>1.18</v>
      </c>
      <c r="K926">
        <v>0.88</v>
      </c>
      <c r="L926" t="s">
        <v>303</v>
      </c>
      <c r="M926">
        <v>1.18</v>
      </c>
      <c r="N926">
        <v>0.88</v>
      </c>
      <c r="O926" t="s">
        <v>303</v>
      </c>
      <c r="P926">
        <f t="shared" si="14"/>
        <v>0</v>
      </c>
    </row>
    <row r="927" spans="1:16" x14ac:dyDescent="0.25">
      <c r="A927" t="s">
        <v>669</v>
      </c>
      <c r="B927">
        <v>1.1890000000000001</v>
      </c>
      <c r="C927">
        <v>1.1890000000000001</v>
      </c>
      <c r="D927" t="s">
        <v>303</v>
      </c>
      <c r="E927" t="s">
        <v>910</v>
      </c>
      <c r="F927" t="s">
        <v>910</v>
      </c>
      <c r="J927">
        <v>1.1890000000000001</v>
      </c>
      <c r="K927">
        <v>1.1890000000000001</v>
      </c>
      <c r="L927" t="s">
        <v>303</v>
      </c>
      <c r="M927">
        <v>1.1890000000000001</v>
      </c>
      <c r="N927">
        <v>1.1890000000000001</v>
      </c>
      <c r="O927" t="s">
        <v>303</v>
      </c>
      <c r="P927">
        <f t="shared" si="14"/>
        <v>0</v>
      </c>
    </row>
    <row r="928" spans="1:16" x14ac:dyDescent="0.25">
      <c r="A928" t="s">
        <v>669</v>
      </c>
      <c r="B928">
        <v>0.98</v>
      </c>
      <c r="C928">
        <v>1.19</v>
      </c>
      <c r="D928" t="s">
        <v>303</v>
      </c>
      <c r="E928" t="s">
        <v>910</v>
      </c>
      <c r="F928" t="s">
        <v>910</v>
      </c>
      <c r="J928">
        <v>1.19</v>
      </c>
      <c r="K928">
        <v>0.98</v>
      </c>
      <c r="L928" t="s">
        <v>303</v>
      </c>
      <c r="M928">
        <v>1.19</v>
      </c>
      <c r="N928">
        <v>0.98</v>
      </c>
      <c r="O928" t="s">
        <v>303</v>
      </c>
      <c r="P928">
        <f t="shared" si="14"/>
        <v>0</v>
      </c>
    </row>
    <row r="929" spans="1:16" x14ac:dyDescent="0.25">
      <c r="A929" t="s">
        <v>669</v>
      </c>
      <c r="B929">
        <v>1.1937</v>
      </c>
      <c r="C929">
        <v>1.1937</v>
      </c>
      <c r="D929" t="s">
        <v>303</v>
      </c>
      <c r="E929" t="s">
        <v>910</v>
      </c>
      <c r="F929" t="s">
        <v>910</v>
      </c>
      <c r="J929">
        <v>1.1937</v>
      </c>
      <c r="K929">
        <v>1.1937</v>
      </c>
      <c r="L929" t="s">
        <v>303</v>
      </c>
      <c r="M929">
        <v>1.1937</v>
      </c>
      <c r="N929">
        <v>1.1937</v>
      </c>
      <c r="O929" t="s">
        <v>303</v>
      </c>
      <c r="P929">
        <f t="shared" si="14"/>
        <v>0</v>
      </c>
    </row>
    <row r="930" spans="1:16" x14ac:dyDescent="0.25">
      <c r="A930" t="s">
        <v>669</v>
      </c>
      <c r="B930">
        <v>0.8</v>
      </c>
      <c r="C930">
        <v>1.2</v>
      </c>
      <c r="D930" t="s">
        <v>303</v>
      </c>
      <c r="E930" t="s">
        <v>910</v>
      </c>
      <c r="F930" t="s">
        <v>910</v>
      </c>
      <c r="J930">
        <v>1.2</v>
      </c>
      <c r="K930">
        <v>0.8</v>
      </c>
      <c r="L930" t="s">
        <v>303</v>
      </c>
      <c r="M930">
        <v>1.2</v>
      </c>
      <c r="N930">
        <v>0.8</v>
      </c>
      <c r="O930" t="s">
        <v>303</v>
      </c>
      <c r="P930">
        <f t="shared" si="14"/>
        <v>0</v>
      </c>
    </row>
    <row r="931" spans="1:16" x14ac:dyDescent="0.25">
      <c r="A931" t="s">
        <v>527</v>
      </c>
      <c r="B931">
        <v>1.18</v>
      </c>
      <c r="C931">
        <v>1.2</v>
      </c>
      <c r="D931" t="s">
        <v>303</v>
      </c>
      <c r="E931">
        <v>8</v>
      </c>
      <c r="F931">
        <v>8</v>
      </c>
      <c r="G931" t="s">
        <v>687</v>
      </c>
      <c r="H931" t="s">
        <v>687</v>
      </c>
      <c r="J931">
        <v>1.2</v>
      </c>
      <c r="K931">
        <v>1.18</v>
      </c>
      <c r="L931" t="s">
        <v>303</v>
      </c>
      <c r="M931">
        <v>1.2</v>
      </c>
      <c r="N931">
        <v>1.18</v>
      </c>
      <c r="O931" t="s">
        <v>303</v>
      </c>
      <c r="P931">
        <f t="shared" si="14"/>
        <v>0</v>
      </c>
    </row>
    <row r="932" spans="1:16" x14ac:dyDescent="0.25">
      <c r="A932" t="s">
        <v>527</v>
      </c>
      <c r="B932">
        <v>1.18</v>
      </c>
      <c r="C932">
        <v>1.2</v>
      </c>
      <c r="D932" t="s">
        <v>860</v>
      </c>
      <c r="E932">
        <v>8</v>
      </c>
      <c r="F932">
        <v>8</v>
      </c>
      <c r="G932" t="s">
        <v>687</v>
      </c>
      <c r="H932" t="s">
        <v>687</v>
      </c>
      <c r="J932">
        <v>1.2</v>
      </c>
      <c r="K932">
        <v>1.18</v>
      </c>
      <c r="L932" t="s">
        <v>303</v>
      </c>
      <c r="M932">
        <v>1.2</v>
      </c>
      <c r="N932">
        <v>1.18</v>
      </c>
      <c r="O932" t="s">
        <v>303</v>
      </c>
      <c r="P932">
        <f t="shared" si="14"/>
        <v>0</v>
      </c>
    </row>
    <row r="933" spans="1:16" x14ac:dyDescent="0.25">
      <c r="A933" t="s">
        <v>527</v>
      </c>
      <c r="B933">
        <v>1.18</v>
      </c>
      <c r="C933">
        <v>1.2</v>
      </c>
      <c r="D933" t="s">
        <v>669</v>
      </c>
      <c r="E933">
        <v>8</v>
      </c>
      <c r="F933">
        <v>8</v>
      </c>
      <c r="G933" t="s">
        <v>687</v>
      </c>
      <c r="H933" t="s">
        <v>687</v>
      </c>
      <c r="I933" t="s">
        <v>927</v>
      </c>
      <c r="J933">
        <v>1.2</v>
      </c>
      <c r="K933">
        <v>1.18</v>
      </c>
      <c r="L933" t="s">
        <v>930</v>
      </c>
      <c r="M933">
        <v>1.2</v>
      </c>
      <c r="N933">
        <v>1.18</v>
      </c>
      <c r="P933">
        <f t="shared" si="14"/>
        <v>14</v>
      </c>
    </row>
    <row r="934" spans="1:16" x14ac:dyDescent="0.25">
      <c r="A934" t="s">
        <v>669</v>
      </c>
      <c r="B934">
        <v>1.2</v>
      </c>
      <c r="C934">
        <v>1.2</v>
      </c>
      <c r="D934" t="s">
        <v>303</v>
      </c>
      <c r="E934" t="s">
        <v>910</v>
      </c>
      <c r="F934" t="s">
        <v>910</v>
      </c>
      <c r="J934">
        <v>1.2</v>
      </c>
      <c r="K934">
        <v>1.2</v>
      </c>
      <c r="L934" t="s">
        <v>303</v>
      </c>
      <c r="M934">
        <v>1.2</v>
      </c>
      <c r="N934">
        <v>1.2</v>
      </c>
      <c r="O934" t="s">
        <v>303</v>
      </c>
      <c r="P934">
        <f t="shared" si="14"/>
        <v>0</v>
      </c>
    </row>
    <row r="935" spans="1:16" x14ac:dyDescent="0.25">
      <c r="A935" t="s">
        <v>669</v>
      </c>
      <c r="B935">
        <v>1.2</v>
      </c>
      <c r="C935">
        <v>1.2</v>
      </c>
      <c r="D935" t="s">
        <v>860</v>
      </c>
      <c r="E935" t="s">
        <v>910</v>
      </c>
      <c r="F935" t="s">
        <v>910</v>
      </c>
      <c r="J935">
        <v>1.2</v>
      </c>
      <c r="K935">
        <v>1.2</v>
      </c>
      <c r="L935" t="s">
        <v>303</v>
      </c>
      <c r="M935">
        <v>1.2</v>
      </c>
      <c r="N935">
        <v>1.2</v>
      </c>
      <c r="O935" t="s">
        <v>303</v>
      </c>
      <c r="P935">
        <f t="shared" si="14"/>
        <v>0</v>
      </c>
    </row>
    <row r="936" spans="1:16" x14ac:dyDescent="0.25">
      <c r="A936" t="s">
        <v>669</v>
      </c>
      <c r="B936">
        <v>630</v>
      </c>
      <c r="C936">
        <v>1200</v>
      </c>
      <c r="D936" t="s">
        <v>864</v>
      </c>
      <c r="E936">
        <v>8</v>
      </c>
      <c r="F936">
        <v>8</v>
      </c>
      <c r="G936" t="s">
        <v>687</v>
      </c>
      <c r="H936" t="s">
        <v>687</v>
      </c>
      <c r="J936">
        <v>1.2</v>
      </c>
      <c r="K936">
        <v>0.63</v>
      </c>
      <c r="L936" t="s">
        <v>303</v>
      </c>
      <c r="M936">
        <v>1200</v>
      </c>
      <c r="N936">
        <v>630</v>
      </c>
      <c r="O936" t="s">
        <v>862</v>
      </c>
      <c r="P936">
        <f t="shared" si="14"/>
        <v>0</v>
      </c>
    </row>
    <row r="937" spans="1:16" x14ac:dyDescent="0.25">
      <c r="A937" t="s">
        <v>669</v>
      </c>
      <c r="B937">
        <v>1.21</v>
      </c>
      <c r="C937">
        <v>1.21</v>
      </c>
      <c r="D937" t="s">
        <v>303</v>
      </c>
      <c r="E937" t="s">
        <v>910</v>
      </c>
      <c r="F937" t="s">
        <v>910</v>
      </c>
      <c r="J937">
        <v>1.21</v>
      </c>
      <c r="K937">
        <v>1.21</v>
      </c>
      <c r="L937" t="s">
        <v>303</v>
      </c>
      <c r="M937">
        <v>1.21</v>
      </c>
      <c r="N937">
        <v>1.21</v>
      </c>
      <c r="O937" t="s">
        <v>303</v>
      </c>
      <c r="P937">
        <f t="shared" si="14"/>
        <v>0</v>
      </c>
    </row>
    <row r="938" spans="1:16" x14ac:dyDescent="0.25">
      <c r="A938" t="s">
        <v>578</v>
      </c>
      <c r="B938">
        <v>1.20235</v>
      </c>
      <c r="C938">
        <v>1.2114499999999999</v>
      </c>
      <c r="D938" t="s">
        <v>669</v>
      </c>
      <c r="E938">
        <v>8</v>
      </c>
      <c r="F938">
        <v>8</v>
      </c>
      <c r="G938" t="s">
        <v>687</v>
      </c>
      <c r="H938" t="s">
        <v>687</v>
      </c>
      <c r="I938" t="s">
        <v>927</v>
      </c>
      <c r="J938">
        <v>1.2114499999999999</v>
      </c>
      <c r="K938">
        <v>1.20235</v>
      </c>
      <c r="L938" t="s">
        <v>930</v>
      </c>
      <c r="M938">
        <v>1.2114499999999999</v>
      </c>
      <c r="N938">
        <v>1.20235</v>
      </c>
      <c r="P938">
        <f t="shared" si="14"/>
        <v>14</v>
      </c>
    </row>
    <row r="939" spans="1:16" x14ac:dyDescent="0.25">
      <c r="A939" t="s">
        <v>669</v>
      </c>
      <c r="B939">
        <v>1.2170000000000001</v>
      </c>
      <c r="C939">
        <v>1.2170000000000001</v>
      </c>
      <c r="D939" t="s">
        <v>303</v>
      </c>
      <c r="E939" t="s">
        <v>910</v>
      </c>
      <c r="F939" t="s">
        <v>910</v>
      </c>
      <c r="J939">
        <v>1.2170000000000001</v>
      </c>
      <c r="K939">
        <v>1.2170000000000001</v>
      </c>
      <c r="L939" t="s">
        <v>303</v>
      </c>
      <c r="M939">
        <v>1.2170000000000001</v>
      </c>
      <c r="N939">
        <v>1.2170000000000001</v>
      </c>
      <c r="O939" t="s">
        <v>303</v>
      </c>
      <c r="P939">
        <f t="shared" si="14"/>
        <v>0</v>
      </c>
    </row>
    <row r="940" spans="1:16" x14ac:dyDescent="0.25">
      <c r="A940" t="s">
        <v>669</v>
      </c>
      <c r="B940">
        <v>1140</v>
      </c>
      <c r="C940">
        <v>1220</v>
      </c>
      <c r="D940" t="s">
        <v>864</v>
      </c>
      <c r="E940">
        <v>8</v>
      </c>
      <c r="F940">
        <v>8</v>
      </c>
      <c r="G940" t="s">
        <v>687</v>
      </c>
      <c r="H940" t="s">
        <v>687</v>
      </c>
      <c r="J940">
        <v>1.22</v>
      </c>
      <c r="K940">
        <v>1.1399999999999999</v>
      </c>
      <c r="L940" t="s">
        <v>303</v>
      </c>
      <c r="M940">
        <v>1220</v>
      </c>
      <c r="N940">
        <v>1140</v>
      </c>
      <c r="O940" t="s">
        <v>862</v>
      </c>
      <c r="P940">
        <f t="shared" si="14"/>
        <v>0</v>
      </c>
    </row>
    <row r="941" spans="1:16" x14ac:dyDescent="0.25">
      <c r="A941" t="s">
        <v>669</v>
      </c>
      <c r="B941">
        <v>1.2228000000000001</v>
      </c>
      <c r="C941">
        <v>1.2228000000000001</v>
      </c>
      <c r="D941" t="s">
        <v>303</v>
      </c>
      <c r="E941" t="s">
        <v>910</v>
      </c>
      <c r="F941" t="s">
        <v>910</v>
      </c>
      <c r="J941">
        <v>1.2228000000000001</v>
      </c>
      <c r="K941">
        <v>1.2228000000000001</v>
      </c>
      <c r="L941" t="s">
        <v>303</v>
      </c>
      <c r="M941">
        <v>1.2228000000000001</v>
      </c>
      <c r="N941">
        <v>1.2228000000000001</v>
      </c>
      <c r="O941" t="s">
        <v>303</v>
      </c>
      <c r="P941">
        <f t="shared" si="14"/>
        <v>0</v>
      </c>
    </row>
    <row r="942" spans="1:16" x14ac:dyDescent="0.25">
      <c r="A942" t="s">
        <v>669</v>
      </c>
      <c r="B942">
        <v>1.2234</v>
      </c>
      <c r="C942">
        <v>1.2234</v>
      </c>
      <c r="D942" t="s">
        <v>303</v>
      </c>
      <c r="E942" t="s">
        <v>910</v>
      </c>
      <c r="F942" t="s">
        <v>910</v>
      </c>
      <c r="J942">
        <v>1.2234</v>
      </c>
      <c r="K942">
        <v>1.2234</v>
      </c>
      <c r="L942" t="s">
        <v>303</v>
      </c>
      <c r="M942">
        <v>1.2234</v>
      </c>
      <c r="N942">
        <v>1.2234</v>
      </c>
      <c r="O942" t="s">
        <v>303</v>
      </c>
      <c r="P942">
        <f t="shared" si="14"/>
        <v>0</v>
      </c>
    </row>
    <row r="943" spans="1:16" x14ac:dyDescent="0.25">
      <c r="A943" t="s">
        <v>669</v>
      </c>
      <c r="B943">
        <v>1.224</v>
      </c>
      <c r="C943">
        <v>1.224</v>
      </c>
      <c r="D943" t="s">
        <v>303</v>
      </c>
      <c r="E943" t="s">
        <v>910</v>
      </c>
      <c r="F943" t="s">
        <v>910</v>
      </c>
      <c r="J943">
        <v>1.224</v>
      </c>
      <c r="K943">
        <v>1.224</v>
      </c>
      <c r="L943" t="s">
        <v>303</v>
      </c>
      <c r="M943">
        <v>1.224</v>
      </c>
      <c r="N943">
        <v>1.224</v>
      </c>
      <c r="O943" t="s">
        <v>303</v>
      </c>
      <c r="P943">
        <f t="shared" si="14"/>
        <v>0</v>
      </c>
    </row>
    <row r="944" spans="1:16" x14ac:dyDescent="0.25">
      <c r="A944" t="s">
        <v>578</v>
      </c>
      <c r="B944">
        <v>1.21509</v>
      </c>
      <c r="C944">
        <v>1.22807</v>
      </c>
      <c r="D944" t="s">
        <v>669</v>
      </c>
      <c r="E944">
        <v>8</v>
      </c>
      <c r="F944">
        <v>8</v>
      </c>
      <c r="G944" t="s">
        <v>687</v>
      </c>
      <c r="H944" t="s">
        <v>687</v>
      </c>
      <c r="I944" t="s">
        <v>927</v>
      </c>
      <c r="J944">
        <v>1.22807</v>
      </c>
      <c r="K944">
        <v>1.21509</v>
      </c>
      <c r="L944" t="s">
        <v>930</v>
      </c>
      <c r="M944">
        <v>1.22807</v>
      </c>
      <c r="N944">
        <v>1.21509</v>
      </c>
      <c r="P944">
        <f t="shared" si="14"/>
        <v>14</v>
      </c>
    </row>
    <row r="945" spans="1:16" x14ac:dyDescent="0.25">
      <c r="A945" t="s">
        <v>669</v>
      </c>
      <c r="B945">
        <v>1.1499999999999999</v>
      </c>
      <c r="C945">
        <v>1.23</v>
      </c>
      <c r="D945" t="s">
        <v>669</v>
      </c>
      <c r="E945">
        <v>8</v>
      </c>
      <c r="F945">
        <v>8</v>
      </c>
      <c r="G945" t="s">
        <v>687</v>
      </c>
      <c r="H945" t="s">
        <v>687</v>
      </c>
      <c r="I945" t="s">
        <v>927</v>
      </c>
      <c r="J945">
        <v>1.23</v>
      </c>
      <c r="K945">
        <v>1.1499999999999999</v>
      </c>
      <c r="L945" t="s">
        <v>930</v>
      </c>
      <c r="M945">
        <v>1.23</v>
      </c>
      <c r="N945">
        <v>1.1499999999999999</v>
      </c>
      <c r="P945">
        <f t="shared" si="14"/>
        <v>14</v>
      </c>
    </row>
    <row r="946" spans="1:16" x14ac:dyDescent="0.25">
      <c r="A946" t="s">
        <v>669</v>
      </c>
      <c r="B946">
        <v>1.232</v>
      </c>
      <c r="C946">
        <v>1.232</v>
      </c>
      <c r="D946" t="s">
        <v>303</v>
      </c>
      <c r="E946" t="s">
        <v>910</v>
      </c>
      <c r="F946" t="s">
        <v>910</v>
      </c>
      <c r="J946">
        <v>1.232</v>
      </c>
      <c r="K946">
        <v>1.232</v>
      </c>
      <c r="L946" t="s">
        <v>303</v>
      </c>
      <c r="M946">
        <v>1.232</v>
      </c>
      <c r="N946">
        <v>1.232</v>
      </c>
      <c r="O946" t="s">
        <v>303</v>
      </c>
      <c r="P946">
        <f t="shared" si="14"/>
        <v>0</v>
      </c>
    </row>
    <row r="947" spans="1:16" x14ac:dyDescent="0.25">
      <c r="A947" t="s">
        <v>669</v>
      </c>
      <c r="B947">
        <v>1.2334000000000001</v>
      </c>
      <c r="C947">
        <v>1.2334000000000001</v>
      </c>
      <c r="D947" t="s">
        <v>303</v>
      </c>
      <c r="E947" t="s">
        <v>910</v>
      </c>
      <c r="F947" t="s">
        <v>910</v>
      </c>
      <c r="J947">
        <v>1.2334000000000001</v>
      </c>
      <c r="K947">
        <v>1.2334000000000001</v>
      </c>
      <c r="L947" t="s">
        <v>303</v>
      </c>
      <c r="M947">
        <v>1.2334000000000001</v>
      </c>
      <c r="N947">
        <v>1.2334000000000001</v>
      </c>
      <c r="O947" t="s">
        <v>303</v>
      </c>
      <c r="P947">
        <f t="shared" si="14"/>
        <v>0</v>
      </c>
    </row>
    <row r="948" spans="1:16" x14ac:dyDescent="0.25">
      <c r="A948" t="s">
        <v>669</v>
      </c>
      <c r="B948">
        <v>1.252</v>
      </c>
      <c r="C948">
        <v>1.252</v>
      </c>
      <c r="D948" t="s">
        <v>303</v>
      </c>
      <c r="E948" t="s">
        <v>910</v>
      </c>
      <c r="F948" t="s">
        <v>910</v>
      </c>
      <c r="J948">
        <v>1.252</v>
      </c>
      <c r="K948">
        <v>1.252</v>
      </c>
      <c r="L948" t="s">
        <v>303</v>
      </c>
      <c r="M948">
        <v>1.252</v>
      </c>
      <c r="N948">
        <v>1.252</v>
      </c>
      <c r="O948" t="s">
        <v>303</v>
      </c>
      <c r="P948">
        <f t="shared" si="14"/>
        <v>0</v>
      </c>
    </row>
    <row r="949" spans="1:16" x14ac:dyDescent="0.25">
      <c r="A949" t="s">
        <v>669</v>
      </c>
      <c r="B949">
        <v>1.2549999999999999</v>
      </c>
      <c r="C949">
        <v>1.2549999999999999</v>
      </c>
      <c r="D949" t="s">
        <v>303</v>
      </c>
      <c r="E949" t="s">
        <v>910</v>
      </c>
      <c r="F949" t="s">
        <v>910</v>
      </c>
      <c r="J949">
        <v>1.2549999999999999</v>
      </c>
      <c r="K949">
        <v>1.2549999999999999</v>
      </c>
      <c r="L949" t="s">
        <v>303</v>
      </c>
      <c r="M949">
        <v>1.2549999999999999</v>
      </c>
      <c r="N949">
        <v>1.2549999999999999</v>
      </c>
      <c r="O949" t="s">
        <v>303</v>
      </c>
      <c r="P949">
        <f t="shared" si="14"/>
        <v>0</v>
      </c>
    </row>
    <row r="950" spans="1:16" x14ac:dyDescent="0.25">
      <c r="A950" t="s">
        <v>669</v>
      </c>
      <c r="B950">
        <v>1.2591000000000001</v>
      </c>
      <c r="C950">
        <v>1.2591000000000001</v>
      </c>
      <c r="D950" t="s">
        <v>303</v>
      </c>
      <c r="E950" t="s">
        <v>910</v>
      </c>
      <c r="F950" t="s">
        <v>910</v>
      </c>
      <c r="J950">
        <v>1.2591000000000001</v>
      </c>
      <c r="K950">
        <v>1.2591000000000001</v>
      </c>
      <c r="L950" t="s">
        <v>303</v>
      </c>
      <c r="M950">
        <v>1.2591000000000001</v>
      </c>
      <c r="N950">
        <v>1.2591000000000001</v>
      </c>
      <c r="O950" t="s">
        <v>303</v>
      </c>
      <c r="P950">
        <f t="shared" si="14"/>
        <v>0</v>
      </c>
    </row>
    <row r="951" spans="1:16" x14ac:dyDescent="0.25">
      <c r="A951" t="s">
        <v>669</v>
      </c>
      <c r="B951">
        <v>1.1000000000000001</v>
      </c>
      <c r="C951">
        <v>1.26</v>
      </c>
      <c r="D951" t="s">
        <v>860</v>
      </c>
      <c r="E951" t="s">
        <v>910</v>
      </c>
      <c r="F951" t="s">
        <v>910</v>
      </c>
      <c r="J951">
        <v>1.26</v>
      </c>
      <c r="K951">
        <v>1.1000000000000001</v>
      </c>
      <c r="L951" t="s">
        <v>303</v>
      </c>
      <c r="M951">
        <v>1.26</v>
      </c>
      <c r="N951">
        <v>1.1000000000000001</v>
      </c>
      <c r="O951" t="s">
        <v>303</v>
      </c>
      <c r="P951">
        <f t="shared" si="14"/>
        <v>0</v>
      </c>
    </row>
    <row r="952" spans="1:16" x14ac:dyDescent="0.25">
      <c r="A952" t="s">
        <v>669</v>
      </c>
      <c r="B952">
        <v>1.22</v>
      </c>
      <c r="C952">
        <v>1.26</v>
      </c>
      <c r="D952" t="s">
        <v>669</v>
      </c>
      <c r="E952">
        <v>8</v>
      </c>
      <c r="F952">
        <v>8</v>
      </c>
      <c r="G952" t="s">
        <v>687</v>
      </c>
      <c r="H952" t="s">
        <v>687</v>
      </c>
      <c r="I952" t="s">
        <v>927</v>
      </c>
      <c r="J952">
        <v>1.26</v>
      </c>
      <c r="K952">
        <v>1.22</v>
      </c>
      <c r="L952" t="s">
        <v>930</v>
      </c>
      <c r="M952">
        <v>1.26</v>
      </c>
      <c r="N952">
        <v>1.22</v>
      </c>
      <c r="P952">
        <f t="shared" si="14"/>
        <v>14</v>
      </c>
    </row>
    <row r="953" spans="1:16" x14ac:dyDescent="0.25">
      <c r="A953" t="s">
        <v>669</v>
      </c>
      <c r="B953">
        <v>1.26</v>
      </c>
      <c r="C953">
        <v>1.26</v>
      </c>
      <c r="D953" t="s">
        <v>303</v>
      </c>
      <c r="E953" t="s">
        <v>910</v>
      </c>
      <c r="F953" t="s">
        <v>910</v>
      </c>
      <c r="J953">
        <v>1.26</v>
      </c>
      <c r="K953">
        <v>1.26</v>
      </c>
      <c r="L953" t="s">
        <v>303</v>
      </c>
      <c r="M953">
        <v>1.26</v>
      </c>
      <c r="N953">
        <v>1.26</v>
      </c>
      <c r="O953" t="s">
        <v>303</v>
      </c>
      <c r="P953">
        <f t="shared" si="14"/>
        <v>0</v>
      </c>
    </row>
    <row r="954" spans="1:16" x14ac:dyDescent="0.25">
      <c r="A954" t="s">
        <v>527</v>
      </c>
      <c r="B954">
        <v>1263.82</v>
      </c>
      <c r="C954">
        <v>1263.82</v>
      </c>
      <c r="D954" t="s">
        <v>887</v>
      </c>
      <c r="E954">
        <v>8</v>
      </c>
      <c r="F954">
        <v>8</v>
      </c>
      <c r="G954" t="s">
        <v>687</v>
      </c>
      <c r="H954" t="s">
        <v>687</v>
      </c>
      <c r="J954">
        <v>1.2638199999999999</v>
      </c>
      <c r="K954">
        <v>1.2638199999999999</v>
      </c>
      <c r="L954" t="s">
        <v>303</v>
      </c>
      <c r="M954">
        <v>1263.82</v>
      </c>
      <c r="N954">
        <v>1263.82</v>
      </c>
      <c r="O954" t="s">
        <v>862</v>
      </c>
      <c r="P954">
        <f t="shared" si="14"/>
        <v>0</v>
      </c>
    </row>
    <row r="955" spans="1:16" x14ac:dyDescent="0.25">
      <c r="A955" t="s">
        <v>669</v>
      </c>
      <c r="B955">
        <v>1.19</v>
      </c>
      <c r="C955">
        <v>1.27</v>
      </c>
      <c r="D955" t="s">
        <v>669</v>
      </c>
      <c r="E955">
        <v>8</v>
      </c>
      <c r="F955">
        <v>8</v>
      </c>
      <c r="G955" t="s">
        <v>687</v>
      </c>
      <c r="H955" t="s">
        <v>687</v>
      </c>
      <c r="I955" t="s">
        <v>927</v>
      </c>
      <c r="J955">
        <v>1.27</v>
      </c>
      <c r="K955">
        <v>1.19</v>
      </c>
      <c r="L955" t="s">
        <v>930</v>
      </c>
      <c r="M955">
        <v>1.27</v>
      </c>
      <c r="N955">
        <v>1.19</v>
      </c>
      <c r="P955">
        <f t="shared" si="14"/>
        <v>14</v>
      </c>
    </row>
    <row r="956" spans="1:16" x14ac:dyDescent="0.25">
      <c r="A956" t="s">
        <v>669</v>
      </c>
      <c r="B956">
        <v>1.21</v>
      </c>
      <c r="C956">
        <v>1.27</v>
      </c>
      <c r="D956" t="s">
        <v>669</v>
      </c>
      <c r="E956">
        <v>8</v>
      </c>
      <c r="F956">
        <v>8</v>
      </c>
      <c r="G956" t="s">
        <v>687</v>
      </c>
      <c r="H956" t="s">
        <v>687</v>
      </c>
      <c r="I956" t="s">
        <v>927</v>
      </c>
      <c r="J956">
        <v>1.27</v>
      </c>
      <c r="K956">
        <v>1.21</v>
      </c>
      <c r="L956" t="s">
        <v>930</v>
      </c>
      <c r="M956">
        <v>1.27</v>
      </c>
      <c r="N956">
        <v>1.21</v>
      </c>
      <c r="P956">
        <f t="shared" si="14"/>
        <v>14</v>
      </c>
    </row>
    <row r="957" spans="1:16" x14ac:dyDescent="0.25">
      <c r="A957" t="s">
        <v>669</v>
      </c>
      <c r="B957">
        <v>1230</v>
      </c>
      <c r="C957">
        <v>1270</v>
      </c>
      <c r="D957" t="s">
        <v>864</v>
      </c>
      <c r="E957">
        <v>8</v>
      </c>
      <c r="F957">
        <v>8</v>
      </c>
      <c r="G957" t="s">
        <v>687</v>
      </c>
      <c r="H957" t="s">
        <v>687</v>
      </c>
      <c r="J957">
        <v>1.27</v>
      </c>
      <c r="K957">
        <v>1.23</v>
      </c>
      <c r="L957" t="s">
        <v>303</v>
      </c>
      <c r="M957">
        <v>1270</v>
      </c>
      <c r="N957">
        <v>1230</v>
      </c>
      <c r="O957" t="s">
        <v>862</v>
      </c>
      <c r="P957">
        <f t="shared" si="14"/>
        <v>0</v>
      </c>
    </row>
    <row r="958" spans="1:16" x14ac:dyDescent="0.25">
      <c r="A958" t="s">
        <v>669</v>
      </c>
      <c r="B958">
        <v>1.24</v>
      </c>
      <c r="C958">
        <v>1.28</v>
      </c>
      <c r="D958" t="s">
        <v>860</v>
      </c>
      <c r="E958" t="s">
        <v>910</v>
      </c>
      <c r="F958" t="s">
        <v>910</v>
      </c>
      <c r="J958">
        <v>1.28</v>
      </c>
      <c r="K958">
        <v>1.24</v>
      </c>
      <c r="L958" t="s">
        <v>303</v>
      </c>
      <c r="M958">
        <v>1.28</v>
      </c>
      <c r="N958">
        <v>1.24</v>
      </c>
      <c r="O958" t="s">
        <v>303</v>
      </c>
      <c r="P958">
        <f t="shared" si="14"/>
        <v>0</v>
      </c>
    </row>
    <row r="959" spans="1:16" x14ac:dyDescent="0.25">
      <c r="A959" t="s">
        <v>669</v>
      </c>
      <c r="B959">
        <v>1160</v>
      </c>
      <c r="C959">
        <v>1280</v>
      </c>
      <c r="D959" t="s">
        <v>864</v>
      </c>
      <c r="E959">
        <v>8</v>
      </c>
      <c r="F959">
        <v>8</v>
      </c>
      <c r="G959" t="s">
        <v>687</v>
      </c>
      <c r="H959" t="s">
        <v>687</v>
      </c>
      <c r="J959">
        <v>1.28</v>
      </c>
      <c r="K959">
        <v>1.1599999999999999</v>
      </c>
      <c r="L959" t="s">
        <v>303</v>
      </c>
      <c r="M959">
        <v>1280</v>
      </c>
      <c r="N959">
        <v>1160</v>
      </c>
      <c r="O959" t="s">
        <v>862</v>
      </c>
      <c r="P959">
        <f t="shared" si="14"/>
        <v>0</v>
      </c>
    </row>
    <row r="960" spans="1:16" x14ac:dyDescent="0.25">
      <c r="A960" t="s">
        <v>669</v>
      </c>
      <c r="B960">
        <v>1240</v>
      </c>
      <c r="C960">
        <v>1280</v>
      </c>
      <c r="D960" t="s">
        <v>864</v>
      </c>
      <c r="E960">
        <v>8</v>
      </c>
      <c r="F960">
        <v>8</v>
      </c>
      <c r="G960" t="s">
        <v>687</v>
      </c>
      <c r="H960" t="s">
        <v>687</v>
      </c>
      <c r="J960">
        <v>1.28</v>
      </c>
      <c r="K960">
        <v>1.24</v>
      </c>
      <c r="L960" t="s">
        <v>303</v>
      </c>
      <c r="M960">
        <v>1280</v>
      </c>
      <c r="N960">
        <v>1240</v>
      </c>
      <c r="O960" t="s">
        <v>862</v>
      </c>
      <c r="P960">
        <f t="shared" si="14"/>
        <v>0</v>
      </c>
    </row>
    <row r="961" spans="1:16" x14ac:dyDescent="0.25">
      <c r="A961" t="s">
        <v>669</v>
      </c>
      <c r="B961">
        <v>1.2809999999999999</v>
      </c>
      <c r="C961">
        <v>1.2809999999999999</v>
      </c>
      <c r="D961" t="s">
        <v>303</v>
      </c>
      <c r="E961" t="s">
        <v>910</v>
      </c>
      <c r="F961" t="s">
        <v>910</v>
      </c>
      <c r="J961">
        <v>1.2809999999999999</v>
      </c>
      <c r="K961">
        <v>1.2809999999999999</v>
      </c>
      <c r="L961" t="s">
        <v>303</v>
      </c>
      <c r="M961">
        <v>1.2809999999999999</v>
      </c>
      <c r="N961">
        <v>1.2809999999999999</v>
      </c>
      <c r="O961" t="s">
        <v>303</v>
      </c>
      <c r="P961">
        <f t="shared" si="14"/>
        <v>0</v>
      </c>
    </row>
    <row r="962" spans="1:16" x14ac:dyDescent="0.25">
      <c r="A962" t="s">
        <v>669</v>
      </c>
      <c r="B962">
        <v>1.284</v>
      </c>
      <c r="C962">
        <v>1.284</v>
      </c>
      <c r="D962" t="s">
        <v>303</v>
      </c>
      <c r="E962" t="s">
        <v>910</v>
      </c>
      <c r="F962" t="s">
        <v>910</v>
      </c>
      <c r="J962">
        <v>1.284</v>
      </c>
      <c r="K962">
        <v>1.284</v>
      </c>
      <c r="L962" t="s">
        <v>303</v>
      </c>
      <c r="M962">
        <v>1.284</v>
      </c>
      <c r="N962">
        <v>1.284</v>
      </c>
      <c r="O962" t="s">
        <v>303</v>
      </c>
      <c r="P962">
        <f t="shared" si="14"/>
        <v>0</v>
      </c>
    </row>
    <row r="963" spans="1:16" x14ac:dyDescent="0.25">
      <c r="A963" t="s">
        <v>527</v>
      </c>
      <c r="B963">
        <v>1284.0219999999999</v>
      </c>
      <c r="C963">
        <v>1284.0219999999999</v>
      </c>
      <c r="D963" t="s">
        <v>887</v>
      </c>
      <c r="E963">
        <v>8</v>
      </c>
      <c r="F963">
        <v>8</v>
      </c>
      <c r="G963" t="s">
        <v>687</v>
      </c>
      <c r="H963" t="s">
        <v>687</v>
      </c>
      <c r="J963">
        <v>1.284022</v>
      </c>
      <c r="K963">
        <v>1.284022</v>
      </c>
      <c r="L963" t="s">
        <v>303</v>
      </c>
      <c r="M963">
        <v>1284.0219999999999</v>
      </c>
      <c r="N963">
        <v>1284.0219999999999</v>
      </c>
      <c r="O963" t="s">
        <v>862</v>
      </c>
      <c r="P963">
        <f t="shared" ref="P963:P1026" si="15">LEN(I963)</f>
        <v>0</v>
      </c>
    </row>
    <row r="964" spans="1:16" x14ac:dyDescent="0.25">
      <c r="A964" t="s">
        <v>527</v>
      </c>
      <c r="B964">
        <v>1284.2360000000001</v>
      </c>
      <c r="C964">
        <v>1284.2360000000001</v>
      </c>
      <c r="D964" t="s">
        <v>887</v>
      </c>
      <c r="E964">
        <v>8</v>
      </c>
      <c r="F964">
        <v>8</v>
      </c>
      <c r="G964" t="s">
        <v>687</v>
      </c>
      <c r="H964" t="s">
        <v>687</v>
      </c>
      <c r="J964">
        <v>1.2842360000000002</v>
      </c>
      <c r="K964">
        <v>1.2842360000000002</v>
      </c>
      <c r="L964" t="s">
        <v>303</v>
      </c>
      <c r="M964">
        <v>1284.2360000000001</v>
      </c>
      <c r="N964">
        <v>1284.2360000000001</v>
      </c>
      <c r="O964" t="s">
        <v>862</v>
      </c>
      <c r="P964">
        <f t="shared" si="15"/>
        <v>0</v>
      </c>
    </row>
    <row r="965" spans="1:16" x14ac:dyDescent="0.25">
      <c r="A965" t="s">
        <v>669</v>
      </c>
      <c r="B965">
        <v>1110</v>
      </c>
      <c r="C965">
        <v>1290</v>
      </c>
      <c r="D965" t="s">
        <v>864</v>
      </c>
      <c r="E965">
        <v>8</v>
      </c>
      <c r="F965">
        <v>8</v>
      </c>
      <c r="G965" t="s">
        <v>687</v>
      </c>
      <c r="H965" t="s">
        <v>687</v>
      </c>
      <c r="J965">
        <v>1.29</v>
      </c>
      <c r="K965">
        <v>1.1100000000000001</v>
      </c>
      <c r="L965" t="s">
        <v>303</v>
      </c>
      <c r="M965">
        <v>1290</v>
      </c>
      <c r="N965">
        <v>1110</v>
      </c>
      <c r="O965" t="s">
        <v>862</v>
      </c>
      <c r="P965">
        <f t="shared" si="15"/>
        <v>0</v>
      </c>
    </row>
    <row r="966" spans="1:16" x14ac:dyDescent="0.25">
      <c r="A966" t="s">
        <v>669</v>
      </c>
      <c r="B966">
        <v>1.1000000000000001</v>
      </c>
      <c r="C966">
        <v>1.3</v>
      </c>
      <c r="D966" t="s">
        <v>669</v>
      </c>
      <c r="E966">
        <v>8</v>
      </c>
      <c r="F966">
        <v>8</v>
      </c>
      <c r="G966" t="s">
        <v>687</v>
      </c>
      <c r="H966" t="s">
        <v>687</v>
      </c>
      <c r="I966" t="s">
        <v>927</v>
      </c>
      <c r="J966">
        <v>1.3</v>
      </c>
      <c r="K966">
        <v>1.1000000000000001</v>
      </c>
      <c r="L966" t="s">
        <v>930</v>
      </c>
      <c r="M966">
        <v>1.3</v>
      </c>
      <c r="N966">
        <v>1.1000000000000001</v>
      </c>
      <c r="P966">
        <f t="shared" si="15"/>
        <v>14</v>
      </c>
    </row>
    <row r="967" spans="1:16" x14ac:dyDescent="0.25">
      <c r="A967" t="s">
        <v>669</v>
      </c>
      <c r="B967">
        <v>1.3</v>
      </c>
      <c r="C967">
        <v>1.3</v>
      </c>
      <c r="D967" t="s">
        <v>860</v>
      </c>
      <c r="E967" t="s">
        <v>910</v>
      </c>
      <c r="F967" t="s">
        <v>910</v>
      </c>
      <c r="J967">
        <v>1.3</v>
      </c>
      <c r="K967">
        <v>1.3</v>
      </c>
      <c r="L967" t="s">
        <v>303</v>
      </c>
      <c r="M967">
        <v>1.3</v>
      </c>
      <c r="N967">
        <v>1.3</v>
      </c>
      <c r="O967" t="s">
        <v>303</v>
      </c>
      <c r="P967">
        <f t="shared" si="15"/>
        <v>0</v>
      </c>
    </row>
    <row r="968" spans="1:16" x14ac:dyDescent="0.25">
      <c r="A968" t="s">
        <v>669</v>
      </c>
      <c r="B968">
        <v>1.3049999999999999</v>
      </c>
      <c r="C968">
        <v>1.3049999999999999</v>
      </c>
      <c r="D968" t="s">
        <v>303</v>
      </c>
      <c r="E968" t="s">
        <v>910</v>
      </c>
      <c r="F968" t="s">
        <v>910</v>
      </c>
      <c r="J968">
        <v>1.3049999999999999</v>
      </c>
      <c r="K968">
        <v>1.3049999999999999</v>
      </c>
      <c r="L968" t="s">
        <v>303</v>
      </c>
      <c r="M968">
        <v>1.3049999999999999</v>
      </c>
      <c r="N968">
        <v>1.3049999999999999</v>
      </c>
      <c r="O968" t="s">
        <v>303</v>
      </c>
      <c r="P968">
        <f t="shared" si="15"/>
        <v>0</v>
      </c>
    </row>
    <row r="969" spans="1:16" x14ac:dyDescent="0.25">
      <c r="A969" t="s">
        <v>669</v>
      </c>
      <c r="B969" t="s">
        <v>669</v>
      </c>
      <c r="C969">
        <v>1.3049999999999999</v>
      </c>
      <c r="D969" t="s">
        <v>303</v>
      </c>
      <c r="E969" t="s">
        <v>910</v>
      </c>
      <c r="F969" t="s">
        <v>910</v>
      </c>
      <c r="J969">
        <v>1.3049999999999999</v>
      </c>
      <c r="K969">
        <v>1.3049999999999999</v>
      </c>
      <c r="L969" t="s">
        <v>303</v>
      </c>
      <c r="M969">
        <v>1.3049999999999999</v>
      </c>
      <c r="N969">
        <v>1.3049999999999999</v>
      </c>
      <c r="O969" t="s">
        <v>303</v>
      </c>
      <c r="P969">
        <f t="shared" si="15"/>
        <v>0</v>
      </c>
    </row>
    <row r="970" spans="1:16" x14ac:dyDescent="0.25">
      <c r="A970" t="s">
        <v>669</v>
      </c>
      <c r="B970">
        <v>1.31</v>
      </c>
      <c r="C970">
        <v>1.31</v>
      </c>
      <c r="D970" t="s">
        <v>303</v>
      </c>
      <c r="E970" t="s">
        <v>910</v>
      </c>
      <c r="F970" t="s">
        <v>910</v>
      </c>
      <c r="J970">
        <v>1.31</v>
      </c>
      <c r="K970">
        <v>1.31</v>
      </c>
      <c r="L970" t="s">
        <v>303</v>
      </c>
      <c r="M970">
        <v>1.31</v>
      </c>
      <c r="N970">
        <v>1.31</v>
      </c>
      <c r="O970" t="s">
        <v>303</v>
      </c>
      <c r="P970">
        <f t="shared" si="15"/>
        <v>0</v>
      </c>
    </row>
    <row r="971" spans="1:16" x14ac:dyDescent="0.25">
      <c r="A971" t="s">
        <v>669</v>
      </c>
      <c r="B971">
        <v>1.3140000000000001</v>
      </c>
      <c r="C971">
        <v>1.3140000000000001</v>
      </c>
      <c r="D971" t="s">
        <v>303</v>
      </c>
      <c r="E971" t="s">
        <v>910</v>
      </c>
      <c r="F971" t="s">
        <v>910</v>
      </c>
      <c r="J971">
        <v>1.3140000000000001</v>
      </c>
      <c r="K971">
        <v>1.3140000000000001</v>
      </c>
      <c r="L971" t="s">
        <v>303</v>
      </c>
      <c r="M971">
        <v>1.3140000000000001</v>
      </c>
      <c r="N971">
        <v>1.3140000000000001</v>
      </c>
      <c r="O971" t="s">
        <v>303</v>
      </c>
      <c r="P971">
        <f t="shared" si="15"/>
        <v>0</v>
      </c>
    </row>
    <row r="972" spans="1:16" x14ac:dyDescent="0.25">
      <c r="A972" t="s">
        <v>669</v>
      </c>
      <c r="B972">
        <v>1.329</v>
      </c>
      <c r="C972">
        <v>1.329</v>
      </c>
      <c r="D972" t="s">
        <v>303</v>
      </c>
      <c r="E972" t="s">
        <v>910</v>
      </c>
      <c r="F972" t="s">
        <v>910</v>
      </c>
      <c r="J972">
        <v>1.329</v>
      </c>
      <c r="K972">
        <v>1.329</v>
      </c>
      <c r="L972" t="s">
        <v>303</v>
      </c>
      <c r="M972">
        <v>1.329</v>
      </c>
      <c r="N972">
        <v>1.329</v>
      </c>
      <c r="O972" t="s">
        <v>303</v>
      </c>
      <c r="P972">
        <f t="shared" si="15"/>
        <v>0</v>
      </c>
    </row>
    <row r="973" spans="1:16" x14ac:dyDescent="0.25">
      <c r="A973" t="s">
        <v>669</v>
      </c>
      <c r="B973">
        <v>1.33</v>
      </c>
      <c r="C973">
        <v>1.33</v>
      </c>
      <c r="D973" t="s">
        <v>303</v>
      </c>
      <c r="E973" t="s">
        <v>910</v>
      </c>
      <c r="F973" t="s">
        <v>910</v>
      </c>
      <c r="J973">
        <v>1.33</v>
      </c>
      <c r="K973">
        <v>1.33</v>
      </c>
      <c r="L973" t="s">
        <v>303</v>
      </c>
      <c r="M973">
        <v>1.33</v>
      </c>
      <c r="N973">
        <v>1.33</v>
      </c>
      <c r="O973" t="s">
        <v>303</v>
      </c>
      <c r="P973">
        <f t="shared" si="15"/>
        <v>0</v>
      </c>
    </row>
    <row r="974" spans="1:16" x14ac:dyDescent="0.25">
      <c r="A974" t="s">
        <v>669</v>
      </c>
      <c r="B974">
        <v>1.33</v>
      </c>
      <c r="C974">
        <v>1.33</v>
      </c>
      <c r="D974" t="s">
        <v>860</v>
      </c>
      <c r="E974" t="s">
        <v>910</v>
      </c>
      <c r="F974" t="s">
        <v>910</v>
      </c>
      <c r="J974">
        <v>1.33</v>
      </c>
      <c r="K974">
        <v>1.33</v>
      </c>
      <c r="L974" t="s">
        <v>303</v>
      </c>
      <c r="M974">
        <v>1.33</v>
      </c>
      <c r="N974">
        <v>1.33</v>
      </c>
      <c r="O974" t="s">
        <v>303</v>
      </c>
      <c r="P974">
        <f t="shared" si="15"/>
        <v>0</v>
      </c>
    </row>
    <row r="975" spans="1:16" x14ac:dyDescent="0.25">
      <c r="A975" t="s">
        <v>669</v>
      </c>
      <c r="B975">
        <v>1190</v>
      </c>
      <c r="C975">
        <v>1330</v>
      </c>
      <c r="D975" t="s">
        <v>864</v>
      </c>
      <c r="E975">
        <v>8</v>
      </c>
      <c r="F975">
        <v>8</v>
      </c>
      <c r="G975" t="s">
        <v>687</v>
      </c>
      <c r="H975" t="s">
        <v>687</v>
      </c>
      <c r="J975">
        <v>1.33</v>
      </c>
      <c r="K975">
        <v>1.19</v>
      </c>
      <c r="L975" t="s">
        <v>303</v>
      </c>
      <c r="M975">
        <v>1330</v>
      </c>
      <c r="N975">
        <v>1190</v>
      </c>
      <c r="O975" t="s">
        <v>862</v>
      </c>
      <c r="P975">
        <f t="shared" si="15"/>
        <v>0</v>
      </c>
    </row>
    <row r="976" spans="1:16" x14ac:dyDescent="0.25">
      <c r="A976" t="s">
        <v>669</v>
      </c>
      <c r="B976">
        <v>1270</v>
      </c>
      <c r="C976">
        <v>1330</v>
      </c>
      <c r="D976" t="s">
        <v>864</v>
      </c>
      <c r="E976">
        <v>8</v>
      </c>
      <c r="F976">
        <v>8</v>
      </c>
      <c r="G976" t="s">
        <v>687</v>
      </c>
      <c r="H976" t="s">
        <v>687</v>
      </c>
      <c r="J976">
        <v>1.33</v>
      </c>
      <c r="K976">
        <v>1.27</v>
      </c>
      <c r="L976" t="s">
        <v>303</v>
      </c>
      <c r="M976">
        <v>1330</v>
      </c>
      <c r="N976">
        <v>1270</v>
      </c>
      <c r="O976" t="s">
        <v>862</v>
      </c>
      <c r="P976">
        <f t="shared" si="15"/>
        <v>0</v>
      </c>
    </row>
    <row r="977" spans="1:16" x14ac:dyDescent="0.25">
      <c r="A977" t="s">
        <v>527</v>
      </c>
      <c r="B977">
        <v>1336.183</v>
      </c>
      <c r="C977">
        <v>1336.183</v>
      </c>
      <c r="D977" t="s">
        <v>887</v>
      </c>
      <c r="E977">
        <v>8</v>
      </c>
      <c r="F977">
        <v>8</v>
      </c>
      <c r="G977" t="s">
        <v>687</v>
      </c>
      <c r="H977" t="s">
        <v>687</v>
      </c>
      <c r="J977">
        <v>1.3361829999999999</v>
      </c>
      <c r="K977">
        <v>1.3361829999999999</v>
      </c>
      <c r="L977" t="s">
        <v>303</v>
      </c>
      <c r="M977">
        <v>1336.183</v>
      </c>
      <c r="N977">
        <v>1336.183</v>
      </c>
      <c r="O977" t="s">
        <v>862</v>
      </c>
      <c r="P977">
        <f t="shared" si="15"/>
        <v>0</v>
      </c>
    </row>
    <row r="978" spans="1:16" x14ac:dyDescent="0.25">
      <c r="A978" t="s">
        <v>669</v>
      </c>
      <c r="B978">
        <v>1.1599999999999999</v>
      </c>
      <c r="C978">
        <v>1.34</v>
      </c>
      <c r="D978" t="s">
        <v>860</v>
      </c>
      <c r="E978" t="s">
        <v>910</v>
      </c>
      <c r="F978" t="s">
        <v>910</v>
      </c>
      <c r="J978">
        <v>1.34</v>
      </c>
      <c r="K978">
        <v>1.1599999999999999</v>
      </c>
      <c r="L978" t="s">
        <v>303</v>
      </c>
      <c r="M978">
        <v>1.34</v>
      </c>
      <c r="N978">
        <v>1.1599999999999999</v>
      </c>
      <c r="O978" t="s">
        <v>303</v>
      </c>
      <c r="P978">
        <f t="shared" si="15"/>
        <v>0</v>
      </c>
    </row>
    <row r="979" spans="1:16" x14ac:dyDescent="0.25">
      <c r="A979" t="s">
        <v>669</v>
      </c>
      <c r="B979">
        <v>1.34</v>
      </c>
      <c r="C979">
        <v>1.34</v>
      </c>
      <c r="D979" t="s">
        <v>303</v>
      </c>
      <c r="E979" t="s">
        <v>910</v>
      </c>
      <c r="F979" t="s">
        <v>910</v>
      </c>
      <c r="J979">
        <v>1.34</v>
      </c>
      <c r="K979">
        <v>1.34</v>
      </c>
      <c r="L979" t="s">
        <v>303</v>
      </c>
      <c r="M979">
        <v>1.34</v>
      </c>
      <c r="N979">
        <v>1.34</v>
      </c>
      <c r="O979" t="s">
        <v>303</v>
      </c>
      <c r="P979">
        <f t="shared" si="15"/>
        <v>0</v>
      </c>
    </row>
    <row r="980" spans="1:16" x14ac:dyDescent="0.25">
      <c r="A980" t="s">
        <v>669</v>
      </c>
      <c r="B980">
        <v>1.3440000000000001</v>
      </c>
      <c r="C980">
        <v>1.3440000000000001</v>
      </c>
      <c r="D980" t="s">
        <v>303</v>
      </c>
      <c r="E980" t="s">
        <v>910</v>
      </c>
      <c r="F980" t="s">
        <v>910</v>
      </c>
      <c r="J980">
        <v>1.3440000000000001</v>
      </c>
      <c r="K980">
        <v>1.3440000000000001</v>
      </c>
      <c r="L980" t="s">
        <v>303</v>
      </c>
      <c r="M980">
        <v>1.3440000000000001</v>
      </c>
      <c r="N980">
        <v>1.3440000000000001</v>
      </c>
      <c r="O980" t="s">
        <v>303</v>
      </c>
      <c r="P980">
        <f t="shared" si="15"/>
        <v>0</v>
      </c>
    </row>
    <row r="981" spans="1:16" x14ac:dyDescent="0.25">
      <c r="A981" t="s">
        <v>669</v>
      </c>
      <c r="B981">
        <v>1.29</v>
      </c>
      <c r="C981">
        <v>1.35</v>
      </c>
      <c r="D981" t="s">
        <v>669</v>
      </c>
      <c r="E981">
        <v>8</v>
      </c>
      <c r="F981">
        <v>8</v>
      </c>
      <c r="G981" t="s">
        <v>687</v>
      </c>
      <c r="H981" t="s">
        <v>687</v>
      </c>
      <c r="I981" t="s">
        <v>927</v>
      </c>
      <c r="J981">
        <v>1.35</v>
      </c>
      <c r="K981">
        <v>1.29</v>
      </c>
      <c r="L981" t="s">
        <v>930</v>
      </c>
      <c r="M981">
        <v>1.35</v>
      </c>
      <c r="N981">
        <v>1.29</v>
      </c>
      <c r="P981">
        <f t="shared" si="15"/>
        <v>14</v>
      </c>
    </row>
    <row r="982" spans="1:16" x14ac:dyDescent="0.25">
      <c r="A982" t="s">
        <v>669</v>
      </c>
      <c r="B982">
        <v>1.32</v>
      </c>
      <c r="C982">
        <v>1.36</v>
      </c>
      <c r="D982" t="s">
        <v>860</v>
      </c>
      <c r="E982" t="s">
        <v>910</v>
      </c>
      <c r="F982" t="s">
        <v>910</v>
      </c>
      <c r="J982">
        <v>1.36</v>
      </c>
      <c r="K982">
        <v>1.32</v>
      </c>
      <c r="L982" t="s">
        <v>303</v>
      </c>
      <c r="M982">
        <v>1.36</v>
      </c>
      <c r="N982">
        <v>1.32</v>
      </c>
      <c r="O982" t="s">
        <v>303</v>
      </c>
      <c r="P982">
        <f t="shared" si="15"/>
        <v>0</v>
      </c>
    </row>
    <row r="983" spans="1:16" x14ac:dyDescent="0.25">
      <c r="A983" t="s">
        <v>669</v>
      </c>
      <c r="B983">
        <v>1.31</v>
      </c>
      <c r="C983">
        <v>1.37</v>
      </c>
      <c r="D983" t="s">
        <v>669</v>
      </c>
      <c r="E983">
        <v>8</v>
      </c>
      <c r="F983">
        <v>8</v>
      </c>
      <c r="G983" t="s">
        <v>687</v>
      </c>
      <c r="H983" t="s">
        <v>687</v>
      </c>
      <c r="I983" t="s">
        <v>927</v>
      </c>
      <c r="J983">
        <v>1.37</v>
      </c>
      <c r="K983">
        <v>1.31</v>
      </c>
      <c r="L983" t="s">
        <v>930</v>
      </c>
      <c r="M983">
        <v>1.37</v>
      </c>
      <c r="N983">
        <v>1.31</v>
      </c>
      <c r="P983">
        <f t="shared" si="15"/>
        <v>14</v>
      </c>
    </row>
    <row r="984" spans="1:16" x14ac:dyDescent="0.25">
      <c r="A984" t="s">
        <v>669</v>
      </c>
      <c r="B984">
        <v>1.37</v>
      </c>
      <c r="C984">
        <v>1.37</v>
      </c>
      <c r="D984" t="s">
        <v>303</v>
      </c>
      <c r="E984" t="s">
        <v>910</v>
      </c>
      <c r="F984" t="s">
        <v>910</v>
      </c>
      <c r="J984">
        <v>1.37</v>
      </c>
      <c r="K984">
        <v>1.37</v>
      </c>
      <c r="L984" t="s">
        <v>303</v>
      </c>
      <c r="M984">
        <v>1.37</v>
      </c>
      <c r="N984">
        <v>1.37</v>
      </c>
      <c r="O984" t="s">
        <v>303</v>
      </c>
      <c r="P984">
        <f t="shared" si="15"/>
        <v>0</v>
      </c>
    </row>
    <row r="985" spans="1:16" x14ac:dyDescent="0.25">
      <c r="A985" t="s">
        <v>669</v>
      </c>
      <c r="B985">
        <v>1.3740000000000001</v>
      </c>
      <c r="C985">
        <v>1.3740000000000001</v>
      </c>
      <c r="D985" t="s">
        <v>303</v>
      </c>
      <c r="E985" t="s">
        <v>910</v>
      </c>
      <c r="F985" t="s">
        <v>910</v>
      </c>
      <c r="J985">
        <v>1.3740000000000001</v>
      </c>
      <c r="K985">
        <v>1.3740000000000001</v>
      </c>
      <c r="L985" t="s">
        <v>303</v>
      </c>
      <c r="M985">
        <v>1.3740000000000001</v>
      </c>
      <c r="N985">
        <v>1.3740000000000001</v>
      </c>
      <c r="O985" t="s">
        <v>303</v>
      </c>
      <c r="P985">
        <f t="shared" si="15"/>
        <v>0</v>
      </c>
    </row>
    <row r="986" spans="1:16" x14ac:dyDescent="0.25">
      <c r="A986" t="s">
        <v>669</v>
      </c>
      <c r="B986">
        <v>1.3779999999999999</v>
      </c>
      <c r="C986">
        <v>1.3779999999999999</v>
      </c>
      <c r="D986" t="s">
        <v>303</v>
      </c>
      <c r="E986" t="s">
        <v>910</v>
      </c>
      <c r="F986" t="s">
        <v>910</v>
      </c>
      <c r="J986">
        <v>1.3779999999999999</v>
      </c>
      <c r="K986">
        <v>1.3779999999999999</v>
      </c>
      <c r="L986" t="s">
        <v>303</v>
      </c>
      <c r="M986">
        <v>1.3779999999999999</v>
      </c>
      <c r="N986">
        <v>1.3779999999999999</v>
      </c>
      <c r="O986" t="s">
        <v>303</v>
      </c>
      <c r="P986">
        <f t="shared" si="15"/>
        <v>0</v>
      </c>
    </row>
    <row r="987" spans="1:16" x14ac:dyDescent="0.25">
      <c r="A987" t="s">
        <v>669</v>
      </c>
      <c r="B987">
        <v>1.26</v>
      </c>
      <c r="C987">
        <v>1.38</v>
      </c>
      <c r="D987" t="s">
        <v>860</v>
      </c>
      <c r="E987" t="s">
        <v>910</v>
      </c>
      <c r="F987" t="s">
        <v>910</v>
      </c>
      <c r="J987">
        <v>1.38</v>
      </c>
      <c r="K987">
        <v>1.26</v>
      </c>
      <c r="L987" t="s">
        <v>303</v>
      </c>
      <c r="M987">
        <v>1.38</v>
      </c>
      <c r="N987">
        <v>1.26</v>
      </c>
      <c r="O987" t="s">
        <v>303</v>
      </c>
      <c r="P987">
        <f t="shared" si="15"/>
        <v>0</v>
      </c>
    </row>
    <row r="988" spans="1:16" x14ac:dyDescent="0.25">
      <c r="A988" t="s">
        <v>527</v>
      </c>
      <c r="B988">
        <v>1384.0139999999999</v>
      </c>
      <c r="C988">
        <v>1384.0139999999999</v>
      </c>
      <c r="D988" t="s">
        <v>887</v>
      </c>
      <c r="E988">
        <v>8</v>
      </c>
      <c r="F988">
        <v>8</v>
      </c>
      <c r="G988" t="s">
        <v>687</v>
      </c>
      <c r="H988" t="s">
        <v>687</v>
      </c>
      <c r="J988">
        <v>1.3840139999999999</v>
      </c>
      <c r="K988">
        <v>1.3840139999999999</v>
      </c>
      <c r="L988" t="s">
        <v>303</v>
      </c>
      <c r="M988">
        <v>1384.0139999999999</v>
      </c>
      <c r="N988">
        <v>1384.0139999999999</v>
      </c>
      <c r="O988" t="s">
        <v>862</v>
      </c>
      <c r="P988">
        <f t="shared" si="15"/>
        <v>0</v>
      </c>
    </row>
    <row r="989" spans="1:16" x14ac:dyDescent="0.25">
      <c r="A989" t="s">
        <v>527</v>
      </c>
      <c r="B989">
        <v>1386.1590000000001</v>
      </c>
      <c r="C989">
        <v>1386.1590000000001</v>
      </c>
      <c r="D989" t="s">
        <v>887</v>
      </c>
      <c r="E989">
        <v>8</v>
      </c>
      <c r="F989">
        <v>8</v>
      </c>
      <c r="G989" t="s">
        <v>687</v>
      </c>
      <c r="H989" t="s">
        <v>687</v>
      </c>
      <c r="J989">
        <v>1.3861590000000001</v>
      </c>
      <c r="K989">
        <v>1.3861590000000001</v>
      </c>
      <c r="L989" t="s">
        <v>303</v>
      </c>
      <c r="M989">
        <v>1386.1590000000001</v>
      </c>
      <c r="N989">
        <v>1386.1590000000001</v>
      </c>
      <c r="O989" t="s">
        <v>862</v>
      </c>
      <c r="P989">
        <f t="shared" si="15"/>
        <v>0</v>
      </c>
    </row>
    <row r="990" spans="1:16" x14ac:dyDescent="0.25">
      <c r="A990" t="s">
        <v>669</v>
      </c>
      <c r="B990">
        <v>1.31</v>
      </c>
      <c r="C990">
        <v>1.39</v>
      </c>
      <c r="D990" t="s">
        <v>669</v>
      </c>
      <c r="E990">
        <v>8</v>
      </c>
      <c r="F990">
        <v>8</v>
      </c>
      <c r="G990" t="s">
        <v>687</v>
      </c>
      <c r="H990" t="s">
        <v>687</v>
      </c>
      <c r="I990" t="s">
        <v>927</v>
      </c>
      <c r="J990">
        <v>1.39</v>
      </c>
      <c r="K990">
        <v>1.31</v>
      </c>
      <c r="L990" t="s">
        <v>930</v>
      </c>
      <c r="M990">
        <v>1.39</v>
      </c>
      <c r="N990">
        <v>1.31</v>
      </c>
      <c r="P990">
        <f t="shared" si="15"/>
        <v>14</v>
      </c>
    </row>
    <row r="991" spans="1:16" x14ac:dyDescent="0.25">
      <c r="A991" t="s">
        <v>669</v>
      </c>
      <c r="B991">
        <v>1.33</v>
      </c>
      <c r="C991">
        <v>1.39</v>
      </c>
      <c r="D991" t="s">
        <v>669</v>
      </c>
      <c r="E991">
        <v>8</v>
      </c>
      <c r="F991">
        <v>8</v>
      </c>
      <c r="G991" t="s">
        <v>687</v>
      </c>
      <c r="H991" t="s">
        <v>687</v>
      </c>
      <c r="I991" t="s">
        <v>927</v>
      </c>
      <c r="J991">
        <v>1.39</v>
      </c>
      <c r="K991">
        <v>1.33</v>
      </c>
      <c r="L991" t="s">
        <v>930</v>
      </c>
      <c r="M991">
        <v>1.39</v>
      </c>
      <c r="N991">
        <v>1.33</v>
      </c>
      <c r="P991">
        <f t="shared" si="15"/>
        <v>14</v>
      </c>
    </row>
    <row r="992" spans="1:16" x14ac:dyDescent="0.25">
      <c r="A992" t="s">
        <v>669</v>
      </c>
      <c r="B992">
        <v>1270</v>
      </c>
      <c r="C992">
        <v>1390</v>
      </c>
      <c r="D992" t="s">
        <v>864</v>
      </c>
      <c r="E992">
        <v>8</v>
      </c>
      <c r="F992">
        <v>8</v>
      </c>
      <c r="G992" t="s">
        <v>687</v>
      </c>
      <c r="H992" t="s">
        <v>687</v>
      </c>
      <c r="J992">
        <v>1.39</v>
      </c>
      <c r="K992">
        <v>1.27</v>
      </c>
      <c r="L992" t="s">
        <v>303</v>
      </c>
      <c r="M992">
        <v>1390</v>
      </c>
      <c r="N992">
        <v>1270</v>
      </c>
      <c r="O992" t="s">
        <v>862</v>
      </c>
      <c r="P992">
        <f t="shared" si="15"/>
        <v>0</v>
      </c>
    </row>
    <row r="993" spans="1:16" x14ac:dyDescent="0.25">
      <c r="A993" t="s">
        <v>527</v>
      </c>
      <c r="B993">
        <v>1394.3679999999999</v>
      </c>
      <c r="C993">
        <v>1394.3679999999999</v>
      </c>
      <c r="D993" t="s">
        <v>887</v>
      </c>
      <c r="E993">
        <v>8</v>
      </c>
      <c r="F993">
        <v>8</v>
      </c>
      <c r="G993" t="s">
        <v>687</v>
      </c>
      <c r="H993" t="s">
        <v>687</v>
      </c>
      <c r="J993">
        <v>1.3943679999999998</v>
      </c>
      <c r="K993">
        <v>1.3943679999999998</v>
      </c>
      <c r="L993" t="s">
        <v>303</v>
      </c>
      <c r="M993">
        <v>1394.3679999999999</v>
      </c>
      <c r="N993">
        <v>1394.3679999999999</v>
      </c>
      <c r="O993" t="s">
        <v>862</v>
      </c>
      <c r="P993">
        <f t="shared" si="15"/>
        <v>0</v>
      </c>
    </row>
    <row r="994" spans="1:16" x14ac:dyDescent="0.25">
      <c r="A994" t="s">
        <v>527</v>
      </c>
      <c r="B994">
        <v>1396.402</v>
      </c>
      <c r="C994">
        <v>1396.402</v>
      </c>
      <c r="D994" t="s">
        <v>887</v>
      </c>
      <c r="E994">
        <v>8</v>
      </c>
      <c r="F994">
        <v>8</v>
      </c>
      <c r="G994" t="s">
        <v>687</v>
      </c>
      <c r="H994" t="s">
        <v>687</v>
      </c>
      <c r="J994">
        <v>1.3964020000000001</v>
      </c>
      <c r="K994">
        <v>1.3964020000000001</v>
      </c>
      <c r="L994" t="s">
        <v>303</v>
      </c>
      <c r="M994">
        <v>1396.402</v>
      </c>
      <c r="N994">
        <v>1396.402</v>
      </c>
      <c r="O994" t="s">
        <v>862</v>
      </c>
      <c r="P994">
        <f t="shared" si="15"/>
        <v>0</v>
      </c>
    </row>
    <row r="995" spans="1:16" x14ac:dyDescent="0.25">
      <c r="A995" t="s">
        <v>527</v>
      </c>
      <c r="B995">
        <v>1398.7429999999999</v>
      </c>
      <c r="C995">
        <v>1398.7429999999999</v>
      </c>
      <c r="D995" t="s">
        <v>887</v>
      </c>
      <c r="E995">
        <v>8</v>
      </c>
      <c r="F995">
        <v>8</v>
      </c>
      <c r="G995" t="s">
        <v>687</v>
      </c>
      <c r="H995" t="s">
        <v>687</v>
      </c>
      <c r="J995">
        <v>1.3987429999999998</v>
      </c>
      <c r="K995">
        <v>1.3987429999999998</v>
      </c>
      <c r="L995" t="s">
        <v>303</v>
      </c>
      <c r="M995">
        <v>1398.7429999999999</v>
      </c>
      <c r="N995">
        <v>1398.7429999999999</v>
      </c>
      <c r="O995" t="s">
        <v>862</v>
      </c>
      <c r="P995">
        <f t="shared" si="15"/>
        <v>0</v>
      </c>
    </row>
    <row r="996" spans="1:16" x14ac:dyDescent="0.25">
      <c r="A996" t="s">
        <v>527</v>
      </c>
      <c r="B996">
        <v>1.1000000000000001</v>
      </c>
      <c r="C996">
        <v>1.4</v>
      </c>
      <c r="D996" t="s">
        <v>303</v>
      </c>
      <c r="E996">
        <v>8</v>
      </c>
      <c r="F996">
        <v>8</v>
      </c>
      <c r="G996" t="s">
        <v>687</v>
      </c>
      <c r="H996" t="s">
        <v>687</v>
      </c>
      <c r="J996">
        <v>1.4</v>
      </c>
      <c r="K996">
        <v>1.1000000000000001</v>
      </c>
      <c r="L996" t="s">
        <v>303</v>
      </c>
      <c r="M996">
        <v>1.4</v>
      </c>
      <c r="N996">
        <v>1.1000000000000001</v>
      </c>
      <c r="O996" t="s">
        <v>303</v>
      </c>
      <c r="P996">
        <f t="shared" si="15"/>
        <v>0</v>
      </c>
    </row>
    <row r="997" spans="1:16" x14ac:dyDescent="0.25">
      <c r="A997" t="s">
        <v>527</v>
      </c>
      <c r="B997">
        <v>1.1000000000000001</v>
      </c>
      <c r="C997">
        <v>1.4</v>
      </c>
      <c r="D997" t="s">
        <v>860</v>
      </c>
      <c r="E997">
        <v>8</v>
      </c>
      <c r="F997">
        <v>8</v>
      </c>
      <c r="G997" t="s">
        <v>687</v>
      </c>
      <c r="H997" t="s">
        <v>687</v>
      </c>
      <c r="J997">
        <v>1.4</v>
      </c>
      <c r="K997">
        <v>1.1000000000000001</v>
      </c>
      <c r="L997" t="s">
        <v>303</v>
      </c>
      <c r="M997">
        <v>1.4</v>
      </c>
      <c r="N997">
        <v>1.1000000000000001</v>
      </c>
      <c r="O997" t="s">
        <v>303</v>
      </c>
      <c r="P997">
        <f t="shared" si="15"/>
        <v>0</v>
      </c>
    </row>
    <row r="998" spans="1:16" x14ac:dyDescent="0.25">
      <c r="A998" t="s">
        <v>669</v>
      </c>
      <c r="B998">
        <v>1.4</v>
      </c>
      <c r="C998">
        <v>1.4</v>
      </c>
      <c r="D998" t="s">
        <v>860</v>
      </c>
      <c r="E998" t="s">
        <v>910</v>
      </c>
      <c r="F998" t="s">
        <v>910</v>
      </c>
      <c r="J998">
        <v>1.4</v>
      </c>
      <c r="K998">
        <v>1.4</v>
      </c>
      <c r="L998" t="s">
        <v>303</v>
      </c>
      <c r="M998">
        <v>1.4</v>
      </c>
      <c r="N998">
        <v>1.4</v>
      </c>
      <c r="O998" t="s">
        <v>303</v>
      </c>
      <c r="P998">
        <f t="shared" si="15"/>
        <v>0</v>
      </c>
    </row>
    <row r="999" spans="1:16" x14ac:dyDescent="0.25">
      <c r="A999" t="s">
        <v>669</v>
      </c>
      <c r="B999">
        <v>1.4039999999999999</v>
      </c>
      <c r="C999">
        <v>1.4039999999999999</v>
      </c>
      <c r="D999" t="s">
        <v>303</v>
      </c>
      <c r="E999" t="s">
        <v>910</v>
      </c>
      <c r="F999" t="s">
        <v>910</v>
      </c>
      <c r="J999">
        <v>1.4039999999999999</v>
      </c>
      <c r="K999">
        <v>1.4039999999999999</v>
      </c>
      <c r="L999" t="s">
        <v>303</v>
      </c>
      <c r="M999">
        <v>1.4039999999999999</v>
      </c>
      <c r="N999">
        <v>1.4039999999999999</v>
      </c>
      <c r="O999" t="s">
        <v>303</v>
      </c>
      <c r="P999">
        <f t="shared" si="15"/>
        <v>0</v>
      </c>
    </row>
    <row r="1000" spans="1:16" x14ac:dyDescent="0.25">
      <c r="A1000" t="s">
        <v>669</v>
      </c>
      <c r="B1000">
        <v>1.4046000000000001</v>
      </c>
      <c r="C1000">
        <v>1.4046000000000001</v>
      </c>
      <c r="D1000" t="s">
        <v>303</v>
      </c>
      <c r="E1000" t="s">
        <v>910</v>
      </c>
      <c r="F1000" t="s">
        <v>910</v>
      </c>
      <c r="J1000">
        <v>1.4046000000000001</v>
      </c>
      <c r="K1000">
        <v>1.4046000000000001</v>
      </c>
      <c r="L1000" t="s">
        <v>303</v>
      </c>
      <c r="M1000">
        <v>1.4046000000000001</v>
      </c>
      <c r="N1000">
        <v>1.4046000000000001</v>
      </c>
      <c r="O1000" t="s">
        <v>303</v>
      </c>
      <c r="P1000">
        <f t="shared" si="15"/>
        <v>0</v>
      </c>
    </row>
    <row r="1001" spans="1:16" x14ac:dyDescent="0.25">
      <c r="A1001" t="s">
        <v>669</v>
      </c>
      <c r="B1001">
        <v>1.41</v>
      </c>
      <c r="C1001">
        <v>1.41</v>
      </c>
      <c r="D1001" t="s">
        <v>303</v>
      </c>
      <c r="E1001" t="s">
        <v>910</v>
      </c>
      <c r="F1001" t="s">
        <v>910</v>
      </c>
      <c r="J1001">
        <v>1.41</v>
      </c>
      <c r="K1001">
        <v>1.41</v>
      </c>
      <c r="L1001" t="s">
        <v>303</v>
      </c>
      <c r="M1001">
        <v>1.41</v>
      </c>
      <c r="N1001">
        <v>1.41</v>
      </c>
      <c r="O1001" t="s">
        <v>303</v>
      </c>
      <c r="P1001">
        <f t="shared" si="15"/>
        <v>0</v>
      </c>
    </row>
    <row r="1002" spans="1:16" x14ac:dyDescent="0.25">
      <c r="A1002" t="s">
        <v>669</v>
      </c>
      <c r="B1002">
        <v>1.4179999999999999</v>
      </c>
      <c r="C1002">
        <v>1.4179999999999999</v>
      </c>
      <c r="D1002" t="s">
        <v>303</v>
      </c>
      <c r="E1002" t="s">
        <v>910</v>
      </c>
      <c r="F1002" t="s">
        <v>910</v>
      </c>
      <c r="J1002">
        <v>1.4179999999999999</v>
      </c>
      <c r="K1002">
        <v>1.4179999999999999</v>
      </c>
      <c r="L1002" t="s">
        <v>303</v>
      </c>
      <c r="M1002">
        <v>1.4179999999999999</v>
      </c>
      <c r="N1002">
        <v>1.4179999999999999</v>
      </c>
      <c r="O1002" t="s">
        <v>303</v>
      </c>
      <c r="P1002">
        <f t="shared" si="15"/>
        <v>0</v>
      </c>
    </row>
    <row r="1003" spans="1:16" x14ac:dyDescent="0.25">
      <c r="A1003" t="s">
        <v>669</v>
      </c>
      <c r="B1003">
        <v>1.36</v>
      </c>
      <c r="C1003">
        <v>1.42</v>
      </c>
      <c r="D1003" t="s">
        <v>860</v>
      </c>
      <c r="E1003" t="s">
        <v>910</v>
      </c>
      <c r="F1003" t="s">
        <v>910</v>
      </c>
      <c r="J1003">
        <v>1.42</v>
      </c>
      <c r="K1003">
        <v>1.36</v>
      </c>
      <c r="L1003" t="s">
        <v>303</v>
      </c>
      <c r="M1003">
        <v>1.42</v>
      </c>
      <c r="N1003">
        <v>1.36</v>
      </c>
      <c r="O1003" t="s">
        <v>303</v>
      </c>
      <c r="P1003">
        <f t="shared" si="15"/>
        <v>0</v>
      </c>
    </row>
    <row r="1004" spans="1:16" x14ac:dyDescent="0.25">
      <c r="A1004" t="s">
        <v>669</v>
      </c>
      <c r="B1004">
        <v>1.421</v>
      </c>
      <c r="C1004">
        <v>1.421</v>
      </c>
      <c r="D1004" t="s">
        <v>303</v>
      </c>
      <c r="E1004" t="s">
        <v>910</v>
      </c>
      <c r="F1004" t="s">
        <v>910</v>
      </c>
      <c r="J1004">
        <v>1.421</v>
      </c>
      <c r="K1004">
        <v>1.421</v>
      </c>
      <c r="L1004" t="s">
        <v>303</v>
      </c>
      <c r="M1004">
        <v>1.421</v>
      </c>
      <c r="N1004">
        <v>1.421</v>
      </c>
      <c r="O1004" t="s">
        <v>303</v>
      </c>
      <c r="P1004">
        <f t="shared" si="15"/>
        <v>0</v>
      </c>
    </row>
    <row r="1005" spans="1:16" x14ac:dyDescent="0.25">
      <c r="A1005" t="s">
        <v>669</v>
      </c>
      <c r="B1005">
        <v>1.44</v>
      </c>
      <c r="C1005">
        <v>1.44</v>
      </c>
      <c r="D1005" t="s">
        <v>303</v>
      </c>
      <c r="E1005" t="s">
        <v>910</v>
      </c>
      <c r="F1005" t="s">
        <v>910</v>
      </c>
      <c r="J1005">
        <v>1.44</v>
      </c>
      <c r="K1005">
        <v>1.44</v>
      </c>
      <c r="L1005" t="s">
        <v>303</v>
      </c>
      <c r="M1005">
        <v>1.44</v>
      </c>
      <c r="N1005">
        <v>1.44</v>
      </c>
      <c r="O1005" t="s">
        <v>303</v>
      </c>
      <c r="P1005">
        <f t="shared" si="15"/>
        <v>0</v>
      </c>
    </row>
    <row r="1006" spans="1:16" x14ac:dyDescent="0.25">
      <c r="A1006" t="s">
        <v>669</v>
      </c>
      <c r="B1006">
        <v>1360</v>
      </c>
      <c r="C1006">
        <v>1440</v>
      </c>
      <c r="D1006" t="s">
        <v>864</v>
      </c>
      <c r="E1006">
        <v>8</v>
      </c>
      <c r="F1006">
        <v>8</v>
      </c>
      <c r="G1006" t="s">
        <v>687</v>
      </c>
      <c r="H1006" t="s">
        <v>687</v>
      </c>
      <c r="J1006">
        <v>1.44</v>
      </c>
      <c r="K1006">
        <v>1.36</v>
      </c>
      <c r="L1006" t="s">
        <v>303</v>
      </c>
      <c r="M1006">
        <v>1440</v>
      </c>
      <c r="N1006">
        <v>1360</v>
      </c>
      <c r="O1006" t="s">
        <v>862</v>
      </c>
      <c r="P1006">
        <f t="shared" si="15"/>
        <v>0</v>
      </c>
    </row>
    <row r="1007" spans="1:16" x14ac:dyDescent="0.25">
      <c r="A1007" t="s">
        <v>669</v>
      </c>
      <c r="B1007">
        <v>1.444</v>
      </c>
      <c r="C1007">
        <v>1.444</v>
      </c>
      <c r="D1007" t="s">
        <v>303</v>
      </c>
      <c r="E1007" t="s">
        <v>910</v>
      </c>
      <c r="F1007" t="s">
        <v>910</v>
      </c>
      <c r="J1007">
        <v>1.444</v>
      </c>
      <c r="K1007">
        <v>1.444</v>
      </c>
      <c r="L1007" t="s">
        <v>303</v>
      </c>
      <c r="M1007">
        <v>1.444</v>
      </c>
      <c r="N1007">
        <v>1.444</v>
      </c>
      <c r="O1007" t="s">
        <v>303</v>
      </c>
      <c r="P1007">
        <f t="shared" si="15"/>
        <v>0</v>
      </c>
    </row>
    <row r="1008" spans="1:16" x14ac:dyDescent="0.25">
      <c r="A1008" t="s">
        <v>669</v>
      </c>
      <c r="B1008">
        <v>1.25</v>
      </c>
      <c r="C1008">
        <v>1.45</v>
      </c>
      <c r="D1008" t="s">
        <v>860</v>
      </c>
      <c r="E1008" t="s">
        <v>910</v>
      </c>
      <c r="F1008" t="s">
        <v>910</v>
      </c>
      <c r="J1008">
        <v>1.45</v>
      </c>
      <c r="K1008">
        <v>1.25</v>
      </c>
      <c r="L1008" t="s">
        <v>303</v>
      </c>
      <c r="M1008">
        <v>1.45</v>
      </c>
      <c r="N1008">
        <v>1.25</v>
      </c>
      <c r="O1008" t="s">
        <v>303</v>
      </c>
      <c r="P1008">
        <f t="shared" si="15"/>
        <v>0</v>
      </c>
    </row>
    <row r="1009" spans="1:16" x14ac:dyDescent="0.25">
      <c r="A1009" t="s">
        <v>669</v>
      </c>
      <c r="B1009">
        <v>1.4</v>
      </c>
      <c r="C1009">
        <v>1.46</v>
      </c>
      <c r="D1009" t="s">
        <v>860</v>
      </c>
      <c r="E1009" t="s">
        <v>910</v>
      </c>
      <c r="F1009" t="s">
        <v>910</v>
      </c>
      <c r="J1009">
        <v>1.46</v>
      </c>
      <c r="K1009">
        <v>1.4</v>
      </c>
      <c r="L1009" t="s">
        <v>303</v>
      </c>
      <c r="M1009">
        <v>1.46</v>
      </c>
      <c r="N1009">
        <v>1.4</v>
      </c>
      <c r="O1009" t="s">
        <v>303</v>
      </c>
      <c r="P1009">
        <f t="shared" si="15"/>
        <v>0</v>
      </c>
    </row>
    <row r="1010" spans="1:16" x14ac:dyDescent="0.25">
      <c r="A1010" t="s">
        <v>669</v>
      </c>
      <c r="B1010">
        <v>1.4610000000000001</v>
      </c>
      <c r="C1010">
        <v>1.4610000000000001</v>
      </c>
      <c r="D1010" t="s">
        <v>303</v>
      </c>
      <c r="E1010" t="s">
        <v>910</v>
      </c>
      <c r="F1010" t="s">
        <v>910</v>
      </c>
      <c r="J1010">
        <v>1.4610000000000001</v>
      </c>
      <c r="K1010">
        <v>1.4610000000000001</v>
      </c>
      <c r="L1010" t="s">
        <v>303</v>
      </c>
      <c r="M1010">
        <v>1.4610000000000001</v>
      </c>
      <c r="N1010">
        <v>1.4610000000000001</v>
      </c>
      <c r="O1010" t="s">
        <v>303</v>
      </c>
      <c r="P1010">
        <f t="shared" si="15"/>
        <v>0</v>
      </c>
    </row>
    <row r="1011" spans="1:16" x14ac:dyDescent="0.25">
      <c r="A1011" t="s">
        <v>669</v>
      </c>
      <c r="B1011">
        <v>1.468</v>
      </c>
      <c r="C1011">
        <v>1.468</v>
      </c>
      <c r="D1011" t="s">
        <v>303</v>
      </c>
      <c r="E1011" t="s">
        <v>910</v>
      </c>
      <c r="F1011" t="s">
        <v>910</v>
      </c>
      <c r="J1011">
        <v>1.468</v>
      </c>
      <c r="K1011">
        <v>1.468</v>
      </c>
      <c r="L1011" t="s">
        <v>303</v>
      </c>
      <c r="M1011">
        <v>1.468</v>
      </c>
      <c r="N1011">
        <v>1.468</v>
      </c>
      <c r="O1011" t="s">
        <v>303</v>
      </c>
      <c r="P1011">
        <f t="shared" si="15"/>
        <v>0</v>
      </c>
    </row>
    <row r="1012" spans="1:16" x14ac:dyDescent="0.25">
      <c r="A1012" t="s">
        <v>669</v>
      </c>
      <c r="B1012" t="s">
        <v>669</v>
      </c>
      <c r="C1012">
        <v>1.47</v>
      </c>
      <c r="D1012" t="s">
        <v>303</v>
      </c>
      <c r="E1012" t="s">
        <v>910</v>
      </c>
      <c r="F1012" t="s">
        <v>910</v>
      </c>
      <c r="J1012">
        <v>1.47</v>
      </c>
      <c r="L1012" t="s">
        <v>303</v>
      </c>
      <c r="M1012">
        <v>1.47</v>
      </c>
      <c r="O1012" t="s">
        <v>303</v>
      </c>
      <c r="P1012">
        <f t="shared" si="15"/>
        <v>0</v>
      </c>
    </row>
    <row r="1013" spans="1:16" x14ac:dyDescent="0.25">
      <c r="A1013" t="s">
        <v>669</v>
      </c>
      <c r="B1013">
        <v>1.48</v>
      </c>
      <c r="C1013">
        <v>1.48</v>
      </c>
      <c r="D1013" t="s">
        <v>303</v>
      </c>
      <c r="E1013" t="s">
        <v>910</v>
      </c>
      <c r="F1013" t="s">
        <v>910</v>
      </c>
      <c r="J1013">
        <v>1.48</v>
      </c>
      <c r="K1013">
        <v>1.48</v>
      </c>
      <c r="L1013" t="s">
        <v>303</v>
      </c>
      <c r="M1013">
        <v>1.48</v>
      </c>
      <c r="N1013">
        <v>1.48</v>
      </c>
      <c r="O1013" t="s">
        <v>303</v>
      </c>
      <c r="P1013">
        <f t="shared" si="15"/>
        <v>0</v>
      </c>
    </row>
    <row r="1014" spans="1:16" x14ac:dyDescent="0.25">
      <c r="A1014" t="s">
        <v>669</v>
      </c>
      <c r="B1014">
        <v>1440</v>
      </c>
      <c r="C1014">
        <v>1480</v>
      </c>
      <c r="D1014" t="s">
        <v>864</v>
      </c>
      <c r="E1014">
        <v>8</v>
      </c>
      <c r="F1014">
        <v>8</v>
      </c>
      <c r="G1014" t="s">
        <v>687</v>
      </c>
      <c r="H1014" t="s">
        <v>687</v>
      </c>
      <c r="J1014">
        <v>1.48</v>
      </c>
      <c r="K1014">
        <v>1.44</v>
      </c>
      <c r="L1014" t="s">
        <v>303</v>
      </c>
      <c r="M1014">
        <v>1480</v>
      </c>
      <c r="N1014">
        <v>1440</v>
      </c>
      <c r="O1014" t="s">
        <v>862</v>
      </c>
      <c r="P1014">
        <f t="shared" si="15"/>
        <v>0</v>
      </c>
    </row>
    <row r="1015" spans="1:16" x14ac:dyDescent="0.25">
      <c r="A1015" t="s">
        <v>527</v>
      </c>
      <c r="B1015">
        <v>1487.3589999999999</v>
      </c>
      <c r="C1015">
        <v>1487.3589999999999</v>
      </c>
      <c r="D1015" t="s">
        <v>887</v>
      </c>
      <c r="E1015">
        <v>8</v>
      </c>
      <c r="F1015">
        <v>8</v>
      </c>
      <c r="G1015" t="s">
        <v>687</v>
      </c>
      <c r="H1015" t="s">
        <v>687</v>
      </c>
      <c r="J1015">
        <v>1.4873589999999999</v>
      </c>
      <c r="K1015">
        <v>1.4873589999999999</v>
      </c>
      <c r="L1015" t="s">
        <v>303</v>
      </c>
      <c r="M1015">
        <v>1487.3589999999999</v>
      </c>
      <c r="N1015">
        <v>1487.3589999999999</v>
      </c>
      <c r="O1015" t="s">
        <v>862</v>
      </c>
      <c r="P1015">
        <f t="shared" si="15"/>
        <v>0</v>
      </c>
    </row>
    <row r="1016" spans="1:16" x14ac:dyDescent="0.25">
      <c r="A1016" t="s">
        <v>527</v>
      </c>
      <c r="B1016">
        <v>1487.5530000000001</v>
      </c>
      <c r="C1016">
        <v>1487.5530000000001</v>
      </c>
      <c r="D1016" t="s">
        <v>887</v>
      </c>
      <c r="E1016">
        <v>8</v>
      </c>
      <c r="F1016">
        <v>8</v>
      </c>
      <c r="G1016" t="s">
        <v>687</v>
      </c>
      <c r="H1016" t="s">
        <v>687</v>
      </c>
      <c r="J1016">
        <v>1.4875530000000001</v>
      </c>
      <c r="K1016">
        <v>1.4875530000000001</v>
      </c>
      <c r="L1016" t="s">
        <v>303</v>
      </c>
      <c r="M1016">
        <v>1487.5530000000001</v>
      </c>
      <c r="N1016">
        <v>1487.5530000000001</v>
      </c>
      <c r="O1016" t="s">
        <v>862</v>
      </c>
      <c r="P1016">
        <f t="shared" si="15"/>
        <v>0</v>
      </c>
    </row>
    <row r="1017" spans="1:16" x14ac:dyDescent="0.25">
      <c r="A1017" t="s">
        <v>669</v>
      </c>
      <c r="B1017">
        <v>1.49</v>
      </c>
      <c r="C1017">
        <v>1.49</v>
      </c>
      <c r="D1017" t="s">
        <v>303</v>
      </c>
      <c r="E1017" t="s">
        <v>910</v>
      </c>
      <c r="F1017" t="s">
        <v>910</v>
      </c>
      <c r="J1017">
        <v>1.49</v>
      </c>
      <c r="K1017">
        <v>1.49</v>
      </c>
      <c r="L1017" t="s">
        <v>303</v>
      </c>
      <c r="M1017">
        <v>1.49</v>
      </c>
      <c r="N1017">
        <v>1.49</v>
      </c>
      <c r="O1017" t="s">
        <v>303</v>
      </c>
      <c r="P1017">
        <f t="shared" si="15"/>
        <v>0</v>
      </c>
    </row>
    <row r="1018" spans="1:16" x14ac:dyDescent="0.25">
      <c r="A1018" t="s">
        <v>669</v>
      </c>
      <c r="B1018">
        <v>1.4910000000000001</v>
      </c>
      <c r="C1018">
        <v>1.4910000000000001</v>
      </c>
      <c r="D1018" t="s">
        <v>303</v>
      </c>
      <c r="E1018" t="s">
        <v>910</v>
      </c>
      <c r="F1018" t="s">
        <v>910</v>
      </c>
      <c r="J1018">
        <v>1.4910000000000001</v>
      </c>
      <c r="K1018">
        <v>1.4910000000000001</v>
      </c>
      <c r="L1018" t="s">
        <v>303</v>
      </c>
      <c r="M1018">
        <v>1.4910000000000001</v>
      </c>
      <c r="N1018">
        <v>1.4910000000000001</v>
      </c>
      <c r="O1018" t="s">
        <v>303</v>
      </c>
      <c r="P1018">
        <f t="shared" si="15"/>
        <v>0</v>
      </c>
    </row>
    <row r="1019" spans="1:16" x14ac:dyDescent="0.25">
      <c r="A1019" t="s">
        <v>669</v>
      </c>
      <c r="B1019">
        <v>0.9</v>
      </c>
      <c r="C1019">
        <v>1.5</v>
      </c>
      <c r="D1019" t="s">
        <v>669</v>
      </c>
      <c r="E1019">
        <v>8</v>
      </c>
      <c r="F1019">
        <v>8</v>
      </c>
      <c r="G1019" t="s">
        <v>687</v>
      </c>
      <c r="H1019" t="s">
        <v>687</v>
      </c>
      <c r="I1019" t="s">
        <v>927</v>
      </c>
      <c r="J1019">
        <v>1.5</v>
      </c>
      <c r="K1019">
        <v>0.9</v>
      </c>
      <c r="L1019" t="s">
        <v>930</v>
      </c>
      <c r="M1019">
        <v>1.5</v>
      </c>
      <c r="N1019">
        <v>0.9</v>
      </c>
      <c r="P1019">
        <f t="shared" si="15"/>
        <v>14</v>
      </c>
    </row>
    <row r="1020" spans="1:16" x14ac:dyDescent="0.25">
      <c r="A1020" t="s">
        <v>669</v>
      </c>
      <c r="B1020">
        <v>1.5</v>
      </c>
      <c r="C1020">
        <v>1.5</v>
      </c>
      <c r="D1020" t="s">
        <v>860</v>
      </c>
      <c r="E1020" t="s">
        <v>910</v>
      </c>
      <c r="F1020" t="s">
        <v>910</v>
      </c>
      <c r="J1020">
        <v>1.5</v>
      </c>
      <c r="K1020">
        <v>1.5</v>
      </c>
      <c r="L1020" t="s">
        <v>303</v>
      </c>
      <c r="M1020">
        <v>1.5</v>
      </c>
      <c r="N1020">
        <v>1.5</v>
      </c>
      <c r="O1020" t="s">
        <v>303</v>
      </c>
      <c r="P1020">
        <f t="shared" si="15"/>
        <v>0</v>
      </c>
    </row>
    <row r="1021" spans="1:16" x14ac:dyDescent="0.25">
      <c r="A1021" t="s">
        <v>669</v>
      </c>
      <c r="B1021">
        <v>1.49</v>
      </c>
      <c r="C1021">
        <v>1.51</v>
      </c>
      <c r="D1021" t="s">
        <v>669</v>
      </c>
      <c r="E1021">
        <v>8</v>
      </c>
      <c r="F1021">
        <v>8</v>
      </c>
      <c r="G1021" t="s">
        <v>687</v>
      </c>
      <c r="H1021" t="s">
        <v>687</v>
      </c>
      <c r="I1021" t="s">
        <v>927</v>
      </c>
      <c r="J1021">
        <v>1.51</v>
      </c>
      <c r="K1021">
        <v>1.49</v>
      </c>
      <c r="L1021" t="s">
        <v>930</v>
      </c>
      <c r="M1021">
        <v>1.51</v>
      </c>
      <c r="N1021">
        <v>1.49</v>
      </c>
      <c r="P1021">
        <f t="shared" si="15"/>
        <v>14</v>
      </c>
    </row>
    <row r="1022" spans="1:16" x14ac:dyDescent="0.25">
      <c r="A1022" t="s">
        <v>527</v>
      </c>
      <c r="B1022">
        <v>1510.883</v>
      </c>
      <c r="C1022">
        <v>1510.883</v>
      </c>
      <c r="D1022" t="s">
        <v>887</v>
      </c>
      <c r="E1022">
        <v>8</v>
      </c>
      <c r="F1022">
        <v>8</v>
      </c>
      <c r="G1022" t="s">
        <v>687</v>
      </c>
      <c r="H1022" t="s">
        <v>687</v>
      </c>
      <c r="J1022">
        <v>1.510883</v>
      </c>
      <c r="K1022">
        <v>1.510883</v>
      </c>
      <c r="L1022" t="s">
        <v>303</v>
      </c>
      <c r="M1022">
        <v>1510.883</v>
      </c>
      <c r="N1022">
        <v>1510.883</v>
      </c>
      <c r="O1022" t="s">
        <v>862</v>
      </c>
      <c r="P1022">
        <f t="shared" si="15"/>
        <v>0</v>
      </c>
    </row>
    <row r="1023" spans="1:16" x14ac:dyDescent="0.25">
      <c r="A1023" t="s">
        <v>669</v>
      </c>
      <c r="B1023">
        <v>1.512</v>
      </c>
      <c r="C1023">
        <v>1.512</v>
      </c>
      <c r="D1023" t="s">
        <v>303</v>
      </c>
      <c r="E1023" t="s">
        <v>910</v>
      </c>
      <c r="F1023" t="s">
        <v>910</v>
      </c>
      <c r="J1023">
        <v>1.512</v>
      </c>
      <c r="K1023">
        <v>1.512</v>
      </c>
      <c r="L1023" t="s">
        <v>303</v>
      </c>
      <c r="M1023">
        <v>1.512</v>
      </c>
      <c r="N1023">
        <v>1.512</v>
      </c>
      <c r="O1023" t="s">
        <v>303</v>
      </c>
      <c r="P1023">
        <f t="shared" si="15"/>
        <v>0</v>
      </c>
    </row>
    <row r="1024" spans="1:16" x14ac:dyDescent="0.25">
      <c r="A1024" t="s">
        <v>669</v>
      </c>
      <c r="B1024">
        <v>1.5129999999999999</v>
      </c>
      <c r="C1024">
        <v>1.5129999999999999</v>
      </c>
      <c r="D1024" t="s">
        <v>303</v>
      </c>
      <c r="E1024" t="s">
        <v>910</v>
      </c>
      <c r="F1024" t="s">
        <v>910</v>
      </c>
      <c r="J1024">
        <v>1.5129999999999999</v>
      </c>
      <c r="K1024">
        <v>1.5129999999999999</v>
      </c>
      <c r="L1024" t="s">
        <v>303</v>
      </c>
      <c r="M1024">
        <v>1.5129999999999999</v>
      </c>
      <c r="N1024">
        <v>1.5129999999999999</v>
      </c>
      <c r="O1024" t="s">
        <v>303</v>
      </c>
      <c r="P1024">
        <f t="shared" si="15"/>
        <v>0</v>
      </c>
    </row>
    <row r="1025" spans="1:16" x14ac:dyDescent="0.25">
      <c r="A1025" t="s">
        <v>669</v>
      </c>
      <c r="B1025">
        <v>1.52</v>
      </c>
      <c r="C1025">
        <v>1.52</v>
      </c>
      <c r="D1025" t="s">
        <v>303</v>
      </c>
      <c r="E1025" t="s">
        <v>910</v>
      </c>
      <c r="F1025" t="s">
        <v>910</v>
      </c>
      <c r="J1025">
        <v>1.52</v>
      </c>
      <c r="K1025">
        <v>1.52</v>
      </c>
      <c r="L1025" t="s">
        <v>303</v>
      </c>
      <c r="M1025">
        <v>1.52</v>
      </c>
      <c r="N1025">
        <v>1.52</v>
      </c>
      <c r="O1025" t="s">
        <v>303</v>
      </c>
      <c r="P1025">
        <f t="shared" si="15"/>
        <v>0</v>
      </c>
    </row>
    <row r="1026" spans="1:16" x14ac:dyDescent="0.25">
      <c r="A1026" t="s">
        <v>669</v>
      </c>
      <c r="B1026">
        <v>1420</v>
      </c>
      <c r="C1026">
        <v>1520</v>
      </c>
      <c r="D1026" t="s">
        <v>864</v>
      </c>
      <c r="E1026">
        <v>8</v>
      </c>
      <c r="F1026">
        <v>8</v>
      </c>
      <c r="G1026" t="s">
        <v>687</v>
      </c>
      <c r="H1026" t="s">
        <v>687</v>
      </c>
      <c r="J1026">
        <v>1.52</v>
      </c>
      <c r="K1026">
        <v>1.42</v>
      </c>
      <c r="L1026" t="s">
        <v>303</v>
      </c>
      <c r="M1026">
        <v>1520</v>
      </c>
      <c r="N1026">
        <v>1420</v>
      </c>
      <c r="O1026" t="s">
        <v>862</v>
      </c>
      <c r="P1026">
        <f t="shared" si="15"/>
        <v>0</v>
      </c>
    </row>
    <row r="1027" spans="1:16" x14ac:dyDescent="0.25">
      <c r="A1027" t="s">
        <v>669</v>
      </c>
      <c r="B1027">
        <v>1.534</v>
      </c>
      <c r="C1027">
        <v>1.534</v>
      </c>
      <c r="D1027" t="s">
        <v>303</v>
      </c>
      <c r="E1027" t="s">
        <v>910</v>
      </c>
      <c r="F1027" t="s">
        <v>910</v>
      </c>
      <c r="J1027">
        <v>1.534</v>
      </c>
      <c r="K1027">
        <v>1.534</v>
      </c>
      <c r="L1027" t="s">
        <v>303</v>
      </c>
      <c r="M1027">
        <v>1.534</v>
      </c>
      <c r="N1027">
        <v>1.534</v>
      </c>
      <c r="O1027" t="s">
        <v>303</v>
      </c>
      <c r="P1027">
        <f t="shared" ref="P1027:P1090" si="16">LEN(I1027)</f>
        <v>0</v>
      </c>
    </row>
    <row r="1028" spans="1:16" x14ac:dyDescent="0.25">
      <c r="A1028" t="s">
        <v>669</v>
      </c>
      <c r="B1028">
        <v>1.53</v>
      </c>
      <c r="C1028">
        <v>1.54</v>
      </c>
      <c r="D1028" t="s">
        <v>303</v>
      </c>
      <c r="E1028" t="s">
        <v>910</v>
      </c>
      <c r="F1028" t="s">
        <v>910</v>
      </c>
      <c r="J1028">
        <v>1.54</v>
      </c>
      <c r="K1028">
        <v>1.53</v>
      </c>
      <c r="L1028" t="s">
        <v>303</v>
      </c>
      <c r="M1028">
        <v>1.54</v>
      </c>
      <c r="N1028">
        <v>1.53</v>
      </c>
      <c r="O1028" t="s">
        <v>303</v>
      </c>
      <c r="P1028">
        <f t="shared" si="16"/>
        <v>0</v>
      </c>
    </row>
    <row r="1029" spans="1:16" x14ac:dyDescent="0.25">
      <c r="A1029" t="s">
        <v>669</v>
      </c>
      <c r="B1029">
        <v>1.54</v>
      </c>
      <c r="C1029">
        <v>1.54</v>
      </c>
      <c r="D1029" t="s">
        <v>303</v>
      </c>
      <c r="E1029" t="s">
        <v>910</v>
      </c>
      <c r="F1029" t="s">
        <v>910</v>
      </c>
      <c r="J1029">
        <v>1.54</v>
      </c>
      <c r="K1029">
        <v>1.54</v>
      </c>
      <c r="L1029" t="s">
        <v>303</v>
      </c>
      <c r="M1029">
        <v>1.54</v>
      </c>
      <c r="N1029">
        <v>1.54</v>
      </c>
      <c r="O1029" t="s">
        <v>303</v>
      </c>
      <c r="P1029">
        <f t="shared" si="16"/>
        <v>0</v>
      </c>
    </row>
    <row r="1030" spans="1:16" x14ac:dyDescent="0.25">
      <c r="A1030" t="s">
        <v>669</v>
      </c>
      <c r="B1030">
        <v>1.554</v>
      </c>
      <c r="C1030">
        <v>1.554</v>
      </c>
      <c r="D1030" t="s">
        <v>303</v>
      </c>
      <c r="E1030" t="s">
        <v>910</v>
      </c>
      <c r="F1030" t="s">
        <v>910</v>
      </c>
      <c r="J1030">
        <v>1.554</v>
      </c>
      <c r="K1030">
        <v>1.554</v>
      </c>
      <c r="L1030" t="s">
        <v>303</v>
      </c>
      <c r="M1030">
        <v>1.554</v>
      </c>
      <c r="N1030">
        <v>1.554</v>
      </c>
      <c r="O1030" t="s">
        <v>303</v>
      </c>
      <c r="P1030">
        <f t="shared" si="16"/>
        <v>0</v>
      </c>
    </row>
    <row r="1031" spans="1:16" x14ac:dyDescent="0.25">
      <c r="A1031" t="s">
        <v>669</v>
      </c>
      <c r="B1031">
        <v>1.48</v>
      </c>
      <c r="C1031">
        <v>1.56</v>
      </c>
      <c r="D1031" t="s">
        <v>860</v>
      </c>
      <c r="E1031" t="s">
        <v>910</v>
      </c>
      <c r="F1031" t="s">
        <v>910</v>
      </c>
      <c r="J1031">
        <v>1.56</v>
      </c>
      <c r="K1031">
        <v>1.48</v>
      </c>
      <c r="L1031" t="s">
        <v>303</v>
      </c>
      <c r="M1031">
        <v>1.56</v>
      </c>
      <c r="N1031">
        <v>1.48</v>
      </c>
      <c r="O1031" t="s">
        <v>303</v>
      </c>
      <c r="P1031">
        <f t="shared" si="16"/>
        <v>0</v>
      </c>
    </row>
    <row r="1032" spans="1:16" x14ac:dyDescent="0.25">
      <c r="A1032" t="s">
        <v>669</v>
      </c>
      <c r="B1032">
        <v>1.56</v>
      </c>
      <c r="C1032">
        <v>1.56</v>
      </c>
      <c r="D1032" t="s">
        <v>303</v>
      </c>
      <c r="E1032" t="s">
        <v>910</v>
      </c>
      <c r="F1032" t="s">
        <v>910</v>
      </c>
      <c r="J1032">
        <v>1.56</v>
      </c>
      <c r="K1032">
        <v>1.56</v>
      </c>
      <c r="L1032" t="s">
        <v>303</v>
      </c>
      <c r="M1032">
        <v>1.56</v>
      </c>
      <c r="N1032">
        <v>1.56</v>
      </c>
      <c r="O1032" t="s">
        <v>303</v>
      </c>
      <c r="P1032">
        <f t="shared" si="16"/>
        <v>0</v>
      </c>
    </row>
    <row r="1033" spans="1:16" x14ac:dyDescent="0.25">
      <c r="A1033" t="s">
        <v>669</v>
      </c>
      <c r="B1033">
        <v>1.5640000000000001</v>
      </c>
      <c r="C1033">
        <v>1.5640000000000001</v>
      </c>
      <c r="D1033" t="s">
        <v>303</v>
      </c>
      <c r="E1033" t="s">
        <v>910</v>
      </c>
      <c r="F1033" t="s">
        <v>910</v>
      </c>
      <c r="J1033">
        <v>1.5640000000000001</v>
      </c>
      <c r="K1033">
        <v>1.5640000000000001</v>
      </c>
      <c r="L1033" t="s">
        <v>303</v>
      </c>
      <c r="M1033">
        <v>1.5640000000000001</v>
      </c>
      <c r="N1033">
        <v>1.5640000000000001</v>
      </c>
      <c r="O1033" t="s">
        <v>303</v>
      </c>
      <c r="P1033">
        <f t="shared" si="16"/>
        <v>0</v>
      </c>
    </row>
    <row r="1034" spans="1:16" x14ac:dyDescent="0.25">
      <c r="A1034" t="s">
        <v>669</v>
      </c>
      <c r="B1034">
        <v>1.45</v>
      </c>
      <c r="C1034">
        <v>1.57</v>
      </c>
      <c r="D1034" t="s">
        <v>860</v>
      </c>
      <c r="E1034" t="s">
        <v>910</v>
      </c>
      <c r="F1034" t="s">
        <v>910</v>
      </c>
      <c r="J1034">
        <v>1.57</v>
      </c>
      <c r="K1034">
        <v>1.45</v>
      </c>
      <c r="L1034" t="s">
        <v>303</v>
      </c>
      <c r="M1034">
        <v>1.57</v>
      </c>
      <c r="N1034">
        <v>1.45</v>
      </c>
      <c r="O1034" t="s">
        <v>303</v>
      </c>
      <c r="P1034">
        <f t="shared" si="16"/>
        <v>0</v>
      </c>
    </row>
    <row r="1035" spans="1:16" x14ac:dyDescent="0.25">
      <c r="A1035" t="s">
        <v>527</v>
      </c>
      <c r="B1035">
        <v>1571.7370000000001</v>
      </c>
      <c r="C1035">
        <v>1571.7370000000001</v>
      </c>
      <c r="D1035" t="s">
        <v>887</v>
      </c>
      <c r="E1035">
        <v>8</v>
      </c>
      <c r="F1035">
        <v>8</v>
      </c>
      <c r="G1035" t="s">
        <v>687</v>
      </c>
      <c r="H1035" t="s">
        <v>687</v>
      </c>
      <c r="J1035">
        <v>1.5717370000000002</v>
      </c>
      <c r="K1035">
        <v>1.5717370000000002</v>
      </c>
      <c r="L1035" t="s">
        <v>303</v>
      </c>
      <c r="M1035">
        <v>1571.7370000000001</v>
      </c>
      <c r="N1035">
        <v>1571.7370000000001</v>
      </c>
      <c r="O1035" t="s">
        <v>862</v>
      </c>
      <c r="P1035">
        <f t="shared" si="16"/>
        <v>0</v>
      </c>
    </row>
    <row r="1036" spans="1:16" x14ac:dyDescent="0.25">
      <c r="A1036" t="s">
        <v>669</v>
      </c>
      <c r="B1036">
        <v>1.5740000000000001</v>
      </c>
      <c r="C1036">
        <v>1.5740000000000001</v>
      </c>
      <c r="D1036" t="s">
        <v>303</v>
      </c>
      <c r="E1036" t="s">
        <v>910</v>
      </c>
      <c r="F1036" t="s">
        <v>910</v>
      </c>
      <c r="J1036">
        <v>1.5740000000000001</v>
      </c>
      <c r="K1036">
        <v>1.5740000000000001</v>
      </c>
      <c r="L1036" t="s">
        <v>303</v>
      </c>
      <c r="M1036">
        <v>1.5740000000000001</v>
      </c>
      <c r="N1036">
        <v>1.5740000000000001</v>
      </c>
      <c r="O1036" t="s">
        <v>303</v>
      </c>
      <c r="P1036">
        <f t="shared" si="16"/>
        <v>0</v>
      </c>
    </row>
    <row r="1037" spans="1:16" x14ac:dyDescent="0.25">
      <c r="A1037" t="s">
        <v>527</v>
      </c>
      <c r="B1037">
        <v>1575.0519999999999</v>
      </c>
      <c r="C1037">
        <v>1575.0519999999999</v>
      </c>
      <c r="D1037" t="s">
        <v>887</v>
      </c>
      <c r="E1037">
        <v>8</v>
      </c>
      <c r="F1037">
        <v>8</v>
      </c>
      <c r="G1037" t="s">
        <v>687</v>
      </c>
      <c r="H1037" t="s">
        <v>687</v>
      </c>
      <c r="J1037">
        <v>1.5750519999999999</v>
      </c>
      <c r="K1037">
        <v>1.5750519999999999</v>
      </c>
      <c r="L1037" t="s">
        <v>303</v>
      </c>
      <c r="M1037">
        <v>1575.0519999999999</v>
      </c>
      <c r="N1037">
        <v>1575.0519999999999</v>
      </c>
      <c r="O1037" t="s">
        <v>862</v>
      </c>
      <c r="P1037">
        <f t="shared" si="16"/>
        <v>0</v>
      </c>
    </row>
    <row r="1038" spans="1:16" x14ac:dyDescent="0.25">
      <c r="A1038" t="s">
        <v>669</v>
      </c>
      <c r="B1038">
        <v>1.58</v>
      </c>
      <c r="C1038">
        <v>1.58</v>
      </c>
      <c r="D1038" t="s">
        <v>303</v>
      </c>
      <c r="E1038" t="s">
        <v>910</v>
      </c>
      <c r="F1038" t="s">
        <v>910</v>
      </c>
      <c r="J1038">
        <v>1.58</v>
      </c>
      <c r="K1038">
        <v>1.58</v>
      </c>
      <c r="L1038" t="s">
        <v>303</v>
      </c>
      <c r="M1038">
        <v>1.58</v>
      </c>
      <c r="N1038">
        <v>1.58</v>
      </c>
      <c r="O1038" t="s">
        <v>303</v>
      </c>
      <c r="P1038">
        <f t="shared" si="16"/>
        <v>0</v>
      </c>
    </row>
    <row r="1039" spans="1:16" x14ac:dyDescent="0.25">
      <c r="A1039" t="s">
        <v>527</v>
      </c>
      <c r="B1039">
        <v>1587.3869999999999</v>
      </c>
      <c r="C1039">
        <v>1587.3869999999999</v>
      </c>
      <c r="D1039" t="s">
        <v>887</v>
      </c>
      <c r="E1039">
        <v>8</v>
      </c>
      <c r="F1039">
        <v>8</v>
      </c>
      <c r="G1039" t="s">
        <v>687</v>
      </c>
      <c r="H1039" t="s">
        <v>687</v>
      </c>
      <c r="J1039">
        <v>1.5873869999999999</v>
      </c>
      <c r="K1039">
        <v>1.5873869999999999</v>
      </c>
      <c r="L1039" t="s">
        <v>303</v>
      </c>
      <c r="M1039">
        <v>1587.3869999999999</v>
      </c>
      <c r="N1039">
        <v>1587.3869999999999</v>
      </c>
      <c r="O1039" t="s">
        <v>862</v>
      </c>
      <c r="P1039">
        <f t="shared" si="16"/>
        <v>0</v>
      </c>
    </row>
    <row r="1040" spans="1:16" x14ac:dyDescent="0.25">
      <c r="A1040" t="s">
        <v>669</v>
      </c>
      <c r="B1040">
        <v>1.58</v>
      </c>
      <c r="C1040">
        <v>1.59</v>
      </c>
      <c r="D1040" t="s">
        <v>860</v>
      </c>
      <c r="E1040" t="s">
        <v>910</v>
      </c>
      <c r="F1040" t="s">
        <v>910</v>
      </c>
      <c r="J1040">
        <v>1.59</v>
      </c>
      <c r="K1040">
        <v>1.58</v>
      </c>
      <c r="L1040" t="s">
        <v>303</v>
      </c>
      <c r="M1040">
        <v>1.59</v>
      </c>
      <c r="N1040">
        <v>1.58</v>
      </c>
      <c r="O1040" t="s">
        <v>303</v>
      </c>
      <c r="P1040">
        <f t="shared" si="16"/>
        <v>0</v>
      </c>
    </row>
    <row r="1041" spans="1:16" x14ac:dyDescent="0.25">
      <c r="A1041" t="s">
        <v>527</v>
      </c>
      <c r="B1041">
        <v>1590.171</v>
      </c>
      <c r="C1041">
        <v>1590.171</v>
      </c>
      <c r="D1041" t="s">
        <v>887</v>
      </c>
      <c r="E1041">
        <v>8</v>
      </c>
      <c r="F1041">
        <v>8</v>
      </c>
      <c r="G1041" t="s">
        <v>687</v>
      </c>
      <c r="H1041" t="s">
        <v>687</v>
      </c>
      <c r="J1041">
        <v>1.590171</v>
      </c>
      <c r="K1041">
        <v>1.590171</v>
      </c>
      <c r="L1041" t="s">
        <v>303</v>
      </c>
      <c r="M1041">
        <v>1590.171</v>
      </c>
      <c r="N1041">
        <v>1590.171</v>
      </c>
      <c r="O1041" t="s">
        <v>862</v>
      </c>
      <c r="P1041">
        <f t="shared" si="16"/>
        <v>0</v>
      </c>
    </row>
    <row r="1042" spans="1:16" x14ac:dyDescent="0.25">
      <c r="A1042" t="s">
        <v>669</v>
      </c>
      <c r="B1042">
        <v>1.593</v>
      </c>
      <c r="C1042">
        <v>1.593</v>
      </c>
      <c r="D1042" t="s">
        <v>303</v>
      </c>
      <c r="E1042" t="s">
        <v>910</v>
      </c>
      <c r="F1042" t="s">
        <v>910</v>
      </c>
      <c r="J1042">
        <v>1.593</v>
      </c>
      <c r="K1042">
        <v>1.593</v>
      </c>
      <c r="L1042" t="s">
        <v>303</v>
      </c>
      <c r="M1042">
        <v>1.593</v>
      </c>
      <c r="N1042">
        <v>1.593</v>
      </c>
      <c r="O1042" t="s">
        <v>303</v>
      </c>
      <c r="P1042">
        <f t="shared" si="16"/>
        <v>0</v>
      </c>
    </row>
    <row r="1043" spans="1:16" x14ac:dyDescent="0.25">
      <c r="A1043" t="s">
        <v>527</v>
      </c>
      <c r="B1043">
        <v>1593.7909999999999</v>
      </c>
      <c r="C1043">
        <v>1593.7909999999999</v>
      </c>
      <c r="D1043" t="s">
        <v>887</v>
      </c>
      <c r="E1043">
        <v>8</v>
      </c>
      <c r="F1043">
        <v>8</v>
      </c>
      <c r="G1043" t="s">
        <v>687</v>
      </c>
      <c r="H1043" t="s">
        <v>687</v>
      </c>
      <c r="J1043">
        <v>1.593791</v>
      </c>
      <c r="K1043">
        <v>1.593791</v>
      </c>
      <c r="L1043" t="s">
        <v>303</v>
      </c>
      <c r="M1043">
        <v>1593.7909999999999</v>
      </c>
      <c r="N1043">
        <v>1593.7909999999999</v>
      </c>
      <c r="O1043" t="s">
        <v>862</v>
      </c>
      <c r="P1043">
        <f t="shared" si="16"/>
        <v>0</v>
      </c>
    </row>
    <row r="1044" spans="1:16" x14ac:dyDescent="0.25">
      <c r="A1044" t="s">
        <v>527</v>
      </c>
      <c r="B1044">
        <v>1596.7729999999999</v>
      </c>
      <c r="C1044">
        <v>1596.7729999999999</v>
      </c>
      <c r="D1044" t="s">
        <v>887</v>
      </c>
      <c r="E1044">
        <v>8</v>
      </c>
      <c r="F1044">
        <v>8</v>
      </c>
      <c r="G1044" t="s">
        <v>687</v>
      </c>
      <c r="H1044" t="s">
        <v>687</v>
      </c>
      <c r="J1044">
        <v>1.596773</v>
      </c>
      <c r="K1044">
        <v>1.596773</v>
      </c>
      <c r="L1044" t="s">
        <v>303</v>
      </c>
      <c r="M1044">
        <v>1596.7729999999999</v>
      </c>
      <c r="N1044">
        <v>1596.7729999999999</v>
      </c>
      <c r="O1044" t="s">
        <v>862</v>
      </c>
      <c r="P1044">
        <f t="shared" si="16"/>
        <v>0</v>
      </c>
    </row>
    <row r="1045" spans="1:16" x14ac:dyDescent="0.25">
      <c r="A1045" t="s">
        <v>527</v>
      </c>
      <c r="B1045">
        <v>1599.498</v>
      </c>
      <c r="C1045">
        <v>1599.498</v>
      </c>
      <c r="D1045" t="s">
        <v>887</v>
      </c>
      <c r="E1045">
        <v>8</v>
      </c>
      <c r="F1045">
        <v>8</v>
      </c>
      <c r="G1045" t="s">
        <v>687</v>
      </c>
      <c r="H1045" t="s">
        <v>687</v>
      </c>
      <c r="J1045">
        <v>1.5994980000000001</v>
      </c>
      <c r="K1045">
        <v>1.5994980000000001</v>
      </c>
      <c r="L1045" t="s">
        <v>303</v>
      </c>
      <c r="M1045">
        <v>1599.498</v>
      </c>
      <c r="N1045">
        <v>1599.498</v>
      </c>
      <c r="O1045" t="s">
        <v>862</v>
      </c>
      <c r="P1045">
        <f t="shared" si="16"/>
        <v>0</v>
      </c>
    </row>
    <row r="1046" spans="1:16" x14ac:dyDescent="0.25">
      <c r="A1046" t="s">
        <v>669</v>
      </c>
      <c r="B1046">
        <v>1.46</v>
      </c>
      <c r="C1046">
        <v>1.6</v>
      </c>
      <c r="D1046" t="s">
        <v>860</v>
      </c>
      <c r="E1046" t="s">
        <v>910</v>
      </c>
      <c r="F1046" t="s">
        <v>910</v>
      </c>
      <c r="J1046">
        <v>1.6</v>
      </c>
      <c r="K1046">
        <v>1.46</v>
      </c>
      <c r="L1046" t="s">
        <v>303</v>
      </c>
      <c r="M1046">
        <v>1.6</v>
      </c>
      <c r="N1046">
        <v>1.46</v>
      </c>
      <c r="O1046" t="s">
        <v>303</v>
      </c>
      <c r="P1046">
        <f t="shared" si="16"/>
        <v>0</v>
      </c>
    </row>
    <row r="1047" spans="1:16" x14ac:dyDescent="0.25">
      <c r="A1047" t="s">
        <v>669</v>
      </c>
      <c r="B1047">
        <v>1.48</v>
      </c>
      <c r="C1047">
        <v>1.6</v>
      </c>
      <c r="D1047" t="s">
        <v>860</v>
      </c>
      <c r="E1047" t="s">
        <v>910</v>
      </c>
      <c r="F1047" t="s">
        <v>910</v>
      </c>
      <c r="J1047">
        <v>1.6</v>
      </c>
      <c r="K1047">
        <v>1.48</v>
      </c>
      <c r="L1047" t="s">
        <v>303</v>
      </c>
      <c r="M1047">
        <v>1.6</v>
      </c>
      <c r="N1047">
        <v>1.48</v>
      </c>
      <c r="O1047" t="s">
        <v>303</v>
      </c>
      <c r="P1047">
        <f t="shared" si="16"/>
        <v>0</v>
      </c>
    </row>
    <row r="1048" spans="1:16" x14ac:dyDescent="0.25">
      <c r="A1048" t="s">
        <v>669</v>
      </c>
      <c r="B1048">
        <v>1.6</v>
      </c>
      <c r="C1048">
        <v>1.6</v>
      </c>
      <c r="D1048" t="s">
        <v>303</v>
      </c>
      <c r="E1048" t="s">
        <v>910</v>
      </c>
      <c r="F1048" t="s">
        <v>910</v>
      </c>
      <c r="J1048">
        <v>1.6</v>
      </c>
      <c r="K1048">
        <v>1.6</v>
      </c>
      <c r="L1048" t="s">
        <v>303</v>
      </c>
      <c r="M1048">
        <v>1.6</v>
      </c>
      <c r="N1048">
        <v>1.6</v>
      </c>
      <c r="O1048" t="s">
        <v>303</v>
      </c>
      <c r="P1048">
        <f t="shared" si="16"/>
        <v>0</v>
      </c>
    </row>
    <row r="1049" spans="1:16" x14ac:dyDescent="0.25">
      <c r="A1049" t="s">
        <v>669</v>
      </c>
      <c r="B1049">
        <v>1.6</v>
      </c>
      <c r="C1049">
        <v>1.6</v>
      </c>
      <c r="D1049" t="s">
        <v>860</v>
      </c>
      <c r="E1049" t="s">
        <v>910</v>
      </c>
      <c r="F1049" t="s">
        <v>910</v>
      </c>
      <c r="J1049">
        <v>1.6</v>
      </c>
      <c r="K1049">
        <v>1.6</v>
      </c>
      <c r="L1049" t="s">
        <v>303</v>
      </c>
      <c r="M1049">
        <v>1.6</v>
      </c>
      <c r="N1049">
        <v>1.6</v>
      </c>
      <c r="O1049" t="s">
        <v>303</v>
      </c>
      <c r="P1049">
        <f t="shared" si="16"/>
        <v>0</v>
      </c>
    </row>
    <row r="1050" spans="1:16" x14ac:dyDescent="0.25">
      <c r="A1050" t="s">
        <v>669</v>
      </c>
      <c r="B1050">
        <v>630</v>
      </c>
      <c r="C1050">
        <v>1600</v>
      </c>
      <c r="D1050" t="s">
        <v>862</v>
      </c>
      <c r="E1050">
        <v>8</v>
      </c>
      <c r="F1050">
        <v>8</v>
      </c>
      <c r="G1050" t="s">
        <v>687</v>
      </c>
      <c r="H1050" t="s">
        <v>687</v>
      </c>
      <c r="J1050">
        <v>1.6</v>
      </c>
      <c r="K1050">
        <v>0.63</v>
      </c>
      <c r="L1050" t="s">
        <v>303</v>
      </c>
      <c r="M1050">
        <v>1600</v>
      </c>
      <c r="N1050">
        <v>630</v>
      </c>
      <c r="O1050" t="s">
        <v>862</v>
      </c>
      <c r="P1050">
        <f t="shared" si="16"/>
        <v>0</v>
      </c>
    </row>
    <row r="1051" spans="1:16" x14ac:dyDescent="0.25">
      <c r="A1051" t="s">
        <v>527</v>
      </c>
      <c r="B1051">
        <v>1602.598</v>
      </c>
      <c r="C1051">
        <v>1602.598</v>
      </c>
      <c r="D1051" t="s">
        <v>887</v>
      </c>
      <c r="E1051">
        <v>8</v>
      </c>
      <c r="F1051">
        <v>8</v>
      </c>
      <c r="G1051" t="s">
        <v>687</v>
      </c>
      <c r="H1051" t="s">
        <v>687</v>
      </c>
      <c r="J1051">
        <v>1.602598</v>
      </c>
      <c r="K1051">
        <v>1.602598</v>
      </c>
      <c r="L1051" t="s">
        <v>303</v>
      </c>
      <c r="M1051">
        <v>1602.598</v>
      </c>
      <c r="N1051">
        <v>1602.598</v>
      </c>
      <c r="O1051" t="s">
        <v>862</v>
      </c>
      <c r="P1051">
        <f t="shared" si="16"/>
        <v>0</v>
      </c>
    </row>
    <row r="1052" spans="1:16" x14ac:dyDescent="0.25">
      <c r="A1052" t="s">
        <v>669</v>
      </c>
      <c r="B1052">
        <v>1.61</v>
      </c>
      <c r="C1052">
        <v>1.61</v>
      </c>
      <c r="D1052" t="s">
        <v>303</v>
      </c>
      <c r="E1052" t="s">
        <v>910</v>
      </c>
      <c r="F1052" t="s">
        <v>910</v>
      </c>
      <c r="J1052">
        <v>1.61</v>
      </c>
      <c r="K1052">
        <v>1.61</v>
      </c>
      <c r="L1052" t="s">
        <v>303</v>
      </c>
      <c r="M1052">
        <v>1.61</v>
      </c>
      <c r="N1052">
        <v>1.61</v>
      </c>
      <c r="O1052" t="s">
        <v>303</v>
      </c>
      <c r="P1052">
        <f t="shared" si="16"/>
        <v>0</v>
      </c>
    </row>
    <row r="1053" spans="1:16" x14ac:dyDescent="0.25">
      <c r="A1053" t="s">
        <v>669</v>
      </c>
      <c r="B1053">
        <v>1.627</v>
      </c>
      <c r="C1053">
        <v>1.627</v>
      </c>
      <c r="D1053" t="s">
        <v>303</v>
      </c>
      <c r="E1053" t="s">
        <v>910</v>
      </c>
      <c r="F1053" t="s">
        <v>910</v>
      </c>
      <c r="J1053">
        <v>1.627</v>
      </c>
      <c r="K1053">
        <v>1.627</v>
      </c>
      <c r="L1053" t="s">
        <v>303</v>
      </c>
      <c r="M1053">
        <v>1.627</v>
      </c>
      <c r="N1053">
        <v>1.627</v>
      </c>
      <c r="O1053" t="s">
        <v>303</v>
      </c>
      <c r="P1053">
        <f t="shared" si="16"/>
        <v>0</v>
      </c>
    </row>
    <row r="1054" spans="1:16" x14ac:dyDescent="0.25">
      <c r="A1054" t="s">
        <v>527</v>
      </c>
      <c r="B1054">
        <v>1635.557</v>
      </c>
      <c r="C1054">
        <v>1635.557</v>
      </c>
      <c r="D1054" t="s">
        <v>887</v>
      </c>
      <c r="E1054">
        <v>8</v>
      </c>
      <c r="F1054">
        <v>8</v>
      </c>
      <c r="G1054" t="s">
        <v>687</v>
      </c>
      <c r="H1054" t="s">
        <v>687</v>
      </c>
      <c r="J1054">
        <v>1.6355569999999999</v>
      </c>
      <c r="K1054">
        <v>1.6355569999999999</v>
      </c>
      <c r="L1054" t="s">
        <v>303</v>
      </c>
      <c r="M1054">
        <v>1635.557</v>
      </c>
      <c r="N1054">
        <v>1635.557</v>
      </c>
      <c r="O1054" t="s">
        <v>862</v>
      </c>
      <c r="P1054">
        <f t="shared" si="16"/>
        <v>0</v>
      </c>
    </row>
    <row r="1055" spans="1:16" x14ac:dyDescent="0.25">
      <c r="A1055" t="s">
        <v>527</v>
      </c>
      <c r="B1055">
        <v>1637.0519999999999</v>
      </c>
      <c r="C1055">
        <v>1637.0519999999999</v>
      </c>
      <c r="D1055" t="s">
        <v>887</v>
      </c>
      <c r="E1055">
        <v>8</v>
      </c>
      <c r="F1055">
        <v>8</v>
      </c>
      <c r="G1055" t="s">
        <v>687</v>
      </c>
      <c r="H1055" t="s">
        <v>687</v>
      </c>
      <c r="J1055">
        <v>1.637052</v>
      </c>
      <c r="K1055">
        <v>1.637052</v>
      </c>
      <c r="L1055" t="s">
        <v>303</v>
      </c>
      <c r="M1055">
        <v>1637.0519999999999</v>
      </c>
      <c r="N1055">
        <v>1637.0519999999999</v>
      </c>
      <c r="O1055" t="s">
        <v>862</v>
      </c>
      <c r="P1055">
        <f t="shared" si="16"/>
        <v>0</v>
      </c>
    </row>
    <row r="1056" spans="1:16" x14ac:dyDescent="0.25">
      <c r="A1056" t="s">
        <v>527</v>
      </c>
      <c r="B1056">
        <v>0.01</v>
      </c>
      <c r="C1056">
        <v>1.64</v>
      </c>
      <c r="D1056" t="s">
        <v>860</v>
      </c>
      <c r="E1056">
        <v>8</v>
      </c>
      <c r="F1056">
        <v>8</v>
      </c>
      <c r="G1056" t="s">
        <v>687</v>
      </c>
      <c r="H1056" t="s">
        <v>687</v>
      </c>
      <c r="J1056">
        <v>1.64</v>
      </c>
      <c r="K1056">
        <v>0.01</v>
      </c>
      <c r="L1056" t="s">
        <v>303</v>
      </c>
      <c r="M1056">
        <v>1.64</v>
      </c>
      <c r="N1056">
        <v>0.01</v>
      </c>
      <c r="O1056" t="s">
        <v>303</v>
      </c>
      <c r="P1056">
        <f t="shared" si="16"/>
        <v>0</v>
      </c>
    </row>
    <row r="1057" spans="1:16" x14ac:dyDescent="0.25">
      <c r="A1057" t="s">
        <v>669</v>
      </c>
      <c r="B1057">
        <v>1.5</v>
      </c>
      <c r="C1057">
        <v>1.64</v>
      </c>
      <c r="D1057" t="s">
        <v>669</v>
      </c>
      <c r="E1057">
        <v>8</v>
      </c>
      <c r="F1057">
        <v>8</v>
      </c>
      <c r="G1057" t="s">
        <v>687</v>
      </c>
      <c r="H1057" t="s">
        <v>687</v>
      </c>
      <c r="I1057" t="s">
        <v>927</v>
      </c>
      <c r="J1057">
        <v>1.64</v>
      </c>
      <c r="K1057">
        <v>1.5</v>
      </c>
      <c r="L1057" t="s">
        <v>930</v>
      </c>
      <c r="M1057">
        <v>1.64</v>
      </c>
      <c r="N1057">
        <v>1.5</v>
      </c>
      <c r="P1057">
        <f t="shared" si="16"/>
        <v>14</v>
      </c>
    </row>
    <row r="1058" spans="1:16" x14ac:dyDescent="0.25">
      <c r="A1058" t="s">
        <v>527</v>
      </c>
      <c r="B1058">
        <v>1640.0429999999999</v>
      </c>
      <c r="C1058">
        <v>1640.0429999999999</v>
      </c>
      <c r="D1058" t="s">
        <v>887</v>
      </c>
      <c r="E1058">
        <v>8</v>
      </c>
      <c r="F1058">
        <v>8</v>
      </c>
      <c r="G1058" t="s">
        <v>687</v>
      </c>
      <c r="H1058" t="s">
        <v>687</v>
      </c>
      <c r="J1058">
        <v>1.6400429999999999</v>
      </c>
      <c r="K1058">
        <v>1.6400429999999999</v>
      </c>
      <c r="L1058" t="s">
        <v>303</v>
      </c>
      <c r="M1058">
        <v>1640.0429999999999</v>
      </c>
      <c r="N1058">
        <v>1640.0429999999999</v>
      </c>
      <c r="O1058" t="s">
        <v>862</v>
      </c>
      <c r="P1058">
        <f t="shared" si="16"/>
        <v>0</v>
      </c>
    </row>
    <row r="1059" spans="1:16" x14ac:dyDescent="0.25">
      <c r="A1059" t="s">
        <v>669</v>
      </c>
      <c r="B1059">
        <v>1.6439999999999999</v>
      </c>
      <c r="C1059">
        <v>1.6439999999999999</v>
      </c>
      <c r="D1059" t="s">
        <v>303</v>
      </c>
      <c r="E1059" t="s">
        <v>910</v>
      </c>
      <c r="F1059" t="s">
        <v>910</v>
      </c>
      <c r="J1059">
        <v>1.6439999999999999</v>
      </c>
      <c r="K1059">
        <v>1.6439999999999999</v>
      </c>
      <c r="L1059" t="s">
        <v>303</v>
      </c>
      <c r="M1059">
        <v>1.6439999999999999</v>
      </c>
      <c r="N1059">
        <v>1.6439999999999999</v>
      </c>
      <c r="O1059" t="s">
        <v>303</v>
      </c>
      <c r="P1059">
        <f t="shared" si="16"/>
        <v>0</v>
      </c>
    </row>
    <row r="1060" spans="1:16" x14ac:dyDescent="0.25">
      <c r="A1060" t="s">
        <v>527</v>
      </c>
      <c r="B1060">
        <v>1647.643</v>
      </c>
      <c r="C1060">
        <v>1647.643</v>
      </c>
      <c r="D1060" t="s">
        <v>887</v>
      </c>
      <c r="E1060">
        <v>8</v>
      </c>
      <c r="F1060">
        <v>8</v>
      </c>
      <c r="G1060" t="s">
        <v>687</v>
      </c>
      <c r="H1060" t="s">
        <v>687</v>
      </c>
      <c r="J1060">
        <v>1.647643</v>
      </c>
      <c r="K1060">
        <v>1.647643</v>
      </c>
      <c r="L1060" t="s">
        <v>303</v>
      </c>
      <c r="M1060">
        <v>1647.643</v>
      </c>
      <c r="N1060">
        <v>1647.643</v>
      </c>
      <c r="O1060" t="s">
        <v>862</v>
      </c>
      <c r="P1060">
        <f t="shared" si="16"/>
        <v>0</v>
      </c>
    </row>
    <row r="1061" spans="1:16" x14ac:dyDescent="0.25">
      <c r="A1061" t="s">
        <v>527</v>
      </c>
      <c r="B1061">
        <v>1651.56</v>
      </c>
      <c r="C1061">
        <v>1651.56</v>
      </c>
      <c r="D1061" t="s">
        <v>887</v>
      </c>
      <c r="E1061">
        <v>8</v>
      </c>
      <c r="F1061">
        <v>8</v>
      </c>
      <c r="G1061" t="s">
        <v>687</v>
      </c>
      <c r="H1061" t="s">
        <v>687</v>
      </c>
      <c r="J1061">
        <v>1.6515599999999999</v>
      </c>
      <c r="K1061">
        <v>1.6515599999999999</v>
      </c>
      <c r="L1061" t="s">
        <v>303</v>
      </c>
      <c r="M1061">
        <v>1651.56</v>
      </c>
      <c r="N1061">
        <v>1651.56</v>
      </c>
      <c r="O1061" t="s">
        <v>862</v>
      </c>
      <c r="P1061">
        <f t="shared" si="16"/>
        <v>0</v>
      </c>
    </row>
    <row r="1062" spans="1:16" x14ac:dyDescent="0.25">
      <c r="A1062" t="s">
        <v>669</v>
      </c>
      <c r="B1062">
        <v>1.6579999999999999</v>
      </c>
      <c r="C1062">
        <v>1.6579999999999999</v>
      </c>
      <c r="D1062" t="s">
        <v>303</v>
      </c>
      <c r="E1062" t="s">
        <v>910</v>
      </c>
      <c r="F1062" t="s">
        <v>910</v>
      </c>
      <c r="J1062">
        <v>1.6579999999999999</v>
      </c>
      <c r="K1062">
        <v>1.6579999999999999</v>
      </c>
      <c r="L1062" t="s">
        <v>303</v>
      </c>
      <c r="M1062">
        <v>1.6579999999999999</v>
      </c>
      <c r="N1062">
        <v>1.6579999999999999</v>
      </c>
      <c r="O1062" t="s">
        <v>303</v>
      </c>
      <c r="P1062">
        <f t="shared" si="16"/>
        <v>0</v>
      </c>
    </row>
    <row r="1063" spans="1:16" x14ac:dyDescent="0.25">
      <c r="A1063" t="s">
        <v>669</v>
      </c>
      <c r="B1063">
        <v>1.66</v>
      </c>
      <c r="C1063">
        <v>1.66</v>
      </c>
      <c r="D1063" t="s">
        <v>303</v>
      </c>
      <c r="E1063" t="s">
        <v>910</v>
      </c>
      <c r="F1063" t="s">
        <v>910</v>
      </c>
      <c r="J1063">
        <v>1.66</v>
      </c>
      <c r="K1063">
        <v>1.66</v>
      </c>
      <c r="L1063" t="s">
        <v>303</v>
      </c>
      <c r="M1063">
        <v>1.66</v>
      </c>
      <c r="N1063">
        <v>1.66</v>
      </c>
      <c r="O1063" t="s">
        <v>303</v>
      </c>
      <c r="P1063">
        <f t="shared" si="16"/>
        <v>0</v>
      </c>
    </row>
    <row r="1064" spans="1:16" x14ac:dyDescent="0.25">
      <c r="A1064" t="s">
        <v>669</v>
      </c>
      <c r="B1064">
        <v>1.6759999999999999</v>
      </c>
      <c r="C1064">
        <v>1.6759999999999999</v>
      </c>
      <c r="D1064" t="s">
        <v>303</v>
      </c>
      <c r="E1064" t="s">
        <v>910</v>
      </c>
      <c r="F1064" t="s">
        <v>910</v>
      </c>
      <c r="J1064">
        <v>1.6759999999999999</v>
      </c>
      <c r="K1064">
        <v>1.6759999999999999</v>
      </c>
      <c r="L1064" t="s">
        <v>303</v>
      </c>
      <c r="M1064">
        <v>1.6759999999999999</v>
      </c>
      <c r="N1064">
        <v>1.6759999999999999</v>
      </c>
      <c r="O1064" t="s">
        <v>303</v>
      </c>
      <c r="P1064">
        <f t="shared" si="16"/>
        <v>0</v>
      </c>
    </row>
    <row r="1065" spans="1:16" x14ac:dyDescent="0.25">
      <c r="A1065" t="s">
        <v>669</v>
      </c>
      <c r="B1065">
        <v>1.63</v>
      </c>
      <c r="C1065">
        <v>1.68</v>
      </c>
      <c r="D1065" t="s">
        <v>860</v>
      </c>
      <c r="E1065" t="s">
        <v>910</v>
      </c>
      <c r="F1065" t="s">
        <v>910</v>
      </c>
      <c r="J1065">
        <v>1.68</v>
      </c>
      <c r="K1065">
        <v>1.63</v>
      </c>
      <c r="L1065" t="s">
        <v>303</v>
      </c>
      <c r="M1065">
        <v>1.68</v>
      </c>
      <c r="N1065">
        <v>1.63</v>
      </c>
      <c r="O1065" t="s">
        <v>303</v>
      </c>
      <c r="P1065">
        <f t="shared" si="16"/>
        <v>0</v>
      </c>
    </row>
    <row r="1066" spans="1:16" x14ac:dyDescent="0.25">
      <c r="A1066" t="s">
        <v>669</v>
      </c>
      <c r="B1066">
        <v>1.6919999999999999</v>
      </c>
      <c r="C1066">
        <v>1.6919999999999999</v>
      </c>
      <c r="D1066" t="s">
        <v>303</v>
      </c>
      <c r="E1066" t="s">
        <v>910</v>
      </c>
      <c r="F1066" t="s">
        <v>910</v>
      </c>
      <c r="J1066">
        <v>1.6919999999999999</v>
      </c>
      <c r="K1066">
        <v>1.6919999999999999</v>
      </c>
      <c r="L1066" t="s">
        <v>303</v>
      </c>
      <c r="M1066">
        <v>1.6919999999999999</v>
      </c>
      <c r="N1066">
        <v>1.6919999999999999</v>
      </c>
      <c r="O1066" t="s">
        <v>303</v>
      </c>
      <c r="P1066">
        <f t="shared" si="16"/>
        <v>0</v>
      </c>
    </row>
    <row r="1067" spans="1:16" x14ac:dyDescent="0.25">
      <c r="A1067" t="s">
        <v>669</v>
      </c>
      <c r="B1067">
        <v>1.7</v>
      </c>
      <c r="C1067">
        <v>1.7</v>
      </c>
      <c r="D1067" t="s">
        <v>860</v>
      </c>
      <c r="E1067" t="s">
        <v>910</v>
      </c>
      <c r="F1067" t="s">
        <v>910</v>
      </c>
      <c r="J1067">
        <v>1.7</v>
      </c>
      <c r="K1067">
        <v>1.7</v>
      </c>
      <c r="L1067" t="s">
        <v>303</v>
      </c>
      <c r="M1067">
        <v>1.7</v>
      </c>
      <c r="N1067">
        <v>1.7</v>
      </c>
      <c r="O1067" t="s">
        <v>303</v>
      </c>
      <c r="P1067">
        <f t="shared" si="16"/>
        <v>0</v>
      </c>
    </row>
    <row r="1068" spans="1:16" x14ac:dyDescent="0.25">
      <c r="A1068" t="s">
        <v>669</v>
      </c>
      <c r="B1068">
        <v>1.7030000000000001</v>
      </c>
      <c r="C1068">
        <v>1.7030000000000001</v>
      </c>
      <c r="D1068" t="s">
        <v>303</v>
      </c>
      <c r="E1068" t="s">
        <v>910</v>
      </c>
      <c r="F1068" t="s">
        <v>910</v>
      </c>
      <c r="J1068">
        <v>1.7030000000000001</v>
      </c>
      <c r="K1068">
        <v>1.7030000000000001</v>
      </c>
      <c r="L1068" t="s">
        <v>303</v>
      </c>
      <c r="M1068">
        <v>1.7030000000000001</v>
      </c>
      <c r="N1068">
        <v>1.7030000000000001</v>
      </c>
      <c r="O1068" t="s">
        <v>303</v>
      </c>
      <c r="P1068">
        <f t="shared" si="16"/>
        <v>0</v>
      </c>
    </row>
    <row r="1069" spans="1:16" x14ac:dyDescent="0.25">
      <c r="A1069" t="s">
        <v>527</v>
      </c>
      <c r="B1069">
        <v>1704.211</v>
      </c>
      <c r="C1069">
        <v>1704.211</v>
      </c>
      <c r="D1069" t="s">
        <v>887</v>
      </c>
      <c r="E1069">
        <v>8</v>
      </c>
      <c r="F1069">
        <v>8</v>
      </c>
      <c r="G1069" t="s">
        <v>687</v>
      </c>
      <c r="H1069" t="s">
        <v>687</v>
      </c>
      <c r="J1069">
        <v>1.7042109999999999</v>
      </c>
      <c r="K1069">
        <v>1.7042109999999999</v>
      </c>
      <c r="L1069" t="s">
        <v>303</v>
      </c>
      <c r="M1069">
        <v>1704.211</v>
      </c>
      <c r="N1069">
        <v>1704.211</v>
      </c>
      <c r="O1069" t="s">
        <v>862</v>
      </c>
      <c r="P1069">
        <f t="shared" si="16"/>
        <v>0</v>
      </c>
    </row>
    <row r="1070" spans="1:16" x14ac:dyDescent="0.25">
      <c r="A1070" t="s">
        <v>527</v>
      </c>
      <c r="B1070">
        <v>1707.096</v>
      </c>
      <c r="C1070">
        <v>1707.096</v>
      </c>
      <c r="D1070" t="s">
        <v>887</v>
      </c>
      <c r="E1070">
        <v>8</v>
      </c>
      <c r="F1070">
        <v>8</v>
      </c>
      <c r="G1070" t="s">
        <v>687</v>
      </c>
      <c r="H1070" t="s">
        <v>687</v>
      </c>
      <c r="J1070">
        <v>1.7070959999999999</v>
      </c>
      <c r="K1070">
        <v>1.7070959999999999</v>
      </c>
      <c r="L1070" t="s">
        <v>303</v>
      </c>
      <c r="M1070">
        <v>1707.096</v>
      </c>
      <c r="N1070">
        <v>1707.096</v>
      </c>
      <c r="O1070" t="s">
        <v>862</v>
      </c>
      <c r="P1070">
        <f t="shared" si="16"/>
        <v>0</v>
      </c>
    </row>
    <row r="1071" spans="1:16" x14ac:dyDescent="0.25">
      <c r="A1071" t="s">
        <v>527</v>
      </c>
      <c r="B1071">
        <v>1707.875</v>
      </c>
      <c r="C1071">
        <v>1707.875</v>
      </c>
      <c r="D1071" t="s">
        <v>887</v>
      </c>
      <c r="E1071">
        <v>8</v>
      </c>
      <c r="F1071">
        <v>8</v>
      </c>
      <c r="G1071" t="s">
        <v>687</v>
      </c>
      <c r="H1071" t="s">
        <v>687</v>
      </c>
      <c r="J1071">
        <v>1.707875</v>
      </c>
      <c r="K1071">
        <v>1.707875</v>
      </c>
      <c r="L1071" t="s">
        <v>303</v>
      </c>
      <c r="M1071">
        <v>1707.875</v>
      </c>
      <c r="N1071">
        <v>1707.875</v>
      </c>
      <c r="O1071" t="s">
        <v>862</v>
      </c>
      <c r="P1071">
        <f t="shared" si="16"/>
        <v>0</v>
      </c>
    </row>
    <row r="1072" spans="1:16" x14ac:dyDescent="0.25">
      <c r="A1072" t="s">
        <v>669</v>
      </c>
      <c r="B1072">
        <v>1.7</v>
      </c>
      <c r="C1072">
        <v>1.71</v>
      </c>
      <c r="D1072" t="s">
        <v>860</v>
      </c>
      <c r="E1072" t="s">
        <v>910</v>
      </c>
      <c r="F1072" t="s">
        <v>910</v>
      </c>
      <c r="J1072">
        <v>1.71</v>
      </c>
      <c r="K1072">
        <v>1.7</v>
      </c>
      <c r="L1072" t="s">
        <v>303</v>
      </c>
      <c r="M1072">
        <v>1.71</v>
      </c>
      <c r="N1072">
        <v>1.7</v>
      </c>
      <c r="O1072" t="s">
        <v>303</v>
      </c>
      <c r="P1072">
        <f t="shared" si="16"/>
        <v>0</v>
      </c>
    </row>
    <row r="1073" spans="1:16" x14ac:dyDescent="0.25">
      <c r="A1073" t="s">
        <v>669</v>
      </c>
      <c r="B1073">
        <v>1.71</v>
      </c>
      <c r="C1073">
        <v>1.71</v>
      </c>
      <c r="D1073" t="s">
        <v>303</v>
      </c>
      <c r="E1073" t="s">
        <v>910</v>
      </c>
      <c r="F1073" t="s">
        <v>910</v>
      </c>
      <c r="J1073">
        <v>1.71</v>
      </c>
      <c r="K1073">
        <v>1.71</v>
      </c>
      <c r="L1073" t="s">
        <v>303</v>
      </c>
      <c r="M1073">
        <v>1.71</v>
      </c>
      <c r="N1073">
        <v>1.71</v>
      </c>
      <c r="O1073" t="s">
        <v>303</v>
      </c>
      <c r="P1073">
        <f t="shared" si="16"/>
        <v>0</v>
      </c>
    </row>
    <row r="1074" spans="1:16" x14ac:dyDescent="0.25">
      <c r="A1074" t="s">
        <v>527</v>
      </c>
      <c r="B1074">
        <v>1710.2670000000001</v>
      </c>
      <c r="C1074">
        <v>1710.2670000000001</v>
      </c>
      <c r="D1074" t="s">
        <v>887</v>
      </c>
      <c r="E1074">
        <v>8</v>
      </c>
      <c r="F1074">
        <v>8</v>
      </c>
      <c r="G1074" t="s">
        <v>687</v>
      </c>
      <c r="H1074" t="s">
        <v>687</v>
      </c>
      <c r="J1074">
        <v>1.710267</v>
      </c>
      <c r="K1074">
        <v>1.710267</v>
      </c>
      <c r="L1074" t="s">
        <v>303</v>
      </c>
      <c r="M1074">
        <v>1710.2670000000001</v>
      </c>
      <c r="N1074">
        <v>1710.2670000000001</v>
      </c>
      <c r="O1074" t="s">
        <v>862</v>
      </c>
      <c r="P1074">
        <f t="shared" si="16"/>
        <v>0</v>
      </c>
    </row>
    <row r="1075" spans="1:16" x14ac:dyDescent="0.25">
      <c r="A1075" t="s">
        <v>527</v>
      </c>
      <c r="B1075">
        <v>1719.69</v>
      </c>
      <c r="C1075">
        <v>1719.69</v>
      </c>
      <c r="D1075" t="s">
        <v>887</v>
      </c>
      <c r="E1075">
        <v>8</v>
      </c>
      <c r="F1075">
        <v>8</v>
      </c>
      <c r="G1075" t="s">
        <v>687</v>
      </c>
      <c r="H1075" t="s">
        <v>687</v>
      </c>
      <c r="J1075">
        <v>1.7196900000000002</v>
      </c>
      <c r="K1075">
        <v>1.7196900000000002</v>
      </c>
      <c r="L1075" t="s">
        <v>303</v>
      </c>
      <c r="M1075">
        <v>1719.69</v>
      </c>
      <c r="N1075">
        <v>1719.69</v>
      </c>
      <c r="O1075" t="s">
        <v>862</v>
      </c>
      <c r="P1075">
        <f t="shared" si="16"/>
        <v>0</v>
      </c>
    </row>
    <row r="1076" spans="1:16" x14ac:dyDescent="0.25">
      <c r="A1076" t="s">
        <v>527</v>
      </c>
      <c r="B1076">
        <v>1720.683</v>
      </c>
      <c r="C1076">
        <v>1720.683</v>
      </c>
      <c r="D1076" t="s">
        <v>887</v>
      </c>
      <c r="E1076">
        <v>8</v>
      </c>
      <c r="F1076">
        <v>8</v>
      </c>
      <c r="G1076" t="s">
        <v>687</v>
      </c>
      <c r="H1076" t="s">
        <v>687</v>
      </c>
      <c r="J1076">
        <v>1.720683</v>
      </c>
      <c r="K1076">
        <v>1.720683</v>
      </c>
      <c r="L1076" t="s">
        <v>303</v>
      </c>
      <c r="M1076">
        <v>1720.683</v>
      </c>
      <c r="N1076">
        <v>1720.683</v>
      </c>
      <c r="O1076" t="s">
        <v>862</v>
      </c>
      <c r="P1076">
        <f t="shared" si="16"/>
        <v>0</v>
      </c>
    </row>
    <row r="1077" spans="1:16" x14ac:dyDescent="0.25">
      <c r="A1077" t="s">
        <v>669</v>
      </c>
      <c r="B1077">
        <v>1.7258</v>
      </c>
      <c r="C1077">
        <v>1.7258</v>
      </c>
      <c r="D1077" t="s">
        <v>303</v>
      </c>
      <c r="E1077" t="s">
        <v>910</v>
      </c>
      <c r="F1077" t="s">
        <v>910</v>
      </c>
      <c r="J1077">
        <v>1.7258</v>
      </c>
      <c r="K1077">
        <v>1.7258</v>
      </c>
      <c r="L1077" t="s">
        <v>303</v>
      </c>
      <c r="M1077">
        <v>1.7258</v>
      </c>
      <c r="N1077">
        <v>1.7258</v>
      </c>
      <c r="O1077" t="s">
        <v>303</v>
      </c>
      <c r="P1077">
        <f t="shared" si="16"/>
        <v>0</v>
      </c>
    </row>
    <row r="1078" spans="1:16" x14ac:dyDescent="0.25">
      <c r="A1078" t="s">
        <v>669</v>
      </c>
      <c r="B1078">
        <v>1.7273000000000001</v>
      </c>
      <c r="C1078">
        <v>1.7273000000000001</v>
      </c>
      <c r="D1078" t="s">
        <v>303</v>
      </c>
      <c r="E1078" t="s">
        <v>910</v>
      </c>
      <c r="F1078" t="s">
        <v>910</v>
      </c>
      <c r="J1078">
        <v>1.7273000000000001</v>
      </c>
      <c r="K1078">
        <v>1.7273000000000001</v>
      </c>
      <c r="L1078" t="s">
        <v>303</v>
      </c>
      <c r="M1078">
        <v>1.7273000000000001</v>
      </c>
      <c r="N1078">
        <v>1.7273000000000001</v>
      </c>
      <c r="O1078" t="s">
        <v>303</v>
      </c>
      <c r="P1078">
        <f t="shared" si="16"/>
        <v>0</v>
      </c>
    </row>
    <row r="1079" spans="1:16" x14ac:dyDescent="0.25">
      <c r="A1079" t="s">
        <v>669</v>
      </c>
      <c r="B1079">
        <v>1.728</v>
      </c>
      <c r="C1079">
        <v>1.728</v>
      </c>
      <c r="D1079" t="s">
        <v>303</v>
      </c>
      <c r="E1079" t="s">
        <v>910</v>
      </c>
      <c r="F1079" t="s">
        <v>910</v>
      </c>
      <c r="J1079">
        <v>1.728</v>
      </c>
      <c r="K1079">
        <v>1.728</v>
      </c>
      <c r="L1079" t="s">
        <v>303</v>
      </c>
      <c r="M1079">
        <v>1.728</v>
      </c>
      <c r="N1079">
        <v>1.728</v>
      </c>
      <c r="O1079" t="s">
        <v>303</v>
      </c>
      <c r="P1079">
        <f t="shared" si="16"/>
        <v>0</v>
      </c>
    </row>
    <row r="1080" spans="1:16" x14ac:dyDescent="0.25">
      <c r="A1080" t="s">
        <v>527</v>
      </c>
      <c r="B1080">
        <v>1737.0450000000001</v>
      </c>
      <c r="C1080">
        <v>1737.0450000000001</v>
      </c>
      <c r="D1080" t="s">
        <v>887</v>
      </c>
      <c r="E1080">
        <v>8</v>
      </c>
      <c r="F1080">
        <v>8</v>
      </c>
      <c r="G1080" t="s">
        <v>687</v>
      </c>
      <c r="H1080" t="s">
        <v>687</v>
      </c>
      <c r="J1080">
        <v>1.7370450000000002</v>
      </c>
      <c r="K1080">
        <v>1.7370450000000002</v>
      </c>
      <c r="L1080" t="s">
        <v>303</v>
      </c>
      <c r="M1080">
        <v>1737.0450000000001</v>
      </c>
      <c r="N1080">
        <v>1737.0450000000001</v>
      </c>
      <c r="O1080" t="s">
        <v>862</v>
      </c>
      <c r="P1080">
        <f t="shared" si="16"/>
        <v>0</v>
      </c>
    </row>
    <row r="1081" spans="1:16" x14ac:dyDescent="0.25">
      <c r="A1081" t="s">
        <v>527</v>
      </c>
      <c r="B1081">
        <v>1737.38</v>
      </c>
      <c r="C1081">
        <v>1737.38</v>
      </c>
      <c r="D1081" t="s">
        <v>887</v>
      </c>
      <c r="E1081">
        <v>8</v>
      </c>
      <c r="F1081">
        <v>8</v>
      </c>
      <c r="G1081" t="s">
        <v>687</v>
      </c>
      <c r="H1081" t="s">
        <v>687</v>
      </c>
      <c r="J1081">
        <v>1.7373800000000001</v>
      </c>
      <c r="K1081">
        <v>1.7373800000000001</v>
      </c>
      <c r="L1081" t="s">
        <v>303</v>
      </c>
      <c r="M1081">
        <v>1737.38</v>
      </c>
      <c r="N1081">
        <v>1737.38</v>
      </c>
      <c r="O1081" t="s">
        <v>862</v>
      </c>
      <c r="P1081">
        <f t="shared" si="16"/>
        <v>0</v>
      </c>
    </row>
    <row r="1082" spans="1:16" x14ac:dyDescent="0.25">
      <c r="A1082" t="s">
        <v>669</v>
      </c>
      <c r="B1082">
        <v>1.738</v>
      </c>
      <c r="C1082">
        <v>1.738</v>
      </c>
      <c r="D1082" t="s">
        <v>303</v>
      </c>
      <c r="E1082" t="s">
        <v>910</v>
      </c>
      <c r="F1082" t="s">
        <v>910</v>
      </c>
      <c r="J1082">
        <v>1.738</v>
      </c>
      <c r="K1082">
        <v>1.738</v>
      </c>
      <c r="L1082" t="s">
        <v>303</v>
      </c>
      <c r="M1082">
        <v>1.738</v>
      </c>
      <c r="N1082">
        <v>1.738</v>
      </c>
      <c r="O1082" t="s">
        <v>303</v>
      </c>
      <c r="P1082">
        <f t="shared" si="16"/>
        <v>0</v>
      </c>
    </row>
    <row r="1083" spans="1:16" x14ac:dyDescent="0.25">
      <c r="A1083" t="s">
        <v>669</v>
      </c>
      <c r="B1083">
        <v>1.66</v>
      </c>
      <c r="C1083">
        <v>1.74</v>
      </c>
      <c r="D1083" t="s">
        <v>669</v>
      </c>
      <c r="E1083">
        <v>8</v>
      </c>
      <c r="F1083">
        <v>8</v>
      </c>
      <c r="G1083" t="s">
        <v>687</v>
      </c>
      <c r="H1083" t="s">
        <v>687</v>
      </c>
      <c r="I1083" t="s">
        <v>927</v>
      </c>
      <c r="J1083">
        <v>1.74</v>
      </c>
      <c r="K1083">
        <v>1.66</v>
      </c>
      <c r="L1083" t="s">
        <v>930</v>
      </c>
      <c r="M1083">
        <v>1.74</v>
      </c>
      <c r="N1083">
        <v>1.66</v>
      </c>
      <c r="P1083">
        <f t="shared" si="16"/>
        <v>14</v>
      </c>
    </row>
    <row r="1084" spans="1:16" x14ac:dyDescent="0.25">
      <c r="A1084" t="s">
        <v>669</v>
      </c>
      <c r="B1084">
        <v>1.7490000000000001</v>
      </c>
      <c r="C1084">
        <v>1.7490000000000001</v>
      </c>
      <c r="D1084" t="s">
        <v>303</v>
      </c>
      <c r="E1084" t="s">
        <v>910</v>
      </c>
      <c r="F1084" t="s">
        <v>910</v>
      </c>
      <c r="J1084">
        <v>1.7490000000000001</v>
      </c>
      <c r="K1084">
        <v>1.7490000000000001</v>
      </c>
      <c r="L1084" t="s">
        <v>303</v>
      </c>
      <c r="M1084">
        <v>1.7490000000000001</v>
      </c>
      <c r="N1084">
        <v>1.7490000000000001</v>
      </c>
      <c r="O1084" t="s">
        <v>303</v>
      </c>
      <c r="P1084">
        <f t="shared" si="16"/>
        <v>0</v>
      </c>
    </row>
    <row r="1085" spans="1:16" x14ac:dyDescent="0.25">
      <c r="A1085" t="s">
        <v>669</v>
      </c>
      <c r="B1085">
        <v>1.7498</v>
      </c>
      <c r="C1085">
        <v>1.7498</v>
      </c>
      <c r="D1085" t="s">
        <v>303</v>
      </c>
      <c r="E1085" t="s">
        <v>910</v>
      </c>
      <c r="F1085" t="s">
        <v>910</v>
      </c>
      <c r="J1085">
        <v>1.7498</v>
      </c>
      <c r="K1085">
        <v>1.7498</v>
      </c>
      <c r="L1085" t="s">
        <v>303</v>
      </c>
      <c r="M1085">
        <v>1.7498</v>
      </c>
      <c r="N1085">
        <v>1.7498</v>
      </c>
      <c r="O1085" t="s">
        <v>303</v>
      </c>
      <c r="P1085">
        <f t="shared" si="16"/>
        <v>0</v>
      </c>
    </row>
    <row r="1086" spans="1:16" x14ac:dyDescent="0.25">
      <c r="A1086" t="s">
        <v>669</v>
      </c>
      <c r="B1086">
        <v>1.57</v>
      </c>
      <c r="C1086">
        <v>1.75</v>
      </c>
      <c r="D1086" t="s">
        <v>860</v>
      </c>
      <c r="E1086" t="s">
        <v>910</v>
      </c>
      <c r="F1086" t="s">
        <v>910</v>
      </c>
      <c r="J1086">
        <v>1.75</v>
      </c>
      <c r="K1086">
        <v>1.57</v>
      </c>
      <c r="L1086" t="s">
        <v>303</v>
      </c>
      <c r="M1086">
        <v>1.75</v>
      </c>
      <c r="N1086">
        <v>1.57</v>
      </c>
      <c r="O1086" t="s">
        <v>303</v>
      </c>
      <c r="P1086">
        <f t="shared" si="16"/>
        <v>0</v>
      </c>
    </row>
    <row r="1087" spans="1:16" x14ac:dyDescent="0.25">
      <c r="A1087" t="s">
        <v>669</v>
      </c>
      <c r="B1087">
        <v>1.75</v>
      </c>
      <c r="C1087">
        <v>1.75</v>
      </c>
      <c r="D1087" t="s">
        <v>303</v>
      </c>
      <c r="E1087" t="s">
        <v>910</v>
      </c>
      <c r="F1087" t="s">
        <v>910</v>
      </c>
      <c r="J1087">
        <v>1.75</v>
      </c>
      <c r="K1087">
        <v>1.75</v>
      </c>
      <c r="L1087" t="s">
        <v>303</v>
      </c>
      <c r="M1087">
        <v>1.75</v>
      </c>
      <c r="N1087">
        <v>1.75</v>
      </c>
      <c r="O1087" t="s">
        <v>303</v>
      </c>
      <c r="P1087">
        <f t="shared" si="16"/>
        <v>0</v>
      </c>
    </row>
    <row r="1088" spans="1:16" x14ac:dyDescent="0.25">
      <c r="A1088" t="s">
        <v>669</v>
      </c>
      <c r="B1088">
        <v>1.7709999999999999</v>
      </c>
      <c r="C1088">
        <v>1.7709999999999999</v>
      </c>
      <c r="D1088" t="s">
        <v>303</v>
      </c>
      <c r="E1088" t="s">
        <v>910</v>
      </c>
      <c r="F1088" t="s">
        <v>910</v>
      </c>
      <c r="J1088">
        <v>1.7709999999999999</v>
      </c>
      <c r="K1088">
        <v>1.7709999999999999</v>
      </c>
      <c r="L1088" t="s">
        <v>303</v>
      </c>
      <c r="M1088">
        <v>1.7709999999999999</v>
      </c>
      <c r="N1088">
        <v>1.7709999999999999</v>
      </c>
      <c r="O1088" t="s">
        <v>303</v>
      </c>
      <c r="P1088">
        <f t="shared" si="16"/>
        <v>0</v>
      </c>
    </row>
    <row r="1089" spans="1:16" x14ac:dyDescent="0.25">
      <c r="A1089" t="s">
        <v>669</v>
      </c>
      <c r="B1089">
        <v>1.7789999999999999</v>
      </c>
      <c r="C1089">
        <v>1.7789999999999999</v>
      </c>
      <c r="D1089" t="s">
        <v>303</v>
      </c>
      <c r="E1089" t="s">
        <v>910</v>
      </c>
      <c r="F1089" t="s">
        <v>910</v>
      </c>
      <c r="J1089">
        <v>1.7789999999999999</v>
      </c>
      <c r="K1089">
        <v>1.7789999999999999</v>
      </c>
      <c r="L1089" t="s">
        <v>303</v>
      </c>
      <c r="M1089">
        <v>1.7789999999999999</v>
      </c>
      <c r="N1089">
        <v>1.7789999999999999</v>
      </c>
      <c r="O1089" t="s">
        <v>303</v>
      </c>
      <c r="P1089">
        <f t="shared" si="16"/>
        <v>0</v>
      </c>
    </row>
    <row r="1090" spans="1:16" x14ac:dyDescent="0.25">
      <c r="A1090" t="s">
        <v>527</v>
      </c>
      <c r="B1090">
        <v>1789.65</v>
      </c>
      <c r="C1090">
        <v>1789.65</v>
      </c>
      <c r="D1090" t="s">
        <v>887</v>
      </c>
      <c r="E1090">
        <v>8</v>
      </c>
      <c r="F1090">
        <v>8</v>
      </c>
      <c r="G1090" t="s">
        <v>687</v>
      </c>
      <c r="H1090" t="s">
        <v>687</v>
      </c>
      <c r="J1090">
        <v>1.7896500000000002</v>
      </c>
      <c r="K1090">
        <v>1.7896500000000002</v>
      </c>
      <c r="L1090" t="s">
        <v>303</v>
      </c>
      <c r="M1090">
        <v>1789.65</v>
      </c>
      <c r="N1090">
        <v>1789.65</v>
      </c>
      <c r="O1090" t="s">
        <v>862</v>
      </c>
      <c r="P1090">
        <f t="shared" si="16"/>
        <v>0</v>
      </c>
    </row>
    <row r="1091" spans="1:16" x14ac:dyDescent="0.25">
      <c r="A1091" t="s">
        <v>669</v>
      </c>
      <c r="B1091">
        <v>1.796</v>
      </c>
      <c r="C1091">
        <v>1.796</v>
      </c>
      <c r="D1091" t="s">
        <v>303</v>
      </c>
      <c r="E1091" t="s">
        <v>910</v>
      </c>
      <c r="F1091" t="s">
        <v>910</v>
      </c>
      <c r="J1091">
        <v>1.796</v>
      </c>
      <c r="K1091">
        <v>1.796</v>
      </c>
      <c r="L1091" t="s">
        <v>303</v>
      </c>
      <c r="M1091">
        <v>1.796</v>
      </c>
      <c r="N1091">
        <v>1.796</v>
      </c>
      <c r="O1091" t="s">
        <v>303</v>
      </c>
      <c r="P1091">
        <f t="shared" ref="P1091:P1154" si="17">LEN(I1091)</f>
        <v>0</v>
      </c>
    </row>
    <row r="1092" spans="1:16" x14ac:dyDescent="0.25">
      <c r="A1092" t="s">
        <v>527</v>
      </c>
      <c r="B1092">
        <v>1797.2860000000001</v>
      </c>
      <c r="C1092">
        <v>1797.2860000000001</v>
      </c>
      <c r="D1092" t="s">
        <v>887</v>
      </c>
      <c r="E1092">
        <v>8</v>
      </c>
      <c r="F1092">
        <v>8</v>
      </c>
      <c r="G1092" t="s">
        <v>687</v>
      </c>
      <c r="H1092" t="s">
        <v>687</v>
      </c>
      <c r="J1092">
        <v>1.7972860000000002</v>
      </c>
      <c r="K1092">
        <v>1.7972860000000002</v>
      </c>
      <c r="L1092" t="s">
        <v>303</v>
      </c>
      <c r="M1092">
        <v>1797.2860000000001</v>
      </c>
      <c r="N1092">
        <v>1797.2860000000001</v>
      </c>
      <c r="O1092" t="s">
        <v>862</v>
      </c>
      <c r="P1092">
        <f t="shared" si="17"/>
        <v>0</v>
      </c>
    </row>
    <row r="1093" spans="1:16" x14ac:dyDescent="0.25">
      <c r="A1093" t="s">
        <v>92</v>
      </c>
      <c r="B1093">
        <v>0.01</v>
      </c>
      <c r="C1093">
        <v>1.8</v>
      </c>
      <c r="D1093" t="s">
        <v>303</v>
      </c>
      <c r="E1093">
        <v>11</v>
      </c>
      <c r="F1093">
        <v>11</v>
      </c>
      <c r="G1093" t="s">
        <v>702</v>
      </c>
      <c r="H1093" t="s">
        <v>702</v>
      </c>
      <c r="J1093">
        <v>1.8</v>
      </c>
      <c r="K1093">
        <v>0.01</v>
      </c>
      <c r="L1093" t="s">
        <v>303</v>
      </c>
      <c r="M1093">
        <v>1.8</v>
      </c>
      <c r="N1093">
        <v>0.01</v>
      </c>
      <c r="O1093" t="s">
        <v>303</v>
      </c>
      <c r="P1093">
        <f t="shared" si="17"/>
        <v>0</v>
      </c>
    </row>
    <row r="1094" spans="1:16" x14ac:dyDescent="0.25">
      <c r="A1094" t="s">
        <v>669</v>
      </c>
      <c r="B1094">
        <v>1.2</v>
      </c>
      <c r="C1094">
        <v>1.8</v>
      </c>
      <c r="D1094" t="s">
        <v>303</v>
      </c>
      <c r="E1094" t="s">
        <v>910</v>
      </c>
      <c r="F1094" t="s">
        <v>910</v>
      </c>
      <c r="J1094">
        <v>1.8</v>
      </c>
      <c r="K1094">
        <v>1.2</v>
      </c>
      <c r="L1094" t="s">
        <v>303</v>
      </c>
      <c r="M1094">
        <v>1.8</v>
      </c>
      <c r="N1094">
        <v>1.2</v>
      </c>
      <c r="O1094" t="s">
        <v>303</v>
      </c>
      <c r="P1094">
        <f t="shared" si="17"/>
        <v>0</v>
      </c>
    </row>
    <row r="1095" spans="1:16" x14ac:dyDescent="0.25">
      <c r="A1095" t="s">
        <v>669</v>
      </c>
      <c r="B1095">
        <v>1.8</v>
      </c>
      <c r="C1095">
        <v>1.8</v>
      </c>
      <c r="D1095" t="s">
        <v>303</v>
      </c>
      <c r="E1095" t="s">
        <v>910</v>
      </c>
      <c r="F1095" t="s">
        <v>910</v>
      </c>
      <c r="J1095">
        <v>1.8</v>
      </c>
      <c r="K1095">
        <v>1.8</v>
      </c>
      <c r="L1095" t="s">
        <v>303</v>
      </c>
      <c r="M1095">
        <v>1.8</v>
      </c>
      <c r="N1095">
        <v>1.8</v>
      </c>
      <c r="O1095" t="s">
        <v>303</v>
      </c>
      <c r="P1095">
        <f t="shared" si="17"/>
        <v>0</v>
      </c>
    </row>
    <row r="1096" spans="1:16" x14ac:dyDescent="0.25">
      <c r="A1096" t="s">
        <v>669</v>
      </c>
      <c r="B1096">
        <v>1.8169999999999999</v>
      </c>
      <c r="C1096">
        <v>1.8169999999999999</v>
      </c>
      <c r="D1096" t="s">
        <v>303</v>
      </c>
      <c r="E1096" t="s">
        <v>910</v>
      </c>
      <c r="F1096" t="s">
        <v>910</v>
      </c>
      <c r="J1096">
        <v>1.8169999999999999</v>
      </c>
      <c r="K1096">
        <v>1.8169999999999999</v>
      </c>
      <c r="L1096" t="s">
        <v>303</v>
      </c>
      <c r="M1096">
        <v>1.8169999999999999</v>
      </c>
      <c r="N1096">
        <v>1.8169999999999999</v>
      </c>
      <c r="O1096" t="s">
        <v>303</v>
      </c>
      <c r="P1096">
        <f t="shared" si="17"/>
        <v>0</v>
      </c>
    </row>
    <row r="1097" spans="1:16" x14ac:dyDescent="0.25">
      <c r="A1097" t="s">
        <v>669</v>
      </c>
      <c r="B1097">
        <v>1.82</v>
      </c>
      <c r="C1097">
        <v>1.82</v>
      </c>
      <c r="D1097" t="s">
        <v>303</v>
      </c>
      <c r="E1097" t="s">
        <v>910</v>
      </c>
      <c r="F1097" t="s">
        <v>910</v>
      </c>
      <c r="J1097">
        <v>1.82</v>
      </c>
      <c r="K1097">
        <v>1.82</v>
      </c>
      <c r="L1097" t="s">
        <v>303</v>
      </c>
      <c r="M1097">
        <v>1.82</v>
      </c>
      <c r="N1097">
        <v>1.82</v>
      </c>
      <c r="O1097" t="s">
        <v>303</v>
      </c>
      <c r="P1097">
        <f t="shared" si="17"/>
        <v>0</v>
      </c>
    </row>
    <row r="1098" spans="1:16" x14ac:dyDescent="0.25">
      <c r="A1098" t="s">
        <v>669</v>
      </c>
      <c r="B1098">
        <v>1.825</v>
      </c>
      <c r="C1098">
        <v>1.825</v>
      </c>
      <c r="D1098" t="s">
        <v>303</v>
      </c>
      <c r="E1098" t="s">
        <v>910</v>
      </c>
      <c r="F1098" t="s">
        <v>910</v>
      </c>
      <c r="J1098">
        <v>1.825</v>
      </c>
      <c r="K1098">
        <v>1.825</v>
      </c>
      <c r="L1098" t="s">
        <v>303</v>
      </c>
      <c r="M1098">
        <v>1.825</v>
      </c>
      <c r="N1098">
        <v>1.825</v>
      </c>
      <c r="O1098" t="s">
        <v>303</v>
      </c>
      <c r="P1098">
        <f t="shared" si="17"/>
        <v>0</v>
      </c>
    </row>
    <row r="1099" spans="1:16" x14ac:dyDescent="0.25">
      <c r="A1099" t="s">
        <v>669</v>
      </c>
      <c r="B1099">
        <v>1.8270999999999999</v>
      </c>
      <c r="C1099">
        <v>1.8270999999999999</v>
      </c>
      <c r="D1099" t="s">
        <v>303</v>
      </c>
      <c r="E1099" t="s">
        <v>910</v>
      </c>
      <c r="F1099" t="s">
        <v>910</v>
      </c>
      <c r="J1099">
        <v>1.8270999999999999</v>
      </c>
      <c r="K1099">
        <v>1.8270999999999999</v>
      </c>
      <c r="L1099" t="s">
        <v>303</v>
      </c>
      <c r="M1099">
        <v>1.8270999999999999</v>
      </c>
      <c r="N1099">
        <v>1.8270999999999999</v>
      </c>
      <c r="O1099" t="s">
        <v>303</v>
      </c>
      <c r="P1099">
        <f t="shared" si="17"/>
        <v>0</v>
      </c>
    </row>
    <row r="1100" spans="1:16" x14ac:dyDescent="0.25">
      <c r="A1100" t="s">
        <v>669</v>
      </c>
      <c r="B1100">
        <v>1.83</v>
      </c>
      <c r="C1100">
        <v>1.83</v>
      </c>
      <c r="D1100" t="s">
        <v>303</v>
      </c>
      <c r="E1100" t="s">
        <v>910</v>
      </c>
      <c r="F1100" t="s">
        <v>910</v>
      </c>
      <c r="J1100">
        <v>1.83</v>
      </c>
      <c r="K1100">
        <v>1.83</v>
      </c>
      <c r="L1100" t="s">
        <v>303</v>
      </c>
      <c r="M1100">
        <v>1.83</v>
      </c>
      <c r="N1100">
        <v>1.83</v>
      </c>
      <c r="O1100" t="s">
        <v>303</v>
      </c>
      <c r="P1100">
        <f t="shared" si="17"/>
        <v>0</v>
      </c>
    </row>
    <row r="1101" spans="1:16" x14ac:dyDescent="0.25">
      <c r="A1101" t="s">
        <v>527</v>
      </c>
      <c r="B1101">
        <v>1836.5940000000001</v>
      </c>
      <c r="C1101">
        <v>1836.5940000000001</v>
      </c>
      <c r="D1101" t="s">
        <v>887</v>
      </c>
      <c r="E1101">
        <v>8</v>
      </c>
      <c r="F1101">
        <v>8</v>
      </c>
      <c r="G1101" t="s">
        <v>687</v>
      </c>
      <c r="H1101" t="s">
        <v>687</v>
      </c>
      <c r="J1101">
        <v>1.8365940000000001</v>
      </c>
      <c r="K1101">
        <v>1.8365940000000001</v>
      </c>
      <c r="L1101" t="s">
        <v>303</v>
      </c>
      <c r="M1101">
        <v>1836.5940000000001</v>
      </c>
      <c r="N1101">
        <v>1836.5940000000001</v>
      </c>
      <c r="O1101" t="s">
        <v>862</v>
      </c>
      <c r="P1101">
        <f t="shared" si="17"/>
        <v>0</v>
      </c>
    </row>
    <row r="1102" spans="1:16" x14ac:dyDescent="0.25">
      <c r="A1102" t="s">
        <v>527</v>
      </c>
      <c r="B1102">
        <v>1842.6669999999999</v>
      </c>
      <c r="C1102">
        <v>1842.6669999999999</v>
      </c>
      <c r="D1102" t="s">
        <v>887</v>
      </c>
      <c r="E1102">
        <v>8</v>
      </c>
      <c r="F1102">
        <v>8</v>
      </c>
      <c r="G1102" t="s">
        <v>687</v>
      </c>
      <c r="H1102" t="s">
        <v>687</v>
      </c>
      <c r="J1102">
        <v>1.8426669999999998</v>
      </c>
      <c r="K1102">
        <v>1.8426669999999998</v>
      </c>
      <c r="L1102" t="s">
        <v>303</v>
      </c>
      <c r="M1102">
        <v>1842.6669999999999</v>
      </c>
      <c r="N1102">
        <v>1842.6669999999999</v>
      </c>
      <c r="O1102" t="s">
        <v>862</v>
      </c>
      <c r="P1102">
        <f t="shared" si="17"/>
        <v>0</v>
      </c>
    </row>
    <row r="1103" spans="1:16" x14ac:dyDescent="0.25">
      <c r="A1103" t="s">
        <v>669</v>
      </c>
      <c r="B1103">
        <v>1.8446</v>
      </c>
      <c r="C1103">
        <v>1.8446</v>
      </c>
      <c r="D1103" t="s">
        <v>303</v>
      </c>
      <c r="E1103" t="s">
        <v>910</v>
      </c>
      <c r="F1103" t="s">
        <v>910</v>
      </c>
      <c r="J1103">
        <v>1.8446</v>
      </c>
      <c r="K1103">
        <v>1.8446</v>
      </c>
      <c r="L1103" t="s">
        <v>303</v>
      </c>
      <c r="M1103">
        <v>1.8446</v>
      </c>
      <c r="N1103">
        <v>1.8446</v>
      </c>
      <c r="O1103" t="s">
        <v>303</v>
      </c>
      <c r="P1103">
        <f t="shared" si="17"/>
        <v>0</v>
      </c>
    </row>
    <row r="1104" spans="1:16" x14ac:dyDescent="0.25">
      <c r="A1104" t="s">
        <v>527</v>
      </c>
      <c r="B1104">
        <v>1853.194</v>
      </c>
      <c r="C1104">
        <v>1853.194</v>
      </c>
      <c r="D1104" t="s">
        <v>887</v>
      </c>
      <c r="E1104">
        <v>8</v>
      </c>
      <c r="F1104">
        <v>8</v>
      </c>
      <c r="G1104" t="s">
        <v>687</v>
      </c>
      <c r="H1104" t="s">
        <v>687</v>
      </c>
      <c r="J1104">
        <v>1.853194</v>
      </c>
      <c r="K1104">
        <v>1.853194</v>
      </c>
      <c r="L1104" t="s">
        <v>303</v>
      </c>
      <c r="M1104">
        <v>1853.194</v>
      </c>
      <c r="N1104">
        <v>1853.194</v>
      </c>
      <c r="O1104" t="s">
        <v>862</v>
      </c>
      <c r="P1104">
        <f t="shared" si="17"/>
        <v>0</v>
      </c>
    </row>
    <row r="1105" spans="1:16" x14ac:dyDescent="0.25">
      <c r="A1105" t="s">
        <v>527</v>
      </c>
      <c r="B1105">
        <v>1858.0229999999999</v>
      </c>
      <c r="C1105">
        <v>1858.0229999999999</v>
      </c>
      <c r="D1105" t="s">
        <v>887</v>
      </c>
      <c r="E1105">
        <v>8</v>
      </c>
      <c r="F1105">
        <v>8</v>
      </c>
      <c r="G1105" t="s">
        <v>687</v>
      </c>
      <c r="H1105" t="s">
        <v>687</v>
      </c>
      <c r="J1105">
        <v>1.858023</v>
      </c>
      <c r="K1105">
        <v>1.858023</v>
      </c>
      <c r="L1105" t="s">
        <v>303</v>
      </c>
      <c r="M1105">
        <v>1858.0229999999999</v>
      </c>
      <c r="N1105">
        <v>1858.0229999999999</v>
      </c>
      <c r="O1105" t="s">
        <v>862</v>
      </c>
      <c r="P1105">
        <f t="shared" si="17"/>
        <v>0</v>
      </c>
    </row>
    <row r="1106" spans="1:16" x14ac:dyDescent="0.25">
      <c r="A1106" t="s">
        <v>669</v>
      </c>
      <c r="B1106">
        <v>1.859</v>
      </c>
      <c r="C1106">
        <v>1.859</v>
      </c>
      <c r="D1106" t="s">
        <v>303</v>
      </c>
      <c r="E1106" t="s">
        <v>910</v>
      </c>
      <c r="F1106" t="s">
        <v>910</v>
      </c>
      <c r="J1106">
        <v>1.859</v>
      </c>
      <c r="K1106">
        <v>1.859</v>
      </c>
      <c r="L1106" t="s">
        <v>303</v>
      </c>
      <c r="M1106">
        <v>1.859</v>
      </c>
      <c r="N1106">
        <v>1.859</v>
      </c>
      <c r="O1106" t="s">
        <v>303</v>
      </c>
      <c r="P1106">
        <f t="shared" si="17"/>
        <v>0</v>
      </c>
    </row>
    <row r="1107" spans="1:16" x14ac:dyDescent="0.25">
      <c r="A1107" t="s">
        <v>669</v>
      </c>
      <c r="B1107">
        <v>1.875</v>
      </c>
      <c r="C1107">
        <v>1.875</v>
      </c>
      <c r="D1107" t="s">
        <v>303</v>
      </c>
      <c r="E1107" t="s">
        <v>910</v>
      </c>
      <c r="F1107" t="s">
        <v>910</v>
      </c>
      <c r="J1107">
        <v>1.875</v>
      </c>
      <c r="K1107">
        <v>1.875</v>
      </c>
      <c r="L1107" t="s">
        <v>303</v>
      </c>
      <c r="M1107">
        <v>1.875</v>
      </c>
      <c r="N1107">
        <v>1.875</v>
      </c>
      <c r="O1107" t="s">
        <v>303</v>
      </c>
      <c r="P1107">
        <f t="shared" si="17"/>
        <v>0</v>
      </c>
    </row>
    <row r="1108" spans="1:16" x14ac:dyDescent="0.25">
      <c r="A1108" t="s">
        <v>527</v>
      </c>
      <c r="B1108">
        <v>1875.9649999999999</v>
      </c>
      <c r="C1108">
        <v>1875.9649999999999</v>
      </c>
      <c r="D1108" t="s">
        <v>887</v>
      </c>
      <c r="E1108">
        <v>8</v>
      </c>
      <c r="F1108">
        <v>8</v>
      </c>
      <c r="G1108" t="s">
        <v>687</v>
      </c>
      <c r="H1108" t="s">
        <v>687</v>
      </c>
      <c r="J1108">
        <v>1.8759649999999999</v>
      </c>
      <c r="K1108">
        <v>1.8759649999999999</v>
      </c>
      <c r="L1108" t="s">
        <v>303</v>
      </c>
      <c r="M1108">
        <v>1875.9649999999999</v>
      </c>
      <c r="N1108">
        <v>1875.9649999999999</v>
      </c>
      <c r="O1108" t="s">
        <v>862</v>
      </c>
      <c r="P1108">
        <f t="shared" si="17"/>
        <v>0</v>
      </c>
    </row>
    <row r="1109" spans="1:16" x14ac:dyDescent="0.25">
      <c r="A1109" t="s">
        <v>669</v>
      </c>
      <c r="B1109">
        <v>1.88</v>
      </c>
      <c r="C1109">
        <v>1.88</v>
      </c>
      <c r="D1109" t="s">
        <v>303</v>
      </c>
      <c r="E1109" t="s">
        <v>910</v>
      </c>
      <c r="F1109" t="s">
        <v>910</v>
      </c>
      <c r="J1109">
        <v>1.88</v>
      </c>
      <c r="K1109">
        <v>1.88</v>
      </c>
      <c r="L1109" t="s">
        <v>303</v>
      </c>
      <c r="M1109">
        <v>1.88</v>
      </c>
      <c r="N1109">
        <v>1.88</v>
      </c>
      <c r="O1109" t="s">
        <v>303</v>
      </c>
      <c r="P1109">
        <f t="shared" si="17"/>
        <v>0</v>
      </c>
    </row>
    <row r="1110" spans="1:16" x14ac:dyDescent="0.25">
      <c r="A1110" t="s">
        <v>527</v>
      </c>
      <c r="B1110">
        <v>1880.7329999999999</v>
      </c>
      <c r="C1110">
        <v>1880.7329999999999</v>
      </c>
      <c r="D1110" t="s">
        <v>887</v>
      </c>
      <c r="E1110">
        <v>8</v>
      </c>
      <c r="F1110">
        <v>8</v>
      </c>
      <c r="G1110" t="s">
        <v>687</v>
      </c>
      <c r="H1110" t="s">
        <v>687</v>
      </c>
      <c r="J1110">
        <v>1.880733</v>
      </c>
      <c r="K1110">
        <v>1.880733</v>
      </c>
      <c r="L1110" t="s">
        <v>303</v>
      </c>
      <c r="M1110">
        <v>1880.7329999999999</v>
      </c>
      <c r="N1110">
        <v>1880.7329999999999</v>
      </c>
      <c r="O1110" t="s">
        <v>862</v>
      </c>
      <c r="P1110">
        <f t="shared" si="17"/>
        <v>0</v>
      </c>
    </row>
    <row r="1111" spans="1:16" x14ac:dyDescent="0.25">
      <c r="A1111" t="s">
        <v>669</v>
      </c>
      <c r="B1111">
        <v>1.76</v>
      </c>
      <c r="C1111">
        <v>1.9</v>
      </c>
      <c r="D1111" t="s">
        <v>669</v>
      </c>
      <c r="E1111">
        <v>8</v>
      </c>
      <c r="F1111">
        <v>8</v>
      </c>
      <c r="G1111" t="s">
        <v>687</v>
      </c>
      <c r="H1111" t="s">
        <v>687</v>
      </c>
      <c r="I1111" t="s">
        <v>927</v>
      </c>
      <c r="J1111">
        <v>1.9</v>
      </c>
      <c r="K1111">
        <v>1.76</v>
      </c>
      <c r="L1111" t="s">
        <v>930</v>
      </c>
      <c r="M1111">
        <v>1.9</v>
      </c>
      <c r="N1111">
        <v>1.76</v>
      </c>
      <c r="P1111">
        <f t="shared" si="17"/>
        <v>14</v>
      </c>
    </row>
    <row r="1112" spans="1:16" x14ac:dyDescent="0.25">
      <c r="A1112" t="s">
        <v>669</v>
      </c>
      <c r="B1112">
        <v>1.9</v>
      </c>
      <c r="C1112">
        <v>1.9</v>
      </c>
      <c r="D1112" t="s">
        <v>303</v>
      </c>
      <c r="E1112" t="s">
        <v>910</v>
      </c>
      <c r="F1112" t="s">
        <v>910</v>
      </c>
      <c r="J1112">
        <v>1.9</v>
      </c>
      <c r="K1112">
        <v>1.9</v>
      </c>
      <c r="L1112" t="s">
        <v>303</v>
      </c>
      <c r="M1112">
        <v>1.9</v>
      </c>
      <c r="N1112">
        <v>1.9</v>
      </c>
      <c r="O1112" t="s">
        <v>303</v>
      </c>
      <c r="P1112">
        <f t="shared" si="17"/>
        <v>0</v>
      </c>
    </row>
    <row r="1113" spans="1:16" x14ac:dyDescent="0.25">
      <c r="A1113" t="s">
        <v>669</v>
      </c>
      <c r="B1113">
        <v>1.9</v>
      </c>
      <c r="C1113">
        <v>1.9</v>
      </c>
      <c r="D1113" t="s">
        <v>860</v>
      </c>
      <c r="E1113" t="s">
        <v>910</v>
      </c>
      <c r="F1113" t="s">
        <v>910</v>
      </c>
      <c r="J1113">
        <v>1.9</v>
      </c>
      <c r="K1113">
        <v>1.9</v>
      </c>
      <c r="L1113" t="s">
        <v>303</v>
      </c>
      <c r="M1113">
        <v>1.9</v>
      </c>
      <c r="N1113">
        <v>1.9</v>
      </c>
      <c r="O1113" t="s">
        <v>303</v>
      </c>
      <c r="P1113">
        <f t="shared" si="17"/>
        <v>0</v>
      </c>
    </row>
    <row r="1114" spans="1:16" x14ac:dyDescent="0.25">
      <c r="A1114" t="s">
        <v>527</v>
      </c>
      <c r="B1114">
        <v>1.59</v>
      </c>
      <c r="C1114">
        <v>1.93</v>
      </c>
      <c r="D1114" t="s">
        <v>669</v>
      </c>
      <c r="E1114">
        <v>8</v>
      </c>
      <c r="F1114">
        <v>8</v>
      </c>
      <c r="G1114" t="s">
        <v>687</v>
      </c>
      <c r="H1114" t="s">
        <v>687</v>
      </c>
      <c r="I1114" t="s">
        <v>927</v>
      </c>
      <c r="J1114">
        <v>1.93</v>
      </c>
      <c r="K1114">
        <v>1.59</v>
      </c>
      <c r="L1114" t="s">
        <v>930</v>
      </c>
      <c r="M1114">
        <v>1.93</v>
      </c>
      <c r="N1114">
        <v>1.59</v>
      </c>
      <c r="P1114">
        <f t="shared" si="17"/>
        <v>14</v>
      </c>
    </row>
    <row r="1115" spans="1:16" x14ac:dyDescent="0.25">
      <c r="A1115" t="s">
        <v>669</v>
      </c>
      <c r="B1115">
        <v>1.85</v>
      </c>
      <c r="C1115">
        <v>1.93</v>
      </c>
      <c r="D1115" t="s">
        <v>669</v>
      </c>
      <c r="E1115">
        <v>8</v>
      </c>
      <c r="F1115">
        <v>8</v>
      </c>
      <c r="G1115" t="s">
        <v>687</v>
      </c>
      <c r="H1115" t="s">
        <v>687</v>
      </c>
      <c r="I1115" t="s">
        <v>927</v>
      </c>
      <c r="J1115">
        <v>1.93</v>
      </c>
      <c r="K1115">
        <v>1.85</v>
      </c>
      <c r="L1115" t="s">
        <v>930</v>
      </c>
      <c r="M1115">
        <v>1.93</v>
      </c>
      <c r="N1115">
        <v>1.85</v>
      </c>
      <c r="P1115">
        <f t="shared" si="17"/>
        <v>14</v>
      </c>
    </row>
    <row r="1116" spans="1:16" x14ac:dyDescent="0.25">
      <c r="A1116" t="s">
        <v>669</v>
      </c>
      <c r="B1116">
        <v>1.93</v>
      </c>
      <c r="C1116">
        <v>1.93</v>
      </c>
      <c r="D1116" t="s">
        <v>303</v>
      </c>
      <c r="E1116" t="s">
        <v>910</v>
      </c>
      <c r="F1116" t="s">
        <v>910</v>
      </c>
      <c r="J1116">
        <v>1.93</v>
      </c>
      <c r="K1116">
        <v>1.93</v>
      </c>
      <c r="L1116" t="s">
        <v>303</v>
      </c>
      <c r="M1116">
        <v>1.93</v>
      </c>
      <c r="N1116">
        <v>1.93</v>
      </c>
      <c r="O1116" t="s">
        <v>303</v>
      </c>
      <c r="P1116">
        <f t="shared" si="17"/>
        <v>0</v>
      </c>
    </row>
    <row r="1117" spans="1:16" x14ac:dyDescent="0.25">
      <c r="A1117" t="s">
        <v>527</v>
      </c>
      <c r="B1117">
        <v>1939.6869999999999</v>
      </c>
      <c r="C1117">
        <v>1939.6869999999999</v>
      </c>
      <c r="D1117" t="s">
        <v>887</v>
      </c>
      <c r="E1117">
        <v>8</v>
      </c>
      <c r="F1117">
        <v>8</v>
      </c>
      <c r="G1117" t="s">
        <v>687</v>
      </c>
      <c r="H1117" t="s">
        <v>687</v>
      </c>
      <c r="J1117">
        <v>1.9396869999999999</v>
      </c>
      <c r="K1117">
        <v>1.9396869999999999</v>
      </c>
      <c r="L1117" t="s">
        <v>303</v>
      </c>
      <c r="M1117">
        <v>1939.6869999999999</v>
      </c>
      <c r="N1117">
        <v>1939.6869999999999</v>
      </c>
      <c r="O1117" t="s">
        <v>862</v>
      </c>
      <c r="P1117">
        <f t="shared" si="17"/>
        <v>0</v>
      </c>
    </row>
    <row r="1118" spans="1:16" x14ac:dyDescent="0.25">
      <c r="A1118" t="s">
        <v>527</v>
      </c>
      <c r="B1118">
        <v>1940.5229999999999</v>
      </c>
      <c r="C1118">
        <v>1940.5229999999999</v>
      </c>
      <c r="D1118" t="s">
        <v>887</v>
      </c>
      <c r="E1118">
        <v>8</v>
      </c>
      <c r="F1118">
        <v>8</v>
      </c>
      <c r="G1118" t="s">
        <v>687</v>
      </c>
      <c r="H1118" t="s">
        <v>687</v>
      </c>
      <c r="J1118">
        <v>1.940523</v>
      </c>
      <c r="K1118">
        <v>1.940523</v>
      </c>
      <c r="L1118" t="s">
        <v>303</v>
      </c>
      <c r="M1118">
        <v>1940.5229999999999</v>
      </c>
      <c r="N1118">
        <v>1940.5229999999999</v>
      </c>
      <c r="O1118" t="s">
        <v>862</v>
      </c>
      <c r="P1118">
        <f t="shared" si="17"/>
        <v>0</v>
      </c>
    </row>
    <row r="1119" spans="1:16" x14ac:dyDescent="0.25">
      <c r="A1119" t="s">
        <v>669</v>
      </c>
      <c r="B1119">
        <v>1.9490000000000001</v>
      </c>
      <c r="C1119">
        <v>1.9490000000000001</v>
      </c>
      <c r="D1119" t="s">
        <v>303</v>
      </c>
      <c r="E1119" t="s">
        <v>910</v>
      </c>
      <c r="F1119" t="s">
        <v>910</v>
      </c>
      <c r="J1119">
        <v>1.9490000000000001</v>
      </c>
      <c r="K1119">
        <v>1.9490000000000001</v>
      </c>
      <c r="L1119" t="s">
        <v>303</v>
      </c>
      <c r="M1119">
        <v>1.9490000000000001</v>
      </c>
      <c r="N1119">
        <v>1.9490000000000001</v>
      </c>
      <c r="O1119" t="s">
        <v>303</v>
      </c>
      <c r="P1119">
        <f t="shared" si="17"/>
        <v>0</v>
      </c>
    </row>
    <row r="1120" spans="1:16" x14ac:dyDescent="0.25">
      <c r="A1120" t="s">
        <v>669</v>
      </c>
      <c r="B1120">
        <v>1.75</v>
      </c>
      <c r="C1120">
        <v>1.95</v>
      </c>
      <c r="D1120" t="s">
        <v>860</v>
      </c>
      <c r="E1120" t="s">
        <v>910</v>
      </c>
      <c r="F1120" t="s">
        <v>910</v>
      </c>
      <c r="J1120">
        <v>1.95</v>
      </c>
      <c r="K1120">
        <v>1.75</v>
      </c>
      <c r="L1120" t="s">
        <v>303</v>
      </c>
      <c r="M1120">
        <v>1.95</v>
      </c>
      <c r="N1120">
        <v>1.75</v>
      </c>
      <c r="O1120" t="s">
        <v>303</v>
      </c>
      <c r="P1120">
        <f t="shared" si="17"/>
        <v>0</v>
      </c>
    </row>
    <row r="1121" spans="1:16" x14ac:dyDescent="0.25">
      <c r="A1121" t="s">
        <v>669</v>
      </c>
      <c r="B1121">
        <v>1.96</v>
      </c>
      <c r="C1121">
        <v>1.96</v>
      </c>
      <c r="D1121" t="s">
        <v>303</v>
      </c>
      <c r="E1121" t="s">
        <v>910</v>
      </c>
      <c r="F1121" t="s">
        <v>910</v>
      </c>
      <c r="J1121">
        <v>1.96</v>
      </c>
      <c r="K1121">
        <v>1.96</v>
      </c>
      <c r="L1121" t="s">
        <v>303</v>
      </c>
      <c r="M1121">
        <v>1.96</v>
      </c>
      <c r="N1121">
        <v>1.96</v>
      </c>
      <c r="O1121" t="s">
        <v>303</v>
      </c>
      <c r="P1121">
        <f t="shared" si="17"/>
        <v>0</v>
      </c>
    </row>
    <row r="1122" spans="1:16" x14ac:dyDescent="0.25">
      <c r="A1122" t="s">
        <v>669</v>
      </c>
      <c r="B1122">
        <v>1.9601999999999999</v>
      </c>
      <c r="C1122">
        <v>1.9601999999999999</v>
      </c>
      <c r="D1122" t="s">
        <v>303</v>
      </c>
      <c r="E1122" t="s">
        <v>910</v>
      </c>
      <c r="F1122" t="s">
        <v>910</v>
      </c>
      <c r="J1122">
        <v>1.9601999999999999</v>
      </c>
      <c r="K1122">
        <v>1.9601999999999999</v>
      </c>
      <c r="L1122" t="s">
        <v>303</v>
      </c>
      <c r="M1122">
        <v>1.9601999999999999</v>
      </c>
      <c r="N1122">
        <v>1.9601999999999999</v>
      </c>
      <c r="O1122" t="s">
        <v>303</v>
      </c>
      <c r="P1122">
        <f t="shared" si="17"/>
        <v>0</v>
      </c>
    </row>
    <row r="1123" spans="1:16" x14ac:dyDescent="0.25">
      <c r="A1123" t="s">
        <v>669</v>
      </c>
      <c r="B1123">
        <v>1.9608000000000001</v>
      </c>
      <c r="C1123">
        <v>1.9608000000000001</v>
      </c>
      <c r="D1123" t="s">
        <v>303</v>
      </c>
      <c r="E1123" t="s">
        <v>910</v>
      </c>
      <c r="F1123" t="s">
        <v>910</v>
      </c>
      <c r="J1123">
        <v>1.9608000000000001</v>
      </c>
      <c r="K1123">
        <v>1.9608000000000001</v>
      </c>
      <c r="L1123" t="s">
        <v>303</v>
      </c>
      <c r="M1123">
        <v>1.9608000000000001</v>
      </c>
      <c r="N1123">
        <v>1.9608000000000001</v>
      </c>
      <c r="O1123" t="s">
        <v>303</v>
      </c>
      <c r="P1123">
        <f t="shared" si="17"/>
        <v>0</v>
      </c>
    </row>
    <row r="1124" spans="1:16" x14ac:dyDescent="0.25">
      <c r="A1124" t="s">
        <v>669</v>
      </c>
      <c r="B1124">
        <v>1.964</v>
      </c>
      <c r="C1124">
        <v>1.964</v>
      </c>
      <c r="D1124" t="s">
        <v>303</v>
      </c>
      <c r="E1124" t="s">
        <v>910</v>
      </c>
      <c r="F1124" t="s">
        <v>910</v>
      </c>
      <c r="J1124">
        <v>1.964</v>
      </c>
      <c r="K1124">
        <v>1.964</v>
      </c>
      <c r="L1124" t="s">
        <v>303</v>
      </c>
      <c r="M1124">
        <v>1.964</v>
      </c>
      <c r="N1124">
        <v>1.964</v>
      </c>
      <c r="O1124" t="s">
        <v>303</v>
      </c>
      <c r="P1124">
        <f t="shared" si="17"/>
        <v>0</v>
      </c>
    </row>
    <row r="1125" spans="1:16" x14ac:dyDescent="0.25">
      <c r="A1125" t="s">
        <v>527</v>
      </c>
      <c r="B1125">
        <v>1968.742</v>
      </c>
      <c r="C1125">
        <v>1968.742</v>
      </c>
      <c r="D1125" t="s">
        <v>887</v>
      </c>
      <c r="E1125">
        <v>8</v>
      </c>
      <c r="F1125">
        <v>8</v>
      </c>
      <c r="G1125" t="s">
        <v>687</v>
      </c>
      <c r="H1125" t="s">
        <v>687</v>
      </c>
      <c r="J1125">
        <v>1.968742</v>
      </c>
      <c r="K1125">
        <v>1.968742</v>
      </c>
      <c r="L1125" t="s">
        <v>303</v>
      </c>
      <c r="M1125">
        <v>1968.742</v>
      </c>
      <c r="N1125">
        <v>1968.742</v>
      </c>
      <c r="O1125" t="s">
        <v>862</v>
      </c>
      <c r="P1125">
        <f t="shared" si="17"/>
        <v>0</v>
      </c>
    </row>
    <row r="1126" spans="1:16" x14ac:dyDescent="0.25">
      <c r="A1126" t="s">
        <v>527</v>
      </c>
      <c r="B1126">
        <v>1970.63</v>
      </c>
      <c r="C1126">
        <v>1970.63</v>
      </c>
      <c r="D1126" t="s">
        <v>887</v>
      </c>
      <c r="E1126">
        <v>8</v>
      </c>
      <c r="F1126">
        <v>8</v>
      </c>
      <c r="G1126" t="s">
        <v>687</v>
      </c>
      <c r="H1126" t="s">
        <v>687</v>
      </c>
      <c r="J1126">
        <v>1.9706300000000001</v>
      </c>
      <c r="K1126">
        <v>1.9706300000000001</v>
      </c>
      <c r="L1126" t="s">
        <v>303</v>
      </c>
      <c r="M1126">
        <v>1970.63</v>
      </c>
      <c r="N1126">
        <v>1970.63</v>
      </c>
      <c r="O1126" t="s">
        <v>862</v>
      </c>
      <c r="P1126">
        <f t="shared" si="17"/>
        <v>0</v>
      </c>
    </row>
    <row r="1127" spans="1:16" x14ac:dyDescent="0.25">
      <c r="A1127" t="s">
        <v>527</v>
      </c>
      <c r="B1127">
        <v>1977.796</v>
      </c>
      <c r="C1127">
        <v>1977.796</v>
      </c>
      <c r="D1127" t="s">
        <v>887</v>
      </c>
      <c r="E1127">
        <v>8</v>
      </c>
      <c r="F1127">
        <v>8</v>
      </c>
      <c r="G1127" t="s">
        <v>687</v>
      </c>
      <c r="H1127" t="s">
        <v>687</v>
      </c>
      <c r="J1127">
        <v>1.9777960000000001</v>
      </c>
      <c r="K1127">
        <v>1.9777960000000001</v>
      </c>
      <c r="L1127" t="s">
        <v>303</v>
      </c>
      <c r="M1127">
        <v>1977.796</v>
      </c>
      <c r="N1127">
        <v>1977.796</v>
      </c>
      <c r="O1127" t="s">
        <v>862</v>
      </c>
      <c r="P1127">
        <f t="shared" si="17"/>
        <v>0</v>
      </c>
    </row>
    <row r="1128" spans="1:16" x14ac:dyDescent="0.25">
      <c r="A1128" t="s">
        <v>669</v>
      </c>
      <c r="B1128">
        <v>1.76</v>
      </c>
      <c r="C1128">
        <v>1.98</v>
      </c>
      <c r="D1128" t="s">
        <v>669</v>
      </c>
      <c r="E1128">
        <v>8</v>
      </c>
      <c r="F1128">
        <v>8</v>
      </c>
      <c r="G1128" t="s">
        <v>687</v>
      </c>
      <c r="H1128" t="s">
        <v>687</v>
      </c>
      <c r="I1128" t="s">
        <v>927</v>
      </c>
      <c r="J1128">
        <v>1.98</v>
      </c>
      <c r="K1128">
        <v>1.76</v>
      </c>
      <c r="L1128" t="s">
        <v>930</v>
      </c>
      <c r="M1128">
        <v>1.98</v>
      </c>
      <c r="N1128">
        <v>1.76</v>
      </c>
      <c r="P1128">
        <f t="shared" si="17"/>
        <v>14</v>
      </c>
    </row>
    <row r="1129" spans="1:16" x14ac:dyDescent="0.25">
      <c r="A1129" t="s">
        <v>669</v>
      </c>
      <c r="B1129">
        <v>1.89</v>
      </c>
      <c r="C1129">
        <v>1.98</v>
      </c>
      <c r="D1129" t="s">
        <v>303</v>
      </c>
      <c r="E1129" t="s">
        <v>910</v>
      </c>
      <c r="F1129" t="s">
        <v>910</v>
      </c>
      <c r="J1129">
        <v>1.98</v>
      </c>
      <c r="K1129">
        <v>1.89</v>
      </c>
      <c r="L1129" t="s">
        <v>303</v>
      </c>
      <c r="M1129">
        <v>1.98</v>
      </c>
      <c r="N1129">
        <v>1.89</v>
      </c>
      <c r="O1129" t="s">
        <v>303</v>
      </c>
      <c r="P1129">
        <f t="shared" si="17"/>
        <v>0</v>
      </c>
    </row>
    <row r="1130" spans="1:16" x14ac:dyDescent="0.25">
      <c r="A1130" t="s">
        <v>527</v>
      </c>
      <c r="B1130">
        <v>1981.171</v>
      </c>
      <c r="C1130">
        <v>1981.171</v>
      </c>
      <c r="D1130" t="s">
        <v>887</v>
      </c>
      <c r="E1130">
        <v>8</v>
      </c>
      <c r="F1130">
        <v>8</v>
      </c>
      <c r="G1130" t="s">
        <v>687</v>
      </c>
      <c r="H1130" t="s">
        <v>687</v>
      </c>
      <c r="J1130">
        <v>1.981171</v>
      </c>
      <c r="K1130">
        <v>1.981171</v>
      </c>
      <c r="L1130" t="s">
        <v>303</v>
      </c>
      <c r="M1130">
        <v>1981.171</v>
      </c>
      <c r="N1130">
        <v>1981.171</v>
      </c>
      <c r="O1130" t="s">
        <v>862</v>
      </c>
      <c r="P1130">
        <f t="shared" si="17"/>
        <v>0</v>
      </c>
    </row>
    <row r="1131" spans="1:16" x14ac:dyDescent="0.25">
      <c r="A1131" t="s">
        <v>527</v>
      </c>
      <c r="B1131">
        <v>1984.223</v>
      </c>
      <c r="C1131">
        <v>1984.223</v>
      </c>
      <c r="D1131" t="s">
        <v>887</v>
      </c>
      <c r="E1131">
        <v>8</v>
      </c>
      <c r="F1131">
        <v>8</v>
      </c>
      <c r="G1131" t="s">
        <v>687</v>
      </c>
      <c r="H1131" t="s">
        <v>687</v>
      </c>
      <c r="J1131">
        <v>1.9842229999999998</v>
      </c>
      <c r="K1131">
        <v>1.9842229999999998</v>
      </c>
      <c r="L1131" t="s">
        <v>303</v>
      </c>
      <c r="M1131">
        <v>1984.223</v>
      </c>
      <c r="N1131">
        <v>1984.223</v>
      </c>
      <c r="O1131" t="s">
        <v>862</v>
      </c>
      <c r="P1131">
        <f t="shared" si="17"/>
        <v>0</v>
      </c>
    </row>
    <row r="1132" spans="1:16" x14ac:dyDescent="0.25">
      <c r="A1132" t="s">
        <v>527</v>
      </c>
      <c r="B1132">
        <v>1988.45</v>
      </c>
      <c r="C1132">
        <v>1988.45</v>
      </c>
      <c r="D1132" t="s">
        <v>887</v>
      </c>
      <c r="E1132">
        <v>8</v>
      </c>
      <c r="F1132">
        <v>8</v>
      </c>
      <c r="G1132" t="s">
        <v>687</v>
      </c>
      <c r="H1132" t="s">
        <v>687</v>
      </c>
      <c r="J1132">
        <v>1.9884500000000001</v>
      </c>
      <c r="K1132">
        <v>1.9884500000000001</v>
      </c>
      <c r="L1132" t="s">
        <v>303</v>
      </c>
      <c r="M1132">
        <v>1988.45</v>
      </c>
      <c r="N1132">
        <v>1988.45</v>
      </c>
      <c r="O1132" t="s">
        <v>862</v>
      </c>
      <c r="P1132">
        <f t="shared" si="17"/>
        <v>0</v>
      </c>
    </row>
    <row r="1133" spans="1:16" x14ac:dyDescent="0.25">
      <c r="A1133" t="s">
        <v>669</v>
      </c>
      <c r="B1133">
        <v>1.84</v>
      </c>
      <c r="C1133">
        <v>1.99</v>
      </c>
      <c r="D1133" t="s">
        <v>303</v>
      </c>
      <c r="E1133" t="s">
        <v>910</v>
      </c>
      <c r="F1133" t="s">
        <v>910</v>
      </c>
      <c r="J1133">
        <v>1.99</v>
      </c>
      <c r="K1133">
        <v>1.84</v>
      </c>
      <c r="L1133" t="s">
        <v>303</v>
      </c>
      <c r="M1133">
        <v>1.99</v>
      </c>
      <c r="N1133">
        <v>1.84</v>
      </c>
      <c r="O1133" t="s">
        <v>303</v>
      </c>
      <c r="P1133">
        <f t="shared" si="17"/>
        <v>0</v>
      </c>
    </row>
    <row r="1134" spans="1:16" x14ac:dyDescent="0.25">
      <c r="A1134" t="s">
        <v>669</v>
      </c>
      <c r="B1134">
        <v>1.996</v>
      </c>
      <c r="C1134">
        <v>1.996</v>
      </c>
      <c r="D1134" t="s">
        <v>303</v>
      </c>
      <c r="E1134" t="s">
        <v>910</v>
      </c>
      <c r="F1134" t="s">
        <v>910</v>
      </c>
      <c r="J1134">
        <v>1.996</v>
      </c>
      <c r="K1134">
        <v>1.996</v>
      </c>
      <c r="L1134" t="s">
        <v>303</v>
      </c>
      <c r="M1134">
        <v>1.996</v>
      </c>
      <c r="N1134">
        <v>1.996</v>
      </c>
      <c r="O1134" t="s">
        <v>303</v>
      </c>
      <c r="P1134">
        <f t="shared" si="17"/>
        <v>0</v>
      </c>
    </row>
    <row r="1135" spans="1:16" x14ac:dyDescent="0.25">
      <c r="A1135" t="s">
        <v>578</v>
      </c>
      <c r="B1135" s="11">
        <v>0</v>
      </c>
      <c r="C1135" s="11">
        <v>2</v>
      </c>
      <c r="D1135" t="s">
        <v>303</v>
      </c>
      <c r="E1135">
        <v>3</v>
      </c>
      <c r="F1135">
        <v>3</v>
      </c>
      <c r="G1135" t="s">
        <v>700</v>
      </c>
      <c r="H1135" t="s">
        <v>700</v>
      </c>
      <c r="J1135">
        <v>2</v>
      </c>
      <c r="K1135">
        <v>0</v>
      </c>
      <c r="L1135" t="s">
        <v>303</v>
      </c>
      <c r="M1135">
        <v>2</v>
      </c>
      <c r="N1135">
        <v>0</v>
      </c>
      <c r="O1135" t="s">
        <v>303</v>
      </c>
      <c r="P1135">
        <f t="shared" si="17"/>
        <v>0</v>
      </c>
    </row>
    <row r="1136" spans="1:16" x14ac:dyDescent="0.25">
      <c r="A1136" t="s">
        <v>578</v>
      </c>
      <c r="B1136" s="11">
        <v>0</v>
      </c>
      <c r="C1136" s="11">
        <v>2</v>
      </c>
      <c r="D1136" t="s">
        <v>860</v>
      </c>
      <c r="E1136">
        <v>3</v>
      </c>
      <c r="F1136">
        <v>3</v>
      </c>
      <c r="G1136" t="s">
        <v>700</v>
      </c>
      <c r="H1136" t="s">
        <v>700</v>
      </c>
      <c r="J1136">
        <v>2</v>
      </c>
      <c r="K1136">
        <v>0</v>
      </c>
      <c r="L1136" t="s">
        <v>303</v>
      </c>
      <c r="M1136">
        <v>2</v>
      </c>
      <c r="N1136">
        <v>0</v>
      </c>
      <c r="O1136" t="s">
        <v>303</v>
      </c>
      <c r="P1136">
        <f t="shared" si="17"/>
        <v>0</v>
      </c>
    </row>
    <row r="1137" spans="1:16" x14ac:dyDescent="0.25">
      <c r="A1137" t="s">
        <v>669</v>
      </c>
      <c r="B1137">
        <v>1</v>
      </c>
      <c r="C1137">
        <v>2</v>
      </c>
      <c r="D1137" t="s">
        <v>860</v>
      </c>
      <c r="E1137" t="s">
        <v>910</v>
      </c>
      <c r="F1137" t="s">
        <v>910</v>
      </c>
      <c r="J1137">
        <v>2</v>
      </c>
      <c r="K1137">
        <v>1</v>
      </c>
      <c r="L1137" t="s">
        <v>303</v>
      </c>
      <c r="M1137">
        <v>2</v>
      </c>
      <c r="N1137">
        <v>1</v>
      </c>
      <c r="O1137" t="s">
        <v>303</v>
      </c>
      <c r="P1137">
        <f t="shared" si="17"/>
        <v>0</v>
      </c>
    </row>
    <row r="1138" spans="1:16" x14ac:dyDescent="0.25">
      <c r="A1138" t="s">
        <v>669</v>
      </c>
      <c r="B1138">
        <v>2</v>
      </c>
      <c r="C1138">
        <v>2</v>
      </c>
      <c r="D1138" t="s">
        <v>303</v>
      </c>
      <c r="E1138" t="s">
        <v>910</v>
      </c>
      <c r="F1138" t="s">
        <v>910</v>
      </c>
      <c r="J1138">
        <v>2</v>
      </c>
      <c r="K1138">
        <v>2</v>
      </c>
      <c r="L1138" t="s">
        <v>303</v>
      </c>
      <c r="M1138">
        <v>2</v>
      </c>
      <c r="N1138">
        <v>2</v>
      </c>
      <c r="O1138" t="s">
        <v>303</v>
      </c>
      <c r="P1138">
        <f t="shared" si="17"/>
        <v>0</v>
      </c>
    </row>
    <row r="1139" spans="1:16" x14ac:dyDescent="0.25">
      <c r="A1139" t="s">
        <v>669</v>
      </c>
      <c r="B1139">
        <v>2</v>
      </c>
      <c r="C1139">
        <v>2</v>
      </c>
      <c r="D1139" t="s">
        <v>860</v>
      </c>
      <c r="E1139" t="s">
        <v>910</v>
      </c>
      <c r="F1139" t="s">
        <v>910</v>
      </c>
      <c r="J1139">
        <v>2</v>
      </c>
      <c r="K1139">
        <v>2</v>
      </c>
      <c r="L1139" t="s">
        <v>303</v>
      </c>
      <c r="M1139">
        <v>2</v>
      </c>
      <c r="N1139">
        <v>2</v>
      </c>
      <c r="O1139" t="s">
        <v>303</v>
      </c>
      <c r="P1139">
        <f t="shared" si="17"/>
        <v>0</v>
      </c>
    </row>
    <row r="1140" spans="1:16" x14ac:dyDescent="0.25">
      <c r="A1140" t="s">
        <v>669</v>
      </c>
      <c r="B1140" t="s">
        <v>669</v>
      </c>
      <c r="C1140">
        <v>2</v>
      </c>
      <c r="D1140" t="s">
        <v>303</v>
      </c>
      <c r="E1140" t="s">
        <v>910</v>
      </c>
      <c r="F1140" t="s">
        <v>910</v>
      </c>
      <c r="J1140">
        <v>2</v>
      </c>
      <c r="K1140">
        <v>2</v>
      </c>
      <c r="L1140" t="s">
        <v>303</v>
      </c>
      <c r="M1140">
        <v>2</v>
      </c>
      <c r="N1140">
        <v>2</v>
      </c>
      <c r="O1140" t="s">
        <v>303</v>
      </c>
      <c r="P1140">
        <f t="shared" si="17"/>
        <v>0</v>
      </c>
    </row>
    <row r="1141" spans="1:16" x14ac:dyDescent="0.25">
      <c r="A1141" t="s">
        <v>669</v>
      </c>
      <c r="B1141" t="s">
        <v>669</v>
      </c>
      <c r="C1141">
        <v>2</v>
      </c>
      <c r="D1141" t="s">
        <v>860</v>
      </c>
      <c r="E1141" t="s">
        <v>910</v>
      </c>
      <c r="F1141" t="s">
        <v>910</v>
      </c>
      <c r="J1141">
        <v>2</v>
      </c>
      <c r="K1141">
        <v>2</v>
      </c>
      <c r="L1141" t="s">
        <v>303</v>
      </c>
      <c r="M1141">
        <v>2</v>
      </c>
      <c r="N1141">
        <v>2</v>
      </c>
      <c r="O1141" t="s">
        <v>303</v>
      </c>
      <c r="P1141">
        <f t="shared" si="17"/>
        <v>0</v>
      </c>
    </row>
    <row r="1142" spans="1:16" x14ac:dyDescent="0.25">
      <c r="A1142" t="s">
        <v>669</v>
      </c>
      <c r="B1142">
        <v>79</v>
      </c>
      <c r="C1142">
        <v>79</v>
      </c>
      <c r="D1142" t="s">
        <v>857</v>
      </c>
      <c r="E1142">
        <v>5</v>
      </c>
      <c r="F1142">
        <v>5</v>
      </c>
      <c r="G1142" t="s">
        <v>684</v>
      </c>
      <c r="H1142" t="s">
        <v>684</v>
      </c>
      <c r="J1142">
        <v>79</v>
      </c>
      <c r="K1142">
        <v>79</v>
      </c>
      <c r="L1142" t="s">
        <v>921</v>
      </c>
      <c r="M1142">
        <v>79</v>
      </c>
      <c r="N1142">
        <v>79</v>
      </c>
      <c r="O1142" t="s">
        <v>921</v>
      </c>
      <c r="P1142">
        <f t="shared" si="17"/>
        <v>0</v>
      </c>
    </row>
    <row r="1143" spans="1:16" x14ac:dyDescent="0.25">
      <c r="A1143" t="s">
        <v>669</v>
      </c>
      <c r="B1143" s="8">
        <v>7.8999999999999996E-5</v>
      </c>
      <c r="C1143" t="s">
        <v>669</v>
      </c>
      <c r="D1143" t="s">
        <v>860</v>
      </c>
      <c r="E1143" t="s">
        <v>910</v>
      </c>
      <c r="F1143">
        <v>5</v>
      </c>
      <c r="H1143" t="s">
        <v>684</v>
      </c>
      <c r="K1143" s="9">
        <v>79</v>
      </c>
      <c r="L1143" t="s">
        <v>921</v>
      </c>
      <c r="N1143">
        <v>7.8999999999999996E-5</v>
      </c>
      <c r="O1143" t="s">
        <v>303</v>
      </c>
      <c r="P1143">
        <f t="shared" si="17"/>
        <v>0</v>
      </c>
    </row>
    <row r="1144" spans="1:16" x14ac:dyDescent="0.25">
      <c r="A1144" t="s">
        <v>179</v>
      </c>
      <c r="B1144">
        <v>500000</v>
      </c>
      <c r="C1144">
        <v>2000000</v>
      </c>
      <c r="D1144" t="s">
        <v>857</v>
      </c>
      <c r="E1144">
        <v>12</v>
      </c>
      <c r="F1144">
        <v>12</v>
      </c>
      <c r="G1144" t="s">
        <v>824</v>
      </c>
      <c r="H1144" t="s">
        <v>824</v>
      </c>
      <c r="J1144">
        <v>2</v>
      </c>
      <c r="K1144">
        <v>0.5</v>
      </c>
      <c r="L1144" t="s">
        <v>303</v>
      </c>
      <c r="M1144">
        <v>2000000</v>
      </c>
      <c r="N1144">
        <v>500000</v>
      </c>
      <c r="O1144" t="s">
        <v>303</v>
      </c>
      <c r="P1144">
        <f t="shared" si="17"/>
        <v>0</v>
      </c>
    </row>
    <row r="1145" spans="1:16" x14ac:dyDescent="0.25">
      <c r="A1145" t="s">
        <v>669</v>
      </c>
      <c r="B1145">
        <v>2.0350000000000001</v>
      </c>
      <c r="C1145">
        <v>2.0350000000000001</v>
      </c>
      <c r="D1145" t="s">
        <v>303</v>
      </c>
      <c r="E1145" t="s">
        <v>910</v>
      </c>
      <c r="F1145" t="s">
        <v>910</v>
      </c>
      <c r="J1145">
        <v>2.0350000000000001</v>
      </c>
      <c r="K1145">
        <v>2.0350000000000001</v>
      </c>
      <c r="L1145" t="s">
        <v>303</v>
      </c>
      <c r="M1145">
        <v>2.0350000000000001</v>
      </c>
      <c r="N1145">
        <v>2.0350000000000001</v>
      </c>
      <c r="O1145" t="s">
        <v>303</v>
      </c>
      <c r="P1145">
        <f t="shared" si="17"/>
        <v>0</v>
      </c>
    </row>
    <row r="1146" spans="1:16" x14ac:dyDescent="0.25">
      <c r="A1146" t="s">
        <v>537</v>
      </c>
      <c r="B1146">
        <v>2</v>
      </c>
      <c r="C1146">
        <v>2.04</v>
      </c>
      <c r="D1146" t="s">
        <v>669</v>
      </c>
      <c r="E1146">
        <v>8</v>
      </c>
      <c r="F1146">
        <v>8</v>
      </c>
      <c r="G1146" t="s">
        <v>687</v>
      </c>
      <c r="H1146" t="s">
        <v>687</v>
      </c>
      <c r="I1146" t="s">
        <v>927</v>
      </c>
      <c r="J1146">
        <v>2.04</v>
      </c>
      <c r="K1146">
        <v>2</v>
      </c>
      <c r="L1146" t="s">
        <v>930</v>
      </c>
      <c r="M1146">
        <v>2.04</v>
      </c>
      <c r="N1146">
        <v>2</v>
      </c>
      <c r="P1146">
        <f t="shared" si="17"/>
        <v>14</v>
      </c>
    </row>
    <row r="1147" spans="1:16" x14ac:dyDescent="0.25">
      <c r="A1147" t="s">
        <v>669</v>
      </c>
      <c r="B1147">
        <v>2.04</v>
      </c>
      <c r="C1147">
        <v>2.04</v>
      </c>
      <c r="D1147" t="s">
        <v>303</v>
      </c>
      <c r="E1147" t="s">
        <v>910</v>
      </c>
      <c r="F1147" t="s">
        <v>910</v>
      </c>
      <c r="J1147">
        <v>2.04</v>
      </c>
      <c r="K1147">
        <v>2.04</v>
      </c>
      <c r="L1147" t="s">
        <v>303</v>
      </c>
      <c r="M1147">
        <v>2.04</v>
      </c>
      <c r="N1147">
        <v>2.04</v>
      </c>
      <c r="O1147" t="s">
        <v>303</v>
      </c>
      <c r="P1147">
        <f t="shared" si="17"/>
        <v>0</v>
      </c>
    </row>
    <row r="1148" spans="1:16" x14ac:dyDescent="0.25">
      <c r="A1148" t="s">
        <v>669</v>
      </c>
      <c r="B1148">
        <v>2.0529999999999999</v>
      </c>
      <c r="C1148">
        <v>2.0529999999999999</v>
      </c>
      <c r="D1148" t="s">
        <v>303</v>
      </c>
      <c r="E1148" t="s">
        <v>910</v>
      </c>
      <c r="F1148" t="s">
        <v>910</v>
      </c>
      <c r="J1148">
        <v>2.0529999999999999</v>
      </c>
      <c r="K1148">
        <v>2.0529999999999999</v>
      </c>
      <c r="L1148" t="s">
        <v>303</v>
      </c>
      <c r="M1148">
        <v>2.0529999999999999</v>
      </c>
      <c r="N1148">
        <v>2.0529999999999999</v>
      </c>
      <c r="O1148" t="s">
        <v>303</v>
      </c>
      <c r="P1148">
        <f t="shared" si="17"/>
        <v>0</v>
      </c>
    </row>
    <row r="1149" spans="1:16" x14ac:dyDescent="0.25">
      <c r="A1149" t="s">
        <v>669</v>
      </c>
      <c r="B1149">
        <v>1.96</v>
      </c>
      <c r="C1149">
        <v>2.06</v>
      </c>
      <c r="D1149" t="s">
        <v>669</v>
      </c>
      <c r="E1149">
        <v>8</v>
      </c>
      <c r="F1149">
        <v>8</v>
      </c>
      <c r="G1149" t="s">
        <v>687</v>
      </c>
      <c r="H1149" t="s">
        <v>687</v>
      </c>
      <c r="I1149" t="s">
        <v>927</v>
      </c>
      <c r="J1149">
        <v>2.06</v>
      </c>
      <c r="K1149">
        <v>1.96</v>
      </c>
      <c r="L1149" t="s">
        <v>930</v>
      </c>
      <c r="M1149">
        <v>2.06</v>
      </c>
      <c r="N1149">
        <v>1.96</v>
      </c>
      <c r="P1149">
        <f t="shared" si="17"/>
        <v>14</v>
      </c>
    </row>
    <row r="1150" spans="1:16" x14ac:dyDescent="0.25">
      <c r="A1150" t="s">
        <v>527</v>
      </c>
      <c r="B1150">
        <v>2060.085</v>
      </c>
      <c r="C1150">
        <v>2060.085</v>
      </c>
      <c r="D1150" t="s">
        <v>887</v>
      </c>
      <c r="E1150">
        <v>8</v>
      </c>
      <c r="F1150">
        <v>8</v>
      </c>
      <c r="G1150" t="s">
        <v>687</v>
      </c>
      <c r="H1150" t="s">
        <v>687</v>
      </c>
      <c r="J1150">
        <v>2.0600849999999999</v>
      </c>
      <c r="K1150">
        <v>2.0600849999999999</v>
      </c>
      <c r="L1150" t="s">
        <v>303</v>
      </c>
      <c r="M1150">
        <v>2060.085</v>
      </c>
      <c r="N1150">
        <v>2060.085</v>
      </c>
      <c r="O1150" t="s">
        <v>862</v>
      </c>
      <c r="P1150">
        <f t="shared" si="17"/>
        <v>0</v>
      </c>
    </row>
    <row r="1151" spans="1:16" x14ac:dyDescent="0.25">
      <c r="A1151" t="s">
        <v>669</v>
      </c>
      <c r="B1151">
        <v>2.0630000000000002</v>
      </c>
      <c r="C1151">
        <v>2.0630000000000002</v>
      </c>
      <c r="D1151" t="s">
        <v>303</v>
      </c>
      <c r="E1151" t="s">
        <v>910</v>
      </c>
      <c r="F1151" t="s">
        <v>910</v>
      </c>
      <c r="J1151">
        <v>2.0630000000000002</v>
      </c>
      <c r="K1151">
        <v>2.0630000000000002</v>
      </c>
      <c r="L1151" t="s">
        <v>303</v>
      </c>
      <c r="M1151">
        <v>2.0630000000000002</v>
      </c>
      <c r="N1151">
        <v>2.0630000000000002</v>
      </c>
      <c r="O1151" t="s">
        <v>303</v>
      </c>
      <c r="P1151">
        <f t="shared" si="17"/>
        <v>0</v>
      </c>
    </row>
    <row r="1152" spans="1:16" x14ac:dyDescent="0.25">
      <c r="A1152" t="s">
        <v>669</v>
      </c>
      <c r="B1152">
        <v>2.0636000000000001</v>
      </c>
      <c r="C1152">
        <v>2.0636000000000001</v>
      </c>
      <c r="D1152" t="s">
        <v>303</v>
      </c>
      <c r="E1152" t="s">
        <v>910</v>
      </c>
      <c r="F1152" t="s">
        <v>910</v>
      </c>
      <c r="J1152">
        <v>2.0636000000000001</v>
      </c>
      <c r="K1152">
        <v>2.0636000000000001</v>
      </c>
      <c r="L1152" t="s">
        <v>303</v>
      </c>
      <c r="M1152">
        <v>2.0636000000000001</v>
      </c>
      <c r="N1152">
        <v>2.0636000000000001</v>
      </c>
      <c r="O1152" t="s">
        <v>303</v>
      </c>
      <c r="P1152">
        <f t="shared" si="17"/>
        <v>0</v>
      </c>
    </row>
    <row r="1153" spans="1:16" x14ac:dyDescent="0.25">
      <c r="A1153" t="s">
        <v>527</v>
      </c>
      <c r="B1153">
        <v>2065.895</v>
      </c>
      <c r="C1153">
        <v>2065.895</v>
      </c>
      <c r="D1153" t="s">
        <v>887</v>
      </c>
      <c r="E1153">
        <v>8</v>
      </c>
      <c r="F1153">
        <v>8</v>
      </c>
      <c r="G1153" t="s">
        <v>687</v>
      </c>
      <c r="H1153" t="s">
        <v>687</v>
      </c>
      <c r="J1153">
        <v>2.0658949999999998</v>
      </c>
      <c r="K1153">
        <v>2.0658949999999998</v>
      </c>
      <c r="L1153" t="s">
        <v>303</v>
      </c>
      <c r="M1153">
        <v>2065.895</v>
      </c>
      <c r="N1153">
        <v>2065.895</v>
      </c>
      <c r="O1153" t="s">
        <v>862</v>
      </c>
      <c r="P1153">
        <f t="shared" si="17"/>
        <v>0</v>
      </c>
    </row>
    <row r="1154" spans="1:16" x14ac:dyDescent="0.25">
      <c r="A1154" t="s">
        <v>527</v>
      </c>
      <c r="B1154">
        <v>2070.2820000000002</v>
      </c>
      <c r="C1154">
        <v>2070.2820000000002</v>
      </c>
      <c r="D1154" t="s">
        <v>887</v>
      </c>
      <c r="E1154">
        <v>8</v>
      </c>
      <c r="F1154">
        <v>8</v>
      </c>
      <c r="G1154" t="s">
        <v>687</v>
      </c>
      <c r="H1154" t="s">
        <v>687</v>
      </c>
      <c r="J1154">
        <v>2.0702820000000002</v>
      </c>
      <c r="K1154">
        <v>2.0702820000000002</v>
      </c>
      <c r="L1154" t="s">
        <v>303</v>
      </c>
      <c r="M1154">
        <v>2070.2820000000002</v>
      </c>
      <c r="N1154">
        <v>2070.2820000000002</v>
      </c>
      <c r="O1154" t="s">
        <v>862</v>
      </c>
      <c r="P1154">
        <f t="shared" si="17"/>
        <v>0</v>
      </c>
    </row>
    <row r="1155" spans="1:16" x14ac:dyDescent="0.25">
      <c r="A1155" t="s">
        <v>669</v>
      </c>
      <c r="B1155">
        <v>2.0710000000000002</v>
      </c>
      <c r="C1155">
        <v>2.0710000000000002</v>
      </c>
      <c r="D1155" t="s">
        <v>303</v>
      </c>
      <c r="E1155" t="s">
        <v>910</v>
      </c>
      <c r="F1155" t="s">
        <v>910</v>
      </c>
      <c r="J1155">
        <v>2.0710000000000002</v>
      </c>
      <c r="K1155">
        <v>2.0710000000000002</v>
      </c>
      <c r="L1155" t="s">
        <v>303</v>
      </c>
      <c r="M1155">
        <v>2.0710000000000002</v>
      </c>
      <c r="N1155">
        <v>2.0710000000000002</v>
      </c>
      <c r="O1155" t="s">
        <v>303</v>
      </c>
      <c r="P1155">
        <f t="shared" ref="P1155:P1218" si="18">LEN(I1155)</f>
        <v>0</v>
      </c>
    </row>
    <row r="1156" spans="1:16" x14ac:dyDescent="0.25">
      <c r="A1156" t="s">
        <v>527</v>
      </c>
      <c r="B1156">
        <v>2075.2280000000001</v>
      </c>
      <c r="C1156">
        <v>2075.2280000000001</v>
      </c>
      <c r="D1156" t="s">
        <v>887</v>
      </c>
      <c r="E1156">
        <v>8</v>
      </c>
      <c r="F1156">
        <v>8</v>
      </c>
      <c r="G1156" t="s">
        <v>687</v>
      </c>
      <c r="H1156" t="s">
        <v>687</v>
      </c>
      <c r="J1156">
        <v>2.0752280000000001</v>
      </c>
      <c r="K1156">
        <v>2.0752280000000001</v>
      </c>
      <c r="L1156" t="s">
        <v>303</v>
      </c>
      <c r="M1156">
        <v>2075.2280000000001</v>
      </c>
      <c r="N1156">
        <v>2075.2280000000001</v>
      </c>
      <c r="O1156" t="s">
        <v>862</v>
      </c>
      <c r="P1156">
        <f t="shared" si="18"/>
        <v>0</v>
      </c>
    </row>
    <row r="1157" spans="1:16" x14ac:dyDescent="0.25">
      <c r="A1157" t="s">
        <v>527</v>
      </c>
      <c r="B1157">
        <v>2081.4070000000002</v>
      </c>
      <c r="C1157">
        <v>2081.4070000000002</v>
      </c>
      <c r="D1157" t="s">
        <v>887</v>
      </c>
      <c r="E1157">
        <v>8</v>
      </c>
      <c r="F1157">
        <v>8</v>
      </c>
      <c r="G1157" t="s">
        <v>687</v>
      </c>
      <c r="H1157" t="s">
        <v>687</v>
      </c>
      <c r="J1157">
        <v>2.081407</v>
      </c>
      <c r="K1157">
        <v>2.081407</v>
      </c>
      <c r="L1157" t="s">
        <v>303</v>
      </c>
      <c r="M1157">
        <v>2081.4070000000002</v>
      </c>
      <c r="N1157">
        <v>2081.4070000000002</v>
      </c>
      <c r="O1157" t="s">
        <v>862</v>
      </c>
      <c r="P1157">
        <f t="shared" si="18"/>
        <v>0</v>
      </c>
    </row>
    <row r="1158" spans="1:16" x14ac:dyDescent="0.25">
      <c r="A1158" t="s">
        <v>669</v>
      </c>
      <c r="B1158">
        <v>2.0859999999999999</v>
      </c>
      <c r="C1158">
        <v>2.0859999999999999</v>
      </c>
      <c r="D1158" t="s">
        <v>303</v>
      </c>
      <c r="E1158" t="s">
        <v>910</v>
      </c>
      <c r="F1158" t="s">
        <v>910</v>
      </c>
      <c r="J1158">
        <v>2.0859999999999999</v>
      </c>
      <c r="K1158">
        <v>2.0859999999999999</v>
      </c>
      <c r="L1158" t="s">
        <v>303</v>
      </c>
      <c r="M1158">
        <v>2.0859999999999999</v>
      </c>
      <c r="N1158">
        <v>2.0859999999999999</v>
      </c>
      <c r="O1158" t="s">
        <v>303</v>
      </c>
      <c r="P1158">
        <f t="shared" si="18"/>
        <v>0</v>
      </c>
    </row>
    <row r="1159" spans="1:16" x14ac:dyDescent="0.25">
      <c r="A1159" t="s">
        <v>527</v>
      </c>
      <c r="B1159">
        <v>2099.9470000000001</v>
      </c>
      <c r="C1159">
        <v>2099.9470000000001</v>
      </c>
      <c r="D1159" t="s">
        <v>887</v>
      </c>
      <c r="E1159">
        <v>8</v>
      </c>
      <c r="F1159">
        <v>8</v>
      </c>
      <c r="G1159" t="s">
        <v>687</v>
      </c>
      <c r="H1159" t="s">
        <v>687</v>
      </c>
      <c r="J1159">
        <v>2.0999470000000002</v>
      </c>
      <c r="K1159">
        <v>2.0999470000000002</v>
      </c>
      <c r="L1159" t="s">
        <v>303</v>
      </c>
      <c r="M1159">
        <v>2099.9470000000001</v>
      </c>
      <c r="N1159">
        <v>2099.9470000000001</v>
      </c>
      <c r="O1159" t="s">
        <v>862</v>
      </c>
      <c r="P1159">
        <f t="shared" si="18"/>
        <v>0</v>
      </c>
    </row>
    <row r="1160" spans="1:16" x14ac:dyDescent="0.25">
      <c r="A1160" t="s">
        <v>669</v>
      </c>
      <c r="B1160">
        <v>1.9</v>
      </c>
      <c r="C1160">
        <v>2.1</v>
      </c>
      <c r="D1160" t="s">
        <v>860</v>
      </c>
      <c r="E1160" t="s">
        <v>910</v>
      </c>
      <c r="F1160" t="s">
        <v>910</v>
      </c>
      <c r="J1160">
        <v>2.1</v>
      </c>
      <c r="K1160">
        <v>1.9</v>
      </c>
      <c r="L1160" t="s">
        <v>303</v>
      </c>
      <c r="M1160">
        <v>2.1</v>
      </c>
      <c r="N1160">
        <v>1.9</v>
      </c>
      <c r="O1160" t="s">
        <v>303</v>
      </c>
      <c r="P1160">
        <f t="shared" si="18"/>
        <v>0</v>
      </c>
    </row>
    <row r="1161" spans="1:16" x14ac:dyDescent="0.25">
      <c r="A1161" t="s">
        <v>669</v>
      </c>
      <c r="B1161">
        <v>2.1</v>
      </c>
      <c r="C1161">
        <v>2.1</v>
      </c>
      <c r="D1161" t="s">
        <v>303</v>
      </c>
      <c r="E1161" t="s">
        <v>910</v>
      </c>
      <c r="F1161" t="s">
        <v>910</v>
      </c>
      <c r="J1161">
        <v>2.1</v>
      </c>
      <c r="K1161">
        <v>2.1</v>
      </c>
      <c r="L1161" t="s">
        <v>303</v>
      </c>
      <c r="M1161">
        <v>2.1</v>
      </c>
      <c r="N1161">
        <v>2.1</v>
      </c>
      <c r="O1161" t="s">
        <v>303</v>
      </c>
      <c r="P1161">
        <f t="shared" si="18"/>
        <v>0</v>
      </c>
    </row>
    <row r="1162" spans="1:16" x14ac:dyDescent="0.25">
      <c r="A1162" t="s">
        <v>669</v>
      </c>
      <c r="B1162">
        <v>2.1</v>
      </c>
      <c r="C1162">
        <v>2.1</v>
      </c>
      <c r="D1162" t="s">
        <v>860</v>
      </c>
      <c r="E1162" t="s">
        <v>910</v>
      </c>
      <c r="F1162" t="s">
        <v>910</v>
      </c>
      <c r="J1162">
        <v>2.1</v>
      </c>
      <c r="K1162">
        <v>2.1</v>
      </c>
      <c r="L1162" t="s">
        <v>303</v>
      </c>
      <c r="M1162">
        <v>2.1</v>
      </c>
      <c r="N1162">
        <v>2.1</v>
      </c>
      <c r="O1162" t="s">
        <v>303</v>
      </c>
      <c r="P1162">
        <f t="shared" si="18"/>
        <v>0</v>
      </c>
    </row>
    <row r="1163" spans="1:16" x14ac:dyDescent="0.25">
      <c r="A1163" t="s">
        <v>527</v>
      </c>
      <c r="B1163">
        <v>2103.0160000000001</v>
      </c>
      <c r="C1163">
        <v>2103.0160000000001</v>
      </c>
      <c r="D1163" t="s">
        <v>887</v>
      </c>
      <c r="E1163">
        <v>8</v>
      </c>
      <c r="F1163">
        <v>8</v>
      </c>
      <c r="G1163" t="s">
        <v>687</v>
      </c>
      <c r="H1163" t="s">
        <v>687</v>
      </c>
      <c r="J1163">
        <v>2.1030160000000002</v>
      </c>
      <c r="K1163">
        <v>2.1030160000000002</v>
      </c>
      <c r="L1163" t="s">
        <v>303</v>
      </c>
      <c r="M1163">
        <v>2103.0160000000001</v>
      </c>
      <c r="N1163">
        <v>2103.0160000000001</v>
      </c>
      <c r="O1163" t="s">
        <v>862</v>
      </c>
      <c r="P1163">
        <f t="shared" si="18"/>
        <v>0</v>
      </c>
    </row>
    <row r="1164" spans="1:16" x14ac:dyDescent="0.25">
      <c r="A1164" t="s">
        <v>669</v>
      </c>
      <c r="B1164">
        <v>2.105</v>
      </c>
      <c r="C1164">
        <v>2.105</v>
      </c>
      <c r="D1164" t="s">
        <v>303</v>
      </c>
      <c r="E1164" t="s">
        <v>910</v>
      </c>
      <c r="F1164" t="s">
        <v>910</v>
      </c>
      <c r="J1164">
        <v>2.105</v>
      </c>
      <c r="K1164">
        <v>2.105</v>
      </c>
      <c r="L1164" t="s">
        <v>303</v>
      </c>
      <c r="M1164">
        <v>2.105</v>
      </c>
      <c r="N1164">
        <v>2.105</v>
      </c>
      <c r="O1164" t="s">
        <v>303</v>
      </c>
      <c r="P1164">
        <f t="shared" si="18"/>
        <v>0</v>
      </c>
    </row>
    <row r="1165" spans="1:16" x14ac:dyDescent="0.25">
      <c r="A1165" t="s">
        <v>669</v>
      </c>
      <c r="B1165">
        <v>2.11</v>
      </c>
      <c r="C1165">
        <v>2.11</v>
      </c>
      <c r="D1165" t="s">
        <v>303</v>
      </c>
      <c r="E1165" t="s">
        <v>910</v>
      </c>
      <c r="F1165" t="s">
        <v>910</v>
      </c>
      <c r="J1165">
        <v>2.11</v>
      </c>
      <c r="K1165">
        <v>2.11</v>
      </c>
      <c r="L1165" t="s">
        <v>303</v>
      </c>
      <c r="M1165">
        <v>2.11</v>
      </c>
      <c r="N1165">
        <v>2.11</v>
      </c>
      <c r="O1165" t="s">
        <v>303</v>
      </c>
      <c r="P1165">
        <f t="shared" si="18"/>
        <v>0</v>
      </c>
    </row>
    <row r="1166" spans="1:16" x14ac:dyDescent="0.25">
      <c r="A1166" t="s">
        <v>669</v>
      </c>
      <c r="B1166">
        <v>2.1118999999999999</v>
      </c>
      <c r="C1166">
        <v>2.1118999999999999</v>
      </c>
      <c r="D1166" t="s">
        <v>303</v>
      </c>
      <c r="E1166" t="s">
        <v>910</v>
      </c>
      <c r="F1166" t="s">
        <v>910</v>
      </c>
      <c r="J1166">
        <v>2.1118999999999999</v>
      </c>
      <c r="K1166">
        <v>2.1118999999999999</v>
      </c>
      <c r="L1166" t="s">
        <v>303</v>
      </c>
      <c r="M1166">
        <v>2.1118999999999999</v>
      </c>
      <c r="N1166">
        <v>2.1118999999999999</v>
      </c>
      <c r="O1166" t="s">
        <v>303</v>
      </c>
      <c r="P1166">
        <f t="shared" si="18"/>
        <v>0</v>
      </c>
    </row>
    <row r="1167" spans="1:16" x14ac:dyDescent="0.25">
      <c r="A1167" t="s">
        <v>669</v>
      </c>
      <c r="B1167">
        <v>2.1120000000000001</v>
      </c>
      <c r="C1167">
        <v>2.1120000000000001</v>
      </c>
      <c r="D1167" t="s">
        <v>303</v>
      </c>
      <c r="E1167" t="s">
        <v>910</v>
      </c>
      <c r="F1167" t="s">
        <v>910</v>
      </c>
      <c r="J1167">
        <v>2.1120000000000001</v>
      </c>
      <c r="K1167">
        <v>2.1120000000000001</v>
      </c>
      <c r="L1167" t="s">
        <v>303</v>
      </c>
      <c r="M1167">
        <v>2.1120000000000001</v>
      </c>
      <c r="N1167">
        <v>2.1120000000000001</v>
      </c>
      <c r="O1167" t="s">
        <v>303</v>
      </c>
      <c r="P1167">
        <f t="shared" si="18"/>
        <v>0</v>
      </c>
    </row>
    <row r="1168" spans="1:16" x14ac:dyDescent="0.25">
      <c r="A1168" t="s">
        <v>669</v>
      </c>
      <c r="B1168">
        <v>2.1126</v>
      </c>
      <c r="C1168">
        <v>2.1126</v>
      </c>
      <c r="D1168" t="s">
        <v>303</v>
      </c>
      <c r="E1168" t="s">
        <v>910</v>
      </c>
      <c r="F1168" t="s">
        <v>910</v>
      </c>
      <c r="J1168">
        <v>2.1126</v>
      </c>
      <c r="K1168">
        <v>2.1126</v>
      </c>
      <c r="L1168" t="s">
        <v>303</v>
      </c>
      <c r="M1168">
        <v>2.1126</v>
      </c>
      <c r="N1168">
        <v>2.1126</v>
      </c>
      <c r="O1168" t="s">
        <v>303</v>
      </c>
      <c r="P1168">
        <f t="shared" si="18"/>
        <v>0</v>
      </c>
    </row>
    <row r="1169" spans="1:16" x14ac:dyDescent="0.25">
      <c r="A1169" t="s">
        <v>527</v>
      </c>
      <c r="B1169">
        <v>2124.6680000000001</v>
      </c>
      <c r="C1169">
        <v>2124.6680000000001</v>
      </c>
      <c r="D1169" t="s">
        <v>887</v>
      </c>
      <c r="E1169">
        <v>8</v>
      </c>
      <c r="F1169">
        <v>8</v>
      </c>
      <c r="G1169" t="s">
        <v>687</v>
      </c>
      <c r="H1169" t="s">
        <v>687</v>
      </c>
      <c r="J1169">
        <v>2.1246680000000002</v>
      </c>
      <c r="K1169">
        <v>2.1246680000000002</v>
      </c>
      <c r="L1169" t="s">
        <v>303</v>
      </c>
      <c r="M1169">
        <v>2124.6680000000001</v>
      </c>
      <c r="N1169">
        <v>2124.6680000000001</v>
      </c>
      <c r="O1169" t="s">
        <v>862</v>
      </c>
      <c r="P1169">
        <f t="shared" si="18"/>
        <v>0</v>
      </c>
    </row>
    <row r="1170" spans="1:16" x14ac:dyDescent="0.25">
      <c r="A1170" t="s">
        <v>527</v>
      </c>
      <c r="B1170">
        <v>2125.2159999999999</v>
      </c>
      <c r="C1170">
        <v>2125.2159999999999</v>
      </c>
      <c r="D1170" t="s">
        <v>887</v>
      </c>
      <c r="E1170">
        <v>8</v>
      </c>
      <c r="F1170">
        <v>8</v>
      </c>
      <c r="G1170" t="s">
        <v>687</v>
      </c>
      <c r="H1170" t="s">
        <v>687</v>
      </c>
      <c r="J1170">
        <v>2.125216</v>
      </c>
      <c r="K1170">
        <v>2.125216</v>
      </c>
      <c r="L1170" t="s">
        <v>303</v>
      </c>
      <c r="M1170">
        <v>2125.2159999999999</v>
      </c>
      <c r="N1170">
        <v>2125.2159999999999</v>
      </c>
      <c r="O1170" t="s">
        <v>862</v>
      </c>
      <c r="P1170">
        <f t="shared" si="18"/>
        <v>0</v>
      </c>
    </row>
    <row r="1171" spans="1:16" x14ac:dyDescent="0.25">
      <c r="A1171" t="s">
        <v>669</v>
      </c>
      <c r="B1171">
        <v>2.1320000000000001</v>
      </c>
      <c r="C1171">
        <v>2.1320000000000001</v>
      </c>
      <c r="D1171" t="s">
        <v>303</v>
      </c>
      <c r="E1171" t="s">
        <v>910</v>
      </c>
      <c r="F1171" t="s">
        <v>910</v>
      </c>
      <c r="J1171">
        <v>2.1320000000000001</v>
      </c>
      <c r="K1171">
        <v>2.1320000000000001</v>
      </c>
      <c r="L1171" t="s">
        <v>303</v>
      </c>
      <c r="M1171">
        <v>2.1320000000000001</v>
      </c>
      <c r="N1171">
        <v>2.1320000000000001</v>
      </c>
      <c r="O1171" t="s">
        <v>303</v>
      </c>
      <c r="P1171">
        <f t="shared" si="18"/>
        <v>0</v>
      </c>
    </row>
    <row r="1172" spans="1:16" x14ac:dyDescent="0.25">
      <c r="A1172" t="s">
        <v>669</v>
      </c>
      <c r="B1172">
        <v>2.1379999999999999</v>
      </c>
      <c r="C1172">
        <v>2.1379999999999999</v>
      </c>
      <c r="D1172" t="s">
        <v>303</v>
      </c>
      <c r="E1172" t="s">
        <v>910</v>
      </c>
      <c r="F1172" t="s">
        <v>910</v>
      </c>
      <c r="J1172">
        <v>2.1379999999999999</v>
      </c>
      <c r="K1172">
        <v>2.1379999999999999</v>
      </c>
      <c r="L1172" t="s">
        <v>303</v>
      </c>
      <c r="M1172">
        <v>2.1379999999999999</v>
      </c>
      <c r="N1172">
        <v>2.1379999999999999</v>
      </c>
      <c r="O1172" t="s">
        <v>303</v>
      </c>
      <c r="P1172">
        <f t="shared" si="18"/>
        <v>0</v>
      </c>
    </row>
    <row r="1173" spans="1:16" x14ac:dyDescent="0.25">
      <c r="A1173" t="s">
        <v>669</v>
      </c>
      <c r="B1173">
        <v>2.169</v>
      </c>
      <c r="C1173">
        <v>2.169</v>
      </c>
      <c r="D1173" t="s">
        <v>303</v>
      </c>
      <c r="E1173" t="s">
        <v>910</v>
      </c>
      <c r="F1173" t="s">
        <v>910</v>
      </c>
      <c r="J1173">
        <v>2.169</v>
      </c>
      <c r="K1173">
        <v>2.169</v>
      </c>
      <c r="L1173" t="s">
        <v>303</v>
      </c>
      <c r="M1173">
        <v>2.169</v>
      </c>
      <c r="N1173">
        <v>2.169</v>
      </c>
      <c r="O1173" t="s">
        <v>303</v>
      </c>
      <c r="P1173">
        <f t="shared" si="18"/>
        <v>0</v>
      </c>
    </row>
    <row r="1174" spans="1:16" x14ac:dyDescent="0.25">
      <c r="A1174" t="s">
        <v>669</v>
      </c>
      <c r="B1174">
        <v>2.09</v>
      </c>
      <c r="C1174">
        <v>2.17</v>
      </c>
      <c r="D1174" t="s">
        <v>669</v>
      </c>
      <c r="E1174">
        <v>8</v>
      </c>
      <c r="F1174">
        <v>8</v>
      </c>
      <c r="G1174" t="s">
        <v>687</v>
      </c>
      <c r="H1174" t="s">
        <v>687</v>
      </c>
      <c r="I1174" t="s">
        <v>927</v>
      </c>
      <c r="J1174">
        <v>2.17</v>
      </c>
      <c r="K1174">
        <v>2.09</v>
      </c>
      <c r="L1174" t="s">
        <v>930</v>
      </c>
      <c r="M1174">
        <v>2.17</v>
      </c>
      <c r="N1174">
        <v>2.09</v>
      </c>
      <c r="P1174">
        <f t="shared" si="18"/>
        <v>14</v>
      </c>
    </row>
    <row r="1175" spans="1:16" x14ac:dyDescent="0.25">
      <c r="A1175" t="s">
        <v>527</v>
      </c>
      <c r="B1175">
        <v>2178.0439999999999</v>
      </c>
      <c r="C1175">
        <v>2178.0439999999999</v>
      </c>
      <c r="D1175" t="s">
        <v>887</v>
      </c>
      <c r="E1175">
        <v>8</v>
      </c>
      <c r="F1175">
        <v>8</v>
      </c>
      <c r="G1175" t="s">
        <v>687</v>
      </c>
      <c r="H1175" t="s">
        <v>687</v>
      </c>
      <c r="J1175">
        <v>2.1780439999999999</v>
      </c>
      <c r="K1175">
        <v>2.1780439999999999</v>
      </c>
      <c r="L1175" t="s">
        <v>303</v>
      </c>
      <c r="M1175">
        <v>2178.0439999999999</v>
      </c>
      <c r="N1175">
        <v>2178.0439999999999</v>
      </c>
      <c r="O1175" t="s">
        <v>862</v>
      </c>
      <c r="P1175">
        <f t="shared" si="18"/>
        <v>0</v>
      </c>
    </row>
    <row r="1176" spans="1:16" x14ac:dyDescent="0.25">
      <c r="A1176" t="s">
        <v>669</v>
      </c>
      <c r="B1176">
        <v>2.1789999999999998</v>
      </c>
      <c r="C1176">
        <v>2.1789999999999998</v>
      </c>
      <c r="D1176" t="s">
        <v>303</v>
      </c>
      <c r="E1176" t="s">
        <v>910</v>
      </c>
      <c r="F1176" t="s">
        <v>910</v>
      </c>
      <c r="J1176">
        <v>2.1789999999999998</v>
      </c>
      <c r="K1176">
        <v>2.1789999999999998</v>
      </c>
      <c r="L1176" t="s">
        <v>303</v>
      </c>
      <c r="M1176">
        <v>2.1789999999999998</v>
      </c>
      <c r="N1176">
        <v>2.1789999999999998</v>
      </c>
      <c r="O1176" t="s">
        <v>303</v>
      </c>
      <c r="P1176">
        <f t="shared" si="18"/>
        <v>0</v>
      </c>
    </row>
    <row r="1177" spans="1:16" x14ac:dyDescent="0.25">
      <c r="A1177" t="s">
        <v>669</v>
      </c>
      <c r="B1177">
        <v>2.198</v>
      </c>
      <c r="C1177">
        <v>2.198</v>
      </c>
      <c r="D1177" t="s">
        <v>303</v>
      </c>
      <c r="E1177" t="s">
        <v>910</v>
      </c>
      <c r="F1177" t="s">
        <v>910</v>
      </c>
      <c r="J1177">
        <v>2.198</v>
      </c>
      <c r="K1177">
        <v>2.198</v>
      </c>
      <c r="L1177" t="s">
        <v>303</v>
      </c>
      <c r="M1177">
        <v>2.198</v>
      </c>
      <c r="N1177">
        <v>2.198</v>
      </c>
      <c r="O1177" t="s">
        <v>303</v>
      </c>
      <c r="P1177">
        <f t="shared" si="18"/>
        <v>0</v>
      </c>
    </row>
    <row r="1178" spans="1:16" x14ac:dyDescent="0.25">
      <c r="A1178" t="s">
        <v>669</v>
      </c>
      <c r="B1178">
        <v>0.78</v>
      </c>
      <c r="C1178">
        <v>2.2000000000000002</v>
      </c>
      <c r="D1178" t="s">
        <v>303</v>
      </c>
      <c r="E1178" t="s">
        <v>910</v>
      </c>
      <c r="F1178" t="s">
        <v>910</v>
      </c>
      <c r="J1178">
        <v>2.2000000000000002</v>
      </c>
      <c r="K1178">
        <v>0.78</v>
      </c>
      <c r="L1178" t="s">
        <v>303</v>
      </c>
      <c r="M1178">
        <v>2.2000000000000002</v>
      </c>
      <c r="N1178">
        <v>0.78</v>
      </c>
      <c r="O1178" t="s">
        <v>303</v>
      </c>
      <c r="P1178">
        <f t="shared" si="18"/>
        <v>0</v>
      </c>
    </row>
    <row r="1179" spans="1:16" x14ac:dyDescent="0.25">
      <c r="A1179" t="s">
        <v>669</v>
      </c>
      <c r="B1179">
        <v>2.1</v>
      </c>
      <c r="C1179">
        <v>2.2000000000000002</v>
      </c>
      <c r="D1179" t="s">
        <v>669</v>
      </c>
      <c r="E1179">
        <v>8</v>
      </c>
      <c r="F1179">
        <v>8</v>
      </c>
      <c r="G1179" t="s">
        <v>687</v>
      </c>
      <c r="H1179" t="s">
        <v>687</v>
      </c>
      <c r="I1179" t="s">
        <v>927</v>
      </c>
      <c r="J1179">
        <v>2.2000000000000002</v>
      </c>
      <c r="K1179">
        <v>2.1</v>
      </c>
      <c r="L1179" t="s">
        <v>930</v>
      </c>
      <c r="M1179">
        <v>2.2000000000000002</v>
      </c>
      <c r="N1179">
        <v>2.1</v>
      </c>
      <c r="P1179">
        <f t="shared" si="18"/>
        <v>14</v>
      </c>
    </row>
    <row r="1180" spans="1:16" x14ac:dyDescent="0.25">
      <c r="A1180" t="s">
        <v>537</v>
      </c>
      <c r="B1180">
        <v>2.16</v>
      </c>
      <c r="C1180">
        <v>2.2000000000000002</v>
      </c>
      <c r="D1180" t="s">
        <v>669</v>
      </c>
      <c r="E1180">
        <v>8</v>
      </c>
      <c r="F1180">
        <v>8</v>
      </c>
      <c r="G1180" t="s">
        <v>687</v>
      </c>
      <c r="H1180" t="s">
        <v>687</v>
      </c>
      <c r="I1180" t="s">
        <v>927</v>
      </c>
      <c r="J1180">
        <v>2.2000000000000002</v>
      </c>
      <c r="K1180">
        <v>2.16</v>
      </c>
      <c r="L1180" t="s">
        <v>930</v>
      </c>
      <c r="M1180">
        <v>2.2000000000000002</v>
      </c>
      <c r="N1180">
        <v>2.16</v>
      </c>
      <c r="P1180">
        <f t="shared" si="18"/>
        <v>14</v>
      </c>
    </row>
    <row r="1181" spans="1:16" x14ac:dyDescent="0.25">
      <c r="A1181" t="s">
        <v>669</v>
      </c>
      <c r="B1181" t="s">
        <v>669</v>
      </c>
      <c r="C1181">
        <v>2.2000000000000002</v>
      </c>
      <c r="D1181" t="s">
        <v>303</v>
      </c>
      <c r="E1181" t="s">
        <v>910</v>
      </c>
      <c r="F1181" t="s">
        <v>910</v>
      </c>
      <c r="J1181">
        <v>2.2000000000000002</v>
      </c>
      <c r="K1181">
        <v>2.2000000000000002</v>
      </c>
      <c r="L1181" t="s">
        <v>303</v>
      </c>
      <c r="M1181">
        <v>2.2000000000000002</v>
      </c>
      <c r="N1181">
        <v>2.2000000000000002</v>
      </c>
      <c r="O1181" t="s">
        <v>303</v>
      </c>
      <c r="P1181">
        <f t="shared" si="18"/>
        <v>0</v>
      </c>
    </row>
    <row r="1182" spans="1:16" x14ac:dyDescent="0.25">
      <c r="A1182" t="s">
        <v>669</v>
      </c>
      <c r="B1182">
        <v>2.226</v>
      </c>
      <c r="C1182">
        <v>2.226</v>
      </c>
      <c r="D1182" t="s">
        <v>303</v>
      </c>
      <c r="E1182" t="s">
        <v>910</v>
      </c>
      <c r="F1182" t="s">
        <v>910</v>
      </c>
      <c r="J1182">
        <v>2.226</v>
      </c>
      <c r="K1182">
        <v>2.226</v>
      </c>
      <c r="L1182" t="s">
        <v>303</v>
      </c>
      <c r="M1182">
        <v>2.226</v>
      </c>
      <c r="N1182">
        <v>2.226</v>
      </c>
      <c r="O1182" t="s">
        <v>303</v>
      </c>
      <c r="P1182">
        <f t="shared" si="18"/>
        <v>0</v>
      </c>
    </row>
    <row r="1183" spans="1:16" x14ac:dyDescent="0.25">
      <c r="A1183" t="s">
        <v>669</v>
      </c>
      <c r="B1183">
        <v>2.246</v>
      </c>
      <c r="C1183">
        <v>2.246</v>
      </c>
      <c r="D1183" t="s">
        <v>303</v>
      </c>
      <c r="E1183" t="s">
        <v>910</v>
      </c>
      <c r="F1183" t="s">
        <v>910</v>
      </c>
      <c r="J1183">
        <v>2.246</v>
      </c>
      <c r="K1183">
        <v>2.246</v>
      </c>
      <c r="L1183" t="s">
        <v>303</v>
      </c>
      <c r="M1183">
        <v>2.246</v>
      </c>
      <c r="N1183">
        <v>2.246</v>
      </c>
      <c r="O1183" t="s">
        <v>303</v>
      </c>
      <c r="P1183">
        <f t="shared" si="18"/>
        <v>0</v>
      </c>
    </row>
    <row r="1184" spans="1:16" x14ac:dyDescent="0.25">
      <c r="A1184" t="s">
        <v>669</v>
      </c>
      <c r="B1184">
        <v>2.25</v>
      </c>
      <c r="C1184">
        <v>2.25</v>
      </c>
      <c r="D1184" t="s">
        <v>303</v>
      </c>
      <c r="E1184" t="s">
        <v>910</v>
      </c>
      <c r="F1184" t="s">
        <v>910</v>
      </c>
      <c r="J1184">
        <v>2.25</v>
      </c>
      <c r="K1184">
        <v>2.25</v>
      </c>
      <c r="L1184" t="s">
        <v>303</v>
      </c>
      <c r="M1184">
        <v>2.25</v>
      </c>
      <c r="N1184">
        <v>2.25</v>
      </c>
      <c r="O1184" t="s">
        <v>303</v>
      </c>
      <c r="P1184">
        <f t="shared" si="18"/>
        <v>0</v>
      </c>
    </row>
    <row r="1185" spans="1:16" x14ac:dyDescent="0.25">
      <c r="A1185" t="s">
        <v>669</v>
      </c>
      <c r="B1185">
        <v>2.254</v>
      </c>
      <c r="C1185">
        <v>2.254</v>
      </c>
      <c r="D1185" t="s">
        <v>303</v>
      </c>
      <c r="E1185" t="s">
        <v>910</v>
      </c>
      <c r="F1185" t="s">
        <v>910</v>
      </c>
      <c r="J1185">
        <v>2.254</v>
      </c>
      <c r="K1185">
        <v>2.254</v>
      </c>
      <c r="L1185" t="s">
        <v>303</v>
      </c>
      <c r="M1185">
        <v>2.254</v>
      </c>
      <c r="N1185">
        <v>2.254</v>
      </c>
      <c r="O1185" t="s">
        <v>303</v>
      </c>
      <c r="P1185">
        <f t="shared" si="18"/>
        <v>0</v>
      </c>
    </row>
    <row r="1186" spans="1:16" x14ac:dyDescent="0.25">
      <c r="A1186" t="s">
        <v>669</v>
      </c>
      <c r="B1186">
        <v>2.282</v>
      </c>
      <c r="C1186">
        <v>2.282</v>
      </c>
      <c r="D1186" t="s">
        <v>303</v>
      </c>
      <c r="E1186" t="s">
        <v>910</v>
      </c>
      <c r="F1186" t="s">
        <v>910</v>
      </c>
      <c r="J1186">
        <v>2.282</v>
      </c>
      <c r="K1186">
        <v>2.282</v>
      </c>
      <c r="L1186" t="s">
        <v>303</v>
      </c>
      <c r="M1186">
        <v>2.282</v>
      </c>
      <c r="N1186">
        <v>2.282</v>
      </c>
      <c r="O1186" t="s">
        <v>303</v>
      </c>
      <c r="P1186">
        <f t="shared" si="18"/>
        <v>0</v>
      </c>
    </row>
    <row r="1187" spans="1:16" x14ac:dyDescent="0.25">
      <c r="A1187" t="s">
        <v>669</v>
      </c>
      <c r="B1187">
        <v>2.2841999999999998</v>
      </c>
      <c r="C1187">
        <v>2.2841999999999998</v>
      </c>
      <c r="D1187" t="s">
        <v>303</v>
      </c>
      <c r="E1187" t="s">
        <v>910</v>
      </c>
      <c r="F1187" t="s">
        <v>910</v>
      </c>
      <c r="J1187">
        <v>2.2841999999999998</v>
      </c>
      <c r="K1187">
        <v>2.2841999999999998</v>
      </c>
      <c r="L1187" t="s">
        <v>303</v>
      </c>
      <c r="M1187">
        <v>2.2841999999999998</v>
      </c>
      <c r="N1187">
        <v>2.2841999999999998</v>
      </c>
      <c r="O1187" t="s">
        <v>303</v>
      </c>
      <c r="P1187">
        <f t="shared" si="18"/>
        <v>0</v>
      </c>
    </row>
    <row r="1188" spans="1:16" x14ac:dyDescent="0.25">
      <c r="A1188" t="s">
        <v>669</v>
      </c>
      <c r="B1188">
        <v>2.2879999999999998</v>
      </c>
      <c r="C1188">
        <v>2.2879999999999998</v>
      </c>
      <c r="D1188" t="s">
        <v>303</v>
      </c>
      <c r="E1188" t="s">
        <v>910</v>
      </c>
      <c r="F1188" t="s">
        <v>910</v>
      </c>
      <c r="J1188">
        <v>2.2879999999999998</v>
      </c>
      <c r="K1188">
        <v>2.2879999999999998</v>
      </c>
      <c r="L1188" t="s">
        <v>303</v>
      </c>
      <c r="M1188">
        <v>2.2879999999999998</v>
      </c>
      <c r="N1188">
        <v>2.2879999999999998</v>
      </c>
      <c r="O1188" t="s">
        <v>303</v>
      </c>
      <c r="P1188">
        <f t="shared" si="18"/>
        <v>0</v>
      </c>
    </row>
    <row r="1189" spans="1:16" x14ac:dyDescent="0.25">
      <c r="A1189" t="s">
        <v>527</v>
      </c>
      <c r="B1189">
        <v>2.1</v>
      </c>
      <c r="C1189">
        <v>2.2999999999999998</v>
      </c>
      <c r="D1189" t="s">
        <v>303</v>
      </c>
      <c r="E1189">
        <v>8</v>
      </c>
      <c r="F1189">
        <v>8</v>
      </c>
      <c r="G1189" t="s">
        <v>687</v>
      </c>
      <c r="H1189" t="s">
        <v>687</v>
      </c>
      <c r="J1189">
        <v>2.2999999999999998</v>
      </c>
      <c r="K1189">
        <v>2.1</v>
      </c>
      <c r="L1189" t="s">
        <v>303</v>
      </c>
      <c r="M1189">
        <v>2.2999999999999998</v>
      </c>
      <c r="N1189">
        <v>2.1</v>
      </c>
      <c r="O1189" t="s">
        <v>303</v>
      </c>
      <c r="P1189">
        <f t="shared" si="18"/>
        <v>0</v>
      </c>
    </row>
    <row r="1190" spans="1:16" x14ac:dyDescent="0.25">
      <c r="A1190" t="s">
        <v>527</v>
      </c>
      <c r="B1190">
        <v>2.1</v>
      </c>
      <c r="C1190">
        <v>2.2999999999999998</v>
      </c>
      <c r="D1190" t="s">
        <v>669</v>
      </c>
      <c r="E1190">
        <v>8</v>
      </c>
      <c r="F1190">
        <v>8</v>
      </c>
      <c r="G1190" t="s">
        <v>687</v>
      </c>
      <c r="H1190" t="s">
        <v>687</v>
      </c>
      <c r="I1190" t="s">
        <v>927</v>
      </c>
      <c r="J1190">
        <v>2.2999999999999998</v>
      </c>
      <c r="K1190">
        <v>2.1</v>
      </c>
      <c r="L1190" t="s">
        <v>930</v>
      </c>
      <c r="M1190">
        <v>2.2999999999999998</v>
      </c>
      <c r="N1190">
        <v>2.1</v>
      </c>
      <c r="P1190">
        <f t="shared" si="18"/>
        <v>14</v>
      </c>
    </row>
    <row r="1191" spans="1:16" x14ac:dyDescent="0.25">
      <c r="A1191" t="s">
        <v>669</v>
      </c>
      <c r="B1191">
        <v>2.3119999999999998</v>
      </c>
      <c r="C1191">
        <v>2.3119999999999998</v>
      </c>
      <c r="D1191" t="s">
        <v>303</v>
      </c>
      <c r="E1191" t="s">
        <v>910</v>
      </c>
      <c r="F1191" t="s">
        <v>910</v>
      </c>
      <c r="J1191">
        <v>2.3119999999999998</v>
      </c>
      <c r="K1191">
        <v>2.3119999999999998</v>
      </c>
      <c r="L1191" t="s">
        <v>303</v>
      </c>
      <c r="M1191">
        <v>2.3119999999999998</v>
      </c>
      <c r="N1191">
        <v>2.3119999999999998</v>
      </c>
      <c r="O1191" t="s">
        <v>303</v>
      </c>
      <c r="P1191">
        <f t="shared" si="18"/>
        <v>0</v>
      </c>
    </row>
    <row r="1192" spans="1:16" x14ac:dyDescent="0.25">
      <c r="A1192" t="s">
        <v>669</v>
      </c>
      <c r="B1192">
        <v>2.3199999999999998</v>
      </c>
      <c r="C1192">
        <v>2.3199999999999998</v>
      </c>
      <c r="D1192" t="s">
        <v>303</v>
      </c>
      <c r="E1192" t="s">
        <v>910</v>
      </c>
      <c r="F1192" t="s">
        <v>910</v>
      </c>
      <c r="J1192">
        <v>2.3199999999999998</v>
      </c>
      <c r="K1192">
        <v>2.3199999999999998</v>
      </c>
      <c r="L1192" t="s">
        <v>303</v>
      </c>
      <c r="M1192">
        <v>2.3199999999999998</v>
      </c>
      <c r="N1192">
        <v>2.3199999999999998</v>
      </c>
      <c r="O1192" t="s">
        <v>303</v>
      </c>
      <c r="P1192">
        <f t="shared" si="18"/>
        <v>0</v>
      </c>
    </row>
    <row r="1193" spans="1:16" x14ac:dyDescent="0.25">
      <c r="A1193" t="s">
        <v>669</v>
      </c>
      <c r="B1193">
        <v>2.327</v>
      </c>
      <c r="C1193">
        <v>2.327</v>
      </c>
      <c r="D1193" t="s">
        <v>303</v>
      </c>
      <c r="E1193" t="s">
        <v>910</v>
      </c>
      <c r="F1193" t="s">
        <v>910</v>
      </c>
      <c r="J1193">
        <v>2.327</v>
      </c>
      <c r="K1193">
        <v>2.327</v>
      </c>
      <c r="L1193" t="s">
        <v>303</v>
      </c>
      <c r="M1193">
        <v>2.327</v>
      </c>
      <c r="N1193">
        <v>2.327</v>
      </c>
      <c r="O1193" t="s">
        <v>303</v>
      </c>
      <c r="P1193">
        <f t="shared" si="18"/>
        <v>0</v>
      </c>
    </row>
    <row r="1194" spans="1:16" x14ac:dyDescent="0.25">
      <c r="A1194" t="s">
        <v>669</v>
      </c>
      <c r="B1194">
        <v>2.34</v>
      </c>
      <c r="C1194">
        <v>2.34</v>
      </c>
      <c r="D1194" t="s">
        <v>303</v>
      </c>
      <c r="E1194" t="s">
        <v>910</v>
      </c>
      <c r="F1194" t="s">
        <v>910</v>
      </c>
      <c r="J1194">
        <v>2.34</v>
      </c>
      <c r="K1194">
        <v>2.34</v>
      </c>
      <c r="L1194" t="s">
        <v>303</v>
      </c>
      <c r="M1194">
        <v>2.34</v>
      </c>
      <c r="N1194">
        <v>2.34</v>
      </c>
      <c r="O1194" t="s">
        <v>303</v>
      </c>
      <c r="P1194">
        <f t="shared" si="18"/>
        <v>0</v>
      </c>
    </row>
    <row r="1195" spans="1:16" x14ac:dyDescent="0.25">
      <c r="A1195" t="s">
        <v>669</v>
      </c>
      <c r="B1195">
        <v>2.3439999999999999</v>
      </c>
      <c r="C1195">
        <v>2.3439999999999999</v>
      </c>
      <c r="D1195" t="s">
        <v>303</v>
      </c>
      <c r="E1195" t="s">
        <v>910</v>
      </c>
      <c r="F1195" t="s">
        <v>910</v>
      </c>
      <c r="J1195">
        <v>2.3439999999999999</v>
      </c>
      <c r="K1195">
        <v>2.3439999999999999</v>
      </c>
      <c r="L1195" t="s">
        <v>303</v>
      </c>
      <c r="M1195">
        <v>2.3439999999999999</v>
      </c>
      <c r="N1195">
        <v>2.3439999999999999</v>
      </c>
      <c r="O1195" t="s">
        <v>303</v>
      </c>
      <c r="P1195">
        <f t="shared" si="18"/>
        <v>0</v>
      </c>
    </row>
    <row r="1196" spans="1:16" x14ac:dyDescent="0.25">
      <c r="A1196" t="s">
        <v>669</v>
      </c>
      <c r="B1196">
        <v>2.367</v>
      </c>
      <c r="C1196">
        <v>2.367</v>
      </c>
      <c r="D1196" t="s">
        <v>303</v>
      </c>
      <c r="E1196" t="s">
        <v>910</v>
      </c>
      <c r="F1196" t="s">
        <v>910</v>
      </c>
      <c r="J1196">
        <v>2.367</v>
      </c>
      <c r="K1196">
        <v>2.367</v>
      </c>
      <c r="L1196" t="s">
        <v>303</v>
      </c>
      <c r="M1196">
        <v>2.367</v>
      </c>
      <c r="N1196">
        <v>2.367</v>
      </c>
      <c r="O1196" t="s">
        <v>303</v>
      </c>
      <c r="P1196">
        <f t="shared" si="18"/>
        <v>0</v>
      </c>
    </row>
    <row r="1197" spans="1:16" x14ac:dyDescent="0.25">
      <c r="A1197" t="s">
        <v>669</v>
      </c>
      <c r="B1197">
        <v>2.38</v>
      </c>
      <c r="C1197">
        <v>2.38</v>
      </c>
      <c r="D1197" t="s">
        <v>303</v>
      </c>
      <c r="E1197" t="s">
        <v>910</v>
      </c>
      <c r="F1197" t="s">
        <v>910</v>
      </c>
      <c r="J1197">
        <v>2.38</v>
      </c>
      <c r="K1197">
        <v>2.38</v>
      </c>
      <c r="L1197" t="s">
        <v>303</v>
      </c>
      <c r="M1197">
        <v>2.38</v>
      </c>
      <c r="N1197">
        <v>2.38</v>
      </c>
      <c r="O1197" t="s">
        <v>303</v>
      </c>
      <c r="P1197">
        <f t="shared" si="18"/>
        <v>0</v>
      </c>
    </row>
    <row r="1198" spans="1:16" x14ac:dyDescent="0.25">
      <c r="A1198" t="s">
        <v>669</v>
      </c>
      <c r="B1198">
        <v>2.391</v>
      </c>
      <c r="C1198">
        <v>2.391</v>
      </c>
      <c r="D1198" t="s">
        <v>303</v>
      </c>
      <c r="E1198" t="s">
        <v>910</v>
      </c>
      <c r="F1198" t="s">
        <v>910</v>
      </c>
      <c r="J1198">
        <v>2.391</v>
      </c>
      <c r="K1198">
        <v>2.391</v>
      </c>
      <c r="L1198" t="s">
        <v>303</v>
      </c>
      <c r="M1198">
        <v>2.391</v>
      </c>
      <c r="N1198">
        <v>2.391</v>
      </c>
      <c r="O1198" t="s">
        <v>303</v>
      </c>
      <c r="P1198">
        <f t="shared" si="18"/>
        <v>0</v>
      </c>
    </row>
    <row r="1199" spans="1:16" x14ac:dyDescent="0.25">
      <c r="A1199" t="s">
        <v>669</v>
      </c>
      <c r="B1199">
        <v>2.3912</v>
      </c>
      <c r="C1199">
        <v>2.3912</v>
      </c>
      <c r="D1199" t="s">
        <v>303</v>
      </c>
      <c r="E1199" t="s">
        <v>910</v>
      </c>
      <c r="F1199" t="s">
        <v>910</v>
      </c>
      <c r="J1199">
        <v>2.3912</v>
      </c>
      <c r="K1199">
        <v>2.3912</v>
      </c>
      <c r="L1199" t="s">
        <v>303</v>
      </c>
      <c r="M1199">
        <v>2.3912</v>
      </c>
      <c r="N1199">
        <v>2.3912</v>
      </c>
      <c r="O1199" t="s">
        <v>303</v>
      </c>
      <c r="P1199">
        <f t="shared" si="18"/>
        <v>0</v>
      </c>
    </row>
    <row r="1200" spans="1:16" x14ac:dyDescent="0.25">
      <c r="A1200" t="s">
        <v>669</v>
      </c>
      <c r="B1200">
        <v>2.3913000000000002</v>
      </c>
      <c r="C1200">
        <v>2.3913000000000002</v>
      </c>
      <c r="D1200" t="s">
        <v>303</v>
      </c>
      <c r="E1200" t="s">
        <v>910</v>
      </c>
      <c r="F1200" t="s">
        <v>910</v>
      </c>
      <c r="J1200">
        <v>2.3913000000000002</v>
      </c>
      <c r="K1200">
        <v>2.3913000000000002</v>
      </c>
      <c r="L1200" t="s">
        <v>303</v>
      </c>
      <c r="M1200">
        <v>2.3913000000000002</v>
      </c>
      <c r="N1200">
        <v>2.3913000000000002</v>
      </c>
      <c r="O1200" t="s">
        <v>303</v>
      </c>
      <c r="P1200">
        <f t="shared" si="18"/>
        <v>0</v>
      </c>
    </row>
    <row r="1201" spans="1:16" x14ac:dyDescent="0.25">
      <c r="A1201" t="s">
        <v>669</v>
      </c>
      <c r="B1201">
        <v>2.41</v>
      </c>
      <c r="C1201">
        <v>2.41</v>
      </c>
      <c r="D1201" t="s">
        <v>303</v>
      </c>
      <c r="E1201" t="s">
        <v>910</v>
      </c>
      <c r="F1201" t="s">
        <v>910</v>
      </c>
      <c r="J1201">
        <v>2.41</v>
      </c>
      <c r="K1201">
        <v>2.41</v>
      </c>
      <c r="L1201" t="s">
        <v>303</v>
      </c>
      <c r="M1201">
        <v>2.41</v>
      </c>
      <c r="N1201">
        <v>2.41</v>
      </c>
      <c r="O1201" t="s">
        <v>303</v>
      </c>
      <c r="P1201">
        <f t="shared" si="18"/>
        <v>0</v>
      </c>
    </row>
    <row r="1202" spans="1:16" x14ac:dyDescent="0.25">
      <c r="A1202" t="s">
        <v>669</v>
      </c>
      <c r="B1202">
        <v>2.4159000000000002</v>
      </c>
      <c r="C1202">
        <v>2.4159000000000002</v>
      </c>
      <c r="D1202" t="s">
        <v>303</v>
      </c>
      <c r="E1202" t="s">
        <v>910</v>
      </c>
      <c r="F1202" t="s">
        <v>910</v>
      </c>
      <c r="J1202">
        <v>2.4159000000000002</v>
      </c>
      <c r="K1202">
        <v>2.4159000000000002</v>
      </c>
      <c r="L1202" t="s">
        <v>303</v>
      </c>
      <c r="M1202">
        <v>2.4159000000000002</v>
      </c>
      <c r="N1202">
        <v>2.4159000000000002</v>
      </c>
      <c r="O1202" t="s">
        <v>303</v>
      </c>
      <c r="P1202">
        <f t="shared" si="18"/>
        <v>0</v>
      </c>
    </row>
    <row r="1203" spans="1:16" x14ac:dyDescent="0.25">
      <c r="A1203" t="s">
        <v>669</v>
      </c>
      <c r="B1203">
        <v>2.4209999999999998</v>
      </c>
      <c r="C1203">
        <v>2.4209999999999998</v>
      </c>
      <c r="D1203" t="s">
        <v>303</v>
      </c>
      <c r="E1203" t="s">
        <v>910</v>
      </c>
      <c r="F1203" t="s">
        <v>910</v>
      </c>
      <c r="J1203">
        <v>2.4209999999999998</v>
      </c>
      <c r="K1203">
        <v>2.4209999999999998</v>
      </c>
      <c r="L1203" t="s">
        <v>303</v>
      </c>
      <c r="M1203">
        <v>2.4209999999999998</v>
      </c>
      <c r="N1203">
        <v>2.4209999999999998</v>
      </c>
      <c r="O1203" t="s">
        <v>303</v>
      </c>
      <c r="P1203">
        <f t="shared" si="18"/>
        <v>0</v>
      </c>
    </row>
    <row r="1204" spans="1:16" x14ac:dyDescent="0.25">
      <c r="A1204" t="s">
        <v>669</v>
      </c>
      <c r="B1204">
        <v>2.4291</v>
      </c>
      <c r="C1204">
        <v>2.4291</v>
      </c>
      <c r="D1204" t="s">
        <v>303</v>
      </c>
      <c r="E1204" t="s">
        <v>910</v>
      </c>
      <c r="F1204" t="s">
        <v>910</v>
      </c>
      <c r="J1204">
        <v>2.4291</v>
      </c>
      <c r="K1204">
        <v>2.4291</v>
      </c>
      <c r="L1204" t="s">
        <v>303</v>
      </c>
      <c r="M1204">
        <v>2.4291</v>
      </c>
      <c r="N1204">
        <v>2.4291</v>
      </c>
      <c r="O1204" t="s">
        <v>303</v>
      </c>
      <c r="P1204">
        <f t="shared" si="18"/>
        <v>0</v>
      </c>
    </row>
    <row r="1205" spans="1:16" x14ac:dyDescent="0.25">
      <c r="A1205" t="s">
        <v>669</v>
      </c>
      <c r="B1205">
        <v>2.4295</v>
      </c>
      <c r="C1205">
        <v>2.4295</v>
      </c>
      <c r="D1205" t="s">
        <v>303</v>
      </c>
      <c r="E1205" t="s">
        <v>910</v>
      </c>
      <c r="F1205" t="s">
        <v>910</v>
      </c>
      <c r="J1205">
        <v>2.4295</v>
      </c>
      <c r="K1205">
        <v>2.4295</v>
      </c>
      <c r="L1205" t="s">
        <v>303</v>
      </c>
      <c r="M1205">
        <v>2.4295</v>
      </c>
      <c r="N1205">
        <v>2.4295</v>
      </c>
      <c r="O1205" t="s">
        <v>303</v>
      </c>
      <c r="P1205">
        <f t="shared" si="18"/>
        <v>0</v>
      </c>
    </row>
    <row r="1206" spans="1:16" x14ac:dyDescent="0.25">
      <c r="A1206" t="s">
        <v>669</v>
      </c>
      <c r="B1206">
        <v>2.4297</v>
      </c>
      <c r="C1206">
        <v>2.4297</v>
      </c>
      <c r="D1206" t="s">
        <v>303</v>
      </c>
      <c r="E1206" t="s">
        <v>910</v>
      </c>
      <c r="F1206" t="s">
        <v>910</v>
      </c>
      <c r="J1206">
        <v>2.4297</v>
      </c>
      <c r="K1206">
        <v>2.4297</v>
      </c>
      <c r="L1206" t="s">
        <v>303</v>
      </c>
      <c r="M1206">
        <v>2.4297</v>
      </c>
      <c r="N1206">
        <v>2.4297</v>
      </c>
      <c r="O1206" t="s">
        <v>303</v>
      </c>
      <c r="P1206">
        <f t="shared" si="18"/>
        <v>0</v>
      </c>
    </row>
    <row r="1207" spans="1:16" x14ac:dyDescent="0.25">
      <c r="A1207" t="s">
        <v>537</v>
      </c>
      <c r="B1207">
        <v>2.37</v>
      </c>
      <c r="C1207">
        <v>2.4300000000000002</v>
      </c>
      <c r="D1207" t="s">
        <v>303</v>
      </c>
      <c r="E1207">
        <v>14</v>
      </c>
      <c r="F1207">
        <v>14</v>
      </c>
      <c r="G1207" t="s">
        <v>690</v>
      </c>
      <c r="H1207" t="s">
        <v>690</v>
      </c>
      <c r="J1207">
        <v>2.4300000000000002</v>
      </c>
      <c r="K1207">
        <v>2.37</v>
      </c>
      <c r="L1207" t="s">
        <v>303</v>
      </c>
      <c r="M1207">
        <v>2.4300000000000002</v>
      </c>
      <c r="N1207">
        <v>2.37</v>
      </c>
      <c r="O1207" t="s">
        <v>303</v>
      </c>
      <c r="P1207">
        <f t="shared" si="18"/>
        <v>0</v>
      </c>
    </row>
    <row r="1208" spans="1:16" x14ac:dyDescent="0.25">
      <c r="A1208" t="s">
        <v>669</v>
      </c>
      <c r="B1208">
        <v>2.4357000000000002</v>
      </c>
      <c r="C1208">
        <v>2.4357000000000002</v>
      </c>
      <c r="D1208" t="s">
        <v>303</v>
      </c>
      <c r="E1208" t="s">
        <v>910</v>
      </c>
      <c r="F1208" t="s">
        <v>910</v>
      </c>
      <c r="J1208">
        <v>2.4357000000000002</v>
      </c>
      <c r="K1208">
        <v>2.4357000000000002</v>
      </c>
      <c r="L1208" t="s">
        <v>303</v>
      </c>
      <c r="M1208">
        <v>2.4357000000000002</v>
      </c>
      <c r="N1208">
        <v>2.4357000000000002</v>
      </c>
      <c r="O1208" t="s">
        <v>303</v>
      </c>
      <c r="P1208">
        <f t="shared" si="18"/>
        <v>0</v>
      </c>
    </row>
    <row r="1209" spans="1:16" x14ac:dyDescent="0.25">
      <c r="A1209" t="s">
        <v>669</v>
      </c>
      <c r="B1209">
        <v>2.4361000000000002</v>
      </c>
      <c r="C1209">
        <v>2.4361000000000002</v>
      </c>
      <c r="D1209" t="s">
        <v>303</v>
      </c>
      <c r="E1209" t="s">
        <v>910</v>
      </c>
      <c r="F1209" t="s">
        <v>910</v>
      </c>
      <c r="J1209">
        <v>2.4361000000000002</v>
      </c>
      <c r="K1209">
        <v>2.4361000000000002</v>
      </c>
      <c r="L1209" t="s">
        <v>303</v>
      </c>
      <c r="M1209">
        <v>2.4361000000000002</v>
      </c>
      <c r="N1209">
        <v>2.4361000000000002</v>
      </c>
      <c r="O1209" t="s">
        <v>303</v>
      </c>
      <c r="P1209">
        <f t="shared" si="18"/>
        <v>0</v>
      </c>
    </row>
    <row r="1210" spans="1:16" x14ac:dyDescent="0.25">
      <c r="A1210" t="s">
        <v>669</v>
      </c>
      <c r="B1210">
        <v>2.4363000000000001</v>
      </c>
      <c r="C1210">
        <v>2.4363000000000001</v>
      </c>
      <c r="D1210" t="s">
        <v>303</v>
      </c>
      <c r="E1210" t="s">
        <v>910</v>
      </c>
      <c r="F1210" t="s">
        <v>910</v>
      </c>
      <c r="J1210">
        <v>2.4363000000000001</v>
      </c>
      <c r="K1210">
        <v>2.4363000000000001</v>
      </c>
      <c r="L1210" t="s">
        <v>303</v>
      </c>
      <c r="M1210">
        <v>2.4363000000000001</v>
      </c>
      <c r="N1210">
        <v>2.4363000000000001</v>
      </c>
      <c r="O1210" t="s">
        <v>303</v>
      </c>
      <c r="P1210">
        <f t="shared" si="18"/>
        <v>0</v>
      </c>
    </row>
    <row r="1211" spans="1:16" x14ac:dyDescent="0.25">
      <c r="A1211" t="s">
        <v>669</v>
      </c>
      <c r="B1211">
        <v>2.4620000000000002</v>
      </c>
      <c r="C1211">
        <v>2.4620000000000002</v>
      </c>
      <c r="D1211" t="s">
        <v>303</v>
      </c>
      <c r="E1211" t="s">
        <v>910</v>
      </c>
      <c r="F1211" t="s">
        <v>910</v>
      </c>
      <c r="J1211">
        <v>2.4620000000000002</v>
      </c>
      <c r="K1211">
        <v>2.4620000000000002</v>
      </c>
      <c r="L1211" t="s">
        <v>303</v>
      </c>
      <c r="M1211">
        <v>2.4620000000000002</v>
      </c>
      <c r="N1211">
        <v>2.4620000000000002</v>
      </c>
      <c r="O1211" t="s">
        <v>303</v>
      </c>
      <c r="P1211">
        <f t="shared" si="18"/>
        <v>0</v>
      </c>
    </row>
    <row r="1212" spans="1:16" x14ac:dyDescent="0.25">
      <c r="A1212" t="s">
        <v>669</v>
      </c>
      <c r="B1212">
        <v>2.4700000000000002</v>
      </c>
      <c r="C1212">
        <v>2.4700000000000002</v>
      </c>
      <c r="D1212" t="s">
        <v>303</v>
      </c>
      <c r="E1212" t="s">
        <v>910</v>
      </c>
      <c r="F1212" t="s">
        <v>910</v>
      </c>
      <c r="J1212">
        <v>2.4700000000000002</v>
      </c>
      <c r="K1212">
        <v>2.4700000000000002</v>
      </c>
      <c r="L1212" t="s">
        <v>303</v>
      </c>
      <c r="M1212">
        <v>2.4700000000000002</v>
      </c>
      <c r="N1212">
        <v>2.4700000000000002</v>
      </c>
      <c r="O1212" t="s">
        <v>303</v>
      </c>
      <c r="P1212">
        <f t="shared" si="18"/>
        <v>0</v>
      </c>
    </row>
    <row r="1213" spans="1:16" x14ac:dyDescent="0.25">
      <c r="A1213" t="s">
        <v>669</v>
      </c>
      <c r="B1213">
        <v>2.4700000000000002</v>
      </c>
      <c r="C1213">
        <v>2.4900000000000002</v>
      </c>
      <c r="D1213" t="s">
        <v>303</v>
      </c>
      <c r="E1213" t="s">
        <v>910</v>
      </c>
      <c r="F1213" t="s">
        <v>910</v>
      </c>
      <c r="J1213">
        <v>2.4900000000000002</v>
      </c>
      <c r="K1213">
        <v>2.4700000000000002</v>
      </c>
      <c r="L1213" t="s">
        <v>303</v>
      </c>
      <c r="M1213">
        <v>2.4900000000000002</v>
      </c>
      <c r="N1213">
        <v>2.4700000000000002</v>
      </c>
      <c r="O1213" t="s">
        <v>303</v>
      </c>
      <c r="P1213">
        <f t="shared" si="18"/>
        <v>0</v>
      </c>
    </row>
    <row r="1214" spans="1:16" x14ac:dyDescent="0.25">
      <c r="A1214" t="s">
        <v>669</v>
      </c>
      <c r="B1214">
        <v>0</v>
      </c>
      <c r="C1214">
        <v>2.5</v>
      </c>
      <c r="D1214" t="s">
        <v>303</v>
      </c>
      <c r="E1214" t="s">
        <v>910</v>
      </c>
      <c r="F1214" t="s">
        <v>910</v>
      </c>
      <c r="J1214">
        <v>2.5</v>
      </c>
      <c r="K1214">
        <v>0</v>
      </c>
      <c r="L1214" t="s">
        <v>303</v>
      </c>
      <c r="M1214">
        <v>2.5</v>
      </c>
      <c r="N1214">
        <v>0</v>
      </c>
      <c r="O1214" t="s">
        <v>303</v>
      </c>
      <c r="P1214">
        <f t="shared" si="18"/>
        <v>0</v>
      </c>
    </row>
    <row r="1215" spans="1:16" x14ac:dyDescent="0.25">
      <c r="A1215" t="s">
        <v>669</v>
      </c>
      <c r="B1215">
        <v>2.1</v>
      </c>
      <c r="C1215">
        <v>2.5</v>
      </c>
      <c r="D1215" t="s">
        <v>669</v>
      </c>
      <c r="E1215">
        <v>8</v>
      </c>
      <c r="F1215">
        <v>8</v>
      </c>
      <c r="G1215" t="s">
        <v>687</v>
      </c>
      <c r="H1215" t="s">
        <v>687</v>
      </c>
      <c r="I1215" t="s">
        <v>927</v>
      </c>
      <c r="J1215">
        <v>2.5</v>
      </c>
      <c r="K1215">
        <v>2.1</v>
      </c>
      <c r="L1215" t="s">
        <v>930</v>
      </c>
      <c r="M1215">
        <v>2.5</v>
      </c>
      <c r="N1215">
        <v>2.1</v>
      </c>
      <c r="P1215">
        <f t="shared" si="18"/>
        <v>14</v>
      </c>
    </row>
    <row r="1216" spans="1:16" x14ac:dyDescent="0.25">
      <c r="A1216" t="s">
        <v>669</v>
      </c>
      <c r="B1216">
        <v>2.2999999999999998</v>
      </c>
      <c r="C1216">
        <v>2.5</v>
      </c>
      <c r="D1216" t="s">
        <v>669</v>
      </c>
      <c r="E1216">
        <v>8</v>
      </c>
      <c r="F1216">
        <v>8</v>
      </c>
      <c r="G1216" t="s">
        <v>687</v>
      </c>
      <c r="H1216" t="s">
        <v>687</v>
      </c>
      <c r="I1216" t="s">
        <v>927</v>
      </c>
      <c r="J1216">
        <v>2.5</v>
      </c>
      <c r="K1216">
        <v>2.2999999999999998</v>
      </c>
      <c r="L1216" t="s">
        <v>930</v>
      </c>
      <c r="M1216">
        <v>2.5</v>
      </c>
      <c r="N1216">
        <v>2.2999999999999998</v>
      </c>
      <c r="P1216">
        <f t="shared" si="18"/>
        <v>14</v>
      </c>
    </row>
    <row r="1217" spans="1:16" x14ac:dyDescent="0.25">
      <c r="A1217" t="s">
        <v>669</v>
      </c>
      <c r="B1217">
        <v>2.5</v>
      </c>
      <c r="C1217">
        <v>2.5</v>
      </c>
      <c r="D1217" t="s">
        <v>669</v>
      </c>
      <c r="E1217">
        <v>8</v>
      </c>
      <c r="F1217">
        <v>8</v>
      </c>
      <c r="G1217" t="s">
        <v>687</v>
      </c>
      <c r="H1217" t="s">
        <v>687</v>
      </c>
      <c r="I1217" t="s">
        <v>927</v>
      </c>
      <c r="J1217">
        <v>2.5</v>
      </c>
      <c r="K1217">
        <v>2.5</v>
      </c>
      <c r="L1217" t="s">
        <v>930</v>
      </c>
      <c r="M1217">
        <v>2.5</v>
      </c>
      <c r="N1217">
        <v>2.5</v>
      </c>
      <c r="P1217">
        <f t="shared" si="18"/>
        <v>14</v>
      </c>
    </row>
    <row r="1218" spans="1:16" x14ac:dyDescent="0.25">
      <c r="A1218" t="s">
        <v>669</v>
      </c>
      <c r="B1218">
        <v>2.5009999999999999</v>
      </c>
      <c r="C1218">
        <v>2.5009999999999999</v>
      </c>
      <c r="D1218" t="s">
        <v>303</v>
      </c>
      <c r="E1218" t="s">
        <v>910</v>
      </c>
      <c r="F1218" t="s">
        <v>910</v>
      </c>
      <c r="J1218">
        <v>2.5009999999999999</v>
      </c>
      <c r="K1218">
        <v>2.5009999999999999</v>
      </c>
      <c r="L1218" t="s">
        <v>303</v>
      </c>
      <c r="M1218">
        <v>2.5009999999999999</v>
      </c>
      <c r="N1218">
        <v>2.5009999999999999</v>
      </c>
      <c r="O1218" t="s">
        <v>303</v>
      </c>
      <c r="P1218">
        <f t="shared" si="18"/>
        <v>0</v>
      </c>
    </row>
    <row r="1219" spans="1:16" x14ac:dyDescent="0.25">
      <c r="A1219" t="s">
        <v>527</v>
      </c>
      <c r="B1219">
        <v>2501.654</v>
      </c>
      <c r="C1219">
        <v>2501.654</v>
      </c>
      <c r="D1219" t="s">
        <v>887</v>
      </c>
      <c r="E1219">
        <v>8</v>
      </c>
      <c r="F1219">
        <v>8</v>
      </c>
      <c r="G1219" t="s">
        <v>687</v>
      </c>
      <c r="H1219" t="s">
        <v>687</v>
      </c>
      <c r="J1219">
        <v>2.5016539999999998</v>
      </c>
      <c r="K1219">
        <v>2.5016539999999998</v>
      </c>
      <c r="L1219" t="s">
        <v>303</v>
      </c>
      <c r="M1219">
        <v>2501.654</v>
      </c>
      <c r="N1219">
        <v>2501.654</v>
      </c>
      <c r="O1219" t="s">
        <v>862</v>
      </c>
      <c r="P1219">
        <f t="shared" ref="P1219:P1282" si="19">LEN(I1219)</f>
        <v>0</v>
      </c>
    </row>
    <row r="1220" spans="1:16" x14ac:dyDescent="0.25">
      <c r="A1220" t="s">
        <v>527</v>
      </c>
      <c r="B1220">
        <v>2503.748</v>
      </c>
      <c r="C1220">
        <v>2503.748</v>
      </c>
      <c r="D1220" t="s">
        <v>887</v>
      </c>
      <c r="E1220">
        <v>8</v>
      </c>
      <c r="F1220">
        <v>8</v>
      </c>
      <c r="G1220" t="s">
        <v>687</v>
      </c>
      <c r="H1220" t="s">
        <v>687</v>
      </c>
      <c r="J1220">
        <v>2.5037479999999999</v>
      </c>
      <c r="K1220">
        <v>2.5037479999999999</v>
      </c>
      <c r="L1220" t="s">
        <v>303</v>
      </c>
      <c r="M1220">
        <v>2503.748</v>
      </c>
      <c r="N1220">
        <v>2503.748</v>
      </c>
      <c r="O1220" t="s">
        <v>862</v>
      </c>
      <c r="P1220">
        <f t="shared" si="19"/>
        <v>0</v>
      </c>
    </row>
    <row r="1221" spans="1:16" x14ac:dyDescent="0.25">
      <c r="A1221" t="s">
        <v>527</v>
      </c>
      <c r="B1221">
        <v>2507.4839999999999</v>
      </c>
      <c r="C1221">
        <v>2507.4839999999999</v>
      </c>
      <c r="D1221" t="s">
        <v>887</v>
      </c>
      <c r="E1221">
        <v>8</v>
      </c>
      <c r="F1221">
        <v>8</v>
      </c>
      <c r="G1221" t="s">
        <v>687</v>
      </c>
      <c r="H1221" t="s">
        <v>687</v>
      </c>
      <c r="J1221">
        <v>2.5074839999999998</v>
      </c>
      <c r="K1221">
        <v>2.5074839999999998</v>
      </c>
      <c r="L1221" t="s">
        <v>303</v>
      </c>
      <c r="M1221">
        <v>2507.4839999999999</v>
      </c>
      <c r="N1221">
        <v>2507.4839999999999</v>
      </c>
      <c r="O1221" t="s">
        <v>862</v>
      </c>
      <c r="P1221">
        <f t="shared" si="19"/>
        <v>0</v>
      </c>
    </row>
    <row r="1222" spans="1:16" x14ac:dyDescent="0.25">
      <c r="A1222" t="s">
        <v>669</v>
      </c>
      <c r="B1222">
        <v>2.5099999999999998</v>
      </c>
      <c r="C1222">
        <v>2.5099999999999998</v>
      </c>
      <c r="D1222" t="s">
        <v>303</v>
      </c>
      <c r="E1222" t="s">
        <v>910</v>
      </c>
      <c r="F1222" t="s">
        <v>910</v>
      </c>
      <c r="J1222">
        <v>2.5099999999999998</v>
      </c>
      <c r="K1222">
        <v>2.5099999999999998</v>
      </c>
      <c r="L1222" t="s">
        <v>303</v>
      </c>
      <c r="M1222">
        <v>2.5099999999999998</v>
      </c>
      <c r="N1222">
        <v>2.5099999999999998</v>
      </c>
      <c r="O1222" t="s">
        <v>303</v>
      </c>
      <c r="P1222">
        <f t="shared" si="19"/>
        <v>0</v>
      </c>
    </row>
    <row r="1223" spans="1:16" x14ac:dyDescent="0.25">
      <c r="A1223" t="s">
        <v>527</v>
      </c>
      <c r="B1223">
        <v>2510.5520000000001</v>
      </c>
      <c r="C1223">
        <v>2510.5520000000001</v>
      </c>
      <c r="D1223" t="s">
        <v>887</v>
      </c>
      <c r="E1223">
        <v>8</v>
      </c>
      <c r="F1223">
        <v>8</v>
      </c>
      <c r="G1223" t="s">
        <v>687</v>
      </c>
      <c r="H1223" t="s">
        <v>687</v>
      </c>
      <c r="J1223">
        <v>2.5105520000000001</v>
      </c>
      <c r="K1223">
        <v>2.5105520000000001</v>
      </c>
      <c r="L1223" t="s">
        <v>303</v>
      </c>
      <c r="M1223">
        <v>2510.5520000000001</v>
      </c>
      <c r="N1223">
        <v>2510.5520000000001</v>
      </c>
      <c r="O1223" t="s">
        <v>862</v>
      </c>
      <c r="P1223">
        <f t="shared" si="19"/>
        <v>0</v>
      </c>
    </row>
    <row r="1224" spans="1:16" x14ac:dyDescent="0.25">
      <c r="A1224" t="s">
        <v>669</v>
      </c>
      <c r="B1224">
        <v>2.52</v>
      </c>
      <c r="C1224">
        <v>2.52</v>
      </c>
      <c r="D1224" t="s">
        <v>303</v>
      </c>
      <c r="E1224" t="s">
        <v>910</v>
      </c>
      <c r="F1224" t="s">
        <v>910</v>
      </c>
      <c r="J1224">
        <v>2.52</v>
      </c>
      <c r="K1224">
        <v>2.52</v>
      </c>
      <c r="L1224" t="s">
        <v>303</v>
      </c>
      <c r="M1224">
        <v>2.52</v>
      </c>
      <c r="N1224">
        <v>2.52</v>
      </c>
      <c r="O1224" t="s">
        <v>303</v>
      </c>
      <c r="P1224">
        <f t="shared" si="19"/>
        <v>0</v>
      </c>
    </row>
    <row r="1225" spans="1:16" x14ac:dyDescent="0.25">
      <c r="A1225" t="s">
        <v>669</v>
      </c>
      <c r="B1225">
        <v>2.5299999999999998</v>
      </c>
      <c r="C1225">
        <v>2.5299999999999998</v>
      </c>
      <c r="D1225" t="s">
        <v>303</v>
      </c>
      <c r="E1225" t="s">
        <v>910</v>
      </c>
      <c r="F1225" t="s">
        <v>910</v>
      </c>
      <c r="J1225">
        <v>2.5299999999999998</v>
      </c>
      <c r="K1225">
        <v>2.5299999999999998</v>
      </c>
      <c r="L1225" t="s">
        <v>303</v>
      </c>
      <c r="M1225">
        <v>2.5299999999999998</v>
      </c>
      <c r="N1225">
        <v>2.5299999999999998</v>
      </c>
      <c r="O1225" t="s">
        <v>303</v>
      </c>
      <c r="P1225">
        <f t="shared" si="19"/>
        <v>0</v>
      </c>
    </row>
    <row r="1226" spans="1:16" x14ac:dyDescent="0.25">
      <c r="A1226" t="s">
        <v>669</v>
      </c>
      <c r="B1226">
        <v>2.5329999999999999</v>
      </c>
      <c r="C1226">
        <v>2.5329999999999999</v>
      </c>
      <c r="D1226" t="s">
        <v>303</v>
      </c>
      <c r="E1226" t="s">
        <v>910</v>
      </c>
      <c r="F1226" t="s">
        <v>910</v>
      </c>
      <c r="J1226">
        <v>2.5329999999999999</v>
      </c>
      <c r="K1226">
        <v>2.5329999999999999</v>
      </c>
      <c r="L1226" t="s">
        <v>303</v>
      </c>
      <c r="M1226">
        <v>2.5329999999999999</v>
      </c>
      <c r="N1226">
        <v>2.5329999999999999</v>
      </c>
      <c r="O1226" t="s">
        <v>303</v>
      </c>
      <c r="P1226">
        <f t="shared" si="19"/>
        <v>0</v>
      </c>
    </row>
    <row r="1227" spans="1:16" x14ac:dyDescent="0.25">
      <c r="A1227" t="s">
        <v>669</v>
      </c>
      <c r="B1227">
        <v>2.5480999999999998</v>
      </c>
      <c r="C1227">
        <v>2.5480999999999998</v>
      </c>
      <c r="D1227" t="s">
        <v>303</v>
      </c>
      <c r="E1227" t="s">
        <v>910</v>
      </c>
      <c r="F1227" t="s">
        <v>910</v>
      </c>
      <c r="J1227">
        <v>2.5480999999999998</v>
      </c>
      <c r="K1227">
        <v>2.5480999999999998</v>
      </c>
      <c r="L1227" t="s">
        <v>303</v>
      </c>
      <c r="M1227">
        <v>2.5480999999999998</v>
      </c>
      <c r="N1227">
        <v>2.5480999999999998</v>
      </c>
      <c r="O1227" t="s">
        <v>303</v>
      </c>
      <c r="P1227">
        <f t="shared" si="19"/>
        <v>0</v>
      </c>
    </row>
    <row r="1228" spans="1:16" x14ac:dyDescent="0.25">
      <c r="A1228" t="s">
        <v>669</v>
      </c>
      <c r="B1228">
        <v>2.5590000000000002</v>
      </c>
      <c r="C1228">
        <v>2.5590000000000002</v>
      </c>
      <c r="D1228" t="s">
        <v>303</v>
      </c>
      <c r="E1228" t="s">
        <v>910</v>
      </c>
      <c r="F1228" t="s">
        <v>910</v>
      </c>
      <c r="J1228">
        <v>2.5590000000000002</v>
      </c>
      <c r="K1228">
        <v>2.5590000000000002</v>
      </c>
      <c r="L1228" t="s">
        <v>303</v>
      </c>
      <c r="M1228">
        <v>2.5590000000000002</v>
      </c>
      <c r="N1228">
        <v>2.5590000000000002</v>
      </c>
      <c r="O1228" t="s">
        <v>303</v>
      </c>
      <c r="P1228">
        <f t="shared" si="19"/>
        <v>0</v>
      </c>
    </row>
    <row r="1229" spans="1:16" x14ac:dyDescent="0.25">
      <c r="A1229" t="s">
        <v>669</v>
      </c>
      <c r="B1229">
        <v>2.56</v>
      </c>
      <c r="C1229">
        <v>2.56</v>
      </c>
      <c r="D1229" t="s">
        <v>303</v>
      </c>
      <c r="E1229" t="s">
        <v>910</v>
      </c>
      <c r="F1229" t="s">
        <v>910</v>
      </c>
      <c r="J1229">
        <v>2.56</v>
      </c>
      <c r="K1229">
        <v>2.56</v>
      </c>
      <c r="L1229" t="s">
        <v>303</v>
      </c>
      <c r="M1229">
        <v>2.56</v>
      </c>
      <c r="N1229">
        <v>2.56</v>
      </c>
      <c r="O1229" t="s">
        <v>303</v>
      </c>
      <c r="P1229">
        <f t="shared" si="19"/>
        <v>0</v>
      </c>
    </row>
    <row r="1230" spans="1:16" x14ac:dyDescent="0.25">
      <c r="A1230" t="s">
        <v>669</v>
      </c>
      <c r="B1230">
        <v>2.5840999999999998</v>
      </c>
      <c r="C1230">
        <v>2.5840999999999998</v>
      </c>
      <c r="D1230" t="s">
        <v>303</v>
      </c>
      <c r="E1230" t="s">
        <v>910</v>
      </c>
      <c r="F1230" t="s">
        <v>910</v>
      </c>
      <c r="J1230">
        <v>2.5840999999999998</v>
      </c>
      <c r="K1230">
        <v>2.5840999999999998</v>
      </c>
      <c r="L1230" t="s">
        <v>303</v>
      </c>
      <c r="M1230">
        <v>2.5840999999999998</v>
      </c>
      <c r="N1230">
        <v>2.5840999999999998</v>
      </c>
      <c r="O1230" t="s">
        <v>303</v>
      </c>
      <c r="P1230">
        <f t="shared" si="19"/>
        <v>0</v>
      </c>
    </row>
    <row r="1231" spans="1:16" x14ac:dyDescent="0.25">
      <c r="A1231" t="s">
        <v>669</v>
      </c>
      <c r="B1231">
        <v>2.585</v>
      </c>
      <c r="C1231">
        <v>2.585</v>
      </c>
      <c r="D1231" t="s">
        <v>303</v>
      </c>
      <c r="E1231" t="s">
        <v>910</v>
      </c>
      <c r="F1231" t="s">
        <v>910</v>
      </c>
      <c r="J1231">
        <v>2.585</v>
      </c>
      <c r="K1231">
        <v>2.585</v>
      </c>
      <c r="L1231" t="s">
        <v>303</v>
      </c>
      <c r="M1231">
        <v>2.585</v>
      </c>
      <c r="N1231">
        <v>2.585</v>
      </c>
      <c r="O1231" t="s">
        <v>303</v>
      </c>
      <c r="P1231">
        <f t="shared" si="19"/>
        <v>0</v>
      </c>
    </row>
    <row r="1232" spans="1:16" x14ac:dyDescent="0.25">
      <c r="A1232" t="s">
        <v>669</v>
      </c>
      <c r="B1232">
        <v>2.59</v>
      </c>
      <c r="C1232">
        <v>2.59</v>
      </c>
      <c r="D1232" t="s">
        <v>303</v>
      </c>
      <c r="E1232" t="s">
        <v>910</v>
      </c>
      <c r="F1232" t="s">
        <v>910</v>
      </c>
      <c r="J1232">
        <v>2.59</v>
      </c>
      <c r="K1232">
        <v>2.59</v>
      </c>
      <c r="L1232" t="s">
        <v>303</v>
      </c>
      <c r="M1232">
        <v>2.59</v>
      </c>
      <c r="N1232">
        <v>2.59</v>
      </c>
      <c r="O1232" t="s">
        <v>303</v>
      </c>
      <c r="P1232">
        <f t="shared" si="19"/>
        <v>0</v>
      </c>
    </row>
    <row r="1233" spans="1:16" x14ac:dyDescent="0.25">
      <c r="A1233" t="s">
        <v>89</v>
      </c>
      <c r="B1233">
        <v>0</v>
      </c>
      <c r="C1233">
        <v>2.6</v>
      </c>
      <c r="D1233" t="s">
        <v>303</v>
      </c>
      <c r="E1233">
        <v>3</v>
      </c>
      <c r="F1233">
        <v>3</v>
      </c>
      <c r="G1233" t="s">
        <v>700</v>
      </c>
      <c r="H1233" t="s">
        <v>700</v>
      </c>
      <c r="J1233">
        <v>2.6</v>
      </c>
      <c r="K1233">
        <v>0</v>
      </c>
      <c r="L1233" t="s">
        <v>303</v>
      </c>
      <c r="M1233">
        <v>2.6</v>
      </c>
      <c r="N1233">
        <v>0</v>
      </c>
      <c r="O1233" t="s">
        <v>303</v>
      </c>
      <c r="P1233">
        <f t="shared" si="19"/>
        <v>0</v>
      </c>
    </row>
    <row r="1234" spans="1:16" x14ac:dyDescent="0.25">
      <c r="A1234" t="s">
        <v>528</v>
      </c>
      <c r="B1234">
        <v>0</v>
      </c>
      <c r="C1234">
        <v>2.6</v>
      </c>
      <c r="D1234" t="s">
        <v>303</v>
      </c>
      <c r="E1234">
        <v>8</v>
      </c>
      <c r="F1234">
        <v>4</v>
      </c>
      <c r="G1234" t="s">
        <v>687</v>
      </c>
      <c r="H1234" t="s">
        <v>701</v>
      </c>
      <c r="J1234">
        <v>2.6</v>
      </c>
      <c r="K1234">
        <v>0</v>
      </c>
      <c r="L1234" t="s">
        <v>303</v>
      </c>
      <c r="M1234">
        <v>2.6</v>
      </c>
      <c r="N1234">
        <v>0</v>
      </c>
      <c r="O1234" t="s">
        <v>303</v>
      </c>
      <c r="P1234">
        <f t="shared" si="19"/>
        <v>0</v>
      </c>
    </row>
    <row r="1235" spans="1:16" x14ac:dyDescent="0.25">
      <c r="A1235" t="s">
        <v>669</v>
      </c>
      <c r="B1235">
        <v>0</v>
      </c>
      <c r="C1235">
        <v>2.6</v>
      </c>
      <c r="D1235" t="s">
        <v>303</v>
      </c>
      <c r="E1235" t="s">
        <v>910</v>
      </c>
      <c r="F1235" t="s">
        <v>910</v>
      </c>
      <c r="J1235">
        <v>2.6</v>
      </c>
      <c r="K1235">
        <v>0</v>
      </c>
      <c r="L1235" t="s">
        <v>303</v>
      </c>
      <c r="M1235">
        <v>2.6</v>
      </c>
      <c r="N1235">
        <v>0</v>
      </c>
      <c r="O1235" t="s">
        <v>303</v>
      </c>
      <c r="P1235">
        <f t="shared" si="19"/>
        <v>0</v>
      </c>
    </row>
    <row r="1236" spans="1:16" x14ac:dyDescent="0.25">
      <c r="A1236" t="s">
        <v>91</v>
      </c>
      <c r="B1236">
        <v>0.01</v>
      </c>
      <c r="C1236">
        <v>2.6</v>
      </c>
      <c r="D1236" t="s">
        <v>303</v>
      </c>
      <c r="E1236">
        <v>8</v>
      </c>
      <c r="F1236">
        <v>8</v>
      </c>
      <c r="G1236" t="s">
        <v>687</v>
      </c>
      <c r="H1236" t="s">
        <v>687</v>
      </c>
      <c r="J1236">
        <v>2.6</v>
      </c>
      <c r="K1236">
        <v>0.01</v>
      </c>
      <c r="L1236" t="s">
        <v>303</v>
      </c>
      <c r="M1236">
        <v>2.6</v>
      </c>
      <c r="N1236">
        <v>0.01</v>
      </c>
      <c r="O1236" t="s">
        <v>303</v>
      </c>
      <c r="P1236">
        <f t="shared" si="19"/>
        <v>0</v>
      </c>
    </row>
    <row r="1237" spans="1:16" x14ac:dyDescent="0.25">
      <c r="A1237" t="s">
        <v>669</v>
      </c>
      <c r="B1237">
        <v>0.01</v>
      </c>
      <c r="C1237">
        <v>2.6</v>
      </c>
      <c r="D1237" t="s">
        <v>303</v>
      </c>
      <c r="E1237" t="s">
        <v>910</v>
      </c>
      <c r="F1237" t="s">
        <v>910</v>
      </c>
      <c r="J1237">
        <v>2.6</v>
      </c>
      <c r="K1237">
        <v>0.01</v>
      </c>
      <c r="L1237" t="s">
        <v>303</v>
      </c>
      <c r="M1237">
        <v>2.6</v>
      </c>
      <c r="N1237">
        <v>0.01</v>
      </c>
      <c r="O1237" t="s">
        <v>303</v>
      </c>
      <c r="P1237">
        <f t="shared" si="19"/>
        <v>0</v>
      </c>
    </row>
    <row r="1238" spans="1:16" x14ac:dyDescent="0.25">
      <c r="A1238" t="s">
        <v>669</v>
      </c>
      <c r="B1238">
        <v>0.01</v>
      </c>
      <c r="C1238">
        <v>2.6</v>
      </c>
      <c r="D1238" t="s">
        <v>669</v>
      </c>
      <c r="E1238" t="s">
        <v>910</v>
      </c>
      <c r="F1238" t="s">
        <v>910</v>
      </c>
      <c r="I1238" t="s">
        <v>927</v>
      </c>
      <c r="J1238">
        <v>2.6</v>
      </c>
      <c r="K1238">
        <v>0.01</v>
      </c>
      <c r="L1238" t="s">
        <v>930</v>
      </c>
      <c r="M1238">
        <v>2.6</v>
      </c>
      <c r="N1238">
        <v>0.01</v>
      </c>
      <c r="P1238">
        <f t="shared" si="19"/>
        <v>14</v>
      </c>
    </row>
    <row r="1239" spans="1:16" x14ac:dyDescent="0.25">
      <c r="A1239" t="s">
        <v>669</v>
      </c>
      <c r="B1239">
        <v>2.6</v>
      </c>
      <c r="C1239">
        <v>2.6</v>
      </c>
      <c r="D1239" t="s">
        <v>303</v>
      </c>
      <c r="E1239" t="s">
        <v>910</v>
      </c>
      <c r="F1239" t="s">
        <v>910</v>
      </c>
      <c r="J1239">
        <v>2.6</v>
      </c>
      <c r="K1239">
        <v>2.6</v>
      </c>
      <c r="L1239" t="s">
        <v>303</v>
      </c>
      <c r="M1239">
        <v>2.6</v>
      </c>
      <c r="N1239">
        <v>2.6</v>
      </c>
      <c r="O1239" t="s">
        <v>303</v>
      </c>
      <c r="P1239">
        <f t="shared" si="19"/>
        <v>0</v>
      </c>
    </row>
    <row r="1240" spans="1:16" x14ac:dyDescent="0.25">
      <c r="A1240" t="s">
        <v>669</v>
      </c>
      <c r="B1240">
        <v>2.6</v>
      </c>
      <c r="C1240">
        <v>2.6</v>
      </c>
      <c r="D1240" t="s">
        <v>860</v>
      </c>
      <c r="E1240" t="s">
        <v>910</v>
      </c>
      <c r="F1240" t="s">
        <v>910</v>
      </c>
      <c r="J1240">
        <v>2.6</v>
      </c>
      <c r="K1240">
        <v>2.6</v>
      </c>
      <c r="L1240" t="s">
        <v>303</v>
      </c>
      <c r="M1240">
        <v>2.6</v>
      </c>
      <c r="N1240">
        <v>2.6</v>
      </c>
      <c r="O1240" t="s">
        <v>303</v>
      </c>
      <c r="P1240">
        <f t="shared" si="19"/>
        <v>0</v>
      </c>
    </row>
    <row r="1241" spans="1:16" x14ac:dyDescent="0.25">
      <c r="A1241" t="s">
        <v>669</v>
      </c>
      <c r="B1241">
        <v>2.6080000000000001</v>
      </c>
      <c r="C1241">
        <v>2.6080000000000001</v>
      </c>
      <c r="D1241" t="s">
        <v>303</v>
      </c>
      <c r="E1241" t="s">
        <v>910</v>
      </c>
      <c r="F1241" t="s">
        <v>910</v>
      </c>
      <c r="J1241">
        <v>2.6080000000000001</v>
      </c>
      <c r="K1241">
        <v>2.6080000000000001</v>
      </c>
      <c r="L1241" t="s">
        <v>303</v>
      </c>
      <c r="M1241">
        <v>2.6080000000000001</v>
      </c>
      <c r="N1241">
        <v>2.6080000000000001</v>
      </c>
      <c r="O1241" t="s">
        <v>303</v>
      </c>
      <c r="P1241">
        <f t="shared" si="19"/>
        <v>0</v>
      </c>
    </row>
    <row r="1242" spans="1:16" x14ac:dyDescent="0.25">
      <c r="A1242" t="s">
        <v>527</v>
      </c>
      <c r="B1242">
        <v>2616.7629999999999</v>
      </c>
      <c r="C1242">
        <v>2616.7629999999999</v>
      </c>
      <c r="D1242" t="s">
        <v>887</v>
      </c>
      <c r="E1242" t="s">
        <v>910</v>
      </c>
      <c r="F1242" t="s">
        <v>910</v>
      </c>
      <c r="I1242" t="s">
        <v>944</v>
      </c>
      <c r="J1242">
        <v>2.6167629999999997</v>
      </c>
      <c r="K1242">
        <v>2.6167629999999997</v>
      </c>
      <c r="L1242" t="s">
        <v>303</v>
      </c>
      <c r="M1242">
        <v>2616.7629999999999</v>
      </c>
      <c r="N1242">
        <v>2616.7629999999999</v>
      </c>
      <c r="O1242" t="s">
        <v>862</v>
      </c>
      <c r="P1242">
        <f t="shared" si="19"/>
        <v>43</v>
      </c>
    </row>
    <row r="1243" spans="1:16" x14ac:dyDescent="0.25">
      <c r="A1243" t="s">
        <v>669</v>
      </c>
      <c r="B1243">
        <v>2.63</v>
      </c>
      <c r="C1243">
        <v>2.63</v>
      </c>
      <c r="D1243" t="s">
        <v>303</v>
      </c>
      <c r="E1243" t="s">
        <v>910</v>
      </c>
      <c r="F1243" t="s">
        <v>910</v>
      </c>
      <c r="J1243">
        <v>2.63</v>
      </c>
      <c r="K1243">
        <v>2.63</v>
      </c>
      <c r="L1243" t="s">
        <v>303</v>
      </c>
      <c r="M1243">
        <v>2.63</v>
      </c>
      <c r="N1243">
        <v>2.63</v>
      </c>
      <c r="O1243" t="s">
        <v>303</v>
      </c>
      <c r="P1243">
        <f t="shared" si="19"/>
        <v>0</v>
      </c>
    </row>
    <row r="1244" spans="1:16" x14ac:dyDescent="0.25">
      <c r="A1244" t="s">
        <v>669</v>
      </c>
      <c r="B1244">
        <v>2310</v>
      </c>
      <c r="C1244">
        <v>2630</v>
      </c>
      <c r="D1244" t="s">
        <v>864</v>
      </c>
      <c r="E1244" t="s">
        <v>910</v>
      </c>
      <c r="F1244" t="s">
        <v>910</v>
      </c>
      <c r="J1244">
        <v>2.63</v>
      </c>
      <c r="K1244">
        <v>2.31</v>
      </c>
      <c r="L1244" t="s">
        <v>303</v>
      </c>
      <c r="M1244">
        <v>2630</v>
      </c>
      <c r="N1244">
        <v>2310</v>
      </c>
      <c r="O1244" t="s">
        <v>862</v>
      </c>
      <c r="P1244">
        <f t="shared" si="19"/>
        <v>0</v>
      </c>
    </row>
    <row r="1245" spans="1:16" x14ac:dyDescent="0.25">
      <c r="A1245" t="s">
        <v>669</v>
      </c>
      <c r="B1245">
        <v>2.6440000000000001</v>
      </c>
      <c r="C1245">
        <v>2.6440000000000001</v>
      </c>
      <c r="D1245" t="s">
        <v>303</v>
      </c>
      <c r="E1245" t="s">
        <v>910</v>
      </c>
      <c r="F1245" t="s">
        <v>910</v>
      </c>
      <c r="J1245">
        <v>2.6440000000000001</v>
      </c>
      <c r="K1245">
        <v>2.6440000000000001</v>
      </c>
      <c r="L1245" t="s">
        <v>303</v>
      </c>
      <c r="M1245">
        <v>2.6440000000000001</v>
      </c>
      <c r="N1245">
        <v>2.6440000000000001</v>
      </c>
      <c r="O1245" t="s">
        <v>303</v>
      </c>
      <c r="P1245">
        <f t="shared" si="19"/>
        <v>0</v>
      </c>
    </row>
    <row r="1246" spans="1:16" x14ac:dyDescent="0.25">
      <c r="A1246" t="s">
        <v>669</v>
      </c>
      <c r="B1246">
        <v>2.6457999999999999</v>
      </c>
      <c r="C1246">
        <v>2.6457999999999999</v>
      </c>
      <c r="D1246" t="s">
        <v>303</v>
      </c>
      <c r="E1246" t="s">
        <v>910</v>
      </c>
      <c r="F1246" t="s">
        <v>910</v>
      </c>
      <c r="J1246">
        <v>2.6457999999999999</v>
      </c>
      <c r="K1246">
        <v>2.6457999999999999</v>
      </c>
      <c r="L1246" t="s">
        <v>303</v>
      </c>
      <c r="M1246">
        <v>2.6457999999999999</v>
      </c>
      <c r="N1246">
        <v>2.6457999999999999</v>
      </c>
      <c r="O1246" t="s">
        <v>303</v>
      </c>
      <c r="P1246">
        <f t="shared" si="19"/>
        <v>0</v>
      </c>
    </row>
    <row r="1247" spans="1:16" x14ac:dyDescent="0.25">
      <c r="A1247" t="s">
        <v>669</v>
      </c>
      <c r="B1247">
        <v>2.6465000000000001</v>
      </c>
      <c r="C1247">
        <v>2.6465000000000001</v>
      </c>
      <c r="D1247" t="s">
        <v>303</v>
      </c>
      <c r="E1247" t="s">
        <v>910</v>
      </c>
      <c r="F1247" t="s">
        <v>910</v>
      </c>
      <c r="J1247">
        <v>2.6465000000000001</v>
      </c>
      <c r="K1247">
        <v>2.6465000000000001</v>
      </c>
      <c r="L1247" t="s">
        <v>303</v>
      </c>
      <c r="M1247">
        <v>2.6465000000000001</v>
      </c>
      <c r="N1247">
        <v>2.6465000000000001</v>
      </c>
      <c r="O1247" t="s">
        <v>303</v>
      </c>
      <c r="P1247">
        <f t="shared" si="19"/>
        <v>0</v>
      </c>
    </row>
    <row r="1248" spans="1:16" x14ac:dyDescent="0.25">
      <c r="A1248" t="s">
        <v>669</v>
      </c>
      <c r="B1248">
        <v>2.6469999999999998</v>
      </c>
      <c r="C1248">
        <v>2.6469999999999998</v>
      </c>
      <c r="D1248" t="s">
        <v>303</v>
      </c>
      <c r="E1248" t="s">
        <v>910</v>
      </c>
      <c r="F1248" t="s">
        <v>910</v>
      </c>
      <c r="J1248">
        <v>2.6469999999999998</v>
      </c>
      <c r="K1248">
        <v>2.6469999999999998</v>
      </c>
      <c r="L1248" t="s">
        <v>303</v>
      </c>
      <c r="M1248">
        <v>2.6469999999999998</v>
      </c>
      <c r="N1248">
        <v>2.6469999999999998</v>
      </c>
      <c r="O1248" t="s">
        <v>303</v>
      </c>
      <c r="P1248">
        <f t="shared" si="19"/>
        <v>0</v>
      </c>
    </row>
    <row r="1249" spans="1:16" x14ac:dyDescent="0.25">
      <c r="A1249" t="s">
        <v>669</v>
      </c>
      <c r="B1249">
        <v>2.6484999999999999</v>
      </c>
      <c r="C1249">
        <v>2.6484999999999999</v>
      </c>
      <c r="D1249" t="s">
        <v>303</v>
      </c>
      <c r="E1249" t="s">
        <v>910</v>
      </c>
      <c r="F1249" t="s">
        <v>910</v>
      </c>
      <c r="J1249">
        <v>2.6484999999999999</v>
      </c>
      <c r="K1249">
        <v>2.6484999999999999</v>
      </c>
      <c r="L1249" t="s">
        <v>303</v>
      </c>
      <c r="M1249">
        <v>2.6484999999999999</v>
      </c>
      <c r="N1249">
        <v>2.6484999999999999</v>
      </c>
      <c r="O1249" t="s">
        <v>303</v>
      </c>
      <c r="P1249">
        <f t="shared" si="19"/>
        <v>0</v>
      </c>
    </row>
    <row r="1250" spans="1:16" x14ac:dyDescent="0.25">
      <c r="A1250" t="s">
        <v>669</v>
      </c>
      <c r="B1250">
        <v>2.6520000000000001</v>
      </c>
      <c r="C1250">
        <v>2.6520000000000001</v>
      </c>
      <c r="D1250" t="s">
        <v>303</v>
      </c>
      <c r="E1250" t="s">
        <v>910</v>
      </c>
      <c r="F1250" t="s">
        <v>910</v>
      </c>
      <c r="J1250">
        <v>2.6520000000000001</v>
      </c>
      <c r="K1250">
        <v>2.6520000000000001</v>
      </c>
      <c r="L1250" t="s">
        <v>303</v>
      </c>
      <c r="M1250">
        <v>2.6520000000000001</v>
      </c>
      <c r="N1250">
        <v>2.6520000000000001</v>
      </c>
      <c r="O1250" t="s">
        <v>303</v>
      </c>
      <c r="P1250">
        <f t="shared" si="19"/>
        <v>0</v>
      </c>
    </row>
    <row r="1251" spans="1:16" x14ac:dyDescent="0.25">
      <c r="A1251" t="s">
        <v>669</v>
      </c>
      <c r="B1251">
        <v>2.67</v>
      </c>
      <c r="C1251">
        <v>2.67</v>
      </c>
      <c r="D1251" t="s">
        <v>303</v>
      </c>
      <c r="E1251" t="s">
        <v>910</v>
      </c>
      <c r="F1251" t="s">
        <v>910</v>
      </c>
      <c r="J1251">
        <v>2.67</v>
      </c>
      <c r="K1251">
        <v>2.67</v>
      </c>
      <c r="L1251" t="s">
        <v>303</v>
      </c>
      <c r="M1251">
        <v>2.67</v>
      </c>
      <c r="N1251">
        <v>2.67</v>
      </c>
      <c r="O1251" t="s">
        <v>303</v>
      </c>
      <c r="P1251">
        <f t="shared" si="19"/>
        <v>0</v>
      </c>
    </row>
    <row r="1252" spans="1:16" x14ac:dyDescent="0.25">
      <c r="A1252" t="s">
        <v>669</v>
      </c>
      <c r="B1252">
        <v>2.673</v>
      </c>
      <c r="C1252">
        <v>2.673</v>
      </c>
      <c r="D1252" t="s">
        <v>303</v>
      </c>
      <c r="E1252" t="s">
        <v>910</v>
      </c>
      <c r="F1252" t="s">
        <v>910</v>
      </c>
      <c r="J1252">
        <v>2.673</v>
      </c>
      <c r="K1252">
        <v>2.673</v>
      </c>
      <c r="L1252" t="s">
        <v>303</v>
      </c>
      <c r="M1252">
        <v>2.673</v>
      </c>
      <c r="N1252">
        <v>2.673</v>
      </c>
      <c r="O1252" t="s">
        <v>303</v>
      </c>
      <c r="P1252">
        <f t="shared" si="19"/>
        <v>0</v>
      </c>
    </row>
    <row r="1253" spans="1:16" x14ac:dyDescent="0.25">
      <c r="A1253" t="s">
        <v>669</v>
      </c>
      <c r="B1253">
        <v>2.6960000000000002</v>
      </c>
      <c r="C1253">
        <v>2.6960000000000002</v>
      </c>
      <c r="D1253" t="s">
        <v>303</v>
      </c>
      <c r="E1253" t="s">
        <v>910</v>
      </c>
      <c r="F1253" t="s">
        <v>910</v>
      </c>
      <c r="J1253">
        <v>2.6960000000000002</v>
      </c>
      <c r="K1253">
        <v>2.6960000000000002</v>
      </c>
      <c r="L1253" t="s">
        <v>303</v>
      </c>
      <c r="M1253">
        <v>2.6960000000000002</v>
      </c>
      <c r="N1253">
        <v>2.6960000000000002</v>
      </c>
      <c r="O1253" t="s">
        <v>303</v>
      </c>
      <c r="P1253">
        <f t="shared" si="19"/>
        <v>0</v>
      </c>
    </row>
    <row r="1254" spans="1:16" x14ac:dyDescent="0.25">
      <c r="A1254" t="s">
        <v>669</v>
      </c>
      <c r="B1254">
        <v>2.5</v>
      </c>
      <c r="C1254">
        <v>2.7</v>
      </c>
      <c r="D1254" t="s">
        <v>669</v>
      </c>
      <c r="E1254" t="s">
        <v>910</v>
      </c>
      <c r="F1254" t="s">
        <v>910</v>
      </c>
      <c r="I1254" t="s">
        <v>927</v>
      </c>
      <c r="J1254">
        <v>2.7</v>
      </c>
      <c r="K1254">
        <v>2.5</v>
      </c>
      <c r="L1254" t="s">
        <v>930</v>
      </c>
      <c r="M1254">
        <v>2.7</v>
      </c>
      <c r="N1254">
        <v>2.5</v>
      </c>
      <c r="P1254">
        <f t="shared" si="19"/>
        <v>14</v>
      </c>
    </row>
    <row r="1255" spans="1:16" x14ac:dyDescent="0.25">
      <c r="A1255" t="s">
        <v>669</v>
      </c>
      <c r="B1255">
        <v>2.6</v>
      </c>
      <c r="C1255">
        <v>2.7</v>
      </c>
      <c r="D1255" t="s">
        <v>669</v>
      </c>
      <c r="E1255" t="s">
        <v>910</v>
      </c>
      <c r="F1255" t="s">
        <v>910</v>
      </c>
      <c r="I1255" t="s">
        <v>927</v>
      </c>
      <c r="J1255">
        <v>2.7</v>
      </c>
      <c r="K1255">
        <v>2.6</v>
      </c>
      <c r="L1255" t="s">
        <v>930</v>
      </c>
      <c r="M1255">
        <v>2.7</v>
      </c>
      <c r="N1255">
        <v>2.6</v>
      </c>
      <c r="P1255">
        <f t="shared" si="19"/>
        <v>14</v>
      </c>
    </row>
    <row r="1256" spans="1:16" x14ac:dyDescent="0.25">
      <c r="A1256" t="s">
        <v>669</v>
      </c>
      <c r="B1256" t="s">
        <v>669</v>
      </c>
      <c r="C1256">
        <v>2.7</v>
      </c>
      <c r="D1256" t="s">
        <v>303</v>
      </c>
      <c r="E1256" t="s">
        <v>910</v>
      </c>
      <c r="F1256" t="s">
        <v>910</v>
      </c>
      <c r="J1256">
        <v>2.7</v>
      </c>
      <c r="K1256">
        <v>2.7</v>
      </c>
      <c r="L1256" t="s">
        <v>303</v>
      </c>
      <c r="M1256">
        <v>2.7</v>
      </c>
      <c r="N1256">
        <v>2.7</v>
      </c>
      <c r="O1256" t="s">
        <v>303</v>
      </c>
      <c r="P1256">
        <f t="shared" si="19"/>
        <v>0</v>
      </c>
    </row>
    <row r="1257" spans="1:16" x14ac:dyDescent="0.25">
      <c r="A1257" t="s">
        <v>669</v>
      </c>
      <c r="B1257">
        <v>2.4300000000000002</v>
      </c>
      <c r="C1257">
        <v>2.71</v>
      </c>
      <c r="D1257" t="s">
        <v>860</v>
      </c>
      <c r="E1257" t="s">
        <v>910</v>
      </c>
      <c r="F1257" t="s">
        <v>910</v>
      </c>
      <c r="J1257">
        <v>2.71</v>
      </c>
      <c r="K1257">
        <v>2.4300000000000002</v>
      </c>
      <c r="L1257" t="s">
        <v>303</v>
      </c>
      <c r="M1257">
        <v>2.71</v>
      </c>
      <c r="N1257">
        <v>2.4300000000000002</v>
      </c>
      <c r="O1257" t="s">
        <v>303</v>
      </c>
      <c r="P1257">
        <f t="shared" si="19"/>
        <v>0</v>
      </c>
    </row>
    <row r="1258" spans="1:16" x14ac:dyDescent="0.25">
      <c r="A1258" t="s">
        <v>669</v>
      </c>
      <c r="B1258">
        <v>2.65</v>
      </c>
      <c r="C1258">
        <v>2.72</v>
      </c>
      <c r="D1258" t="s">
        <v>303</v>
      </c>
      <c r="E1258" t="s">
        <v>910</v>
      </c>
      <c r="F1258" t="s">
        <v>910</v>
      </c>
      <c r="J1258">
        <v>2.72</v>
      </c>
      <c r="K1258">
        <v>2.65</v>
      </c>
      <c r="L1258" t="s">
        <v>303</v>
      </c>
      <c r="M1258">
        <v>2.72</v>
      </c>
      <c r="N1258">
        <v>2.65</v>
      </c>
      <c r="O1258" t="s">
        <v>303</v>
      </c>
      <c r="P1258">
        <f t="shared" si="19"/>
        <v>0</v>
      </c>
    </row>
    <row r="1259" spans="1:16" x14ac:dyDescent="0.25">
      <c r="A1259" t="s">
        <v>669</v>
      </c>
      <c r="B1259">
        <v>2.72</v>
      </c>
      <c r="C1259">
        <v>2.72</v>
      </c>
      <c r="D1259" t="s">
        <v>303</v>
      </c>
      <c r="E1259" t="s">
        <v>910</v>
      </c>
      <c r="F1259" t="s">
        <v>910</v>
      </c>
      <c r="J1259">
        <v>2.72</v>
      </c>
      <c r="K1259">
        <v>2.72</v>
      </c>
      <c r="L1259" t="s">
        <v>303</v>
      </c>
      <c r="M1259">
        <v>2.72</v>
      </c>
      <c r="N1259">
        <v>2.72</v>
      </c>
      <c r="O1259" t="s">
        <v>303</v>
      </c>
      <c r="P1259">
        <f t="shared" si="19"/>
        <v>0</v>
      </c>
    </row>
    <row r="1260" spans="1:16" x14ac:dyDescent="0.25">
      <c r="A1260" t="s">
        <v>669</v>
      </c>
      <c r="B1260">
        <v>2.7450000000000001</v>
      </c>
      <c r="C1260">
        <v>2.7450000000000001</v>
      </c>
      <c r="D1260" t="s">
        <v>303</v>
      </c>
      <c r="E1260" t="s">
        <v>910</v>
      </c>
      <c r="F1260" t="s">
        <v>910</v>
      </c>
      <c r="J1260">
        <v>2.7450000000000001</v>
      </c>
      <c r="K1260">
        <v>2.7450000000000001</v>
      </c>
      <c r="L1260" t="s">
        <v>303</v>
      </c>
      <c r="M1260">
        <v>2.7450000000000001</v>
      </c>
      <c r="N1260">
        <v>2.7450000000000001</v>
      </c>
      <c r="O1260" t="s">
        <v>303</v>
      </c>
      <c r="P1260">
        <f t="shared" si="19"/>
        <v>0</v>
      </c>
    </row>
    <row r="1261" spans="1:16" x14ac:dyDescent="0.25">
      <c r="A1261" t="s">
        <v>669</v>
      </c>
      <c r="B1261" t="s">
        <v>669</v>
      </c>
      <c r="C1261">
        <v>2.77</v>
      </c>
      <c r="D1261" t="s">
        <v>303</v>
      </c>
      <c r="E1261" t="s">
        <v>910</v>
      </c>
      <c r="F1261" t="s">
        <v>910</v>
      </c>
      <c r="J1261">
        <v>2.77</v>
      </c>
      <c r="L1261" t="s">
        <v>303</v>
      </c>
      <c r="M1261">
        <v>2.77</v>
      </c>
      <c r="O1261" t="s">
        <v>303</v>
      </c>
      <c r="P1261">
        <f t="shared" si="19"/>
        <v>0</v>
      </c>
    </row>
    <row r="1262" spans="1:16" x14ac:dyDescent="0.25">
      <c r="A1262" t="s">
        <v>669</v>
      </c>
      <c r="B1262">
        <v>2.774</v>
      </c>
      <c r="C1262">
        <v>2.774</v>
      </c>
      <c r="D1262" t="s">
        <v>303</v>
      </c>
      <c r="E1262" t="s">
        <v>910</v>
      </c>
      <c r="F1262" t="s">
        <v>910</v>
      </c>
      <c r="J1262">
        <v>2.774</v>
      </c>
      <c r="K1262">
        <v>2.774</v>
      </c>
      <c r="L1262" t="s">
        <v>303</v>
      </c>
      <c r="M1262">
        <v>2.774</v>
      </c>
      <c r="N1262">
        <v>2.774</v>
      </c>
      <c r="O1262" t="s">
        <v>303</v>
      </c>
      <c r="P1262">
        <f t="shared" si="19"/>
        <v>0</v>
      </c>
    </row>
    <row r="1263" spans="1:16" x14ac:dyDescent="0.25">
      <c r="A1263" t="s">
        <v>537</v>
      </c>
      <c r="B1263">
        <v>2.7330000000000001</v>
      </c>
      <c r="C1263">
        <v>2.7749999999999999</v>
      </c>
      <c r="D1263" t="s">
        <v>303</v>
      </c>
      <c r="E1263">
        <v>14</v>
      </c>
      <c r="F1263">
        <v>14</v>
      </c>
      <c r="G1263" t="s">
        <v>690</v>
      </c>
      <c r="H1263" t="s">
        <v>690</v>
      </c>
      <c r="J1263">
        <v>2.7749999999999999</v>
      </c>
      <c r="K1263">
        <v>2.7330000000000001</v>
      </c>
      <c r="L1263" t="s">
        <v>303</v>
      </c>
      <c r="M1263">
        <v>2.7749999999999999</v>
      </c>
      <c r="N1263">
        <v>2.7330000000000001</v>
      </c>
      <c r="O1263" t="s">
        <v>303</v>
      </c>
      <c r="P1263">
        <f t="shared" si="19"/>
        <v>0</v>
      </c>
    </row>
    <row r="1264" spans="1:16" x14ac:dyDescent="0.25">
      <c r="A1264" t="s">
        <v>669</v>
      </c>
      <c r="B1264">
        <v>2.58</v>
      </c>
      <c r="C1264">
        <v>2.78</v>
      </c>
      <c r="D1264" t="s">
        <v>303</v>
      </c>
      <c r="E1264" t="s">
        <v>910</v>
      </c>
      <c r="F1264" t="s">
        <v>910</v>
      </c>
      <c r="J1264">
        <v>2.78</v>
      </c>
      <c r="K1264">
        <v>2.58</v>
      </c>
      <c r="L1264" t="s">
        <v>303</v>
      </c>
      <c r="M1264">
        <v>2.78</v>
      </c>
      <c r="N1264">
        <v>2.58</v>
      </c>
      <c r="O1264" t="s">
        <v>303</v>
      </c>
      <c r="P1264">
        <f t="shared" si="19"/>
        <v>0</v>
      </c>
    </row>
    <row r="1265" spans="1:16" x14ac:dyDescent="0.25">
      <c r="A1265" t="s">
        <v>669</v>
      </c>
      <c r="B1265">
        <v>2793.8</v>
      </c>
      <c r="C1265">
        <v>2793.8</v>
      </c>
      <c r="D1265" t="s">
        <v>867</v>
      </c>
      <c r="E1265" t="s">
        <v>910</v>
      </c>
      <c r="F1265" t="s">
        <v>910</v>
      </c>
      <c r="J1265">
        <v>2.7938000000000001</v>
      </c>
      <c r="K1265">
        <v>2.7938000000000001</v>
      </c>
      <c r="L1265" t="s">
        <v>303</v>
      </c>
      <c r="M1265">
        <v>2793.8</v>
      </c>
      <c r="N1265">
        <v>2793.8</v>
      </c>
      <c r="O1265" t="s">
        <v>862</v>
      </c>
      <c r="P1265">
        <f t="shared" si="19"/>
        <v>0</v>
      </c>
    </row>
    <row r="1266" spans="1:16" x14ac:dyDescent="0.25">
      <c r="A1266" t="s">
        <v>669</v>
      </c>
      <c r="B1266">
        <v>2796.3</v>
      </c>
      <c r="C1266">
        <v>2796.3</v>
      </c>
      <c r="D1266" t="s">
        <v>867</v>
      </c>
      <c r="E1266" t="s">
        <v>910</v>
      </c>
      <c r="F1266" t="s">
        <v>910</v>
      </c>
      <c r="J1266">
        <v>2.7963</v>
      </c>
      <c r="K1266">
        <v>2.7963</v>
      </c>
      <c r="L1266" t="s">
        <v>303</v>
      </c>
      <c r="M1266">
        <v>2796.3</v>
      </c>
      <c r="N1266">
        <v>2796.3</v>
      </c>
      <c r="O1266" t="s">
        <v>862</v>
      </c>
      <c r="P1266">
        <f t="shared" si="19"/>
        <v>0</v>
      </c>
    </row>
    <row r="1267" spans="1:16" x14ac:dyDescent="0.25">
      <c r="A1267" t="s">
        <v>669</v>
      </c>
      <c r="B1267">
        <v>2799.1</v>
      </c>
      <c r="C1267">
        <v>2799.1</v>
      </c>
      <c r="D1267" t="s">
        <v>867</v>
      </c>
      <c r="E1267" t="s">
        <v>910</v>
      </c>
      <c r="F1267" t="s">
        <v>910</v>
      </c>
      <c r="J1267">
        <v>2.7990999999999997</v>
      </c>
      <c r="K1267">
        <v>2.7990999999999997</v>
      </c>
      <c r="L1267" t="s">
        <v>303</v>
      </c>
      <c r="M1267">
        <v>2799.1</v>
      </c>
      <c r="N1267">
        <v>2799.1</v>
      </c>
      <c r="O1267" t="s">
        <v>862</v>
      </c>
      <c r="P1267">
        <f t="shared" si="19"/>
        <v>0</v>
      </c>
    </row>
    <row r="1268" spans="1:16" x14ac:dyDescent="0.25">
      <c r="A1268" t="s">
        <v>669</v>
      </c>
      <c r="B1268">
        <v>2.8</v>
      </c>
      <c r="C1268">
        <v>2.8</v>
      </c>
      <c r="D1268" t="s">
        <v>303</v>
      </c>
      <c r="E1268" t="s">
        <v>910</v>
      </c>
      <c r="F1268" t="s">
        <v>910</v>
      </c>
      <c r="J1268">
        <v>2.8</v>
      </c>
      <c r="K1268">
        <v>2.8</v>
      </c>
      <c r="L1268" t="s">
        <v>303</v>
      </c>
      <c r="M1268">
        <v>2.8</v>
      </c>
      <c r="N1268">
        <v>2.8</v>
      </c>
      <c r="O1268" t="s">
        <v>303</v>
      </c>
      <c r="P1268">
        <f t="shared" si="19"/>
        <v>0</v>
      </c>
    </row>
    <row r="1269" spans="1:16" x14ac:dyDescent="0.25">
      <c r="A1269" t="s">
        <v>669</v>
      </c>
      <c r="B1269">
        <v>2.8</v>
      </c>
      <c r="C1269">
        <v>2.8</v>
      </c>
      <c r="D1269" t="s">
        <v>860</v>
      </c>
      <c r="E1269" t="s">
        <v>910</v>
      </c>
      <c r="F1269" t="s">
        <v>910</v>
      </c>
      <c r="J1269">
        <v>2.8</v>
      </c>
      <c r="K1269">
        <v>2.8</v>
      </c>
      <c r="L1269" t="s">
        <v>303</v>
      </c>
      <c r="M1269">
        <v>2.8</v>
      </c>
      <c r="N1269">
        <v>2.8</v>
      </c>
      <c r="O1269" t="s">
        <v>303</v>
      </c>
      <c r="P1269">
        <f t="shared" si="19"/>
        <v>0</v>
      </c>
    </row>
    <row r="1270" spans="1:16" x14ac:dyDescent="0.25">
      <c r="A1270" t="s">
        <v>669</v>
      </c>
      <c r="B1270">
        <v>2802.4</v>
      </c>
      <c r="C1270">
        <v>2802.4</v>
      </c>
      <c r="D1270" t="s">
        <v>867</v>
      </c>
      <c r="E1270" t="s">
        <v>910</v>
      </c>
      <c r="F1270" t="s">
        <v>910</v>
      </c>
      <c r="J1270">
        <v>2.8024</v>
      </c>
      <c r="K1270">
        <v>2.8024</v>
      </c>
      <c r="L1270" t="s">
        <v>303</v>
      </c>
      <c r="M1270">
        <v>2802.4</v>
      </c>
      <c r="N1270">
        <v>2802.4</v>
      </c>
      <c r="O1270" t="s">
        <v>862</v>
      </c>
      <c r="P1270">
        <f t="shared" si="19"/>
        <v>0</v>
      </c>
    </row>
    <row r="1271" spans="1:16" x14ac:dyDescent="0.25">
      <c r="A1271" t="s">
        <v>669</v>
      </c>
      <c r="B1271">
        <v>2.8050000000000002</v>
      </c>
      <c r="C1271">
        <v>2.8050000000000002</v>
      </c>
      <c r="D1271" t="s">
        <v>303</v>
      </c>
      <c r="E1271" t="s">
        <v>910</v>
      </c>
      <c r="F1271" t="s">
        <v>910</v>
      </c>
      <c r="J1271">
        <v>2.8050000000000002</v>
      </c>
      <c r="K1271">
        <v>2.8050000000000002</v>
      </c>
      <c r="L1271" t="s">
        <v>303</v>
      </c>
      <c r="M1271">
        <v>2.8050000000000002</v>
      </c>
      <c r="N1271">
        <v>2.8050000000000002</v>
      </c>
      <c r="O1271" t="s">
        <v>303</v>
      </c>
      <c r="P1271">
        <f t="shared" si="19"/>
        <v>0</v>
      </c>
    </row>
    <row r="1272" spans="1:16" x14ac:dyDescent="0.25">
      <c r="A1272" t="s">
        <v>669</v>
      </c>
      <c r="B1272">
        <v>2805.5</v>
      </c>
      <c r="C1272">
        <v>2805.5</v>
      </c>
      <c r="D1272" t="s">
        <v>867</v>
      </c>
      <c r="E1272" t="s">
        <v>910</v>
      </c>
      <c r="F1272" t="s">
        <v>910</v>
      </c>
      <c r="J1272">
        <v>2.8054999999999999</v>
      </c>
      <c r="K1272">
        <v>2.8054999999999999</v>
      </c>
      <c r="L1272" t="s">
        <v>303</v>
      </c>
      <c r="M1272">
        <v>2805.5</v>
      </c>
      <c r="N1272">
        <v>2805.5</v>
      </c>
      <c r="O1272" t="s">
        <v>862</v>
      </c>
      <c r="P1272">
        <f t="shared" si="19"/>
        <v>0</v>
      </c>
    </row>
    <row r="1273" spans="1:16" x14ac:dyDescent="0.25">
      <c r="A1273" t="s">
        <v>669</v>
      </c>
      <c r="B1273">
        <v>2807.8</v>
      </c>
      <c r="C1273">
        <v>2807.8</v>
      </c>
      <c r="D1273" t="s">
        <v>867</v>
      </c>
      <c r="E1273" t="s">
        <v>910</v>
      </c>
      <c r="F1273" t="s">
        <v>910</v>
      </c>
      <c r="J1273">
        <v>2.8078000000000003</v>
      </c>
      <c r="K1273">
        <v>2.8078000000000003</v>
      </c>
      <c r="L1273" t="s">
        <v>303</v>
      </c>
      <c r="M1273">
        <v>2807.8</v>
      </c>
      <c r="N1273">
        <v>2807.8</v>
      </c>
      <c r="O1273" t="s">
        <v>862</v>
      </c>
      <c r="P1273">
        <f t="shared" si="19"/>
        <v>0</v>
      </c>
    </row>
    <row r="1274" spans="1:16" x14ac:dyDescent="0.25">
      <c r="A1274" t="s">
        <v>669</v>
      </c>
      <c r="B1274">
        <v>2809.3</v>
      </c>
      <c r="C1274">
        <v>2809.3</v>
      </c>
      <c r="D1274" t="s">
        <v>867</v>
      </c>
      <c r="E1274" t="s">
        <v>910</v>
      </c>
      <c r="F1274" t="s">
        <v>910</v>
      </c>
      <c r="J1274">
        <v>2.8093000000000004</v>
      </c>
      <c r="K1274">
        <v>2.8093000000000004</v>
      </c>
      <c r="L1274" t="s">
        <v>303</v>
      </c>
      <c r="M1274">
        <v>2809.3</v>
      </c>
      <c r="N1274">
        <v>2809.3</v>
      </c>
      <c r="O1274" t="s">
        <v>862</v>
      </c>
      <c r="P1274">
        <f t="shared" si="19"/>
        <v>0</v>
      </c>
    </row>
    <row r="1275" spans="1:16" x14ac:dyDescent="0.25">
      <c r="A1275" t="s">
        <v>669</v>
      </c>
      <c r="B1275">
        <v>2809.7</v>
      </c>
      <c r="C1275">
        <v>2809.7</v>
      </c>
      <c r="D1275" t="s">
        <v>867</v>
      </c>
      <c r="E1275" t="s">
        <v>910</v>
      </c>
      <c r="F1275" t="s">
        <v>910</v>
      </c>
      <c r="J1275">
        <v>2.8096999999999999</v>
      </c>
      <c r="K1275">
        <v>2.8096999999999999</v>
      </c>
      <c r="L1275" t="s">
        <v>303</v>
      </c>
      <c r="M1275">
        <v>2809.7</v>
      </c>
      <c r="N1275">
        <v>2809.7</v>
      </c>
      <c r="O1275" t="s">
        <v>862</v>
      </c>
      <c r="P1275">
        <f t="shared" si="19"/>
        <v>0</v>
      </c>
    </row>
    <row r="1276" spans="1:16" x14ac:dyDescent="0.25">
      <c r="A1276" t="s">
        <v>669</v>
      </c>
      <c r="B1276">
        <v>2.81</v>
      </c>
      <c r="C1276">
        <v>2.81</v>
      </c>
      <c r="D1276" t="s">
        <v>303</v>
      </c>
      <c r="E1276" t="s">
        <v>910</v>
      </c>
      <c r="F1276" t="s">
        <v>910</v>
      </c>
      <c r="J1276">
        <v>2.81</v>
      </c>
      <c r="K1276">
        <v>2.81</v>
      </c>
      <c r="L1276" t="s">
        <v>303</v>
      </c>
      <c r="M1276">
        <v>2.81</v>
      </c>
      <c r="N1276">
        <v>2.81</v>
      </c>
      <c r="O1276" t="s">
        <v>303</v>
      </c>
      <c r="P1276">
        <f t="shared" si="19"/>
        <v>0</v>
      </c>
    </row>
    <row r="1277" spans="1:16" x14ac:dyDescent="0.25">
      <c r="A1277" t="s">
        <v>669</v>
      </c>
      <c r="B1277">
        <v>2811.3</v>
      </c>
      <c r="C1277">
        <v>2811.3</v>
      </c>
      <c r="D1277" t="s">
        <v>867</v>
      </c>
      <c r="E1277" t="s">
        <v>910</v>
      </c>
      <c r="F1277" t="s">
        <v>910</v>
      </c>
      <c r="J1277">
        <v>2.8113000000000001</v>
      </c>
      <c r="K1277">
        <v>2.8113000000000001</v>
      </c>
      <c r="L1277" t="s">
        <v>303</v>
      </c>
      <c r="M1277">
        <v>2811.3</v>
      </c>
      <c r="N1277">
        <v>2811.3</v>
      </c>
      <c r="O1277" t="s">
        <v>862</v>
      </c>
      <c r="P1277">
        <f t="shared" si="19"/>
        <v>0</v>
      </c>
    </row>
    <row r="1278" spans="1:16" x14ac:dyDescent="0.25">
      <c r="A1278" t="s">
        <v>669</v>
      </c>
      <c r="B1278">
        <v>2811.5</v>
      </c>
      <c r="C1278">
        <v>2811.5</v>
      </c>
      <c r="D1278" t="s">
        <v>867</v>
      </c>
      <c r="E1278" t="s">
        <v>910</v>
      </c>
      <c r="F1278" t="s">
        <v>910</v>
      </c>
      <c r="J1278">
        <v>2.8115000000000001</v>
      </c>
      <c r="K1278">
        <v>2.8115000000000001</v>
      </c>
      <c r="L1278" t="s">
        <v>303</v>
      </c>
      <c r="M1278">
        <v>2811.5</v>
      </c>
      <c r="N1278">
        <v>2811.5</v>
      </c>
      <c r="O1278" t="s">
        <v>862</v>
      </c>
      <c r="P1278">
        <f t="shared" si="19"/>
        <v>0</v>
      </c>
    </row>
    <row r="1279" spans="1:16" x14ac:dyDescent="0.25">
      <c r="A1279" t="s">
        <v>669</v>
      </c>
      <c r="B1279">
        <v>2815.3</v>
      </c>
      <c r="C1279">
        <v>2815.3</v>
      </c>
      <c r="D1279" t="s">
        <v>867</v>
      </c>
      <c r="E1279" t="s">
        <v>910</v>
      </c>
      <c r="F1279" t="s">
        <v>910</v>
      </c>
      <c r="J1279">
        <v>2.8153000000000001</v>
      </c>
      <c r="K1279">
        <v>2.8153000000000001</v>
      </c>
      <c r="L1279" t="s">
        <v>303</v>
      </c>
      <c r="M1279">
        <v>2815.3</v>
      </c>
      <c r="N1279">
        <v>2815.3</v>
      </c>
      <c r="O1279" t="s">
        <v>862</v>
      </c>
      <c r="P1279">
        <f t="shared" si="19"/>
        <v>0</v>
      </c>
    </row>
    <row r="1280" spans="1:16" x14ac:dyDescent="0.25">
      <c r="A1280" t="s">
        <v>669</v>
      </c>
      <c r="B1280">
        <v>2817.5</v>
      </c>
      <c r="C1280">
        <v>2817.5</v>
      </c>
      <c r="D1280" t="s">
        <v>867</v>
      </c>
      <c r="E1280" t="s">
        <v>910</v>
      </c>
      <c r="F1280" t="s">
        <v>910</v>
      </c>
      <c r="J1280">
        <v>2.8174999999999999</v>
      </c>
      <c r="K1280">
        <v>2.8174999999999999</v>
      </c>
      <c r="L1280" t="s">
        <v>303</v>
      </c>
      <c r="M1280">
        <v>2817.5</v>
      </c>
      <c r="N1280">
        <v>2817.5</v>
      </c>
      <c r="O1280" t="s">
        <v>862</v>
      </c>
      <c r="P1280">
        <f t="shared" si="19"/>
        <v>0</v>
      </c>
    </row>
    <row r="1281" spans="1:16" x14ac:dyDescent="0.25">
      <c r="A1281" t="s">
        <v>669</v>
      </c>
      <c r="B1281">
        <v>2817.7</v>
      </c>
      <c r="C1281">
        <v>2817.7</v>
      </c>
      <c r="D1281" t="s">
        <v>867</v>
      </c>
      <c r="E1281" t="s">
        <v>910</v>
      </c>
      <c r="F1281" t="s">
        <v>910</v>
      </c>
      <c r="J1281">
        <v>2.8176999999999999</v>
      </c>
      <c r="K1281">
        <v>2.8176999999999999</v>
      </c>
      <c r="L1281" t="s">
        <v>303</v>
      </c>
      <c r="M1281">
        <v>2817.7</v>
      </c>
      <c r="N1281">
        <v>2817.7</v>
      </c>
      <c r="O1281" t="s">
        <v>862</v>
      </c>
      <c r="P1281">
        <f t="shared" si="19"/>
        <v>0</v>
      </c>
    </row>
    <row r="1282" spans="1:16" x14ac:dyDescent="0.25">
      <c r="A1282" t="s">
        <v>669</v>
      </c>
      <c r="B1282">
        <v>2818.2</v>
      </c>
      <c r="C1282">
        <v>2818.2</v>
      </c>
      <c r="D1282" t="s">
        <v>867</v>
      </c>
      <c r="E1282" t="s">
        <v>910</v>
      </c>
      <c r="F1282" t="s">
        <v>910</v>
      </c>
      <c r="J1282">
        <v>2.8182</v>
      </c>
      <c r="K1282">
        <v>2.8182</v>
      </c>
      <c r="L1282" t="s">
        <v>303</v>
      </c>
      <c r="M1282">
        <v>2818.2</v>
      </c>
      <c r="N1282">
        <v>2818.2</v>
      </c>
      <c r="O1282" t="s">
        <v>862</v>
      </c>
      <c r="P1282">
        <f t="shared" si="19"/>
        <v>0</v>
      </c>
    </row>
    <row r="1283" spans="1:16" x14ac:dyDescent="0.25">
      <c r="A1283" t="s">
        <v>669</v>
      </c>
      <c r="B1283">
        <v>2400</v>
      </c>
      <c r="C1283">
        <v>2820</v>
      </c>
      <c r="D1283" t="s">
        <v>864</v>
      </c>
      <c r="E1283" t="s">
        <v>910</v>
      </c>
      <c r="F1283" t="s">
        <v>910</v>
      </c>
      <c r="J1283">
        <v>2.82</v>
      </c>
      <c r="K1283">
        <v>2.4</v>
      </c>
      <c r="L1283" t="s">
        <v>303</v>
      </c>
      <c r="M1283">
        <v>2820</v>
      </c>
      <c r="N1283">
        <v>2400</v>
      </c>
      <c r="O1283" t="s">
        <v>862</v>
      </c>
      <c r="P1283">
        <f t="shared" ref="P1283:P1346" si="20">LEN(I1283)</f>
        <v>0</v>
      </c>
    </row>
    <row r="1284" spans="1:16" x14ac:dyDescent="0.25">
      <c r="A1284" t="s">
        <v>669</v>
      </c>
      <c r="B1284">
        <v>2820.2</v>
      </c>
      <c r="C1284">
        <v>2820.2</v>
      </c>
      <c r="D1284" t="s">
        <v>867</v>
      </c>
      <c r="E1284" t="s">
        <v>910</v>
      </c>
      <c r="F1284" t="s">
        <v>910</v>
      </c>
      <c r="J1284">
        <v>2.8201999999999998</v>
      </c>
      <c r="K1284">
        <v>2.8201999999999998</v>
      </c>
      <c r="L1284" t="s">
        <v>303</v>
      </c>
      <c r="M1284">
        <v>2820.2</v>
      </c>
      <c r="N1284">
        <v>2820.2</v>
      </c>
      <c r="O1284" t="s">
        <v>862</v>
      </c>
      <c r="P1284">
        <f t="shared" si="20"/>
        <v>0</v>
      </c>
    </row>
    <row r="1285" spans="1:16" x14ac:dyDescent="0.25">
      <c r="A1285" t="s">
        <v>669</v>
      </c>
      <c r="B1285">
        <v>2822.2</v>
      </c>
      <c r="C1285">
        <v>2822.2</v>
      </c>
      <c r="D1285" t="s">
        <v>867</v>
      </c>
      <c r="E1285" t="s">
        <v>910</v>
      </c>
      <c r="F1285" t="s">
        <v>910</v>
      </c>
      <c r="J1285">
        <v>2.8221999999999996</v>
      </c>
      <c r="K1285">
        <v>2.8221999999999996</v>
      </c>
      <c r="L1285" t="s">
        <v>303</v>
      </c>
      <c r="M1285">
        <v>2822.2</v>
      </c>
      <c r="N1285">
        <v>2822.2</v>
      </c>
      <c r="O1285" t="s">
        <v>862</v>
      </c>
      <c r="P1285">
        <f t="shared" si="20"/>
        <v>0</v>
      </c>
    </row>
    <row r="1286" spans="1:16" x14ac:dyDescent="0.25">
      <c r="A1286" t="s">
        <v>669</v>
      </c>
      <c r="B1286">
        <v>2824.1</v>
      </c>
      <c r="C1286">
        <v>2824.1</v>
      </c>
      <c r="D1286" t="s">
        <v>867</v>
      </c>
      <c r="E1286" t="s">
        <v>910</v>
      </c>
      <c r="F1286" t="s">
        <v>910</v>
      </c>
      <c r="J1286">
        <v>2.8241000000000001</v>
      </c>
      <c r="K1286">
        <v>2.8241000000000001</v>
      </c>
      <c r="L1286" t="s">
        <v>303</v>
      </c>
      <c r="M1286">
        <v>2824.1</v>
      </c>
      <c r="N1286">
        <v>2824.1</v>
      </c>
      <c r="O1286" t="s">
        <v>862</v>
      </c>
      <c r="P1286">
        <f t="shared" si="20"/>
        <v>0</v>
      </c>
    </row>
    <row r="1287" spans="1:16" x14ac:dyDescent="0.25">
      <c r="A1287" t="s">
        <v>669</v>
      </c>
      <c r="B1287">
        <v>2826.1</v>
      </c>
      <c r="C1287">
        <v>2826.1</v>
      </c>
      <c r="D1287" t="s">
        <v>867</v>
      </c>
      <c r="E1287" t="s">
        <v>910</v>
      </c>
      <c r="F1287" t="s">
        <v>910</v>
      </c>
      <c r="J1287">
        <v>2.8260999999999998</v>
      </c>
      <c r="K1287">
        <v>2.8260999999999998</v>
      </c>
      <c r="L1287" t="s">
        <v>303</v>
      </c>
      <c r="M1287">
        <v>2826.1</v>
      </c>
      <c r="N1287">
        <v>2826.1</v>
      </c>
      <c r="O1287" t="s">
        <v>862</v>
      </c>
      <c r="P1287">
        <f t="shared" si="20"/>
        <v>0</v>
      </c>
    </row>
    <row r="1288" spans="1:16" x14ac:dyDescent="0.25">
      <c r="A1288" t="s">
        <v>669</v>
      </c>
      <c r="B1288">
        <v>84</v>
      </c>
      <c r="C1288">
        <v>84</v>
      </c>
      <c r="D1288" t="s">
        <v>872</v>
      </c>
      <c r="E1288">
        <v>5</v>
      </c>
      <c r="F1288">
        <v>5</v>
      </c>
      <c r="G1288" t="s">
        <v>684</v>
      </c>
      <c r="H1288" t="s">
        <v>684</v>
      </c>
      <c r="J1288">
        <v>84</v>
      </c>
      <c r="K1288">
        <v>84</v>
      </c>
      <c r="L1288" t="s">
        <v>921</v>
      </c>
      <c r="M1288">
        <v>84</v>
      </c>
      <c r="N1288">
        <v>84</v>
      </c>
      <c r="O1288" t="s">
        <v>921</v>
      </c>
      <c r="P1288">
        <f t="shared" si="20"/>
        <v>0</v>
      </c>
    </row>
    <row r="1289" spans="1:16" x14ac:dyDescent="0.25">
      <c r="A1289" t="s">
        <v>669</v>
      </c>
      <c r="B1289">
        <v>2828.1</v>
      </c>
      <c r="C1289">
        <v>2828.1</v>
      </c>
      <c r="D1289" t="s">
        <v>867</v>
      </c>
      <c r="E1289" t="s">
        <v>910</v>
      </c>
      <c r="F1289" t="s">
        <v>910</v>
      </c>
      <c r="J1289">
        <v>2.8281000000000001</v>
      </c>
      <c r="K1289">
        <v>2.8281000000000001</v>
      </c>
      <c r="L1289" t="s">
        <v>303</v>
      </c>
      <c r="M1289">
        <v>2828.1</v>
      </c>
      <c r="N1289">
        <v>2828.1</v>
      </c>
      <c r="O1289" t="s">
        <v>862</v>
      </c>
      <c r="P1289">
        <f t="shared" si="20"/>
        <v>0</v>
      </c>
    </row>
    <row r="1290" spans="1:16" x14ac:dyDescent="0.25">
      <c r="A1290" t="s">
        <v>669</v>
      </c>
      <c r="B1290">
        <v>2830.1</v>
      </c>
      <c r="C1290">
        <v>2830.1</v>
      </c>
      <c r="D1290" t="s">
        <v>867</v>
      </c>
      <c r="E1290" t="s">
        <v>910</v>
      </c>
      <c r="F1290" t="s">
        <v>910</v>
      </c>
      <c r="J1290">
        <v>2.8300999999999998</v>
      </c>
      <c r="K1290">
        <v>2.8300999999999998</v>
      </c>
      <c r="L1290" t="s">
        <v>303</v>
      </c>
      <c r="M1290">
        <v>2830.1</v>
      </c>
      <c r="N1290">
        <v>2830.1</v>
      </c>
      <c r="O1290" t="s">
        <v>862</v>
      </c>
      <c r="P1290">
        <f t="shared" si="20"/>
        <v>0</v>
      </c>
    </row>
    <row r="1291" spans="1:16" x14ac:dyDescent="0.25">
      <c r="A1291" t="s">
        <v>669</v>
      </c>
      <c r="B1291">
        <v>2830.3</v>
      </c>
      <c r="C1291">
        <v>2830.3</v>
      </c>
      <c r="D1291" t="s">
        <v>867</v>
      </c>
      <c r="E1291" t="s">
        <v>910</v>
      </c>
      <c r="F1291" t="s">
        <v>910</v>
      </c>
      <c r="J1291">
        <v>2.8303000000000003</v>
      </c>
      <c r="K1291">
        <v>2.8303000000000003</v>
      </c>
      <c r="L1291" t="s">
        <v>303</v>
      </c>
      <c r="M1291">
        <v>2830.3</v>
      </c>
      <c r="N1291">
        <v>2830.3</v>
      </c>
      <c r="O1291" t="s">
        <v>862</v>
      </c>
      <c r="P1291">
        <f t="shared" si="20"/>
        <v>0</v>
      </c>
    </row>
    <row r="1292" spans="1:16" x14ac:dyDescent="0.25">
      <c r="A1292" t="s">
        <v>669</v>
      </c>
      <c r="B1292">
        <v>2831</v>
      </c>
      <c r="C1292">
        <v>2831</v>
      </c>
      <c r="D1292" t="s">
        <v>867</v>
      </c>
      <c r="E1292" t="s">
        <v>910</v>
      </c>
      <c r="F1292" t="s">
        <v>910</v>
      </c>
      <c r="J1292">
        <v>2.831</v>
      </c>
      <c r="K1292">
        <v>2.831</v>
      </c>
      <c r="L1292" t="s">
        <v>303</v>
      </c>
      <c r="M1292">
        <v>2831</v>
      </c>
      <c r="N1292">
        <v>2831</v>
      </c>
      <c r="O1292" t="s">
        <v>862</v>
      </c>
      <c r="P1292">
        <f t="shared" si="20"/>
        <v>0</v>
      </c>
    </row>
    <row r="1293" spans="1:16" x14ac:dyDescent="0.25">
      <c r="A1293" t="s">
        <v>669</v>
      </c>
      <c r="B1293">
        <v>2834.5</v>
      </c>
      <c r="C1293">
        <v>2834.5</v>
      </c>
      <c r="D1293" t="s">
        <v>867</v>
      </c>
      <c r="E1293" t="s">
        <v>910</v>
      </c>
      <c r="F1293" t="s">
        <v>910</v>
      </c>
      <c r="J1293">
        <v>2.8344999999999998</v>
      </c>
      <c r="K1293">
        <v>2.8344999999999998</v>
      </c>
      <c r="L1293" t="s">
        <v>303</v>
      </c>
      <c r="M1293">
        <v>2834.5</v>
      </c>
      <c r="N1293">
        <v>2834.5</v>
      </c>
      <c r="O1293" t="s">
        <v>862</v>
      </c>
      <c r="P1293">
        <f t="shared" si="20"/>
        <v>0</v>
      </c>
    </row>
    <row r="1294" spans="1:16" x14ac:dyDescent="0.25">
      <c r="A1294" t="s">
        <v>537</v>
      </c>
      <c r="B1294">
        <v>2.677</v>
      </c>
      <c r="C1294">
        <v>2.835</v>
      </c>
      <c r="D1294" t="s">
        <v>303</v>
      </c>
      <c r="E1294">
        <v>14</v>
      </c>
      <c r="F1294">
        <v>14</v>
      </c>
      <c r="G1294" t="s">
        <v>690</v>
      </c>
      <c r="H1294" t="s">
        <v>690</v>
      </c>
      <c r="J1294">
        <v>2.835</v>
      </c>
      <c r="K1294">
        <v>2.677</v>
      </c>
      <c r="L1294" t="s">
        <v>303</v>
      </c>
      <c r="M1294">
        <v>2.835</v>
      </c>
      <c r="N1294">
        <v>2.677</v>
      </c>
      <c r="O1294" t="s">
        <v>303</v>
      </c>
      <c r="P1294">
        <f t="shared" si="20"/>
        <v>0</v>
      </c>
    </row>
    <row r="1295" spans="1:16" x14ac:dyDescent="0.25">
      <c r="A1295" t="s">
        <v>669</v>
      </c>
      <c r="B1295">
        <v>2836.1</v>
      </c>
      <c r="C1295">
        <v>2836.1</v>
      </c>
      <c r="D1295" t="s">
        <v>867</v>
      </c>
      <c r="E1295" t="s">
        <v>910</v>
      </c>
      <c r="F1295" t="s">
        <v>910</v>
      </c>
      <c r="J1295">
        <v>2.8361000000000001</v>
      </c>
      <c r="K1295">
        <v>2.8361000000000001</v>
      </c>
      <c r="L1295" t="s">
        <v>303</v>
      </c>
      <c r="M1295">
        <v>2836.1</v>
      </c>
      <c r="N1295">
        <v>2836.1</v>
      </c>
      <c r="O1295" t="s">
        <v>862</v>
      </c>
      <c r="P1295">
        <f t="shared" si="20"/>
        <v>0</v>
      </c>
    </row>
    <row r="1296" spans="1:16" x14ac:dyDescent="0.25">
      <c r="A1296" t="s">
        <v>669</v>
      </c>
      <c r="B1296">
        <v>2838</v>
      </c>
      <c r="C1296">
        <v>2838</v>
      </c>
      <c r="D1296" t="s">
        <v>867</v>
      </c>
      <c r="E1296" t="s">
        <v>910</v>
      </c>
      <c r="F1296" t="s">
        <v>910</v>
      </c>
      <c r="J1296">
        <v>2.8380000000000001</v>
      </c>
      <c r="K1296">
        <v>2.8380000000000001</v>
      </c>
      <c r="L1296" t="s">
        <v>303</v>
      </c>
      <c r="M1296">
        <v>2838</v>
      </c>
      <c r="N1296">
        <v>2838</v>
      </c>
      <c r="O1296" t="s">
        <v>862</v>
      </c>
      <c r="P1296">
        <f t="shared" si="20"/>
        <v>0</v>
      </c>
    </row>
    <row r="1297" spans="1:16" x14ac:dyDescent="0.25">
      <c r="A1297" t="s">
        <v>669</v>
      </c>
      <c r="B1297">
        <v>2.74</v>
      </c>
      <c r="C1297">
        <v>2.84</v>
      </c>
      <c r="D1297" t="s">
        <v>669</v>
      </c>
      <c r="E1297" t="s">
        <v>910</v>
      </c>
      <c r="F1297" t="s">
        <v>910</v>
      </c>
      <c r="I1297" t="s">
        <v>927</v>
      </c>
      <c r="J1297">
        <v>2.84</v>
      </c>
      <c r="K1297">
        <v>2.74</v>
      </c>
      <c r="L1297" t="s">
        <v>930</v>
      </c>
      <c r="M1297">
        <v>2.84</v>
      </c>
      <c r="N1297">
        <v>2.74</v>
      </c>
      <c r="P1297">
        <f t="shared" si="20"/>
        <v>14</v>
      </c>
    </row>
    <row r="1298" spans="1:16" x14ac:dyDescent="0.25">
      <c r="A1298" t="s">
        <v>669</v>
      </c>
      <c r="B1298">
        <v>2840.1</v>
      </c>
      <c r="C1298">
        <v>2840.1</v>
      </c>
      <c r="D1298" t="s">
        <v>867</v>
      </c>
      <c r="E1298" t="s">
        <v>910</v>
      </c>
      <c r="F1298" t="s">
        <v>910</v>
      </c>
      <c r="J1298">
        <v>2.8401000000000001</v>
      </c>
      <c r="K1298">
        <v>2.8401000000000001</v>
      </c>
      <c r="L1298" t="s">
        <v>303</v>
      </c>
      <c r="M1298">
        <v>2840.1</v>
      </c>
      <c r="N1298">
        <v>2840.1</v>
      </c>
      <c r="O1298" t="s">
        <v>862</v>
      </c>
      <c r="P1298">
        <f t="shared" si="20"/>
        <v>0</v>
      </c>
    </row>
    <row r="1299" spans="1:16" x14ac:dyDescent="0.25">
      <c r="A1299" t="s">
        <v>669</v>
      </c>
      <c r="B1299">
        <v>2.8410000000000002</v>
      </c>
      <c r="C1299">
        <v>2.8410000000000002</v>
      </c>
      <c r="D1299" t="s">
        <v>303</v>
      </c>
      <c r="E1299" t="s">
        <v>910</v>
      </c>
      <c r="F1299" t="s">
        <v>910</v>
      </c>
      <c r="J1299">
        <v>2.8410000000000002</v>
      </c>
      <c r="K1299">
        <v>2.8410000000000002</v>
      </c>
      <c r="L1299" t="s">
        <v>303</v>
      </c>
      <c r="M1299">
        <v>2.8410000000000002</v>
      </c>
      <c r="N1299">
        <v>2.8410000000000002</v>
      </c>
      <c r="O1299" t="s">
        <v>303</v>
      </c>
      <c r="P1299">
        <f t="shared" si="20"/>
        <v>0</v>
      </c>
    </row>
    <row r="1300" spans="1:16" x14ac:dyDescent="0.25">
      <c r="A1300" t="s">
        <v>669</v>
      </c>
      <c r="B1300">
        <v>2842.5</v>
      </c>
      <c r="C1300">
        <v>2842.5</v>
      </c>
      <c r="D1300" t="s">
        <v>867</v>
      </c>
      <c r="E1300" t="s">
        <v>910</v>
      </c>
      <c r="F1300" t="s">
        <v>910</v>
      </c>
      <c r="J1300">
        <v>2.8424999999999998</v>
      </c>
      <c r="K1300">
        <v>2.8424999999999998</v>
      </c>
      <c r="L1300" t="s">
        <v>303</v>
      </c>
      <c r="M1300">
        <v>2842.5</v>
      </c>
      <c r="N1300">
        <v>2842.5</v>
      </c>
      <c r="O1300" t="s">
        <v>862</v>
      </c>
      <c r="P1300">
        <f t="shared" si="20"/>
        <v>0</v>
      </c>
    </row>
    <row r="1301" spans="1:16" x14ac:dyDescent="0.25">
      <c r="A1301" t="s">
        <v>669</v>
      </c>
      <c r="B1301">
        <v>2843.8</v>
      </c>
      <c r="C1301">
        <v>2843.8</v>
      </c>
      <c r="D1301" t="s">
        <v>867</v>
      </c>
      <c r="E1301" t="s">
        <v>910</v>
      </c>
      <c r="F1301" t="s">
        <v>910</v>
      </c>
      <c r="J1301">
        <v>2.8438000000000003</v>
      </c>
      <c r="K1301">
        <v>2.8438000000000003</v>
      </c>
      <c r="L1301" t="s">
        <v>303</v>
      </c>
      <c r="M1301">
        <v>2843.8</v>
      </c>
      <c r="N1301">
        <v>2843.8</v>
      </c>
      <c r="O1301" t="s">
        <v>862</v>
      </c>
      <c r="P1301">
        <f t="shared" si="20"/>
        <v>0</v>
      </c>
    </row>
    <row r="1302" spans="1:16" x14ac:dyDescent="0.25">
      <c r="A1302" t="s">
        <v>669</v>
      </c>
      <c r="B1302">
        <v>2845.1</v>
      </c>
      <c r="C1302">
        <v>2845.1</v>
      </c>
      <c r="D1302" t="s">
        <v>867</v>
      </c>
      <c r="E1302" t="s">
        <v>910</v>
      </c>
      <c r="F1302" t="s">
        <v>910</v>
      </c>
      <c r="J1302">
        <v>2.8451</v>
      </c>
      <c r="K1302">
        <v>2.8451</v>
      </c>
      <c r="L1302" t="s">
        <v>303</v>
      </c>
      <c r="M1302">
        <v>2845.1</v>
      </c>
      <c r="N1302">
        <v>2845.1</v>
      </c>
      <c r="O1302" t="s">
        <v>862</v>
      </c>
      <c r="P1302">
        <f t="shared" si="20"/>
        <v>0</v>
      </c>
    </row>
    <row r="1303" spans="1:16" x14ac:dyDescent="0.25">
      <c r="A1303" t="s">
        <v>669</v>
      </c>
      <c r="B1303">
        <v>84</v>
      </c>
      <c r="C1303" t="s">
        <v>669</v>
      </c>
      <c r="D1303" t="s">
        <v>857</v>
      </c>
      <c r="E1303" t="s">
        <v>910</v>
      </c>
      <c r="F1303">
        <v>5</v>
      </c>
      <c r="H1303" t="s">
        <v>684</v>
      </c>
      <c r="I1303" t="s">
        <v>932</v>
      </c>
      <c r="K1303">
        <v>84</v>
      </c>
      <c r="L1303" t="s">
        <v>920</v>
      </c>
      <c r="N1303">
        <v>84</v>
      </c>
      <c r="O1303" t="s">
        <v>857</v>
      </c>
      <c r="P1303">
        <f t="shared" si="20"/>
        <v>27</v>
      </c>
    </row>
    <row r="1304" spans="1:16" x14ac:dyDescent="0.25">
      <c r="A1304" t="s">
        <v>669</v>
      </c>
      <c r="B1304">
        <v>2846.1</v>
      </c>
      <c r="C1304">
        <v>2846.1</v>
      </c>
      <c r="D1304" t="s">
        <v>867</v>
      </c>
      <c r="E1304" t="s">
        <v>910</v>
      </c>
      <c r="F1304" t="s">
        <v>910</v>
      </c>
      <c r="J1304">
        <v>2.8460999999999999</v>
      </c>
      <c r="K1304">
        <v>2.8460999999999999</v>
      </c>
      <c r="L1304" t="s">
        <v>303</v>
      </c>
      <c r="M1304">
        <v>2846.1</v>
      </c>
      <c r="N1304">
        <v>2846.1</v>
      </c>
      <c r="O1304" t="s">
        <v>862</v>
      </c>
      <c r="P1304">
        <f t="shared" si="20"/>
        <v>0</v>
      </c>
    </row>
    <row r="1305" spans="1:16" x14ac:dyDescent="0.25">
      <c r="A1305" t="s">
        <v>669</v>
      </c>
      <c r="B1305">
        <v>2848</v>
      </c>
      <c r="C1305">
        <v>2848</v>
      </c>
      <c r="D1305" t="s">
        <v>867</v>
      </c>
      <c r="E1305" t="s">
        <v>910</v>
      </c>
      <c r="F1305" t="s">
        <v>910</v>
      </c>
      <c r="J1305">
        <v>2.8479999999999999</v>
      </c>
      <c r="K1305">
        <v>2.8479999999999999</v>
      </c>
      <c r="L1305" t="s">
        <v>303</v>
      </c>
      <c r="M1305">
        <v>2848</v>
      </c>
      <c r="N1305">
        <v>2848</v>
      </c>
      <c r="O1305" t="s">
        <v>862</v>
      </c>
      <c r="P1305">
        <f t="shared" si="20"/>
        <v>0</v>
      </c>
    </row>
    <row r="1306" spans="1:16" x14ac:dyDescent="0.25">
      <c r="A1306" t="s">
        <v>669</v>
      </c>
      <c r="B1306">
        <v>2850</v>
      </c>
      <c r="C1306">
        <v>2850</v>
      </c>
      <c r="D1306" t="s">
        <v>867</v>
      </c>
      <c r="E1306" t="s">
        <v>910</v>
      </c>
      <c r="F1306" t="s">
        <v>910</v>
      </c>
      <c r="J1306">
        <v>2.85</v>
      </c>
      <c r="K1306">
        <v>2.85</v>
      </c>
      <c r="L1306" t="s">
        <v>303</v>
      </c>
      <c r="M1306">
        <v>2850</v>
      </c>
      <c r="N1306">
        <v>2850</v>
      </c>
      <c r="O1306" t="s">
        <v>862</v>
      </c>
      <c r="P1306">
        <f t="shared" si="20"/>
        <v>0</v>
      </c>
    </row>
    <row r="1307" spans="1:16" x14ac:dyDescent="0.25">
      <c r="A1307" t="s">
        <v>669</v>
      </c>
      <c r="B1307">
        <v>2852</v>
      </c>
      <c r="C1307">
        <v>2852</v>
      </c>
      <c r="D1307" t="s">
        <v>867</v>
      </c>
      <c r="E1307" t="s">
        <v>910</v>
      </c>
      <c r="F1307" t="s">
        <v>910</v>
      </c>
      <c r="J1307">
        <v>2.8519999999999999</v>
      </c>
      <c r="K1307">
        <v>2.8519999999999999</v>
      </c>
      <c r="L1307" t="s">
        <v>303</v>
      </c>
      <c r="M1307">
        <v>2852</v>
      </c>
      <c r="N1307">
        <v>2852</v>
      </c>
      <c r="O1307" t="s">
        <v>862</v>
      </c>
      <c r="P1307">
        <f t="shared" si="20"/>
        <v>0</v>
      </c>
    </row>
    <row r="1308" spans="1:16" x14ac:dyDescent="0.25">
      <c r="A1308" t="s">
        <v>669</v>
      </c>
      <c r="B1308">
        <v>2854.2</v>
      </c>
      <c r="C1308">
        <v>2854.2</v>
      </c>
      <c r="D1308" t="s">
        <v>867</v>
      </c>
      <c r="E1308" t="s">
        <v>910</v>
      </c>
      <c r="F1308" t="s">
        <v>910</v>
      </c>
      <c r="J1308">
        <v>2.8541999999999996</v>
      </c>
      <c r="K1308">
        <v>2.8541999999999996</v>
      </c>
      <c r="L1308" t="s">
        <v>303</v>
      </c>
      <c r="M1308">
        <v>2854.2</v>
      </c>
      <c r="N1308">
        <v>2854.2</v>
      </c>
      <c r="O1308" t="s">
        <v>862</v>
      </c>
      <c r="P1308">
        <f t="shared" si="20"/>
        <v>0</v>
      </c>
    </row>
    <row r="1309" spans="1:16" x14ac:dyDescent="0.25">
      <c r="A1309" t="s">
        <v>669</v>
      </c>
      <c r="B1309">
        <v>2856</v>
      </c>
      <c r="C1309">
        <v>2856</v>
      </c>
      <c r="D1309" t="s">
        <v>867</v>
      </c>
      <c r="E1309" t="s">
        <v>910</v>
      </c>
      <c r="F1309" t="s">
        <v>910</v>
      </c>
      <c r="J1309">
        <v>2.8559999999999999</v>
      </c>
      <c r="K1309">
        <v>2.8559999999999999</v>
      </c>
      <c r="L1309" t="s">
        <v>303</v>
      </c>
      <c r="M1309">
        <v>2856</v>
      </c>
      <c r="N1309">
        <v>2856</v>
      </c>
      <c r="O1309" t="s">
        <v>862</v>
      </c>
      <c r="P1309">
        <f t="shared" si="20"/>
        <v>0</v>
      </c>
    </row>
    <row r="1310" spans="1:16" x14ac:dyDescent="0.25">
      <c r="A1310" t="s">
        <v>669</v>
      </c>
      <c r="B1310">
        <v>2858</v>
      </c>
      <c r="C1310">
        <v>2858</v>
      </c>
      <c r="D1310" t="s">
        <v>867</v>
      </c>
      <c r="E1310" t="s">
        <v>910</v>
      </c>
      <c r="F1310" t="s">
        <v>910</v>
      </c>
      <c r="J1310">
        <v>2.8580000000000001</v>
      </c>
      <c r="K1310">
        <v>2.8580000000000001</v>
      </c>
      <c r="L1310" t="s">
        <v>303</v>
      </c>
      <c r="M1310">
        <v>2858</v>
      </c>
      <c r="N1310">
        <v>2858</v>
      </c>
      <c r="O1310" t="s">
        <v>862</v>
      </c>
      <c r="P1310">
        <f t="shared" si="20"/>
        <v>0</v>
      </c>
    </row>
    <row r="1311" spans="1:16" x14ac:dyDescent="0.25">
      <c r="A1311" t="s">
        <v>669</v>
      </c>
      <c r="B1311">
        <v>2860.1</v>
      </c>
      <c r="C1311">
        <v>2860.1</v>
      </c>
      <c r="D1311" t="s">
        <v>867</v>
      </c>
      <c r="E1311" t="s">
        <v>910</v>
      </c>
      <c r="F1311" t="s">
        <v>910</v>
      </c>
      <c r="J1311">
        <v>2.8601000000000001</v>
      </c>
      <c r="K1311">
        <v>2.8601000000000001</v>
      </c>
      <c r="L1311" t="s">
        <v>303</v>
      </c>
      <c r="M1311">
        <v>2860.1</v>
      </c>
      <c r="N1311">
        <v>2860.1</v>
      </c>
      <c r="O1311" t="s">
        <v>862</v>
      </c>
      <c r="P1311">
        <f t="shared" si="20"/>
        <v>0</v>
      </c>
    </row>
    <row r="1312" spans="1:16" x14ac:dyDescent="0.25">
      <c r="A1312" t="s">
        <v>669</v>
      </c>
      <c r="B1312">
        <v>2861.6</v>
      </c>
      <c r="C1312">
        <v>2861.6</v>
      </c>
      <c r="D1312" t="s">
        <v>867</v>
      </c>
      <c r="E1312" t="s">
        <v>910</v>
      </c>
      <c r="F1312" t="s">
        <v>910</v>
      </c>
      <c r="J1312">
        <v>2.8615999999999997</v>
      </c>
      <c r="K1312">
        <v>2.8615999999999997</v>
      </c>
      <c r="L1312" t="s">
        <v>303</v>
      </c>
      <c r="M1312">
        <v>2861.6</v>
      </c>
      <c r="N1312">
        <v>2861.6</v>
      </c>
      <c r="O1312" t="s">
        <v>862</v>
      </c>
      <c r="P1312">
        <f t="shared" si="20"/>
        <v>0</v>
      </c>
    </row>
    <row r="1313" spans="1:16" x14ac:dyDescent="0.25">
      <c r="A1313" t="s">
        <v>669</v>
      </c>
      <c r="B1313">
        <v>2.87</v>
      </c>
      <c r="C1313">
        <v>2.87</v>
      </c>
      <c r="D1313" t="s">
        <v>303</v>
      </c>
      <c r="E1313" t="s">
        <v>910</v>
      </c>
      <c r="F1313" t="s">
        <v>910</v>
      </c>
      <c r="J1313">
        <v>2.87</v>
      </c>
      <c r="K1313">
        <v>2.87</v>
      </c>
      <c r="L1313" t="s">
        <v>303</v>
      </c>
      <c r="M1313">
        <v>2.87</v>
      </c>
      <c r="N1313">
        <v>2.87</v>
      </c>
      <c r="O1313" t="s">
        <v>303</v>
      </c>
      <c r="P1313">
        <f t="shared" si="20"/>
        <v>0</v>
      </c>
    </row>
    <row r="1314" spans="1:16" x14ac:dyDescent="0.25">
      <c r="A1314" t="s">
        <v>527</v>
      </c>
      <c r="B1314">
        <v>2873.9029999999998</v>
      </c>
      <c r="C1314">
        <v>2873.9029999999998</v>
      </c>
      <c r="D1314" t="s">
        <v>887</v>
      </c>
      <c r="E1314" t="s">
        <v>910</v>
      </c>
      <c r="F1314" t="s">
        <v>910</v>
      </c>
      <c r="I1314" t="s">
        <v>944</v>
      </c>
      <c r="J1314">
        <v>2.8739029999999999</v>
      </c>
      <c r="K1314">
        <v>2.8739029999999999</v>
      </c>
      <c r="L1314" t="s">
        <v>303</v>
      </c>
      <c r="M1314">
        <v>2873.9029999999998</v>
      </c>
      <c r="N1314">
        <v>2873.9029999999998</v>
      </c>
      <c r="O1314" t="s">
        <v>862</v>
      </c>
      <c r="P1314">
        <f t="shared" si="20"/>
        <v>43</v>
      </c>
    </row>
    <row r="1315" spans="1:16" x14ac:dyDescent="0.25">
      <c r="A1315" t="s">
        <v>669</v>
      </c>
      <c r="B1315">
        <v>2.8809999999999998</v>
      </c>
      <c r="C1315">
        <v>2.8809999999999998</v>
      </c>
      <c r="D1315" t="s">
        <v>303</v>
      </c>
      <c r="E1315" t="s">
        <v>910</v>
      </c>
      <c r="F1315" t="s">
        <v>910</v>
      </c>
      <c r="J1315">
        <v>2.8809999999999998</v>
      </c>
      <c r="K1315">
        <v>2.8809999999999998</v>
      </c>
      <c r="L1315" t="s">
        <v>303</v>
      </c>
      <c r="M1315">
        <v>2.8809999999999998</v>
      </c>
      <c r="N1315">
        <v>2.8809999999999998</v>
      </c>
      <c r="O1315" t="s">
        <v>303</v>
      </c>
      <c r="P1315">
        <f t="shared" si="20"/>
        <v>0</v>
      </c>
    </row>
    <row r="1316" spans="1:16" x14ac:dyDescent="0.25">
      <c r="A1316" t="s">
        <v>669</v>
      </c>
      <c r="B1316">
        <v>2886.5</v>
      </c>
      <c r="C1316">
        <v>2886.5</v>
      </c>
      <c r="D1316" t="s">
        <v>867</v>
      </c>
      <c r="E1316" t="s">
        <v>910</v>
      </c>
      <c r="F1316" t="s">
        <v>910</v>
      </c>
      <c r="J1316">
        <v>2.8864999999999998</v>
      </c>
      <c r="K1316">
        <v>2.8864999999999998</v>
      </c>
      <c r="L1316" t="s">
        <v>303</v>
      </c>
      <c r="M1316">
        <v>2886.5</v>
      </c>
      <c r="N1316">
        <v>2886.5</v>
      </c>
      <c r="O1316" t="s">
        <v>862</v>
      </c>
      <c r="P1316">
        <f t="shared" si="20"/>
        <v>0</v>
      </c>
    </row>
    <row r="1317" spans="1:16" x14ac:dyDescent="0.25">
      <c r="A1317" t="s">
        <v>669</v>
      </c>
      <c r="B1317">
        <v>2888.1</v>
      </c>
      <c r="C1317">
        <v>2888.1</v>
      </c>
      <c r="D1317" t="s">
        <v>867</v>
      </c>
      <c r="E1317" t="s">
        <v>910</v>
      </c>
      <c r="F1317" t="s">
        <v>910</v>
      </c>
      <c r="J1317">
        <v>2.8881000000000001</v>
      </c>
      <c r="K1317">
        <v>2.8881000000000001</v>
      </c>
      <c r="L1317" t="s">
        <v>303</v>
      </c>
      <c r="M1317">
        <v>2888.1</v>
      </c>
      <c r="N1317">
        <v>2888.1</v>
      </c>
      <c r="O1317" t="s">
        <v>862</v>
      </c>
      <c r="P1317">
        <f t="shared" si="20"/>
        <v>0</v>
      </c>
    </row>
    <row r="1318" spans="1:16" x14ac:dyDescent="0.25">
      <c r="A1318" t="s">
        <v>669</v>
      </c>
      <c r="B1318">
        <v>2890.2</v>
      </c>
      <c r="C1318">
        <v>2890.2</v>
      </c>
      <c r="D1318" t="s">
        <v>867</v>
      </c>
      <c r="E1318" t="s">
        <v>910</v>
      </c>
      <c r="F1318" t="s">
        <v>910</v>
      </c>
      <c r="J1318">
        <v>2.8901999999999997</v>
      </c>
      <c r="K1318">
        <v>2.8901999999999997</v>
      </c>
      <c r="L1318" t="s">
        <v>303</v>
      </c>
      <c r="M1318">
        <v>2890.2</v>
      </c>
      <c r="N1318">
        <v>2890.2</v>
      </c>
      <c r="O1318" t="s">
        <v>862</v>
      </c>
      <c r="P1318">
        <f t="shared" si="20"/>
        <v>0</v>
      </c>
    </row>
    <row r="1319" spans="1:16" x14ac:dyDescent="0.25">
      <c r="A1319" t="s">
        <v>669</v>
      </c>
      <c r="B1319">
        <v>2892.4</v>
      </c>
      <c r="C1319">
        <v>2892.4</v>
      </c>
      <c r="D1319" t="s">
        <v>867</v>
      </c>
      <c r="E1319" t="s">
        <v>910</v>
      </c>
      <c r="F1319" t="s">
        <v>910</v>
      </c>
      <c r="J1319">
        <v>2.8924000000000003</v>
      </c>
      <c r="K1319">
        <v>2.8924000000000003</v>
      </c>
      <c r="L1319" t="s">
        <v>303</v>
      </c>
      <c r="M1319">
        <v>2892.4</v>
      </c>
      <c r="N1319">
        <v>2892.4</v>
      </c>
      <c r="O1319" t="s">
        <v>862</v>
      </c>
      <c r="P1319">
        <f t="shared" si="20"/>
        <v>0</v>
      </c>
    </row>
    <row r="1320" spans="1:16" x14ac:dyDescent="0.25">
      <c r="A1320" t="s">
        <v>669</v>
      </c>
      <c r="B1320">
        <v>2894.1</v>
      </c>
      <c r="C1320">
        <v>2894.1</v>
      </c>
      <c r="D1320" t="s">
        <v>867</v>
      </c>
      <c r="E1320" t="s">
        <v>910</v>
      </c>
      <c r="F1320" t="s">
        <v>910</v>
      </c>
      <c r="J1320">
        <v>2.8940999999999999</v>
      </c>
      <c r="K1320">
        <v>2.8940999999999999</v>
      </c>
      <c r="L1320" t="s">
        <v>303</v>
      </c>
      <c r="M1320">
        <v>2894.1</v>
      </c>
      <c r="N1320">
        <v>2894.1</v>
      </c>
      <c r="O1320" t="s">
        <v>862</v>
      </c>
      <c r="P1320">
        <f t="shared" si="20"/>
        <v>0</v>
      </c>
    </row>
    <row r="1321" spans="1:16" x14ac:dyDescent="0.25">
      <c r="A1321" t="s">
        <v>669</v>
      </c>
      <c r="B1321">
        <v>2896.2</v>
      </c>
      <c r="C1321">
        <v>2896.2</v>
      </c>
      <c r="D1321" t="s">
        <v>867</v>
      </c>
      <c r="E1321" t="s">
        <v>910</v>
      </c>
      <c r="F1321" t="s">
        <v>910</v>
      </c>
      <c r="J1321">
        <v>2.8961999999999999</v>
      </c>
      <c r="K1321">
        <v>2.8961999999999999</v>
      </c>
      <c r="L1321" t="s">
        <v>303</v>
      </c>
      <c r="M1321">
        <v>2896.2</v>
      </c>
      <c r="N1321">
        <v>2896.2</v>
      </c>
      <c r="O1321" t="s">
        <v>862</v>
      </c>
      <c r="P1321">
        <f t="shared" si="20"/>
        <v>0</v>
      </c>
    </row>
    <row r="1322" spans="1:16" x14ac:dyDescent="0.25">
      <c r="A1322" t="s">
        <v>669</v>
      </c>
      <c r="B1322">
        <v>2898</v>
      </c>
      <c r="C1322">
        <v>2898</v>
      </c>
      <c r="D1322" t="s">
        <v>867</v>
      </c>
      <c r="E1322" t="s">
        <v>910</v>
      </c>
      <c r="F1322" t="s">
        <v>910</v>
      </c>
      <c r="J1322">
        <v>2.8980000000000001</v>
      </c>
      <c r="K1322">
        <v>2.8980000000000001</v>
      </c>
      <c r="L1322" t="s">
        <v>303</v>
      </c>
      <c r="M1322">
        <v>2898</v>
      </c>
      <c r="N1322">
        <v>2898</v>
      </c>
      <c r="O1322" t="s">
        <v>862</v>
      </c>
      <c r="P1322">
        <f t="shared" si="20"/>
        <v>0</v>
      </c>
    </row>
    <row r="1323" spans="1:16" x14ac:dyDescent="0.25">
      <c r="A1323" t="s">
        <v>669</v>
      </c>
      <c r="B1323">
        <v>2899.9</v>
      </c>
      <c r="C1323">
        <v>2899.9</v>
      </c>
      <c r="D1323" t="s">
        <v>867</v>
      </c>
      <c r="E1323" t="s">
        <v>910</v>
      </c>
      <c r="F1323" t="s">
        <v>910</v>
      </c>
      <c r="J1323">
        <v>2.8999000000000001</v>
      </c>
      <c r="K1323">
        <v>2.8999000000000001</v>
      </c>
      <c r="L1323" t="s">
        <v>303</v>
      </c>
      <c r="M1323">
        <v>2899.9</v>
      </c>
      <c r="N1323">
        <v>2899.9</v>
      </c>
      <c r="O1323" t="s">
        <v>862</v>
      </c>
      <c r="P1323">
        <f t="shared" si="20"/>
        <v>0</v>
      </c>
    </row>
    <row r="1324" spans="1:16" x14ac:dyDescent="0.25">
      <c r="A1324" t="s">
        <v>669</v>
      </c>
      <c r="B1324">
        <v>2.9</v>
      </c>
      <c r="C1324">
        <v>2.9</v>
      </c>
      <c r="D1324" t="s">
        <v>860</v>
      </c>
      <c r="E1324" t="s">
        <v>910</v>
      </c>
      <c r="F1324" t="s">
        <v>910</v>
      </c>
      <c r="J1324">
        <v>2.9</v>
      </c>
      <c r="K1324">
        <v>2.9</v>
      </c>
      <c r="L1324" t="s">
        <v>303</v>
      </c>
      <c r="M1324">
        <v>2.9</v>
      </c>
      <c r="N1324">
        <v>2.9</v>
      </c>
      <c r="O1324" t="s">
        <v>303</v>
      </c>
      <c r="P1324">
        <f t="shared" si="20"/>
        <v>0</v>
      </c>
    </row>
    <row r="1325" spans="1:16" x14ac:dyDescent="0.25">
      <c r="A1325" t="s">
        <v>669</v>
      </c>
      <c r="B1325">
        <v>2900000</v>
      </c>
      <c r="C1325">
        <v>2900000</v>
      </c>
      <c r="D1325" t="s">
        <v>857</v>
      </c>
      <c r="E1325" t="s">
        <v>910</v>
      </c>
      <c r="F1325" t="s">
        <v>910</v>
      </c>
      <c r="J1325">
        <v>2.9</v>
      </c>
      <c r="K1325">
        <v>2.9</v>
      </c>
      <c r="L1325" t="s">
        <v>303</v>
      </c>
      <c r="M1325">
        <v>2900000</v>
      </c>
      <c r="N1325">
        <v>2900000</v>
      </c>
      <c r="O1325" t="s">
        <v>303</v>
      </c>
      <c r="P1325">
        <f t="shared" si="20"/>
        <v>0</v>
      </c>
    </row>
    <row r="1326" spans="1:16" x14ac:dyDescent="0.25">
      <c r="A1326" t="s">
        <v>669</v>
      </c>
      <c r="B1326">
        <v>2901.4</v>
      </c>
      <c r="C1326">
        <v>2901.4</v>
      </c>
      <c r="D1326" t="s">
        <v>867</v>
      </c>
      <c r="E1326" t="s">
        <v>910</v>
      </c>
      <c r="F1326" t="s">
        <v>910</v>
      </c>
      <c r="J1326">
        <v>2.9014000000000002</v>
      </c>
      <c r="K1326">
        <v>2.9014000000000002</v>
      </c>
      <c r="L1326" t="s">
        <v>303</v>
      </c>
      <c r="M1326">
        <v>2901.4</v>
      </c>
      <c r="N1326">
        <v>2901.4</v>
      </c>
      <c r="O1326" t="s">
        <v>862</v>
      </c>
      <c r="P1326">
        <f t="shared" si="20"/>
        <v>0</v>
      </c>
    </row>
    <row r="1327" spans="1:16" x14ac:dyDescent="0.25">
      <c r="A1327" t="s">
        <v>669</v>
      </c>
      <c r="B1327">
        <v>2905.1</v>
      </c>
      <c r="C1327">
        <v>2905.1</v>
      </c>
      <c r="D1327" t="s">
        <v>867</v>
      </c>
      <c r="E1327" t="s">
        <v>910</v>
      </c>
      <c r="F1327" t="s">
        <v>910</v>
      </c>
      <c r="J1327">
        <v>2.9051</v>
      </c>
      <c r="K1327">
        <v>2.9051</v>
      </c>
      <c r="L1327" t="s">
        <v>303</v>
      </c>
      <c r="M1327">
        <v>2905.1</v>
      </c>
      <c r="N1327">
        <v>2905.1</v>
      </c>
      <c r="O1327" t="s">
        <v>862</v>
      </c>
      <c r="P1327">
        <f t="shared" si="20"/>
        <v>0</v>
      </c>
    </row>
    <row r="1328" spans="1:16" x14ac:dyDescent="0.25">
      <c r="A1328" t="s">
        <v>669</v>
      </c>
      <c r="B1328">
        <v>2906.1</v>
      </c>
      <c r="C1328">
        <v>2906.1</v>
      </c>
      <c r="D1328" t="s">
        <v>867</v>
      </c>
      <c r="E1328" t="s">
        <v>910</v>
      </c>
      <c r="F1328" t="s">
        <v>910</v>
      </c>
      <c r="J1328">
        <v>2.9060999999999999</v>
      </c>
      <c r="K1328">
        <v>2.9060999999999999</v>
      </c>
      <c r="L1328" t="s">
        <v>303</v>
      </c>
      <c r="M1328">
        <v>2906.1</v>
      </c>
      <c r="N1328">
        <v>2906.1</v>
      </c>
      <c r="O1328" t="s">
        <v>862</v>
      </c>
      <c r="P1328">
        <f t="shared" si="20"/>
        <v>0</v>
      </c>
    </row>
    <row r="1329" spans="1:16" x14ac:dyDescent="0.25">
      <c r="A1329" t="s">
        <v>669</v>
      </c>
      <c r="B1329">
        <v>2908</v>
      </c>
      <c r="C1329">
        <v>2908</v>
      </c>
      <c r="D1329" t="s">
        <v>867</v>
      </c>
      <c r="E1329" t="s">
        <v>910</v>
      </c>
      <c r="F1329" t="s">
        <v>910</v>
      </c>
      <c r="J1329">
        <v>2.9079999999999999</v>
      </c>
      <c r="K1329">
        <v>2.9079999999999999</v>
      </c>
      <c r="L1329" t="s">
        <v>303</v>
      </c>
      <c r="M1329">
        <v>2908</v>
      </c>
      <c r="N1329">
        <v>2908</v>
      </c>
      <c r="O1329" t="s">
        <v>862</v>
      </c>
      <c r="P1329">
        <f t="shared" si="20"/>
        <v>0</v>
      </c>
    </row>
    <row r="1330" spans="1:16" x14ac:dyDescent="0.25">
      <c r="A1330" t="s">
        <v>669</v>
      </c>
      <c r="B1330">
        <v>2910</v>
      </c>
      <c r="C1330">
        <v>2910</v>
      </c>
      <c r="D1330" t="s">
        <v>867</v>
      </c>
      <c r="E1330" t="s">
        <v>910</v>
      </c>
      <c r="F1330" t="s">
        <v>910</v>
      </c>
      <c r="J1330">
        <v>2.91</v>
      </c>
      <c r="K1330">
        <v>2.91</v>
      </c>
      <c r="L1330" t="s">
        <v>303</v>
      </c>
      <c r="M1330">
        <v>2910</v>
      </c>
      <c r="N1330">
        <v>2910</v>
      </c>
      <c r="O1330" t="s">
        <v>862</v>
      </c>
      <c r="P1330">
        <f t="shared" si="20"/>
        <v>0</v>
      </c>
    </row>
    <row r="1331" spans="1:16" x14ac:dyDescent="0.25">
      <c r="A1331" t="s">
        <v>669</v>
      </c>
      <c r="B1331">
        <v>2912.1</v>
      </c>
      <c r="C1331">
        <v>2912.1</v>
      </c>
      <c r="D1331" t="s">
        <v>867</v>
      </c>
      <c r="E1331" t="s">
        <v>910</v>
      </c>
      <c r="F1331" t="s">
        <v>910</v>
      </c>
      <c r="J1331">
        <v>2.9120999999999997</v>
      </c>
      <c r="K1331">
        <v>2.9120999999999997</v>
      </c>
      <c r="L1331" t="s">
        <v>303</v>
      </c>
      <c r="M1331">
        <v>2912.1</v>
      </c>
      <c r="N1331">
        <v>2912.1</v>
      </c>
      <c r="O1331" t="s">
        <v>862</v>
      </c>
      <c r="P1331">
        <f t="shared" si="20"/>
        <v>0</v>
      </c>
    </row>
    <row r="1332" spans="1:16" x14ac:dyDescent="0.25">
      <c r="A1332" t="s">
        <v>669</v>
      </c>
      <c r="B1332">
        <v>2914.2</v>
      </c>
      <c r="C1332">
        <v>2914.2</v>
      </c>
      <c r="D1332" t="s">
        <v>867</v>
      </c>
      <c r="E1332" t="s">
        <v>910</v>
      </c>
      <c r="F1332" t="s">
        <v>910</v>
      </c>
      <c r="J1332">
        <v>2.9141999999999997</v>
      </c>
      <c r="K1332">
        <v>2.9141999999999997</v>
      </c>
      <c r="L1332" t="s">
        <v>303</v>
      </c>
      <c r="M1332">
        <v>2914.2</v>
      </c>
      <c r="N1332">
        <v>2914.2</v>
      </c>
      <c r="O1332" t="s">
        <v>862</v>
      </c>
      <c r="P1332">
        <f t="shared" si="20"/>
        <v>0</v>
      </c>
    </row>
    <row r="1333" spans="1:16" x14ac:dyDescent="0.25">
      <c r="A1333" t="s">
        <v>669</v>
      </c>
      <c r="B1333">
        <v>2916</v>
      </c>
      <c r="C1333">
        <v>2916</v>
      </c>
      <c r="D1333" t="s">
        <v>867</v>
      </c>
      <c r="E1333" t="s">
        <v>910</v>
      </c>
      <c r="F1333" t="s">
        <v>910</v>
      </c>
      <c r="J1333">
        <v>2.9159999999999999</v>
      </c>
      <c r="K1333">
        <v>2.9159999999999999</v>
      </c>
      <c r="L1333" t="s">
        <v>303</v>
      </c>
      <c r="M1333">
        <v>2916</v>
      </c>
      <c r="N1333">
        <v>2916</v>
      </c>
      <c r="O1333" t="s">
        <v>862</v>
      </c>
      <c r="P1333">
        <f t="shared" si="20"/>
        <v>0</v>
      </c>
    </row>
    <row r="1334" spans="1:16" x14ac:dyDescent="0.25">
      <c r="A1334" t="s">
        <v>669</v>
      </c>
      <c r="B1334">
        <v>2917.2</v>
      </c>
      <c r="C1334">
        <v>2917.2</v>
      </c>
      <c r="D1334" t="s">
        <v>867</v>
      </c>
      <c r="E1334" t="s">
        <v>910</v>
      </c>
      <c r="F1334" t="s">
        <v>910</v>
      </c>
      <c r="J1334">
        <v>2.9171999999999998</v>
      </c>
      <c r="K1334">
        <v>2.9171999999999998</v>
      </c>
      <c r="L1334" t="s">
        <v>303</v>
      </c>
      <c r="M1334">
        <v>2917.2</v>
      </c>
      <c r="N1334">
        <v>2917.2</v>
      </c>
      <c r="O1334" t="s">
        <v>862</v>
      </c>
      <c r="P1334">
        <f t="shared" si="20"/>
        <v>0</v>
      </c>
    </row>
    <row r="1335" spans="1:16" x14ac:dyDescent="0.25">
      <c r="A1335" t="s">
        <v>669</v>
      </c>
      <c r="B1335">
        <v>2917.4</v>
      </c>
      <c r="C1335">
        <v>2917.4</v>
      </c>
      <c r="D1335" t="s">
        <v>867</v>
      </c>
      <c r="E1335" t="s">
        <v>910</v>
      </c>
      <c r="F1335" t="s">
        <v>910</v>
      </c>
      <c r="J1335">
        <v>2.9174000000000002</v>
      </c>
      <c r="K1335">
        <v>2.9174000000000002</v>
      </c>
      <c r="L1335" t="s">
        <v>303</v>
      </c>
      <c r="M1335">
        <v>2917.4</v>
      </c>
      <c r="N1335">
        <v>2917.4</v>
      </c>
      <c r="O1335" t="s">
        <v>862</v>
      </c>
      <c r="P1335">
        <f t="shared" si="20"/>
        <v>0</v>
      </c>
    </row>
    <row r="1336" spans="1:16" x14ac:dyDescent="0.25">
      <c r="A1336" t="s">
        <v>669</v>
      </c>
      <c r="B1336">
        <v>2.9249999999999998</v>
      </c>
      <c r="C1336">
        <v>2.9249999999999998</v>
      </c>
      <c r="D1336" t="s">
        <v>303</v>
      </c>
      <c r="E1336" t="s">
        <v>910</v>
      </c>
      <c r="F1336" t="s">
        <v>910</v>
      </c>
      <c r="J1336">
        <v>2.9249999999999998</v>
      </c>
      <c r="K1336">
        <v>2.9249999999999998</v>
      </c>
      <c r="L1336" t="s">
        <v>303</v>
      </c>
      <c r="M1336">
        <v>2.9249999999999998</v>
      </c>
      <c r="N1336">
        <v>2.9249999999999998</v>
      </c>
      <c r="O1336" t="s">
        <v>303</v>
      </c>
      <c r="P1336">
        <f t="shared" si="20"/>
        <v>0</v>
      </c>
    </row>
    <row r="1337" spans="1:16" x14ac:dyDescent="0.25">
      <c r="A1337" t="s">
        <v>669</v>
      </c>
      <c r="B1337">
        <v>2.93</v>
      </c>
      <c r="C1337">
        <v>2.93</v>
      </c>
      <c r="D1337" t="s">
        <v>303</v>
      </c>
      <c r="E1337" t="s">
        <v>910</v>
      </c>
      <c r="F1337" t="s">
        <v>910</v>
      </c>
      <c r="J1337">
        <v>2.93</v>
      </c>
      <c r="K1337">
        <v>2.93</v>
      </c>
      <c r="L1337" t="s">
        <v>303</v>
      </c>
      <c r="M1337">
        <v>2.93</v>
      </c>
      <c r="N1337">
        <v>2.93</v>
      </c>
      <c r="O1337" t="s">
        <v>303</v>
      </c>
      <c r="P1337">
        <f t="shared" si="20"/>
        <v>0</v>
      </c>
    </row>
    <row r="1338" spans="1:16" x14ac:dyDescent="0.25">
      <c r="A1338" t="s">
        <v>669</v>
      </c>
      <c r="B1338">
        <v>2931</v>
      </c>
      <c r="C1338">
        <v>2931</v>
      </c>
      <c r="D1338" t="s">
        <v>867</v>
      </c>
      <c r="E1338" t="s">
        <v>910</v>
      </c>
      <c r="F1338" t="s">
        <v>910</v>
      </c>
      <c r="J1338">
        <v>2.931</v>
      </c>
      <c r="K1338">
        <v>2.931</v>
      </c>
      <c r="L1338" t="s">
        <v>303</v>
      </c>
      <c r="M1338">
        <v>2931</v>
      </c>
      <c r="N1338">
        <v>2931</v>
      </c>
      <c r="O1338" t="s">
        <v>862</v>
      </c>
      <c r="P1338">
        <f t="shared" si="20"/>
        <v>0</v>
      </c>
    </row>
    <row r="1339" spans="1:16" x14ac:dyDescent="0.25">
      <c r="A1339" t="s">
        <v>669</v>
      </c>
      <c r="B1339">
        <v>2932.1</v>
      </c>
      <c r="C1339">
        <v>2932.1</v>
      </c>
      <c r="D1339" t="s">
        <v>867</v>
      </c>
      <c r="E1339" t="s">
        <v>910</v>
      </c>
      <c r="F1339" t="s">
        <v>910</v>
      </c>
      <c r="J1339">
        <v>2.9320999999999997</v>
      </c>
      <c r="K1339">
        <v>2.9320999999999997</v>
      </c>
      <c r="L1339" t="s">
        <v>303</v>
      </c>
      <c r="M1339">
        <v>2932.1</v>
      </c>
      <c r="N1339">
        <v>2932.1</v>
      </c>
      <c r="O1339" t="s">
        <v>862</v>
      </c>
      <c r="P1339">
        <f t="shared" si="20"/>
        <v>0</v>
      </c>
    </row>
    <row r="1340" spans="1:16" x14ac:dyDescent="0.25">
      <c r="A1340" t="s">
        <v>669</v>
      </c>
      <c r="B1340">
        <v>2934.1</v>
      </c>
      <c r="C1340">
        <v>2934.1</v>
      </c>
      <c r="D1340" t="s">
        <v>867</v>
      </c>
      <c r="E1340" t="s">
        <v>910</v>
      </c>
      <c r="F1340" t="s">
        <v>910</v>
      </c>
      <c r="J1340">
        <v>2.9340999999999999</v>
      </c>
      <c r="K1340">
        <v>2.9340999999999999</v>
      </c>
      <c r="L1340" t="s">
        <v>303</v>
      </c>
      <c r="M1340">
        <v>2934.1</v>
      </c>
      <c r="N1340">
        <v>2934.1</v>
      </c>
      <c r="O1340" t="s">
        <v>862</v>
      </c>
      <c r="P1340">
        <f t="shared" si="20"/>
        <v>0</v>
      </c>
    </row>
    <row r="1341" spans="1:16" x14ac:dyDescent="0.25">
      <c r="A1341" t="s">
        <v>669</v>
      </c>
      <c r="B1341">
        <v>2936</v>
      </c>
      <c r="C1341">
        <v>2936</v>
      </c>
      <c r="D1341" t="s">
        <v>867</v>
      </c>
      <c r="E1341" t="s">
        <v>910</v>
      </c>
      <c r="F1341" t="s">
        <v>910</v>
      </c>
      <c r="J1341">
        <v>2.9359999999999999</v>
      </c>
      <c r="K1341">
        <v>2.9359999999999999</v>
      </c>
      <c r="L1341" t="s">
        <v>303</v>
      </c>
      <c r="M1341">
        <v>2936</v>
      </c>
      <c r="N1341">
        <v>2936</v>
      </c>
      <c r="O1341" t="s">
        <v>862</v>
      </c>
      <c r="P1341">
        <f t="shared" si="20"/>
        <v>0</v>
      </c>
    </row>
    <row r="1342" spans="1:16" x14ac:dyDescent="0.25">
      <c r="A1342" t="s">
        <v>537</v>
      </c>
      <c r="B1342">
        <v>2.9129999999999998</v>
      </c>
      <c r="C1342">
        <v>2.9369999999999998</v>
      </c>
      <c r="D1342" t="s">
        <v>303</v>
      </c>
      <c r="E1342">
        <v>14</v>
      </c>
      <c r="F1342">
        <v>14</v>
      </c>
      <c r="G1342" t="s">
        <v>690</v>
      </c>
      <c r="H1342" t="s">
        <v>690</v>
      </c>
      <c r="J1342">
        <v>2.9369999999999998</v>
      </c>
      <c r="K1342">
        <v>2.9129999999999998</v>
      </c>
      <c r="L1342" t="s">
        <v>303</v>
      </c>
      <c r="M1342">
        <v>2.9369999999999998</v>
      </c>
      <c r="N1342">
        <v>2.9129999999999998</v>
      </c>
      <c r="O1342" t="s">
        <v>303</v>
      </c>
      <c r="P1342">
        <f t="shared" si="20"/>
        <v>0</v>
      </c>
    </row>
    <row r="1343" spans="1:16" x14ac:dyDescent="0.25">
      <c r="A1343" t="s">
        <v>669</v>
      </c>
      <c r="B1343">
        <v>2.94</v>
      </c>
      <c r="C1343">
        <v>2.94</v>
      </c>
      <c r="D1343" t="s">
        <v>303</v>
      </c>
      <c r="E1343" t="s">
        <v>910</v>
      </c>
      <c r="F1343" t="s">
        <v>910</v>
      </c>
      <c r="J1343">
        <v>2.94</v>
      </c>
      <c r="K1343">
        <v>2.94</v>
      </c>
      <c r="L1343" t="s">
        <v>303</v>
      </c>
      <c r="M1343">
        <v>2.94</v>
      </c>
      <c r="N1343">
        <v>2.94</v>
      </c>
      <c r="O1343" t="s">
        <v>303</v>
      </c>
      <c r="P1343">
        <f t="shared" si="20"/>
        <v>0</v>
      </c>
    </row>
    <row r="1344" spans="1:16" x14ac:dyDescent="0.25">
      <c r="A1344" t="s">
        <v>669</v>
      </c>
      <c r="B1344">
        <v>2942.1</v>
      </c>
      <c r="C1344">
        <v>2942.1</v>
      </c>
      <c r="D1344" t="s">
        <v>867</v>
      </c>
      <c r="E1344" t="s">
        <v>910</v>
      </c>
      <c r="F1344" t="s">
        <v>910</v>
      </c>
      <c r="J1344">
        <v>2.9420999999999999</v>
      </c>
      <c r="K1344">
        <v>2.9420999999999999</v>
      </c>
      <c r="L1344" t="s">
        <v>303</v>
      </c>
      <c r="M1344">
        <v>2942.1</v>
      </c>
      <c r="N1344">
        <v>2942.1</v>
      </c>
      <c r="O1344" t="s">
        <v>862</v>
      </c>
      <c r="P1344">
        <f t="shared" si="20"/>
        <v>0</v>
      </c>
    </row>
    <row r="1345" spans="1:16" x14ac:dyDescent="0.25">
      <c r="A1345" t="s">
        <v>669</v>
      </c>
      <c r="B1345">
        <v>2944.1</v>
      </c>
      <c r="C1345">
        <v>2944.1</v>
      </c>
      <c r="D1345" t="s">
        <v>867</v>
      </c>
      <c r="E1345" t="s">
        <v>910</v>
      </c>
      <c r="F1345" t="s">
        <v>910</v>
      </c>
      <c r="J1345">
        <v>2.9440999999999997</v>
      </c>
      <c r="K1345">
        <v>2.9440999999999997</v>
      </c>
      <c r="L1345" t="s">
        <v>303</v>
      </c>
      <c r="M1345">
        <v>2944.1</v>
      </c>
      <c r="N1345">
        <v>2944.1</v>
      </c>
      <c r="O1345" t="s">
        <v>862</v>
      </c>
      <c r="P1345">
        <f t="shared" si="20"/>
        <v>0</v>
      </c>
    </row>
    <row r="1346" spans="1:16" x14ac:dyDescent="0.25">
      <c r="A1346" t="s">
        <v>669</v>
      </c>
      <c r="B1346">
        <v>2.89</v>
      </c>
      <c r="C1346">
        <v>2.95</v>
      </c>
      <c r="D1346" t="s">
        <v>860</v>
      </c>
      <c r="E1346" t="s">
        <v>910</v>
      </c>
      <c r="F1346" t="s">
        <v>910</v>
      </c>
      <c r="J1346">
        <v>2.95</v>
      </c>
      <c r="K1346">
        <v>2.89</v>
      </c>
      <c r="L1346" t="s">
        <v>303</v>
      </c>
      <c r="M1346">
        <v>2.95</v>
      </c>
      <c r="N1346">
        <v>2.89</v>
      </c>
      <c r="O1346" t="s">
        <v>303</v>
      </c>
      <c r="P1346">
        <f t="shared" si="20"/>
        <v>0</v>
      </c>
    </row>
    <row r="1347" spans="1:16" x14ac:dyDescent="0.25">
      <c r="A1347" t="s">
        <v>669</v>
      </c>
      <c r="B1347">
        <v>2.96</v>
      </c>
      <c r="C1347">
        <v>2.96</v>
      </c>
      <c r="D1347" t="s">
        <v>303</v>
      </c>
      <c r="E1347" t="s">
        <v>910</v>
      </c>
      <c r="F1347" t="s">
        <v>910</v>
      </c>
      <c r="J1347">
        <v>2.96</v>
      </c>
      <c r="K1347">
        <v>2.96</v>
      </c>
      <c r="L1347" t="s">
        <v>303</v>
      </c>
      <c r="M1347">
        <v>2.96</v>
      </c>
      <c r="N1347">
        <v>2.96</v>
      </c>
      <c r="O1347" t="s">
        <v>303</v>
      </c>
      <c r="P1347">
        <f t="shared" ref="P1347:P1410" si="21">LEN(I1347)</f>
        <v>0</v>
      </c>
    </row>
    <row r="1348" spans="1:16" x14ac:dyDescent="0.25">
      <c r="A1348" t="s">
        <v>669</v>
      </c>
      <c r="B1348">
        <v>2.9740000000000002</v>
      </c>
      <c r="C1348">
        <v>2.9740000000000002</v>
      </c>
      <c r="D1348" t="s">
        <v>303</v>
      </c>
      <c r="E1348" t="s">
        <v>910</v>
      </c>
      <c r="F1348" t="s">
        <v>910</v>
      </c>
      <c r="J1348">
        <v>2.9740000000000002</v>
      </c>
      <c r="K1348">
        <v>2.9740000000000002</v>
      </c>
      <c r="L1348" t="s">
        <v>303</v>
      </c>
      <c r="M1348">
        <v>2.9740000000000002</v>
      </c>
      <c r="N1348">
        <v>2.9740000000000002</v>
      </c>
      <c r="O1348" t="s">
        <v>303</v>
      </c>
      <c r="P1348">
        <f t="shared" si="21"/>
        <v>0</v>
      </c>
    </row>
    <row r="1349" spans="1:16" x14ac:dyDescent="0.25">
      <c r="A1349" t="s">
        <v>669</v>
      </c>
      <c r="B1349">
        <v>2976.7</v>
      </c>
      <c r="C1349">
        <v>2976.7</v>
      </c>
      <c r="D1349" t="s">
        <v>867</v>
      </c>
      <c r="E1349" t="s">
        <v>910</v>
      </c>
      <c r="F1349" t="s">
        <v>910</v>
      </c>
      <c r="J1349">
        <v>2.9766999999999997</v>
      </c>
      <c r="K1349">
        <v>2.9766999999999997</v>
      </c>
      <c r="L1349" t="s">
        <v>303</v>
      </c>
      <c r="M1349">
        <v>2976.7</v>
      </c>
      <c r="N1349">
        <v>2976.7</v>
      </c>
      <c r="O1349" t="s">
        <v>862</v>
      </c>
      <c r="P1349">
        <f t="shared" si="21"/>
        <v>0</v>
      </c>
    </row>
    <row r="1350" spans="1:16" x14ac:dyDescent="0.25">
      <c r="A1350" t="s">
        <v>669</v>
      </c>
      <c r="B1350">
        <v>89</v>
      </c>
      <c r="C1350">
        <v>95</v>
      </c>
      <c r="D1350" t="s">
        <v>857</v>
      </c>
      <c r="E1350">
        <v>5</v>
      </c>
      <c r="F1350">
        <v>5</v>
      </c>
      <c r="G1350" t="s">
        <v>684</v>
      </c>
      <c r="H1350" t="s">
        <v>684</v>
      </c>
      <c r="J1350">
        <v>95</v>
      </c>
      <c r="K1350">
        <v>89</v>
      </c>
      <c r="L1350" t="s">
        <v>921</v>
      </c>
      <c r="M1350">
        <v>95</v>
      </c>
      <c r="N1350">
        <v>89</v>
      </c>
      <c r="O1350" t="s">
        <v>921</v>
      </c>
      <c r="P1350">
        <f t="shared" si="21"/>
        <v>0</v>
      </c>
    </row>
    <row r="1351" spans="1:16" x14ac:dyDescent="0.25">
      <c r="A1351" t="s">
        <v>669</v>
      </c>
      <c r="B1351">
        <v>2977.2</v>
      </c>
      <c r="C1351">
        <v>2977.2</v>
      </c>
      <c r="D1351" t="s">
        <v>867</v>
      </c>
      <c r="E1351" t="s">
        <v>910</v>
      </c>
      <c r="F1351" t="s">
        <v>910</v>
      </c>
      <c r="J1351">
        <v>2.9771999999999998</v>
      </c>
      <c r="K1351">
        <v>2.9771999999999998</v>
      </c>
      <c r="L1351" t="s">
        <v>303</v>
      </c>
      <c r="M1351">
        <v>2977.2</v>
      </c>
      <c r="N1351">
        <v>2977.2</v>
      </c>
      <c r="O1351" t="s">
        <v>862</v>
      </c>
      <c r="P1351">
        <f t="shared" si="21"/>
        <v>0</v>
      </c>
    </row>
    <row r="1352" spans="1:16" x14ac:dyDescent="0.25">
      <c r="A1352" t="s">
        <v>669</v>
      </c>
      <c r="B1352">
        <v>2.98</v>
      </c>
      <c r="C1352">
        <v>2.98</v>
      </c>
      <c r="D1352" t="s">
        <v>303</v>
      </c>
      <c r="E1352" t="s">
        <v>910</v>
      </c>
      <c r="F1352" t="s">
        <v>910</v>
      </c>
      <c r="J1352">
        <v>2.98</v>
      </c>
      <c r="K1352">
        <v>2.98</v>
      </c>
      <c r="L1352" t="s">
        <v>303</v>
      </c>
      <c r="M1352">
        <v>2.98</v>
      </c>
      <c r="N1352">
        <v>2.98</v>
      </c>
      <c r="O1352" t="s">
        <v>303</v>
      </c>
      <c r="P1352">
        <f t="shared" si="21"/>
        <v>0</v>
      </c>
    </row>
    <row r="1353" spans="1:16" x14ac:dyDescent="0.25">
      <c r="A1353" t="s">
        <v>537</v>
      </c>
      <c r="B1353">
        <v>2986.2089999999998</v>
      </c>
      <c r="C1353">
        <v>2986.2089999999998</v>
      </c>
      <c r="D1353" t="s">
        <v>887</v>
      </c>
      <c r="E1353">
        <v>14</v>
      </c>
      <c r="F1353">
        <v>14</v>
      </c>
      <c r="G1353" t="s">
        <v>690</v>
      </c>
      <c r="H1353" t="s">
        <v>690</v>
      </c>
      <c r="J1353">
        <v>2.9862089999999997</v>
      </c>
      <c r="K1353">
        <v>2.9862089999999997</v>
      </c>
      <c r="L1353" t="s">
        <v>303</v>
      </c>
      <c r="M1353">
        <v>2986.2089999999998</v>
      </c>
      <c r="N1353">
        <v>2986.2089999999998</v>
      </c>
      <c r="O1353" t="s">
        <v>862</v>
      </c>
      <c r="P1353">
        <f t="shared" si="21"/>
        <v>0</v>
      </c>
    </row>
    <row r="1354" spans="1:16" x14ac:dyDescent="0.25">
      <c r="A1354" t="s">
        <v>669</v>
      </c>
      <c r="B1354">
        <v>2.5499999999999998</v>
      </c>
      <c r="C1354">
        <v>2.99</v>
      </c>
      <c r="D1354" t="s">
        <v>860</v>
      </c>
      <c r="E1354" t="s">
        <v>910</v>
      </c>
      <c r="F1354" t="s">
        <v>910</v>
      </c>
      <c r="J1354">
        <v>2.99</v>
      </c>
      <c r="K1354">
        <v>2.5499999999999998</v>
      </c>
      <c r="L1354" t="s">
        <v>303</v>
      </c>
      <c r="M1354">
        <v>2.99</v>
      </c>
      <c r="N1354">
        <v>2.5499999999999998</v>
      </c>
      <c r="O1354" t="s">
        <v>303</v>
      </c>
      <c r="P1354">
        <f t="shared" si="21"/>
        <v>0</v>
      </c>
    </row>
    <row r="1355" spans="1:16" x14ac:dyDescent="0.25">
      <c r="A1355" t="s">
        <v>669</v>
      </c>
      <c r="B1355">
        <v>2.75</v>
      </c>
      <c r="C1355">
        <v>2.99</v>
      </c>
      <c r="D1355" t="s">
        <v>860</v>
      </c>
      <c r="E1355" t="s">
        <v>910</v>
      </c>
      <c r="F1355" t="s">
        <v>910</v>
      </c>
      <c r="J1355">
        <v>2.99</v>
      </c>
      <c r="K1355">
        <v>2.75</v>
      </c>
      <c r="L1355" t="s">
        <v>303</v>
      </c>
      <c r="M1355">
        <v>2.99</v>
      </c>
      <c r="N1355">
        <v>2.75</v>
      </c>
      <c r="O1355" t="s">
        <v>303</v>
      </c>
      <c r="P1355">
        <f t="shared" si="21"/>
        <v>0</v>
      </c>
    </row>
    <row r="1356" spans="1:16" x14ac:dyDescent="0.25">
      <c r="A1356" t="s">
        <v>537</v>
      </c>
      <c r="B1356">
        <v>2.9769999999999999</v>
      </c>
      <c r="C1356">
        <v>2.9950000000000001</v>
      </c>
      <c r="D1356" t="s">
        <v>303</v>
      </c>
      <c r="E1356">
        <v>14</v>
      </c>
      <c r="F1356">
        <v>14</v>
      </c>
      <c r="G1356" t="s">
        <v>690</v>
      </c>
      <c r="H1356" t="s">
        <v>690</v>
      </c>
      <c r="J1356">
        <v>2.9950000000000001</v>
      </c>
      <c r="K1356">
        <v>2.9769999999999999</v>
      </c>
      <c r="L1356" t="s">
        <v>303</v>
      </c>
      <c r="M1356">
        <v>2.9950000000000001</v>
      </c>
      <c r="N1356">
        <v>2.9769999999999999</v>
      </c>
      <c r="O1356" t="s">
        <v>303</v>
      </c>
      <c r="P1356">
        <f t="shared" si="21"/>
        <v>0</v>
      </c>
    </row>
    <row r="1357" spans="1:16" x14ac:dyDescent="0.25">
      <c r="A1357" t="s">
        <v>669</v>
      </c>
      <c r="B1357">
        <v>2</v>
      </c>
      <c r="C1357">
        <v>3</v>
      </c>
      <c r="D1357" t="s">
        <v>303</v>
      </c>
      <c r="E1357" t="s">
        <v>910</v>
      </c>
      <c r="F1357" t="s">
        <v>910</v>
      </c>
      <c r="J1357">
        <v>3</v>
      </c>
      <c r="K1357">
        <v>2</v>
      </c>
      <c r="L1357" t="s">
        <v>303</v>
      </c>
      <c r="M1357">
        <v>3</v>
      </c>
      <c r="N1357">
        <v>2</v>
      </c>
      <c r="O1357" t="s">
        <v>303</v>
      </c>
      <c r="P1357">
        <f t="shared" si="21"/>
        <v>0</v>
      </c>
    </row>
    <row r="1358" spans="1:16" x14ac:dyDescent="0.25">
      <c r="A1358" t="s">
        <v>669</v>
      </c>
      <c r="B1358">
        <v>3</v>
      </c>
      <c r="C1358">
        <v>3</v>
      </c>
      <c r="D1358" t="s">
        <v>860</v>
      </c>
      <c r="E1358" t="s">
        <v>910</v>
      </c>
      <c r="F1358" t="s">
        <v>910</v>
      </c>
      <c r="J1358">
        <v>3</v>
      </c>
      <c r="K1358">
        <v>3</v>
      </c>
      <c r="L1358" t="s">
        <v>303</v>
      </c>
      <c r="M1358">
        <v>3</v>
      </c>
      <c r="N1358">
        <v>3</v>
      </c>
      <c r="O1358" t="s">
        <v>303</v>
      </c>
      <c r="P1358">
        <f t="shared" si="21"/>
        <v>0</v>
      </c>
    </row>
    <row r="1359" spans="1:16" x14ac:dyDescent="0.25">
      <c r="A1359" t="s">
        <v>59</v>
      </c>
      <c r="B1359" t="s">
        <v>669</v>
      </c>
      <c r="C1359">
        <v>3000</v>
      </c>
      <c r="D1359" t="s">
        <v>862</v>
      </c>
      <c r="E1359">
        <v>3</v>
      </c>
      <c r="F1359">
        <v>5</v>
      </c>
      <c r="G1359" t="s">
        <v>700</v>
      </c>
      <c r="H1359" t="s">
        <v>684</v>
      </c>
      <c r="J1359">
        <v>3</v>
      </c>
      <c r="K1359">
        <v>0</v>
      </c>
      <c r="L1359" t="s">
        <v>303</v>
      </c>
      <c r="M1359">
        <v>3000</v>
      </c>
      <c r="O1359" t="s">
        <v>862</v>
      </c>
      <c r="P1359">
        <f t="shared" si="21"/>
        <v>0</v>
      </c>
    </row>
    <row r="1360" spans="1:16" x14ac:dyDescent="0.25">
      <c r="A1360" t="s">
        <v>669</v>
      </c>
      <c r="B1360" t="s">
        <v>669</v>
      </c>
      <c r="C1360">
        <v>3</v>
      </c>
      <c r="D1360" t="s">
        <v>303</v>
      </c>
      <c r="E1360" t="s">
        <v>910</v>
      </c>
      <c r="F1360" t="s">
        <v>910</v>
      </c>
      <c r="J1360">
        <v>3</v>
      </c>
      <c r="K1360">
        <v>3</v>
      </c>
      <c r="L1360" t="s">
        <v>303</v>
      </c>
      <c r="M1360">
        <v>3</v>
      </c>
      <c r="N1360">
        <v>3</v>
      </c>
      <c r="O1360" t="s">
        <v>303</v>
      </c>
      <c r="P1360">
        <f t="shared" si="21"/>
        <v>0</v>
      </c>
    </row>
    <row r="1361" spans="1:16" x14ac:dyDescent="0.25">
      <c r="A1361" t="s">
        <v>669</v>
      </c>
      <c r="B1361">
        <v>3.01</v>
      </c>
      <c r="C1361">
        <v>3.01</v>
      </c>
      <c r="D1361" t="s">
        <v>303</v>
      </c>
      <c r="E1361" t="s">
        <v>910</v>
      </c>
      <c r="F1361" t="s">
        <v>910</v>
      </c>
      <c r="J1361">
        <v>3.01</v>
      </c>
      <c r="K1361">
        <v>3.01</v>
      </c>
      <c r="L1361" t="s">
        <v>303</v>
      </c>
      <c r="M1361">
        <v>3.01</v>
      </c>
      <c r="N1361">
        <v>3.01</v>
      </c>
      <c r="O1361" t="s">
        <v>303</v>
      </c>
      <c r="P1361">
        <f t="shared" si="21"/>
        <v>0</v>
      </c>
    </row>
    <row r="1362" spans="1:16" x14ac:dyDescent="0.25">
      <c r="A1362" t="s">
        <v>669</v>
      </c>
      <c r="B1362">
        <v>2.94</v>
      </c>
      <c r="C1362">
        <v>3.02</v>
      </c>
      <c r="D1362" t="s">
        <v>860</v>
      </c>
      <c r="E1362" t="s">
        <v>910</v>
      </c>
      <c r="F1362" t="s">
        <v>910</v>
      </c>
      <c r="J1362">
        <v>3.02</v>
      </c>
      <c r="K1362">
        <v>2.94</v>
      </c>
      <c r="L1362" t="s">
        <v>303</v>
      </c>
      <c r="M1362">
        <v>3.02</v>
      </c>
      <c r="N1362">
        <v>2.94</v>
      </c>
      <c r="O1362" t="s">
        <v>303</v>
      </c>
      <c r="P1362">
        <f t="shared" si="21"/>
        <v>0</v>
      </c>
    </row>
    <row r="1363" spans="1:16" x14ac:dyDescent="0.25">
      <c r="A1363" t="s">
        <v>669</v>
      </c>
      <c r="B1363">
        <v>2.96</v>
      </c>
      <c r="C1363">
        <v>3.02</v>
      </c>
      <c r="D1363" t="s">
        <v>860</v>
      </c>
      <c r="E1363" t="s">
        <v>910</v>
      </c>
      <c r="F1363" t="s">
        <v>910</v>
      </c>
      <c r="J1363">
        <v>3.02</v>
      </c>
      <c r="K1363">
        <v>2.96</v>
      </c>
      <c r="L1363" t="s">
        <v>303</v>
      </c>
      <c r="M1363">
        <v>3.02</v>
      </c>
      <c r="N1363">
        <v>2.96</v>
      </c>
      <c r="O1363" t="s">
        <v>303</v>
      </c>
      <c r="P1363">
        <f t="shared" si="21"/>
        <v>0</v>
      </c>
    </row>
    <row r="1364" spans="1:16" x14ac:dyDescent="0.25">
      <c r="A1364" t="s">
        <v>669</v>
      </c>
      <c r="B1364">
        <v>3.0270000000000001</v>
      </c>
      <c r="C1364">
        <v>3.0270000000000001</v>
      </c>
      <c r="D1364" t="s">
        <v>303</v>
      </c>
      <c r="E1364" t="s">
        <v>910</v>
      </c>
      <c r="F1364" t="s">
        <v>910</v>
      </c>
      <c r="J1364">
        <v>3.0270000000000001</v>
      </c>
      <c r="K1364">
        <v>3.0270000000000001</v>
      </c>
      <c r="L1364" t="s">
        <v>303</v>
      </c>
      <c r="M1364">
        <v>3.0270000000000001</v>
      </c>
      <c r="N1364">
        <v>3.0270000000000001</v>
      </c>
      <c r="O1364" t="s">
        <v>303</v>
      </c>
      <c r="P1364">
        <f t="shared" si="21"/>
        <v>0</v>
      </c>
    </row>
    <row r="1365" spans="1:16" x14ac:dyDescent="0.25">
      <c r="A1365" t="s">
        <v>669</v>
      </c>
      <c r="B1365">
        <v>3.03</v>
      </c>
      <c r="C1365">
        <v>3.03</v>
      </c>
      <c r="D1365" t="s">
        <v>303</v>
      </c>
      <c r="E1365" t="s">
        <v>910</v>
      </c>
      <c r="F1365" t="s">
        <v>910</v>
      </c>
      <c r="J1365">
        <v>3.03</v>
      </c>
      <c r="K1365">
        <v>3.03</v>
      </c>
      <c r="L1365" t="s">
        <v>303</v>
      </c>
      <c r="M1365">
        <v>3.03</v>
      </c>
      <c r="N1365">
        <v>3.03</v>
      </c>
      <c r="O1365" t="s">
        <v>303</v>
      </c>
      <c r="P1365">
        <f t="shared" si="21"/>
        <v>0</v>
      </c>
    </row>
    <row r="1366" spans="1:16" x14ac:dyDescent="0.25">
      <c r="A1366" t="s">
        <v>669</v>
      </c>
      <c r="B1366">
        <v>3032.6</v>
      </c>
      <c r="C1366">
        <v>3032.6</v>
      </c>
      <c r="D1366" t="s">
        <v>867</v>
      </c>
      <c r="E1366" t="s">
        <v>910</v>
      </c>
      <c r="F1366" t="s">
        <v>910</v>
      </c>
      <c r="J1366">
        <v>3.0326</v>
      </c>
      <c r="K1366">
        <v>3.0326</v>
      </c>
      <c r="L1366" t="s">
        <v>303</v>
      </c>
      <c r="M1366">
        <v>3032.6</v>
      </c>
      <c r="N1366">
        <v>3032.6</v>
      </c>
      <c r="O1366" t="s">
        <v>862</v>
      </c>
      <c r="P1366">
        <f t="shared" si="21"/>
        <v>0</v>
      </c>
    </row>
    <row r="1367" spans="1:16" x14ac:dyDescent="0.25">
      <c r="A1367" t="s">
        <v>669</v>
      </c>
      <c r="B1367">
        <v>3032.7</v>
      </c>
      <c r="C1367">
        <v>3032.7</v>
      </c>
      <c r="D1367" t="s">
        <v>867</v>
      </c>
      <c r="E1367" t="s">
        <v>910</v>
      </c>
      <c r="F1367" t="s">
        <v>910</v>
      </c>
      <c r="J1367">
        <v>3.0326999999999997</v>
      </c>
      <c r="K1367">
        <v>3.0326999999999997</v>
      </c>
      <c r="L1367" t="s">
        <v>303</v>
      </c>
      <c r="M1367">
        <v>3032.7</v>
      </c>
      <c r="N1367">
        <v>3032.7</v>
      </c>
      <c r="O1367" t="s">
        <v>862</v>
      </c>
      <c r="P1367">
        <f t="shared" si="21"/>
        <v>0</v>
      </c>
    </row>
    <row r="1368" spans="1:16" x14ac:dyDescent="0.25">
      <c r="A1368" t="s">
        <v>669</v>
      </c>
      <c r="B1368">
        <v>3034.1</v>
      </c>
      <c r="C1368">
        <v>3034.1</v>
      </c>
      <c r="D1368" t="s">
        <v>867</v>
      </c>
      <c r="E1368" t="s">
        <v>910</v>
      </c>
      <c r="F1368" t="s">
        <v>910</v>
      </c>
      <c r="J1368">
        <v>3.0341</v>
      </c>
      <c r="K1368">
        <v>3.0341</v>
      </c>
      <c r="L1368" t="s">
        <v>303</v>
      </c>
      <c r="M1368">
        <v>3034.1</v>
      </c>
      <c r="N1368">
        <v>3034.1</v>
      </c>
      <c r="O1368" t="s">
        <v>862</v>
      </c>
      <c r="P1368">
        <f t="shared" si="21"/>
        <v>0</v>
      </c>
    </row>
    <row r="1369" spans="1:16" x14ac:dyDescent="0.25">
      <c r="A1369" t="s">
        <v>669</v>
      </c>
      <c r="B1369">
        <v>3036.1</v>
      </c>
      <c r="C1369">
        <v>3036.1</v>
      </c>
      <c r="D1369" t="s">
        <v>867</v>
      </c>
      <c r="E1369" t="s">
        <v>910</v>
      </c>
      <c r="F1369" t="s">
        <v>910</v>
      </c>
      <c r="J1369">
        <v>3.0360999999999998</v>
      </c>
      <c r="K1369">
        <v>3.0360999999999998</v>
      </c>
      <c r="L1369" t="s">
        <v>303</v>
      </c>
      <c r="M1369">
        <v>3036.1</v>
      </c>
      <c r="N1369">
        <v>3036.1</v>
      </c>
      <c r="O1369" t="s">
        <v>862</v>
      </c>
      <c r="P1369">
        <f t="shared" si="21"/>
        <v>0</v>
      </c>
    </row>
    <row r="1370" spans="1:16" x14ac:dyDescent="0.25">
      <c r="A1370" t="s">
        <v>669</v>
      </c>
      <c r="B1370">
        <v>3038.1</v>
      </c>
      <c r="C1370">
        <v>3038.1</v>
      </c>
      <c r="D1370" t="s">
        <v>867</v>
      </c>
      <c r="E1370" t="s">
        <v>910</v>
      </c>
      <c r="F1370" t="s">
        <v>910</v>
      </c>
      <c r="J1370">
        <v>3.0381</v>
      </c>
      <c r="K1370">
        <v>3.0381</v>
      </c>
      <c r="L1370" t="s">
        <v>303</v>
      </c>
      <c r="M1370">
        <v>3038.1</v>
      </c>
      <c r="N1370">
        <v>3038.1</v>
      </c>
      <c r="O1370" t="s">
        <v>862</v>
      </c>
      <c r="P1370">
        <f t="shared" si="21"/>
        <v>0</v>
      </c>
    </row>
    <row r="1371" spans="1:16" x14ac:dyDescent="0.25">
      <c r="A1371" t="s">
        <v>669</v>
      </c>
      <c r="B1371">
        <v>3040</v>
      </c>
      <c r="C1371">
        <v>3040</v>
      </c>
      <c r="D1371" t="s">
        <v>867</v>
      </c>
      <c r="E1371" t="s">
        <v>910</v>
      </c>
      <c r="F1371" t="s">
        <v>910</v>
      </c>
      <c r="J1371">
        <v>3.04</v>
      </c>
      <c r="K1371">
        <v>3.04</v>
      </c>
      <c r="L1371" t="s">
        <v>303</v>
      </c>
      <c r="M1371">
        <v>3040</v>
      </c>
      <c r="N1371">
        <v>3040</v>
      </c>
      <c r="O1371" t="s">
        <v>862</v>
      </c>
      <c r="P1371">
        <f t="shared" si="21"/>
        <v>0</v>
      </c>
    </row>
    <row r="1372" spans="1:16" x14ac:dyDescent="0.25">
      <c r="A1372" t="s">
        <v>669</v>
      </c>
      <c r="B1372">
        <v>3042.1</v>
      </c>
      <c r="C1372">
        <v>3042.1</v>
      </c>
      <c r="D1372" t="s">
        <v>867</v>
      </c>
      <c r="E1372" t="s">
        <v>910</v>
      </c>
      <c r="F1372" t="s">
        <v>910</v>
      </c>
      <c r="J1372">
        <v>3.0421</v>
      </c>
      <c r="K1372">
        <v>3.0421</v>
      </c>
      <c r="L1372" t="s">
        <v>303</v>
      </c>
      <c r="M1372">
        <v>3042.1</v>
      </c>
      <c r="N1372">
        <v>3042.1</v>
      </c>
      <c r="O1372" t="s">
        <v>862</v>
      </c>
      <c r="P1372">
        <f t="shared" si="21"/>
        <v>0</v>
      </c>
    </row>
    <row r="1373" spans="1:16" x14ac:dyDescent="0.25">
      <c r="A1373" t="s">
        <v>669</v>
      </c>
      <c r="B1373">
        <v>3044</v>
      </c>
      <c r="C1373">
        <v>3044</v>
      </c>
      <c r="D1373" t="s">
        <v>867</v>
      </c>
      <c r="E1373" t="s">
        <v>910</v>
      </c>
      <c r="F1373" t="s">
        <v>910</v>
      </c>
      <c r="J1373">
        <v>3.044</v>
      </c>
      <c r="K1373">
        <v>3.044</v>
      </c>
      <c r="L1373" t="s">
        <v>303</v>
      </c>
      <c r="M1373">
        <v>3044</v>
      </c>
      <c r="N1373">
        <v>3044</v>
      </c>
      <c r="O1373" t="s">
        <v>862</v>
      </c>
      <c r="P1373">
        <f t="shared" si="21"/>
        <v>0</v>
      </c>
    </row>
    <row r="1374" spans="1:16" x14ac:dyDescent="0.25">
      <c r="A1374" t="s">
        <v>669</v>
      </c>
      <c r="B1374">
        <v>3045.8</v>
      </c>
      <c r="C1374">
        <v>3045.8</v>
      </c>
      <c r="D1374" t="s">
        <v>867</v>
      </c>
      <c r="E1374" t="s">
        <v>910</v>
      </c>
      <c r="F1374" t="s">
        <v>910</v>
      </c>
      <c r="J1374">
        <v>3.0458000000000003</v>
      </c>
      <c r="K1374">
        <v>3.0458000000000003</v>
      </c>
      <c r="L1374" t="s">
        <v>303</v>
      </c>
      <c r="M1374">
        <v>3045.8</v>
      </c>
      <c r="N1374">
        <v>3045.8</v>
      </c>
      <c r="O1374" t="s">
        <v>862</v>
      </c>
      <c r="P1374">
        <f t="shared" si="21"/>
        <v>0</v>
      </c>
    </row>
    <row r="1375" spans="1:16" x14ac:dyDescent="0.25">
      <c r="A1375" t="s">
        <v>669</v>
      </c>
      <c r="B1375">
        <v>2.97</v>
      </c>
      <c r="C1375">
        <v>3.05</v>
      </c>
      <c r="D1375" t="s">
        <v>860</v>
      </c>
      <c r="E1375" t="s">
        <v>910</v>
      </c>
      <c r="F1375" t="s">
        <v>910</v>
      </c>
      <c r="J1375">
        <v>3.05</v>
      </c>
      <c r="K1375">
        <v>2.97</v>
      </c>
      <c r="L1375" t="s">
        <v>303</v>
      </c>
      <c r="M1375">
        <v>3.05</v>
      </c>
      <c r="N1375">
        <v>2.97</v>
      </c>
      <c r="O1375" t="s">
        <v>303</v>
      </c>
      <c r="P1375">
        <f t="shared" si="21"/>
        <v>0</v>
      </c>
    </row>
    <row r="1376" spans="1:16" x14ac:dyDescent="0.25">
      <c r="A1376" t="s">
        <v>669</v>
      </c>
      <c r="B1376">
        <v>3053.6</v>
      </c>
      <c r="C1376">
        <v>3053.6</v>
      </c>
      <c r="D1376" t="s">
        <v>867</v>
      </c>
      <c r="E1376" t="s">
        <v>910</v>
      </c>
      <c r="F1376" t="s">
        <v>910</v>
      </c>
      <c r="J1376">
        <v>3.0535999999999999</v>
      </c>
      <c r="K1376">
        <v>3.0535999999999999</v>
      </c>
      <c r="L1376" t="s">
        <v>303</v>
      </c>
      <c r="M1376">
        <v>3053.6</v>
      </c>
      <c r="N1376">
        <v>3053.6</v>
      </c>
      <c r="O1376" t="s">
        <v>862</v>
      </c>
      <c r="P1376">
        <f t="shared" si="21"/>
        <v>0</v>
      </c>
    </row>
    <row r="1377" spans="1:16" x14ac:dyDescent="0.25">
      <c r="A1377" t="s">
        <v>669</v>
      </c>
      <c r="B1377">
        <v>3053.8</v>
      </c>
      <c r="C1377">
        <v>3053.8</v>
      </c>
      <c r="D1377" t="s">
        <v>867</v>
      </c>
      <c r="E1377" t="s">
        <v>910</v>
      </c>
      <c r="F1377" t="s">
        <v>910</v>
      </c>
      <c r="J1377">
        <v>3.0538000000000003</v>
      </c>
      <c r="K1377">
        <v>3.0538000000000003</v>
      </c>
      <c r="L1377" t="s">
        <v>303</v>
      </c>
      <c r="M1377">
        <v>3053.8</v>
      </c>
      <c r="N1377">
        <v>3053.8</v>
      </c>
      <c r="O1377" t="s">
        <v>862</v>
      </c>
      <c r="P1377">
        <f t="shared" si="21"/>
        <v>0</v>
      </c>
    </row>
    <row r="1378" spans="1:16" x14ac:dyDescent="0.25">
      <c r="A1378" t="s">
        <v>669</v>
      </c>
      <c r="B1378">
        <v>3054</v>
      </c>
      <c r="C1378">
        <v>3054</v>
      </c>
      <c r="D1378" t="s">
        <v>867</v>
      </c>
      <c r="E1378" t="s">
        <v>910</v>
      </c>
      <c r="F1378" t="s">
        <v>910</v>
      </c>
      <c r="J1378">
        <v>3.0539999999999998</v>
      </c>
      <c r="K1378">
        <v>3.0539999999999998</v>
      </c>
      <c r="L1378" t="s">
        <v>303</v>
      </c>
      <c r="M1378">
        <v>3054</v>
      </c>
      <c r="N1378">
        <v>3054</v>
      </c>
      <c r="O1378" t="s">
        <v>862</v>
      </c>
      <c r="P1378">
        <f t="shared" si="21"/>
        <v>0</v>
      </c>
    </row>
    <row r="1379" spans="1:16" x14ac:dyDescent="0.25">
      <c r="A1379" t="s">
        <v>669</v>
      </c>
      <c r="B1379">
        <v>3056.1</v>
      </c>
      <c r="C1379">
        <v>3056.1</v>
      </c>
      <c r="D1379" t="s">
        <v>867</v>
      </c>
      <c r="E1379" t="s">
        <v>910</v>
      </c>
      <c r="F1379" t="s">
        <v>910</v>
      </c>
      <c r="J1379">
        <v>3.0560999999999998</v>
      </c>
      <c r="K1379">
        <v>3.0560999999999998</v>
      </c>
      <c r="L1379" t="s">
        <v>303</v>
      </c>
      <c r="M1379">
        <v>3056.1</v>
      </c>
      <c r="N1379">
        <v>3056.1</v>
      </c>
      <c r="O1379" t="s">
        <v>862</v>
      </c>
      <c r="P1379">
        <f t="shared" si="21"/>
        <v>0</v>
      </c>
    </row>
    <row r="1380" spans="1:16" x14ac:dyDescent="0.25">
      <c r="A1380" t="s">
        <v>669</v>
      </c>
      <c r="B1380">
        <v>3058.1</v>
      </c>
      <c r="C1380">
        <v>3058.1</v>
      </c>
      <c r="D1380" t="s">
        <v>867</v>
      </c>
      <c r="E1380" t="s">
        <v>910</v>
      </c>
      <c r="F1380" t="s">
        <v>910</v>
      </c>
      <c r="J1380">
        <v>3.0581</v>
      </c>
      <c r="K1380">
        <v>3.0581</v>
      </c>
      <c r="L1380" t="s">
        <v>303</v>
      </c>
      <c r="M1380">
        <v>3058.1</v>
      </c>
      <c r="N1380">
        <v>3058.1</v>
      </c>
      <c r="O1380" t="s">
        <v>862</v>
      </c>
      <c r="P1380">
        <f t="shared" si="21"/>
        <v>0</v>
      </c>
    </row>
    <row r="1381" spans="1:16" x14ac:dyDescent="0.25">
      <c r="A1381" t="s">
        <v>669</v>
      </c>
      <c r="B1381">
        <v>2.84</v>
      </c>
      <c r="C1381">
        <v>3.06</v>
      </c>
      <c r="D1381" t="s">
        <v>303</v>
      </c>
      <c r="E1381" t="s">
        <v>910</v>
      </c>
      <c r="F1381" t="s">
        <v>910</v>
      </c>
      <c r="J1381">
        <v>3.06</v>
      </c>
      <c r="K1381">
        <v>2.84</v>
      </c>
      <c r="L1381" t="s">
        <v>303</v>
      </c>
      <c r="M1381">
        <v>3.06</v>
      </c>
      <c r="N1381">
        <v>2.84</v>
      </c>
      <c r="O1381" t="s">
        <v>303</v>
      </c>
      <c r="P1381">
        <f t="shared" si="21"/>
        <v>0</v>
      </c>
    </row>
    <row r="1382" spans="1:16" x14ac:dyDescent="0.25">
      <c r="A1382" t="s">
        <v>669</v>
      </c>
      <c r="B1382">
        <v>3060.1</v>
      </c>
      <c r="C1382">
        <v>3060.1</v>
      </c>
      <c r="D1382" t="s">
        <v>867</v>
      </c>
      <c r="E1382" t="s">
        <v>910</v>
      </c>
      <c r="F1382" t="s">
        <v>910</v>
      </c>
      <c r="J1382">
        <v>3.0600999999999998</v>
      </c>
      <c r="K1382">
        <v>3.0600999999999998</v>
      </c>
      <c r="L1382" t="s">
        <v>303</v>
      </c>
      <c r="M1382">
        <v>3060.1</v>
      </c>
      <c r="N1382">
        <v>3060.1</v>
      </c>
      <c r="O1382" t="s">
        <v>862</v>
      </c>
      <c r="P1382">
        <f t="shared" si="21"/>
        <v>0</v>
      </c>
    </row>
    <row r="1383" spans="1:16" x14ac:dyDescent="0.25">
      <c r="A1383" t="s">
        <v>669</v>
      </c>
      <c r="B1383">
        <v>3062.1</v>
      </c>
      <c r="C1383">
        <v>3062.1</v>
      </c>
      <c r="D1383" t="s">
        <v>867</v>
      </c>
      <c r="E1383" t="s">
        <v>910</v>
      </c>
      <c r="F1383" t="s">
        <v>910</v>
      </c>
      <c r="J1383">
        <v>3.0621</v>
      </c>
      <c r="K1383">
        <v>3.0621</v>
      </c>
      <c r="L1383" t="s">
        <v>303</v>
      </c>
      <c r="M1383">
        <v>3062.1</v>
      </c>
      <c r="N1383">
        <v>3062.1</v>
      </c>
      <c r="O1383" t="s">
        <v>862</v>
      </c>
      <c r="P1383">
        <f t="shared" si="21"/>
        <v>0</v>
      </c>
    </row>
    <row r="1384" spans="1:16" x14ac:dyDescent="0.25">
      <c r="A1384" t="s">
        <v>669</v>
      </c>
      <c r="B1384">
        <v>3.07</v>
      </c>
      <c r="C1384">
        <v>3.07</v>
      </c>
      <c r="D1384" t="s">
        <v>303</v>
      </c>
      <c r="E1384" t="s">
        <v>910</v>
      </c>
      <c r="F1384" t="s">
        <v>910</v>
      </c>
      <c r="J1384">
        <v>3.07</v>
      </c>
      <c r="K1384">
        <v>3.07</v>
      </c>
      <c r="L1384" t="s">
        <v>303</v>
      </c>
      <c r="M1384">
        <v>3.07</v>
      </c>
      <c r="N1384">
        <v>3.07</v>
      </c>
      <c r="O1384" t="s">
        <v>303</v>
      </c>
      <c r="P1384">
        <f t="shared" si="21"/>
        <v>0</v>
      </c>
    </row>
    <row r="1385" spans="1:16" x14ac:dyDescent="0.25">
      <c r="A1385" t="s">
        <v>669</v>
      </c>
      <c r="B1385">
        <v>3081.9</v>
      </c>
      <c r="C1385">
        <v>3081.9</v>
      </c>
      <c r="D1385" t="s">
        <v>867</v>
      </c>
      <c r="E1385" t="s">
        <v>910</v>
      </c>
      <c r="F1385" t="s">
        <v>910</v>
      </c>
      <c r="J1385">
        <v>3.0819000000000001</v>
      </c>
      <c r="K1385">
        <v>3.0819000000000001</v>
      </c>
      <c r="L1385" t="s">
        <v>303</v>
      </c>
      <c r="M1385">
        <v>3081.9</v>
      </c>
      <c r="N1385">
        <v>3081.9</v>
      </c>
      <c r="O1385" t="s">
        <v>862</v>
      </c>
      <c r="P1385">
        <f t="shared" si="21"/>
        <v>0</v>
      </c>
    </row>
    <row r="1386" spans="1:16" x14ac:dyDescent="0.25">
      <c r="A1386" t="s">
        <v>669</v>
      </c>
      <c r="B1386">
        <v>3.0819999999999999</v>
      </c>
      <c r="C1386">
        <v>3.0819999999999999</v>
      </c>
      <c r="D1386" t="s">
        <v>303</v>
      </c>
      <c r="E1386" t="s">
        <v>910</v>
      </c>
      <c r="F1386" t="s">
        <v>910</v>
      </c>
      <c r="J1386">
        <v>3.0819999999999999</v>
      </c>
      <c r="K1386">
        <v>3.0819999999999999</v>
      </c>
      <c r="L1386" t="s">
        <v>303</v>
      </c>
      <c r="M1386">
        <v>3.0819999999999999</v>
      </c>
      <c r="N1386">
        <v>3.0819999999999999</v>
      </c>
      <c r="O1386" t="s">
        <v>303</v>
      </c>
      <c r="P1386">
        <f t="shared" si="21"/>
        <v>0</v>
      </c>
    </row>
    <row r="1387" spans="1:16" x14ac:dyDescent="0.25">
      <c r="A1387" t="s">
        <v>669</v>
      </c>
      <c r="B1387">
        <v>3082.1</v>
      </c>
      <c r="C1387">
        <v>3082.1</v>
      </c>
      <c r="D1387" t="s">
        <v>867</v>
      </c>
      <c r="E1387" t="s">
        <v>910</v>
      </c>
      <c r="F1387" t="s">
        <v>910</v>
      </c>
      <c r="J1387">
        <v>3.0821000000000001</v>
      </c>
      <c r="K1387">
        <v>3.0821000000000001</v>
      </c>
      <c r="L1387" t="s">
        <v>303</v>
      </c>
      <c r="M1387">
        <v>3082.1</v>
      </c>
      <c r="N1387">
        <v>3082.1</v>
      </c>
      <c r="O1387" t="s">
        <v>862</v>
      </c>
      <c r="P1387">
        <f t="shared" si="21"/>
        <v>0</v>
      </c>
    </row>
    <row r="1388" spans="1:16" x14ac:dyDescent="0.25">
      <c r="A1388" t="s">
        <v>669</v>
      </c>
      <c r="B1388">
        <v>3084.1</v>
      </c>
      <c r="C1388">
        <v>3084.1</v>
      </c>
      <c r="D1388" t="s">
        <v>867</v>
      </c>
      <c r="E1388" t="s">
        <v>910</v>
      </c>
      <c r="F1388" t="s">
        <v>910</v>
      </c>
      <c r="J1388">
        <v>3.0840999999999998</v>
      </c>
      <c r="K1388">
        <v>3.0840999999999998</v>
      </c>
      <c r="L1388" t="s">
        <v>303</v>
      </c>
      <c r="M1388">
        <v>3084.1</v>
      </c>
      <c r="N1388">
        <v>3084.1</v>
      </c>
      <c r="O1388" t="s">
        <v>862</v>
      </c>
      <c r="P1388">
        <f t="shared" si="21"/>
        <v>0</v>
      </c>
    </row>
    <row r="1389" spans="1:16" x14ac:dyDescent="0.25">
      <c r="A1389" t="s">
        <v>669</v>
      </c>
      <c r="B1389">
        <v>3086.1</v>
      </c>
      <c r="C1389">
        <v>3086.1</v>
      </c>
      <c r="D1389" t="s">
        <v>867</v>
      </c>
      <c r="E1389" t="s">
        <v>910</v>
      </c>
      <c r="F1389" t="s">
        <v>910</v>
      </c>
      <c r="J1389">
        <v>3.0861000000000001</v>
      </c>
      <c r="K1389">
        <v>3.0861000000000001</v>
      </c>
      <c r="L1389" t="s">
        <v>303</v>
      </c>
      <c r="M1389">
        <v>3086.1</v>
      </c>
      <c r="N1389">
        <v>3086.1</v>
      </c>
      <c r="O1389" t="s">
        <v>862</v>
      </c>
      <c r="P1389">
        <f t="shared" si="21"/>
        <v>0</v>
      </c>
    </row>
    <row r="1390" spans="1:16" x14ac:dyDescent="0.25">
      <c r="A1390" t="s">
        <v>669</v>
      </c>
      <c r="B1390">
        <v>3088.4</v>
      </c>
      <c r="C1390">
        <v>3088.4</v>
      </c>
      <c r="D1390" t="s">
        <v>867</v>
      </c>
      <c r="E1390" t="s">
        <v>910</v>
      </c>
      <c r="F1390" t="s">
        <v>910</v>
      </c>
      <c r="J1390">
        <v>3.0884</v>
      </c>
      <c r="K1390">
        <v>3.0884</v>
      </c>
      <c r="L1390" t="s">
        <v>303</v>
      </c>
      <c r="M1390">
        <v>3088.4</v>
      </c>
      <c r="N1390">
        <v>3088.4</v>
      </c>
      <c r="O1390" t="s">
        <v>862</v>
      </c>
      <c r="P1390">
        <f t="shared" si="21"/>
        <v>0</v>
      </c>
    </row>
    <row r="1391" spans="1:16" x14ac:dyDescent="0.25">
      <c r="A1391" t="s">
        <v>669</v>
      </c>
      <c r="B1391">
        <v>3090.3</v>
      </c>
      <c r="C1391">
        <v>3090.3</v>
      </c>
      <c r="D1391" t="s">
        <v>867</v>
      </c>
      <c r="E1391" t="s">
        <v>910</v>
      </c>
      <c r="F1391" t="s">
        <v>910</v>
      </c>
      <c r="J1391">
        <v>3.0903</v>
      </c>
      <c r="K1391">
        <v>3.0903</v>
      </c>
      <c r="L1391" t="s">
        <v>303</v>
      </c>
      <c r="M1391">
        <v>3090.3</v>
      </c>
      <c r="N1391">
        <v>3090.3</v>
      </c>
      <c r="O1391" t="s">
        <v>862</v>
      </c>
      <c r="P1391">
        <f t="shared" si="21"/>
        <v>0</v>
      </c>
    </row>
    <row r="1392" spans="1:16" x14ac:dyDescent="0.25">
      <c r="A1392" t="s">
        <v>669</v>
      </c>
      <c r="B1392">
        <v>3092.2</v>
      </c>
      <c r="C1392">
        <v>3092.2</v>
      </c>
      <c r="D1392" t="s">
        <v>867</v>
      </c>
      <c r="E1392" t="s">
        <v>910</v>
      </c>
      <c r="F1392" t="s">
        <v>910</v>
      </c>
      <c r="J1392">
        <v>3.0921999999999996</v>
      </c>
      <c r="K1392">
        <v>3.0921999999999996</v>
      </c>
      <c r="L1392" t="s">
        <v>303</v>
      </c>
      <c r="M1392">
        <v>3092.2</v>
      </c>
      <c r="N1392">
        <v>3092.2</v>
      </c>
      <c r="O1392" t="s">
        <v>862</v>
      </c>
      <c r="P1392">
        <f t="shared" si="21"/>
        <v>0</v>
      </c>
    </row>
    <row r="1393" spans="1:16" x14ac:dyDescent="0.25">
      <c r="A1393" t="s">
        <v>669</v>
      </c>
      <c r="B1393">
        <v>96</v>
      </c>
      <c r="C1393" t="s">
        <v>669</v>
      </c>
      <c r="D1393" t="s">
        <v>857</v>
      </c>
      <c r="E1393" t="s">
        <v>910</v>
      </c>
      <c r="F1393">
        <v>5</v>
      </c>
      <c r="H1393" t="s">
        <v>684</v>
      </c>
      <c r="I1393" t="s">
        <v>932</v>
      </c>
      <c r="K1393">
        <v>96</v>
      </c>
      <c r="L1393" t="s">
        <v>920</v>
      </c>
      <c r="N1393">
        <v>96</v>
      </c>
      <c r="O1393" t="s">
        <v>857</v>
      </c>
      <c r="P1393">
        <f t="shared" si="21"/>
        <v>27</v>
      </c>
    </row>
    <row r="1394" spans="1:16" x14ac:dyDescent="0.25">
      <c r="A1394" t="s">
        <v>669</v>
      </c>
      <c r="B1394">
        <v>3093.5</v>
      </c>
      <c r="C1394">
        <v>3093.5</v>
      </c>
      <c r="D1394" t="s">
        <v>867</v>
      </c>
      <c r="E1394" t="s">
        <v>910</v>
      </c>
      <c r="F1394" t="s">
        <v>910</v>
      </c>
      <c r="J1394">
        <v>3.0935000000000001</v>
      </c>
      <c r="K1394">
        <v>3.0935000000000001</v>
      </c>
      <c r="L1394" t="s">
        <v>303</v>
      </c>
      <c r="M1394">
        <v>3093.5</v>
      </c>
      <c r="N1394">
        <v>3093.5</v>
      </c>
      <c r="O1394" t="s">
        <v>862</v>
      </c>
      <c r="P1394">
        <f t="shared" si="21"/>
        <v>0</v>
      </c>
    </row>
    <row r="1395" spans="1:16" x14ac:dyDescent="0.25">
      <c r="A1395" t="s">
        <v>669</v>
      </c>
      <c r="B1395">
        <v>3095.1</v>
      </c>
      <c r="C1395">
        <v>3095.1</v>
      </c>
      <c r="D1395" t="s">
        <v>867</v>
      </c>
      <c r="E1395" t="s">
        <v>910</v>
      </c>
      <c r="F1395" t="s">
        <v>910</v>
      </c>
      <c r="J1395">
        <v>3.0951</v>
      </c>
      <c r="K1395">
        <v>3.0951</v>
      </c>
      <c r="L1395" t="s">
        <v>303</v>
      </c>
      <c r="M1395">
        <v>3095.1</v>
      </c>
      <c r="N1395">
        <v>3095.1</v>
      </c>
      <c r="O1395" t="s">
        <v>862</v>
      </c>
      <c r="P1395">
        <f t="shared" si="21"/>
        <v>0</v>
      </c>
    </row>
    <row r="1396" spans="1:16" x14ac:dyDescent="0.25">
      <c r="A1396" t="s">
        <v>669</v>
      </c>
      <c r="B1396">
        <v>3096.8</v>
      </c>
      <c r="C1396">
        <v>3096.8</v>
      </c>
      <c r="D1396" t="s">
        <v>867</v>
      </c>
      <c r="E1396" t="s">
        <v>910</v>
      </c>
      <c r="F1396" t="s">
        <v>910</v>
      </c>
      <c r="J1396">
        <v>3.0968</v>
      </c>
      <c r="K1396">
        <v>3.0968</v>
      </c>
      <c r="L1396" t="s">
        <v>303</v>
      </c>
      <c r="M1396">
        <v>3096.8</v>
      </c>
      <c r="N1396">
        <v>3096.8</v>
      </c>
      <c r="O1396" t="s">
        <v>862</v>
      </c>
      <c r="P1396">
        <f t="shared" si="21"/>
        <v>0</v>
      </c>
    </row>
    <row r="1397" spans="1:16" x14ac:dyDescent="0.25">
      <c r="A1397" t="s">
        <v>669</v>
      </c>
      <c r="B1397">
        <v>3098.5</v>
      </c>
      <c r="C1397">
        <v>3098.5</v>
      </c>
      <c r="D1397" t="s">
        <v>867</v>
      </c>
      <c r="E1397" t="s">
        <v>910</v>
      </c>
      <c r="F1397" t="s">
        <v>910</v>
      </c>
      <c r="J1397">
        <v>3.0985</v>
      </c>
      <c r="K1397">
        <v>3.0985</v>
      </c>
      <c r="L1397" t="s">
        <v>303</v>
      </c>
      <c r="M1397">
        <v>3098.5</v>
      </c>
      <c r="N1397">
        <v>3098.5</v>
      </c>
      <c r="O1397" t="s">
        <v>862</v>
      </c>
      <c r="P1397">
        <f t="shared" si="21"/>
        <v>0</v>
      </c>
    </row>
    <row r="1398" spans="1:16" x14ac:dyDescent="0.25">
      <c r="A1398">
        <v>2</v>
      </c>
      <c r="B1398">
        <v>1.3</v>
      </c>
      <c r="C1398">
        <v>3.1</v>
      </c>
      <c r="D1398" t="s">
        <v>303</v>
      </c>
      <c r="E1398" t="s">
        <v>910</v>
      </c>
      <c r="F1398" t="s">
        <v>910</v>
      </c>
      <c r="J1398">
        <v>3.1</v>
      </c>
      <c r="K1398">
        <v>1.3</v>
      </c>
      <c r="L1398" t="s">
        <v>303</v>
      </c>
      <c r="M1398">
        <v>3.1</v>
      </c>
      <c r="N1398">
        <v>1.3</v>
      </c>
      <c r="O1398" t="s">
        <v>303</v>
      </c>
      <c r="P1398">
        <f t="shared" si="21"/>
        <v>0</v>
      </c>
    </row>
    <row r="1399" spans="1:16" x14ac:dyDescent="0.25">
      <c r="A1399" t="s">
        <v>669</v>
      </c>
      <c r="B1399">
        <v>2.8</v>
      </c>
      <c r="C1399">
        <v>3.1</v>
      </c>
      <c r="D1399" t="s">
        <v>860</v>
      </c>
      <c r="E1399" t="s">
        <v>910</v>
      </c>
      <c r="F1399" t="s">
        <v>910</v>
      </c>
      <c r="J1399">
        <v>3.1</v>
      </c>
      <c r="K1399">
        <v>2.8</v>
      </c>
      <c r="L1399" t="s">
        <v>303</v>
      </c>
      <c r="M1399">
        <v>3.1</v>
      </c>
      <c r="N1399">
        <v>2.8</v>
      </c>
      <c r="O1399" t="s">
        <v>303</v>
      </c>
      <c r="P1399">
        <f t="shared" si="21"/>
        <v>0</v>
      </c>
    </row>
    <row r="1400" spans="1:16" x14ac:dyDescent="0.25">
      <c r="A1400" t="s">
        <v>669</v>
      </c>
      <c r="B1400">
        <v>3.1</v>
      </c>
      <c r="C1400">
        <v>3.1</v>
      </c>
      <c r="D1400" t="s">
        <v>303</v>
      </c>
      <c r="E1400" t="s">
        <v>910</v>
      </c>
      <c r="F1400" t="s">
        <v>910</v>
      </c>
      <c r="J1400">
        <v>3.1</v>
      </c>
      <c r="K1400">
        <v>3.1</v>
      </c>
      <c r="L1400" t="s">
        <v>303</v>
      </c>
      <c r="M1400">
        <v>3.1</v>
      </c>
      <c r="N1400">
        <v>3.1</v>
      </c>
      <c r="O1400" t="s">
        <v>303</v>
      </c>
      <c r="P1400">
        <f t="shared" si="21"/>
        <v>0</v>
      </c>
    </row>
    <row r="1401" spans="1:16" x14ac:dyDescent="0.25">
      <c r="A1401" t="s">
        <v>669</v>
      </c>
      <c r="B1401">
        <v>3100.2</v>
      </c>
      <c r="C1401">
        <v>3100.2</v>
      </c>
      <c r="D1401" t="s">
        <v>867</v>
      </c>
      <c r="E1401" t="s">
        <v>910</v>
      </c>
      <c r="F1401" t="s">
        <v>910</v>
      </c>
      <c r="J1401">
        <v>3.1001999999999996</v>
      </c>
      <c r="K1401">
        <v>3.1001999999999996</v>
      </c>
      <c r="L1401" t="s">
        <v>303</v>
      </c>
      <c r="M1401">
        <v>3100.2</v>
      </c>
      <c r="N1401">
        <v>3100.2</v>
      </c>
      <c r="O1401" t="s">
        <v>862</v>
      </c>
      <c r="P1401">
        <f t="shared" si="21"/>
        <v>0</v>
      </c>
    </row>
    <row r="1402" spans="1:16" x14ac:dyDescent="0.25">
      <c r="A1402" t="s">
        <v>669</v>
      </c>
      <c r="B1402">
        <v>3101.9</v>
      </c>
      <c r="C1402">
        <v>3101.9</v>
      </c>
      <c r="D1402" t="s">
        <v>867</v>
      </c>
      <c r="E1402" t="s">
        <v>910</v>
      </c>
      <c r="F1402" t="s">
        <v>910</v>
      </c>
      <c r="J1402">
        <v>3.1019000000000001</v>
      </c>
      <c r="K1402">
        <v>3.1019000000000001</v>
      </c>
      <c r="L1402" t="s">
        <v>303</v>
      </c>
      <c r="M1402">
        <v>3101.9</v>
      </c>
      <c r="N1402">
        <v>3101.9</v>
      </c>
      <c r="O1402" t="s">
        <v>862</v>
      </c>
      <c r="P1402">
        <f t="shared" si="21"/>
        <v>0</v>
      </c>
    </row>
    <row r="1403" spans="1:16" x14ac:dyDescent="0.25">
      <c r="A1403" t="s">
        <v>669</v>
      </c>
      <c r="B1403">
        <v>3103.6</v>
      </c>
      <c r="C1403">
        <v>3103.6</v>
      </c>
      <c r="D1403" t="s">
        <v>867</v>
      </c>
      <c r="E1403" t="s">
        <v>910</v>
      </c>
      <c r="F1403" t="s">
        <v>910</v>
      </c>
      <c r="J1403">
        <v>3.1035999999999997</v>
      </c>
      <c r="K1403">
        <v>3.1035999999999997</v>
      </c>
      <c r="L1403" t="s">
        <v>303</v>
      </c>
      <c r="M1403">
        <v>3103.6</v>
      </c>
      <c r="N1403">
        <v>3103.6</v>
      </c>
      <c r="O1403" t="s">
        <v>862</v>
      </c>
      <c r="P1403">
        <f t="shared" si="21"/>
        <v>0</v>
      </c>
    </row>
    <row r="1404" spans="1:16" x14ac:dyDescent="0.25">
      <c r="A1404" t="s">
        <v>669</v>
      </c>
      <c r="B1404">
        <v>3105.3</v>
      </c>
      <c r="C1404">
        <v>3105.3</v>
      </c>
      <c r="D1404" t="s">
        <v>867</v>
      </c>
      <c r="E1404" t="s">
        <v>910</v>
      </c>
      <c r="F1404" t="s">
        <v>910</v>
      </c>
      <c r="J1404">
        <v>3.1053000000000002</v>
      </c>
      <c r="K1404">
        <v>3.1053000000000002</v>
      </c>
      <c r="L1404" t="s">
        <v>303</v>
      </c>
      <c r="M1404">
        <v>3105.3</v>
      </c>
      <c r="N1404">
        <v>3105.3</v>
      </c>
      <c r="O1404" t="s">
        <v>862</v>
      </c>
      <c r="P1404">
        <f t="shared" si="21"/>
        <v>0</v>
      </c>
    </row>
    <row r="1405" spans="1:16" x14ac:dyDescent="0.25">
      <c r="A1405" t="s">
        <v>669</v>
      </c>
      <c r="B1405">
        <v>3107</v>
      </c>
      <c r="C1405">
        <v>3107</v>
      </c>
      <c r="D1405" t="s">
        <v>867</v>
      </c>
      <c r="E1405" t="s">
        <v>910</v>
      </c>
      <c r="F1405" t="s">
        <v>910</v>
      </c>
      <c r="J1405">
        <v>3.1070000000000002</v>
      </c>
      <c r="K1405">
        <v>3.1070000000000002</v>
      </c>
      <c r="L1405" t="s">
        <v>303</v>
      </c>
      <c r="M1405">
        <v>3107</v>
      </c>
      <c r="N1405">
        <v>3107</v>
      </c>
      <c r="O1405" t="s">
        <v>862</v>
      </c>
      <c r="P1405">
        <f t="shared" si="21"/>
        <v>0</v>
      </c>
    </row>
    <row r="1406" spans="1:16" x14ac:dyDescent="0.25">
      <c r="A1406" t="s">
        <v>669</v>
      </c>
      <c r="B1406">
        <v>3108.7</v>
      </c>
      <c r="C1406">
        <v>3108.7</v>
      </c>
      <c r="D1406" t="s">
        <v>867</v>
      </c>
      <c r="E1406" t="s">
        <v>910</v>
      </c>
      <c r="F1406" t="s">
        <v>910</v>
      </c>
      <c r="J1406">
        <v>3.1086999999999998</v>
      </c>
      <c r="K1406">
        <v>3.1086999999999998</v>
      </c>
      <c r="L1406" t="s">
        <v>303</v>
      </c>
      <c r="M1406">
        <v>3108.7</v>
      </c>
      <c r="N1406">
        <v>3108.7</v>
      </c>
      <c r="O1406" t="s">
        <v>862</v>
      </c>
      <c r="P1406">
        <f t="shared" si="21"/>
        <v>0</v>
      </c>
    </row>
    <row r="1407" spans="1:16" x14ac:dyDescent="0.25">
      <c r="A1407" t="s">
        <v>669</v>
      </c>
      <c r="B1407">
        <v>3110.3</v>
      </c>
      <c r="C1407">
        <v>3110.3</v>
      </c>
      <c r="D1407" t="s">
        <v>867</v>
      </c>
      <c r="E1407" t="s">
        <v>910</v>
      </c>
      <c r="F1407" t="s">
        <v>910</v>
      </c>
      <c r="J1407">
        <v>3.1103000000000001</v>
      </c>
      <c r="K1407">
        <v>3.1103000000000001</v>
      </c>
      <c r="L1407" t="s">
        <v>303</v>
      </c>
      <c r="M1407">
        <v>3110.3</v>
      </c>
      <c r="N1407">
        <v>3110.3</v>
      </c>
      <c r="O1407" t="s">
        <v>862</v>
      </c>
      <c r="P1407">
        <f t="shared" si="21"/>
        <v>0</v>
      </c>
    </row>
    <row r="1408" spans="1:16" x14ac:dyDescent="0.25">
      <c r="A1408" t="s">
        <v>669</v>
      </c>
      <c r="B1408">
        <v>3.1120000000000001</v>
      </c>
      <c r="C1408">
        <v>3.1120000000000001</v>
      </c>
      <c r="D1408" t="s">
        <v>303</v>
      </c>
      <c r="E1408" t="s">
        <v>910</v>
      </c>
      <c r="F1408" t="s">
        <v>910</v>
      </c>
      <c r="J1408">
        <v>3.1120000000000001</v>
      </c>
      <c r="K1408">
        <v>3.1120000000000001</v>
      </c>
      <c r="L1408" t="s">
        <v>303</v>
      </c>
      <c r="M1408">
        <v>3.1120000000000001</v>
      </c>
      <c r="N1408">
        <v>3.1120000000000001</v>
      </c>
      <c r="O1408" t="s">
        <v>303</v>
      </c>
      <c r="P1408">
        <f t="shared" si="21"/>
        <v>0</v>
      </c>
    </row>
    <row r="1409" spans="1:16" x14ac:dyDescent="0.25">
      <c r="A1409" t="s">
        <v>669</v>
      </c>
      <c r="B1409">
        <v>3112</v>
      </c>
      <c r="C1409">
        <v>3112</v>
      </c>
      <c r="D1409" t="s">
        <v>867</v>
      </c>
      <c r="E1409" t="s">
        <v>910</v>
      </c>
      <c r="F1409" t="s">
        <v>910</v>
      </c>
      <c r="J1409">
        <v>3.1120000000000001</v>
      </c>
      <c r="K1409">
        <v>3.1120000000000001</v>
      </c>
      <c r="L1409" t="s">
        <v>303</v>
      </c>
      <c r="M1409">
        <v>3112</v>
      </c>
      <c r="N1409">
        <v>3112</v>
      </c>
      <c r="O1409" t="s">
        <v>862</v>
      </c>
      <c r="P1409">
        <f t="shared" si="21"/>
        <v>0</v>
      </c>
    </row>
    <row r="1410" spans="1:16" x14ac:dyDescent="0.25">
      <c r="A1410" t="s">
        <v>669</v>
      </c>
      <c r="B1410">
        <v>3114.2</v>
      </c>
      <c r="C1410">
        <v>3114.2</v>
      </c>
      <c r="D1410" t="s">
        <v>867</v>
      </c>
      <c r="E1410" t="s">
        <v>910</v>
      </c>
      <c r="F1410" t="s">
        <v>910</v>
      </c>
      <c r="J1410">
        <v>3.1141999999999999</v>
      </c>
      <c r="K1410">
        <v>3.1141999999999999</v>
      </c>
      <c r="L1410" t="s">
        <v>303</v>
      </c>
      <c r="M1410">
        <v>3114.2</v>
      </c>
      <c r="N1410">
        <v>3114.2</v>
      </c>
      <c r="O1410" t="s">
        <v>862</v>
      </c>
      <c r="P1410">
        <f t="shared" si="21"/>
        <v>0</v>
      </c>
    </row>
    <row r="1411" spans="1:16" x14ac:dyDescent="0.25">
      <c r="A1411" t="s">
        <v>669</v>
      </c>
      <c r="B1411">
        <v>3115.7</v>
      </c>
      <c r="C1411">
        <v>3115.7</v>
      </c>
      <c r="D1411" t="s">
        <v>867</v>
      </c>
      <c r="E1411" t="s">
        <v>910</v>
      </c>
      <c r="F1411" t="s">
        <v>910</v>
      </c>
      <c r="J1411">
        <v>3.1156999999999999</v>
      </c>
      <c r="K1411">
        <v>3.1156999999999999</v>
      </c>
      <c r="L1411" t="s">
        <v>303</v>
      </c>
      <c r="M1411">
        <v>3115.7</v>
      </c>
      <c r="N1411">
        <v>3115.7</v>
      </c>
      <c r="O1411" t="s">
        <v>862</v>
      </c>
      <c r="P1411">
        <f t="shared" ref="P1411:P1474" si="22">LEN(I1411)</f>
        <v>0</v>
      </c>
    </row>
    <row r="1412" spans="1:16" x14ac:dyDescent="0.25">
      <c r="A1412" t="s">
        <v>669</v>
      </c>
      <c r="B1412">
        <v>3116.4</v>
      </c>
      <c r="C1412">
        <v>3116.4</v>
      </c>
      <c r="D1412" t="s">
        <v>867</v>
      </c>
      <c r="E1412" t="s">
        <v>910</v>
      </c>
      <c r="F1412" t="s">
        <v>910</v>
      </c>
      <c r="J1412">
        <v>3.1164000000000001</v>
      </c>
      <c r="K1412">
        <v>3.1164000000000001</v>
      </c>
      <c r="L1412" t="s">
        <v>303</v>
      </c>
      <c r="M1412">
        <v>3116.4</v>
      </c>
      <c r="N1412">
        <v>3116.4</v>
      </c>
      <c r="O1412" t="s">
        <v>862</v>
      </c>
      <c r="P1412">
        <f t="shared" si="22"/>
        <v>0</v>
      </c>
    </row>
    <row r="1413" spans="1:16" x14ac:dyDescent="0.25">
      <c r="A1413" t="s">
        <v>669</v>
      </c>
      <c r="B1413">
        <v>3117.9</v>
      </c>
      <c r="C1413">
        <v>3117.9</v>
      </c>
      <c r="D1413" t="s">
        <v>867</v>
      </c>
      <c r="E1413" t="s">
        <v>910</v>
      </c>
      <c r="F1413" t="s">
        <v>910</v>
      </c>
      <c r="J1413">
        <v>3.1179000000000001</v>
      </c>
      <c r="K1413">
        <v>3.1179000000000001</v>
      </c>
      <c r="L1413" t="s">
        <v>303</v>
      </c>
      <c r="M1413">
        <v>3117.9</v>
      </c>
      <c r="N1413">
        <v>3117.9</v>
      </c>
      <c r="O1413" t="s">
        <v>862</v>
      </c>
      <c r="P1413">
        <f t="shared" si="22"/>
        <v>0</v>
      </c>
    </row>
    <row r="1414" spans="1:16" x14ac:dyDescent="0.25">
      <c r="A1414" t="s">
        <v>669</v>
      </c>
      <c r="B1414">
        <v>3118.6</v>
      </c>
      <c r="C1414">
        <v>3118.6</v>
      </c>
      <c r="D1414" t="s">
        <v>867</v>
      </c>
      <c r="E1414" t="s">
        <v>910</v>
      </c>
      <c r="F1414" t="s">
        <v>910</v>
      </c>
      <c r="J1414">
        <v>3.1185999999999998</v>
      </c>
      <c r="K1414">
        <v>3.1185999999999998</v>
      </c>
      <c r="L1414" t="s">
        <v>303</v>
      </c>
      <c r="M1414">
        <v>3118.6</v>
      </c>
      <c r="N1414">
        <v>3118.6</v>
      </c>
      <c r="O1414" t="s">
        <v>862</v>
      </c>
      <c r="P1414">
        <f t="shared" si="22"/>
        <v>0</v>
      </c>
    </row>
    <row r="1415" spans="1:16" x14ac:dyDescent="0.25">
      <c r="A1415" t="s">
        <v>669</v>
      </c>
      <c r="B1415">
        <v>3119.3</v>
      </c>
      <c r="C1415">
        <v>3119.3</v>
      </c>
      <c r="D1415" t="s">
        <v>867</v>
      </c>
      <c r="E1415" t="s">
        <v>910</v>
      </c>
      <c r="F1415" t="s">
        <v>910</v>
      </c>
      <c r="J1415">
        <v>3.1193</v>
      </c>
      <c r="K1415">
        <v>3.1193</v>
      </c>
      <c r="L1415" t="s">
        <v>303</v>
      </c>
      <c r="M1415">
        <v>3119.3</v>
      </c>
      <c r="N1415">
        <v>3119.3</v>
      </c>
      <c r="O1415" t="s">
        <v>862</v>
      </c>
      <c r="P1415">
        <f t="shared" si="22"/>
        <v>0</v>
      </c>
    </row>
    <row r="1416" spans="1:16" x14ac:dyDescent="0.25">
      <c r="A1416" t="s">
        <v>669</v>
      </c>
      <c r="B1416">
        <v>3120.1</v>
      </c>
      <c r="C1416">
        <v>3120.1</v>
      </c>
      <c r="D1416" t="s">
        <v>867</v>
      </c>
      <c r="E1416" t="s">
        <v>910</v>
      </c>
      <c r="F1416" t="s">
        <v>910</v>
      </c>
      <c r="J1416">
        <v>3.1200999999999999</v>
      </c>
      <c r="K1416">
        <v>3.1200999999999999</v>
      </c>
      <c r="L1416" t="s">
        <v>303</v>
      </c>
      <c r="M1416">
        <v>3120.1</v>
      </c>
      <c r="N1416">
        <v>3120.1</v>
      </c>
      <c r="O1416" t="s">
        <v>862</v>
      </c>
      <c r="P1416">
        <f t="shared" si="22"/>
        <v>0</v>
      </c>
    </row>
    <row r="1417" spans="1:16" x14ac:dyDescent="0.25">
      <c r="A1417" t="s">
        <v>669</v>
      </c>
      <c r="B1417">
        <v>3122.3</v>
      </c>
      <c r="C1417">
        <v>3122.3</v>
      </c>
      <c r="D1417" t="s">
        <v>867</v>
      </c>
      <c r="E1417" t="s">
        <v>910</v>
      </c>
      <c r="F1417" t="s">
        <v>910</v>
      </c>
      <c r="J1417">
        <v>3.1223000000000001</v>
      </c>
      <c r="K1417">
        <v>3.1223000000000001</v>
      </c>
      <c r="L1417" t="s">
        <v>303</v>
      </c>
      <c r="M1417">
        <v>3122.3</v>
      </c>
      <c r="N1417">
        <v>3122.3</v>
      </c>
      <c r="O1417" t="s">
        <v>862</v>
      </c>
      <c r="P1417">
        <f t="shared" si="22"/>
        <v>0</v>
      </c>
    </row>
    <row r="1418" spans="1:16" x14ac:dyDescent="0.25">
      <c r="A1418" t="s">
        <v>669</v>
      </c>
      <c r="B1418">
        <v>3123.7</v>
      </c>
      <c r="C1418">
        <v>3123.7</v>
      </c>
      <c r="D1418" t="s">
        <v>867</v>
      </c>
      <c r="E1418" t="s">
        <v>910</v>
      </c>
      <c r="F1418" t="s">
        <v>910</v>
      </c>
      <c r="J1418">
        <v>3.1236999999999999</v>
      </c>
      <c r="K1418">
        <v>3.1236999999999999</v>
      </c>
      <c r="L1418" t="s">
        <v>303</v>
      </c>
      <c r="M1418">
        <v>3123.7</v>
      </c>
      <c r="N1418">
        <v>3123.7</v>
      </c>
      <c r="O1418" t="s">
        <v>862</v>
      </c>
      <c r="P1418">
        <f t="shared" si="22"/>
        <v>0</v>
      </c>
    </row>
    <row r="1419" spans="1:16" x14ac:dyDescent="0.25">
      <c r="A1419" t="s">
        <v>669</v>
      </c>
      <c r="B1419">
        <v>3124.4</v>
      </c>
      <c r="C1419">
        <v>3124.4</v>
      </c>
      <c r="D1419" t="s">
        <v>867</v>
      </c>
      <c r="E1419" t="s">
        <v>910</v>
      </c>
      <c r="F1419" t="s">
        <v>910</v>
      </c>
      <c r="J1419">
        <v>3.1244000000000001</v>
      </c>
      <c r="K1419">
        <v>3.1244000000000001</v>
      </c>
      <c r="L1419" t="s">
        <v>303</v>
      </c>
      <c r="M1419">
        <v>3124.4</v>
      </c>
      <c r="N1419">
        <v>3124.4</v>
      </c>
      <c r="O1419" t="s">
        <v>862</v>
      </c>
      <c r="P1419">
        <f t="shared" si="22"/>
        <v>0</v>
      </c>
    </row>
    <row r="1420" spans="1:16" x14ac:dyDescent="0.25">
      <c r="A1420" t="s">
        <v>669</v>
      </c>
      <c r="B1420">
        <v>3125.9</v>
      </c>
      <c r="C1420">
        <v>3125.9</v>
      </c>
      <c r="D1420" t="s">
        <v>867</v>
      </c>
      <c r="E1420" t="s">
        <v>910</v>
      </c>
      <c r="F1420" t="s">
        <v>910</v>
      </c>
      <c r="J1420">
        <v>3.1259000000000001</v>
      </c>
      <c r="K1420">
        <v>3.1259000000000001</v>
      </c>
      <c r="L1420" t="s">
        <v>303</v>
      </c>
      <c r="M1420">
        <v>3125.9</v>
      </c>
      <c r="N1420">
        <v>3125.9</v>
      </c>
      <c r="O1420" t="s">
        <v>862</v>
      </c>
      <c r="P1420">
        <f t="shared" si="22"/>
        <v>0</v>
      </c>
    </row>
    <row r="1421" spans="1:16" x14ac:dyDescent="0.25">
      <c r="A1421" t="s">
        <v>669</v>
      </c>
      <c r="B1421">
        <v>3126.6</v>
      </c>
      <c r="C1421">
        <v>3126.6</v>
      </c>
      <c r="D1421" t="s">
        <v>867</v>
      </c>
      <c r="E1421" t="s">
        <v>910</v>
      </c>
      <c r="F1421" t="s">
        <v>910</v>
      </c>
      <c r="J1421">
        <v>3.1265999999999998</v>
      </c>
      <c r="K1421">
        <v>3.1265999999999998</v>
      </c>
      <c r="L1421" t="s">
        <v>303</v>
      </c>
      <c r="M1421">
        <v>3126.6</v>
      </c>
      <c r="N1421">
        <v>3126.6</v>
      </c>
      <c r="O1421" t="s">
        <v>862</v>
      </c>
      <c r="P1421">
        <f t="shared" si="22"/>
        <v>0</v>
      </c>
    </row>
    <row r="1422" spans="1:16" x14ac:dyDescent="0.25">
      <c r="A1422" t="s">
        <v>669</v>
      </c>
      <c r="B1422">
        <v>3128.1</v>
      </c>
      <c r="C1422">
        <v>3128.1</v>
      </c>
      <c r="D1422" t="s">
        <v>867</v>
      </c>
      <c r="E1422" t="s">
        <v>910</v>
      </c>
      <c r="F1422" t="s">
        <v>910</v>
      </c>
      <c r="J1422">
        <v>3.1280999999999999</v>
      </c>
      <c r="K1422">
        <v>3.1280999999999999</v>
      </c>
      <c r="L1422" t="s">
        <v>303</v>
      </c>
      <c r="M1422">
        <v>3128.1</v>
      </c>
      <c r="N1422">
        <v>3128.1</v>
      </c>
      <c r="O1422" t="s">
        <v>862</v>
      </c>
      <c r="P1422">
        <f t="shared" si="22"/>
        <v>0</v>
      </c>
    </row>
    <row r="1423" spans="1:16" x14ac:dyDescent="0.25">
      <c r="A1423" t="s">
        <v>669</v>
      </c>
      <c r="B1423">
        <v>3129.1</v>
      </c>
      <c r="C1423">
        <v>3129.1</v>
      </c>
      <c r="D1423" t="s">
        <v>867</v>
      </c>
      <c r="E1423" t="s">
        <v>910</v>
      </c>
      <c r="F1423" t="s">
        <v>910</v>
      </c>
      <c r="J1423">
        <v>3.1290999999999998</v>
      </c>
      <c r="K1423">
        <v>3.1290999999999998</v>
      </c>
      <c r="L1423" t="s">
        <v>303</v>
      </c>
      <c r="M1423">
        <v>3129.1</v>
      </c>
      <c r="N1423">
        <v>3129.1</v>
      </c>
      <c r="O1423" t="s">
        <v>862</v>
      </c>
      <c r="P1423">
        <f t="shared" si="22"/>
        <v>0</v>
      </c>
    </row>
    <row r="1424" spans="1:16" x14ac:dyDescent="0.25">
      <c r="A1424" t="s">
        <v>669</v>
      </c>
      <c r="B1424">
        <v>3130</v>
      </c>
      <c r="C1424">
        <v>3130</v>
      </c>
      <c r="D1424" t="s">
        <v>867</v>
      </c>
      <c r="E1424" t="s">
        <v>910</v>
      </c>
      <c r="F1424" t="s">
        <v>910</v>
      </c>
      <c r="J1424">
        <v>3.13</v>
      </c>
      <c r="K1424">
        <v>3.13</v>
      </c>
      <c r="L1424" t="s">
        <v>303</v>
      </c>
      <c r="M1424">
        <v>3130</v>
      </c>
      <c r="N1424">
        <v>3130</v>
      </c>
      <c r="O1424" t="s">
        <v>862</v>
      </c>
      <c r="P1424">
        <f t="shared" si="22"/>
        <v>0</v>
      </c>
    </row>
    <row r="1425" spans="1:16" x14ac:dyDescent="0.25">
      <c r="A1425" t="s">
        <v>669</v>
      </c>
      <c r="B1425">
        <v>3130.3</v>
      </c>
      <c r="C1425">
        <v>3130.3</v>
      </c>
      <c r="D1425" t="s">
        <v>867</v>
      </c>
      <c r="E1425" t="s">
        <v>910</v>
      </c>
      <c r="F1425" t="s">
        <v>910</v>
      </c>
      <c r="J1425">
        <v>3.1303000000000001</v>
      </c>
      <c r="K1425">
        <v>3.1303000000000001</v>
      </c>
      <c r="L1425" t="s">
        <v>303</v>
      </c>
      <c r="M1425">
        <v>3130.3</v>
      </c>
      <c r="N1425">
        <v>3130.3</v>
      </c>
      <c r="O1425" t="s">
        <v>862</v>
      </c>
      <c r="P1425">
        <f t="shared" si="22"/>
        <v>0</v>
      </c>
    </row>
    <row r="1426" spans="1:16" x14ac:dyDescent="0.25">
      <c r="A1426" t="s">
        <v>669</v>
      </c>
      <c r="B1426">
        <v>3131.3</v>
      </c>
      <c r="C1426">
        <v>3131.3</v>
      </c>
      <c r="D1426" t="s">
        <v>867</v>
      </c>
      <c r="E1426" t="s">
        <v>910</v>
      </c>
      <c r="F1426" t="s">
        <v>910</v>
      </c>
      <c r="J1426">
        <v>3.1313</v>
      </c>
      <c r="K1426">
        <v>3.1313</v>
      </c>
      <c r="L1426" t="s">
        <v>303</v>
      </c>
      <c r="M1426">
        <v>3131.3</v>
      </c>
      <c r="N1426">
        <v>3131.3</v>
      </c>
      <c r="O1426" t="s">
        <v>862</v>
      </c>
      <c r="P1426">
        <f t="shared" si="22"/>
        <v>0</v>
      </c>
    </row>
    <row r="1427" spans="1:16" x14ac:dyDescent="0.25">
      <c r="A1427" t="s">
        <v>669</v>
      </c>
      <c r="B1427">
        <v>3131.9</v>
      </c>
      <c r="C1427">
        <v>3131.9</v>
      </c>
      <c r="D1427" t="s">
        <v>867</v>
      </c>
      <c r="E1427" t="s">
        <v>910</v>
      </c>
      <c r="F1427" t="s">
        <v>910</v>
      </c>
      <c r="J1427">
        <v>3.1318999999999999</v>
      </c>
      <c r="K1427">
        <v>3.1318999999999999</v>
      </c>
      <c r="L1427" t="s">
        <v>303</v>
      </c>
      <c r="M1427">
        <v>3131.9</v>
      </c>
      <c r="N1427">
        <v>3131.9</v>
      </c>
      <c r="O1427" t="s">
        <v>862</v>
      </c>
      <c r="P1427">
        <f t="shared" si="22"/>
        <v>0</v>
      </c>
    </row>
    <row r="1428" spans="1:16" x14ac:dyDescent="0.25">
      <c r="A1428" t="s">
        <v>669</v>
      </c>
      <c r="B1428">
        <v>3132.2</v>
      </c>
      <c r="C1428">
        <v>3132.2</v>
      </c>
      <c r="D1428" t="s">
        <v>867</v>
      </c>
      <c r="E1428" t="s">
        <v>910</v>
      </c>
      <c r="F1428" t="s">
        <v>910</v>
      </c>
      <c r="J1428">
        <v>3.1321999999999997</v>
      </c>
      <c r="K1428">
        <v>3.1321999999999997</v>
      </c>
      <c r="L1428" t="s">
        <v>303</v>
      </c>
      <c r="M1428">
        <v>3132.2</v>
      </c>
      <c r="N1428">
        <v>3132.2</v>
      </c>
      <c r="O1428" t="s">
        <v>862</v>
      </c>
      <c r="P1428">
        <f t="shared" si="22"/>
        <v>0</v>
      </c>
    </row>
    <row r="1429" spans="1:16" x14ac:dyDescent="0.25">
      <c r="A1429" t="s">
        <v>669</v>
      </c>
      <c r="B1429">
        <v>3133.2</v>
      </c>
      <c r="C1429">
        <v>3133.2</v>
      </c>
      <c r="D1429" t="s">
        <v>867</v>
      </c>
      <c r="E1429" t="s">
        <v>910</v>
      </c>
      <c r="F1429" t="s">
        <v>910</v>
      </c>
      <c r="J1429">
        <v>3.1332</v>
      </c>
      <c r="K1429">
        <v>3.1332</v>
      </c>
      <c r="L1429" t="s">
        <v>303</v>
      </c>
      <c r="M1429">
        <v>3133.2</v>
      </c>
      <c r="N1429">
        <v>3133.2</v>
      </c>
      <c r="O1429" t="s">
        <v>862</v>
      </c>
      <c r="P1429">
        <f t="shared" si="22"/>
        <v>0</v>
      </c>
    </row>
    <row r="1430" spans="1:16" x14ac:dyDescent="0.25">
      <c r="A1430" t="s">
        <v>669</v>
      </c>
      <c r="B1430">
        <v>3134.1</v>
      </c>
      <c r="C1430">
        <v>3134.1</v>
      </c>
      <c r="D1430" t="s">
        <v>867</v>
      </c>
      <c r="E1430" t="s">
        <v>910</v>
      </c>
      <c r="F1430" t="s">
        <v>910</v>
      </c>
      <c r="J1430">
        <v>3.1341000000000001</v>
      </c>
      <c r="K1430">
        <v>3.1341000000000001</v>
      </c>
      <c r="L1430" t="s">
        <v>303</v>
      </c>
      <c r="M1430">
        <v>3134.1</v>
      </c>
      <c r="N1430">
        <v>3134.1</v>
      </c>
      <c r="O1430" t="s">
        <v>862</v>
      </c>
      <c r="P1430">
        <f t="shared" si="22"/>
        <v>0</v>
      </c>
    </row>
    <row r="1431" spans="1:16" x14ac:dyDescent="0.25">
      <c r="A1431" t="s">
        <v>669</v>
      </c>
      <c r="B1431">
        <v>3134.5</v>
      </c>
      <c r="C1431">
        <v>3134.5</v>
      </c>
      <c r="D1431" t="s">
        <v>867</v>
      </c>
      <c r="E1431" t="s">
        <v>910</v>
      </c>
      <c r="F1431" t="s">
        <v>910</v>
      </c>
      <c r="J1431">
        <v>3.1345000000000001</v>
      </c>
      <c r="K1431">
        <v>3.1345000000000001</v>
      </c>
      <c r="L1431" t="s">
        <v>303</v>
      </c>
      <c r="M1431">
        <v>3134.5</v>
      </c>
      <c r="N1431">
        <v>3134.5</v>
      </c>
      <c r="O1431" t="s">
        <v>862</v>
      </c>
      <c r="P1431">
        <f t="shared" si="22"/>
        <v>0</v>
      </c>
    </row>
    <row r="1432" spans="1:16" x14ac:dyDescent="0.25">
      <c r="A1432" t="s">
        <v>669</v>
      </c>
      <c r="B1432">
        <v>3135</v>
      </c>
      <c r="C1432">
        <v>3135</v>
      </c>
      <c r="D1432" t="s">
        <v>867</v>
      </c>
      <c r="E1432" t="s">
        <v>910</v>
      </c>
      <c r="F1432" t="s">
        <v>910</v>
      </c>
      <c r="J1432">
        <v>3.1349999999999998</v>
      </c>
      <c r="K1432">
        <v>3.1349999999999998</v>
      </c>
      <c r="L1432" t="s">
        <v>303</v>
      </c>
      <c r="M1432">
        <v>3135</v>
      </c>
      <c r="N1432">
        <v>3135</v>
      </c>
      <c r="O1432" t="s">
        <v>862</v>
      </c>
      <c r="P1432">
        <f t="shared" si="22"/>
        <v>0</v>
      </c>
    </row>
    <row r="1433" spans="1:16" x14ac:dyDescent="0.25">
      <c r="A1433" t="s">
        <v>669</v>
      </c>
      <c r="B1433">
        <v>3135.1</v>
      </c>
      <c r="C1433">
        <v>3135.1</v>
      </c>
      <c r="D1433" t="s">
        <v>867</v>
      </c>
      <c r="E1433" t="s">
        <v>910</v>
      </c>
      <c r="F1433" t="s">
        <v>910</v>
      </c>
      <c r="J1433">
        <v>3.1351</v>
      </c>
      <c r="K1433">
        <v>3.1351</v>
      </c>
      <c r="L1433" t="s">
        <v>303</v>
      </c>
      <c r="M1433">
        <v>3135.1</v>
      </c>
      <c r="N1433">
        <v>3135.1</v>
      </c>
      <c r="O1433" t="s">
        <v>862</v>
      </c>
      <c r="P1433">
        <f t="shared" si="22"/>
        <v>0</v>
      </c>
    </row>
    <row r="1434" spans="1:16" x14ac:dyDescent="0.25">
      <c r="A1434" t="s">
        <v>669</v>
      </c>
      <c r="B1434">
        <v>3137.1</v>
      </c>
      <c r="C1434">
        <v>3137.1</v>
      </c>
      <c r="D1434" t="s">
        <v>867</v>
      </c>
      <c r="E1434" t="s">
        <v>910</v>
      </c>
      <c r="F1434" t="s">
        <v>910</v>
      </c>
      <c r="J1434">
        <v>3.1370999999999998</v>
      </c>
      <c r="K1434">
        <v>3.1370999999999998</v>
      </c>
      <c r="L1434" t="s">
        <v>303</v>
      </c>
      <c r="M1434">
        <v>3137.1</v>
      </c>
      <c r="N1434">
        <v>3137.1</v>
      </c>
      <c r="O1434" t="s">
        <v>862</v>
      </c>
      <c r="P1434">
        <f t="shared" si="22"/>
        <v>0</v>
      </c>
    </row>
    <row r="1435" spans="1:16" x14ac:dyDescent="0.25">
      <c r="A1435" t="s">
        <v>669</v>
      </c>
      <c r="B1435">
        <v>3137.6</v>
      </c>
      <c r="C1435">
        <v>3137.6</v>
      </c>
      <c r="D1435" t="s">
        <v>867</v>
      </c>
      <c r="E1435" t="s">
        <v>910</v>
      </c>
      <c r="F1435" t="s">
        <v>910</v>
      </c>
      <c r="J1435">
        <v>3.1375999999999999</v>
      </c>
      <c r="K1435">
        <v>3.1375999999999999</v>
      </c>
      <c r="L1435" t="s">
        <v>303</v>
      </c>
      <c r="M1435">
        <v>3137.6</v>
      </c>
      <c r="N1435">
        <v>3137.6</v>
      </c>
      <c r="O1435" t="s">
        <v>862</v>
      </c>
      <c r="P1435">
        <f t="shared" si="22"/>
        <v>0</v>
      </c>
    </row>
    <row r="1436" spans="1:16" x14ac:dyDescent="0.25">
      <c r="A1436" t="s">
        <v>669</v>
      </c>
      <c r="B1436">
        <v>3138.4</v>
      </c>
      <c r="C1436">
        <v>3138.4</v>
      </c>
      <c r="D1436" t="s">
        <v>867</v>
      </c>
      <c r="E1436" t="s">
        <v>910</v>
      </c>
      <c r="F1436" t="s">
        <v>910</v>
      </c>
      <c r="J1436">
        <v>3.1384000000000003</v>
      </c>
      <c r="K1436">
        <v>3.1384000000000003</v>
      </c>
      <c r="L1436" t="s">
        <v>303</v>
      </c>
      <c r="M1436">
        <v>3138.4</v>
      </c>
      <c r="N1436">
        <v>3138.4</v>
      </c>
      <c r="O1436" t="s">
        <v>862</v>
      </c>
      <c r="P1436">
        <f t="shared" si="22"/>
        <v>0</v>
      </c>
    </row>
    <row r="1437" spans="1:16" x14ac:dyDescent="0.25">
      <c r="A1437" t="s">
        <v>669</v>
      </c>
      <c r="B1437">
        <v>3140.4</v>
      </c>
      <c r="C1437">
        <v>3140.4</v>
      </c>
      <c r="D1437" t="s">
        <v>867</v>
      </c>
      <c r="E1437" t="s">
        <v>910</v>
      </c>
      <c r="F1437" t="s">
        <v>910</v>
      </c>
      <c r="J1437">
        <v>3.1404000000000001</v>
      </c>
      <c r="K1437">
        <v>3.1404000000000001</v>
      </c>
      <c r="L1437" t="s">
        <v>303</v>
      </c>
      <c r="M1437">
        <v>3140.4</v>
      </c>
      <c r="N1437">
        <v>3140.4</v>
      </c>
      <c r="O1437" t="s">
        <v>862</v>
      </c>
      <c r="P1437">
        <f t="shared" si="22"/>
        <v>0</v>
      </c>
    </row>
    <row r="1438" spans="1:16" x14ac:dyDescent="0.25">
      <c r="A1438" t="s">
        <v>669</v>
      </c>
      <c r="B1438">
        <v>3142.2</v>
      </c>
      <c r="C1438">
        <v>3142.2</v>
      </c>
      <c r="D1438" t="s">
        <v>867</v>
      </c>
      <c r="E1438" t="s">
        <v>910</v>
      </c>
      <c r="F1438" t="s">
        <v>910</v>
      </c>
      <c r="J1438">
        <v>3.1421999999999999</v>
      </c>
      <c r="K1438">
        <v>3.1421999999999999</v>
      </c>
      <c r="L1438" t="s">
        <v>303</v>
      </c>
      <c r="M1438">
        <v>3142.2</v>
      </c>
      <c r="N1438">
        <v>3142.2</v>
      </c>
      <c r="O1438" t="s">
        <v>862</v>
      </c>
      <c r="P1438">
        <f t="shared" si="22"/>
        <v>0</v>
      </c>
    </row>
    <row r="1439" spans="1:16" x14ac:dyDescent="0.25">
      <c r="A1439" t="s">
        <v>537</v>
      </c>
      <c r="B1439">
        <v>3144.047</v>
      </c>
      <c r="C1439">
        <v>3144.047</v>
      </c>
      <c r="D1439" t="s">
        <v>887</v>
      </c>
      <c r="E1439">
        <v>8</v>
      </c>
      <c r="F1439">
        <v>8</v>
      </c>
      <c r="G1439" t="s">
        <v>687</v>
      </c>
      <c r="H1439" t="s">
        <v>687</v>
      </c>
      <c r="J1439">
        <v>3.144047</v>
      </c>
      <c r="K1439">
        <v>3.144047</v>
      </c>
      <c r="L1439" t="s">
        <v>303</v>
      </c>
      <c r="M1439">
        <v>3144.047</v>
      </c>
      <c r="N1439">
        <v>3144.047</v>
      </c>
      <c r="O1439" t="s">
        <v>862</v>
      </c>
      <c r="P1439">
        <f t="shared" si="22"/>
        <v>0</v>
      </c>
    </row>
    <row r="1440" spans="1:16" x14ac:dyDescent="0.25">
      <c r="A1440" t="s">
        <v>669</v>
      </c>
      <c r="B1440">
        <v>3144.3</v>
      </c>
      <c r="C1440">
        <v>3144.3</v>
      </c>
      <c r="D1440" t="s">
        <v>867</v>
      </c>
      <c r="E1440" t="s">
        <v>910</v>
      </c>
      <c r="F1440" t="s">
        <v>910</v>
      </c>
      <c r="J1440">
        <v>3.1443000000000003</v>
      </c>
      <c r="K1440">
        <v>3.1443000000000003</v>
      </c>
      <c r="L1440" t="s">
        <v>303</v>
      </c>
      <c r="M1440">
        <v>3144.3</v>
      </c>
      <c r="N1440">
        <v>3144.3</v>
      </c>
      <c r="O1440" t="s">
        <v>862</v>
      </c>
      <c r="P1440">
        <f t="shared" si="22"/>
        <v>0</v>
      </c>
    </row>
    <row r="1441" spans="1:16" x14ac:dyDescent="0.25">
      <c r="A1441" t="s">
        <v>669</v>
      </c>
      <c r="B1441">
        <v>3145.8</v>
      </c>
      <c r="C1441">
        <v>3145.8</v>
      </c>
      <c r="D1441" t="s">
        <v>867</v>
      </c>
      <c r="E1441" t="s">
        <v>910</v>
      </c>
      <c r="F1441" t="s">
        <v>910</v>
      </c>
      <c r="J1441">
        <v>3.1458000000000004</v>
      </c>
      <c r="K1441">
        <v>3.1458000000000004</v>
      </c>
      <c r="L1441" t="s">
        <v>303</v>
      </c>
      <c r="M1441">
        <v>3145.8</v>
      </c>
      <c r="N1441">
        <v>3145.8</v>
      </c>
      <c r="O1441" t="s">
        <v>862</v>
      </c>
      <c r="P1441">
        <f t="shared" si="22"/>
        <v>0</v>
      </c>
    </row>
    <row r="1442" spans="1:16" x14ac:dyDescent="0.25">
      <c r="A1442" t="s">
        <v>669</v>
      </c>
      <c r="B1442">
        <v>3146.5</v>
      </c>
      <c r="C1442">
        <v>3146.5</v>
      </c>
      <c r="D1442" t="s">
        <v>867</v>
      </c>
      <c r="E1442" t="s">
        <v>910</v>
      </c>
      <c r="F1442" t="s">
        <v>910</v>
      </c>
      <c r="J1442">
        <v>3.1465000000000001</v>
      </c>
      <c r="K1442">
        <v>3.1465000000000001</v>
      </c>
      <c r="L1442" t="s">
        <v>303</v>
      </c>
      <c r="M1442">
        <v>3146.5</v>
      </c>
      <c r="N1442">
        <v>3146.5</v>
      </c>
      <c r="O1442" t="s">
        <v>862</v>
      </c>
      <c r="P1442">
        <f t="shared" si="22"/>
        <v>0</v>
      </c>
    </row>
    <row r="1443" spans="1:16" x14ac:dyDescent="0.25">
      <c r="A1443" t="s">
        <v>669</v>
      </c>
      <c r="B1443">
        <v>3147.5</v>
      </c>
      <c r="C1443">
        <v>3147.5</v>
      </c>
      <c r="D1443" t="s">
        <v>867</v>
      </c>
      <c r="E1443" t="s">
        <v>910</v>
      </c>
      <c r="F1443" t="s">
        <v>910</v>
      </c>
      <c r="J1443">
        <v>3.1475</v>
      </c>
      <c r="K1443">
        <v>3.1475</v>
      </c>
      <c r="L1443" t="s">
        <v>303</v>
      </c>
      <c r="M1443">
        <v>3147.5</v>
      </c>
      <c r="N1443">
        <v>3147.5</v>
      </c>
      <c r="O1443" t="s">
        <v>862</v>
      </c>
      <c r="P1443">
        <f t="shared" si="22"/>
        <v>0</v>
      </c>
    </row>
    <row r="1444" spans="1:16" x14ac:dyDescent="0.25">
      <c r="A1444" t="s">
        <v>669</v>
      </c>
      <c r="B1444">
        <v>3148.6</v>
      </c>
      <c r="C1444">
        <v>3148.6</v>
      </c>
      <c r="D1444" t="s">
        <v>867</v>
      </c>
      <c r="E1444" t="s">
        <v>910</v>
      </c>
      <c r="F1444" t="s">
        <v>910</v>
      </c>
      <c r="J1444">
        <v>3.1486000000000001</v>
      </c>
      <c r="K1444">
        <v>3.1486000000000001</v>
      </c>
      <c r="L1444" t="s">
        <v>303</v>
      </c>
      <c r="M1444">
        <v>3148.6</v>
      </c>
      <c r="N1444">
        <v>3148.6</v>
      </c>
      <c r="O1444" t="s">
        <v>862</v>
      </c>
      <c r="P1444">
        <f t="shared" si="22"/>
        <v>0</v>
      </c>
    </row>
    <row r="1445" spans="1:16" x14ac:dyDescent="0.25">
      <c r="A1445" t="s">
        <v>669</v>
      </c>
      <c r="B1445">
        <v>3150.8</v>
      </c>
      <c r="C1445">
        <v>3150.8</v>
      </c>
      <c r="D1445" t="s">
        <v>867</v>
      </c>
      <c r="E1445" t="s">
        <v>910</v>
      </c>
      <c r="F1445" t="s">
        <v>910</v>
      </c>
      <c r="J1445">
        <v>3.1508000000000003</v>
      </c>
      <c r="K1445">
        <v>3.1508000000000003</v>
      </c>
      <c r="L1445" t="s">
        <v>303</v>
      </c>
      <c r="M1445">
        <v>3150.8</v>
      </c>
      <c r="N1445">
        <v>3150.8</v>
      </c>
      <c r="O1445" t="s">
        <v>862</v>
      </c>
      <c r="P1445">
        <f t="shared" si="22"/>
        <v>0</v>
      </c>
    </row>
    <row r="1446" spans="1:16" x14ac:dyDescent="0.25">
      <c r="A1446" t="s">
        <v>669</v>
      </c>
      <c r="B1446">
        <v>3151.9</v>
      </c>
      <c r="C1446">
        <v>3151.9</v>
      </c>
      <c r="D1446" t="s">
        <v>867</v>
      </c>
      <c r="E1446" t="s">
        <v>910</v>
      </c>
      <c r="F1446" t="s">
        <v>910</v>
      </c>
      <c r="J1446">
        <v>3.1518999999999999</v>
      </c>
      <c r="K1446">
        <v>3.1518999999999999</v>
      </c>
      <c r="L1446" t="s">
        <v>303</v>
      </c>
      <c r="M1446">
        <v>3151.9</v>
      </c>
      <c r="N1446">
        <v>3151.9</v>
      </c>
      <c r="O1446" t="s">
        <v>862</v>
      </c>
      <c r="P1446">
        <f t="shared" si="22"/>
        <v>0</v>
      </c>
    </row>
    <row r="1447" spans="1:16" x14ac:dyDescent="0.25">
      <c r="A1447" t="s">
        <v>669</v>
      </c>
      <c r="B1447">
        <v>3153.9</v>
      </c>
      <c r="C1447">
        <v>3153.9</v>
      </c>
      <c r="D1447" t="s">
        <v>867</v>
      </c>
      <c r="E1447" t="s">
        <v>910</v>
      </c>
      <c r="F1447" t="s">
        <v>910</v>
      </c>
      <c r="J1447">
        <v>3.1539000000000001</v>
      </c>
      <c r="K1447">
        <v>3.1539000000000001</v>
      </c>
      <c r="L1447" t="s">
        <v>303</v>
      </c>
      <c r="M1447">
        <v>3153.9</v>
      </c>
      <c r="N1447">
        <v>3153.9</v>
      </c>
      <c r="O1447" t="s">
        <v>862</v>
      </c>
      <c r="P1447">
        <f t="shared" si="22"/>
        <v>0</v>
      </c>
    </row>
    <row r="1448" spans="1:16" x14ac:dyDescent="0.25">
      <c r="A1448" t="s">
        <v>669</v>
      </c>
      <c r="B1448">
        <v>3.1560000000000001</v>
      </c>
      <c r="C1448">
        <v>3.1560000000000001</v>
      </c>
      <c r="D1448" t="s">
        <v>303</v>
      </c>
      <c r="E1448" t="s">
        <v>910</v>
      </c>
      <c r="F1448" t="s">
        <v>910</v>
      </c>
      <c r="J1448">
        <v>3.1560000000000001</v>
      </c>
      <c r="K1448">
        <v>3.1560000000000001</v>
      </c>
      <c r="L1448" t="s">
        <v>303</v>
      </c>
      <c r="M1448">
        <v>3.1560000000000001</v>
      </c>
      <c r="N1448">
        <v>3.1560000000000001</v>
      </c>
      <c r="O1448" t="s">
        <v>303</v>
      </c>
      <c r="P1448">
        <f t="shared" si="22"/>
        <v>0</v>
      </c>
    </row>
    <row r="1449" spans="1:16" x14ac:dyDescent="0.25">
      <c r="A1449" t="s">
        <v>669</v>
      </c>
      <c r="B1449">
        <v>3156</v>
      </c>
      <c r="C1449">
        <v>3156</v>
      </c>
      <c r="D1449" t="s">
        <v>867</v>
      </c>
      <c r="E1449" t="s">
        <v>910</v>
      </c>
      <c r="F1449" t="s">
        <v>910</v>
      </c>
      <c r="J1449">
        <v>3.1560000000000001</v>
      </c>
      <c r="K1449">
        <v>3.1560000000000001</v>
      </c>
      <c r="L1449" t="s">
        <v>303</v>
      </c>
      <c r="M1449">
        <v>3156</v>
      </c>
      <c r="N1449">
        <v>3156</v>
      </c>
      <c r="O1449" t="s">
        <v>862</v>
      </c>
      <c r="P1449">
        <f t="shared" si="22"/>
        <v>0</v>
      </c>
    </row>
    <row r="1450" spans="1:16" x14ac:dyDescent="0.25">
      <c r="A1450" t="s">
        <v>669</v>
      </c>
      <c r="B1450">
        <v>3159.9</v>
      </c>
      <c r="C1450">
        <v>3159.9</v>
      </c>
      <c r="D1450" t="s">
        <v>867</v>
      </c>
      <c r="E1450" t="s">
        <v>910</v>
      </c>
      <c r="F1450" t="s">
        <v>910</v>
      </c>
      <c r="J1450">
        <v>3.1598999999999999</v>
      </c>
      <c r="K1450">
        <v>3.1598999999999999</v>
      </c>
      <c r="L1450" t="s">
        <v>303</v>
      </c>
      <c r="M1450">
        <v>3159.9</v>
      </c>
      <c r="N1450">
        <v>3159.9</v>
      </c>
      <c r="O1450" t="s">
        <v>862</v>
      </c>
      <c r="P1450">
        <f t="shared" si="22"/>
        <v>0</v>
      </c>
    </row>
    <row r="1451" spans="1:16" x14ac:dyDescent="0.25">
      <c r="A1451" t="s">
        <v>669</v>
      </c>
      <c r="B1451">
        <v>2.88</v>
      </c>
      <c r="C1451">
        <v>3.16</v>
      </c>
      <c r="D1451" t="s">
        <v>860</v>
      </c>
      <c r="E1451" t="s">
        <v>910</v>
      </c>
      <c r="F1451" t="s">
        <v>910</v>
      </c>
      <c r="J1451">
        <v>3.16</v>
      </c>
      <c r="K1451">
        <v>2.88</v>
      </c>
      <c r="L1451" t="s">
        <v>303</v>
      </c>
      <c r="M1451">
        <v>3.16</v>
      </c>
      <c r="N1451">
        <v>2.88</v>
      </c>
      <c r="O1451" t="s">
        <v>303</v>
      </c>
      <c r="P1451">
        <f t="shared" si="22"/>
        <v>0</v>
      </c>
    </row>
    <row r="1452" spans="1:16" x14ac:dyDescent="0.25">
      <c r="A1452" t="s">
        <v>669</v>
      </c>
      <c r="B1452">
        <v>3.16</v>
      </c>
      <c r="C1452">
        <v>3.16</v>
      </c>
      <c r="D1452" t="s">
        <v>303</v>
      </c>
      <c r="E1452" t="s">
        <v>910</v>
      </c>
      <c r="F1452" t="s">
        <v>910</v>
      </c>
      <c r="J1452">
        <v>3.16</v>
      </c>
      <c r="K1452">
        <v>3.16</v>
      </c>
      <c r="L1452" t="s">
        <v>303</v>
      </c>
      <c r="M1452">
        <v>3.16</v>
      </c>
      <c r="N1452">
        <v>3.16</v>
      </c>
      <c r="O1452" t="s">
        <v>303</v>
      </c>
      <c r="P1452">
        <f t="shared" si="22"/>
        <v>0</v>
      </c>
    </row>
    <row r="1453" spans="1:16" x14ac:dyDescent="0.25">
      <c r="A1453" t="s">
        <v>669</v>
      </c>
      <c r="B1453">
        <v>97</v>
      </c>
      <c r="C1453" t="s">
        <v>669</v>
      </c>
      <c r="D1453" t="s">
        <v>857</v>
      </c>
      <c r="E1453" t="s">
        <v>910</v>
      </c>
      <c r="F1453">
        <v>5</v>
      </c>
      <c r="H1453" t="s">
        <v>684</v>
      </c>
      <c r="I1453" t="s">
        <v>932</v>
      </c>
      <c r="K1453">
        <v>97</v>
      </c>
      <c r="L1453" t="s">
        <v>920</v>
      </c>
      <c r="N1453">
        <v>97</v>
      </c>
      <c r="O1453" t="s">
        <v>857</v>
      </c>
      <c r="P1453">
        <f t="shared" si="22"/>
        <v>27</v>
      </c>
    </row>
    <row r="1454" spans="1:16" x14ac:dyDescent="0.25">
      <c r="A1454" t="s">
        <v>669</v>
      </c>
      <c r="B1454">
        <v>3162.2</v>
      </c>
      <c r="C1454">
        <v>3162.2</v>
      </c>
      <c r="D1454" t="s">
        <v>867</v>
      </c>
      <c r="E1454" t="s">
        <v>910</v>
      </c>
      <c r="F1454" t="s">
        <v>910</v>
      </c>
      <c r="J1454">
        <v>3.1621999999999999</v>
      </c>
      <c r="K1454">
        <v>3.1621999999999999</v>
      </c>
      <c r="L1454" t="s">
        <v>303</v>
      </c>
      <c r="M1454">
        <v>3162.2</v>
      </c>
      <c r="N1454">
        <v>3162.2</v>
      </c>
      <c r="O1454" t="s">
        <v>862</v>
      </c>
      <c r="P1454">
        <f t="shared" si="22"/>
        <v>0</v>
      </c>
    </row>
    <row r="1455" spans="1:16" x14ac:dyDescent="0.25">
      <c r="A1455" t="s">
        <v>669</v>
      </c>
      <c r="B1455">
        <v>3163.3</v>
      </c>
      <c r="C1455">
        <v>3163.3</v>
      </c>
      <c r="D1455" t="s">
        <v>867</v>
      </c>
      <c r="E1455" t="s">
        <v>910</v>
      </c>
      <c r="F1455" t="s">
        <v>910</v>
      </c>
      <c r="J1455">
        <v>3.1633</v>
      </c>
      <c r="K1455">
        <v>3.1633</v>
      </c>
      <c r="L1455" t="s">
        <v>303</v>
      </c>
      <c r="M1455">
        <v>3163.3</v>
      </c>
      <c r="N1455">
        <v>3163.3</v>
      </c>
      <c r="O1455" t="s">
        <v>862</v>
      </c>
      <c r="P1455">
        <f t="shared" si="22"/>
        <v>0</v>
      </c>
    </row>
    <row r="1456" spans="1:16" x14ac:dyDescent="0.25">
      <c r="A1456" t="s">
        <v>669</v>
      </c>
      <c r="B1456">
        <v>3167.4</v>
      </c>
      <c r="C1456">
        <v>3167.4</v>
      </c>
      <c r="D1456" t="s">
        <v>867</v>
      </c>
      <c r="E1456" t="s">
        <v>910</v>
      </c>
      <c r="F1456" t="s">
        <v>910</v>
      </c>
      <c r="J1456">
        <v>3.1674000000000002</v>
      </c>
      <c r="K1456">
        <v>3.1674000000000002</v>
      </c>
      <c r="L1456" t="s">
        <v>303</v>
      </c>
      <c r="M1456">
        <v>3167.4</v>
      </c>
      <c r="N1456">
        <v>3167.4</v>
      </c>
      <c r="O1456" t="s">
        <v>862</v>
      </c>
      <c r="P1456">
        <f t="shared" si="22"/>
        <v>0</v>
      </c>
    </row>
    <row r="1457" spans="1:16" x14ac:dyDescent="0.25">
      <c r="A1457" t="s">
        <v>669</v>
      </c>
      <c r="B1457">
        <v>3168</v>
      </c>
      <c r="C1457">
        <v>3168</v>
      </c>
      <c r="D1457" t="s">
        <v>867</v>
      </c>
      <c r="E1457" t="s">
        <v>910</v>
      </c>
      <c r="F1457" t="s">
        <v>910</v>
      </c>
      <c r="J1457">
        <v>3.1680000000000001</v>
      </c>
      <c r="K1457">
        <v>3.1680000000000001</v>
      </c>
      <c r="L1457" t="s">
        <v>303</v>
      </c>
      <c r="M1457">
        <v>3168</v>
      </c>
      <c r="N1457">
        <v>3168</v>
      </c>
      <c r="O1457" t="s">
        <v>862</v>
      </c>
      <c r="P1457">
        <f t="shared" si="22"/>
        <v>0</v>
      </c>
    </row>
    <row r="1458" spans="1:16" x14ac:dyDescent="0.25">
      <c r="A1458" t="s">
        <v>669</v>
      </c>
      <c r="B1458">
        <v>3.17</v>
      </c>
      <c r="C1458">
        <v>3.17</v>
      </c>
      <c r="D1458" t="s">
        <v>303</v>
      </c>
      <c r="E1458" t="s">
        <v>910</v>
      </c>
      <c r="F1458" t="s">
        <v>910</v>
      </c>
      <c r="J1458">
        <v>3.17</v>
      </c>
      <c r="K1458">
        <v>3.17</v>
      </c>
      <c r="L1458" t="s">
        <v>303</v>
      </c>
      <c r="M1458">
        <v>3.17</v>
      </c>
      <c r="N1458">
        <v>3.17</v>
      </c>
      <c r="O1458" t="s">
        <v>303</v>
      </c>
      <c r="P1458">
        <f t="shared" si="22"/>
        <v>0</v>
      </c>
    </row>
    <row r="1459" spans="1:16" x14ac:dyDescent="0.25">
      <c r="A1459" t="s">
        <v>669</v>
      </c>
      <c r="B1459">
        <v>3170.1</v>
      </c>
      <c r="C1459">
        <v>3170.1</v>
      </c>
      <c r="D1459" t="s">
        <v>867</v>
      </c>
      <c r="E1459" t="s">
        <v>910</v>
      </c>
      <c r="F1459" t="s">
        <v>910</v>
      </c>
      <c r="J1459">
        <v>3.1700999999999997</v>
      </c>
      <c r="K1459">
        <v>3.1700999999999997</v>
      </c>
      <c r="L1459" t="s">
        <v>303</v>
      </c>
      <c r="M1459">
        <v>3170.1</v>
      </c>
      <c r="N1459">
        <v>3170.1</v>
      </c>
      <c r="O1459" t="s">
        <v>862</v>
      </c>
      <c r="P1459">
        <f t="shared" si="22"/>
        <v>0</v>
      </c>
    </row>
    <row r="1460" spans="1:16" x14ac:dyDescent="0.25">
      <c r="A1460" t="s">
        <v>669</v>
      </c>
      <c r="B1460">
        <v>3172</v>
      </c>
      <c r="C1460">
        <v>3172</v>
      </c>
      <c r="D1460" t="s">
        <v>867</v>
      </c>
      <c r="E1460" t="s">
        <v>910</v>
      </c>
      <c r="F1460" t="s">
        <v>910</v>
      </c>
      <c r="J1460">
        <v>3.1720000000000002</v>
      </c>
      <c r="K1460">
        <v>3.1720000000000002</v>
      </c>
      <c r="L1460" t="s">
        <v>303</v>
      </c>
      <c r="M1460">
        <v>3172</v>
      </c>
      <c r="N1460">
        <v>3172</v>
      </c>
      <c r="O1460" t="s">
        <v>862</v>
      </c>
      <c r="P1460">
        <f t="shared" si="22"/>
        <v>0</v>
      </c>
    </row>
    <row r="1461" spans="1:16" x14ac:dyDescent="0.25">
      <c r="A1461" t="s">
        <v>669</v>
      </c>
      <c r="B1461">
        <v>3174.1</v>
      </c>
      <c r="C1461">
        <v>3174.1</v>
      </c>
      <c r="D1461" t="s">
        <v>867</v>
      </c>
      <c r="E1461" t="s">
        <v>910</v>
      </c>
      <c r="F1461" t="s">
        <v>910</v>
      </c>
      <c r="J1461">
        <v>3.1740999999999997</v>
      </c>
      <c r="K1461">
        <v>3.1740999999999997</v>
      </c>
      <c r="L1461" t="s">
        <v>303</v>
      </c>
      <c r="M1461">
        <v>3174.1</v>
      </c>
      <c r="N1461">
        <v>3174.1</v>
      </c>
      <c r="O1461" t="s">
        <v>862</v>
      </c>
      <c r="P1461">
        <f t="shared" si="22"/>
        <v>0</v>
      </c>
    </row>
    <row r="1462" spans="1:16" x14ac:dyDescent="0.25">
      <c r="A1462" t="s">
        <v>669</v>
      </c>
      <c r="B1462">
        <v>3178.6</v>
      </c>
      <c r="C1462">
        <v>3178.6</v>
      </c>
      <c r="D1462" t="s">
        <v>867</v>
      </c>
      <c r="E1462" t="s">
        <v>910</v>
      </c>
      <c r="F1462" t="s">
        <v>910</v>
      </c>
      <c r="J1462">
        <v>3.1785999999999999</v>
      </c>
      <c r="K1462">
        <v>3.1785999999999999</v>
      </c>
      <c r="L1462" t="s">
        <v>303</v>
      </c>
      <c r="M1462">
        <v>3178.6</v>
      </c>
      <c r="N1462">
        <v>3178.6</v>
      </c>
      <c r="O1462" t="s">
        <v>862</v>
      </c>
      <c r="P1462">
        <f t="shared" si="22"/>
        <v>0</v>
      </c>
    </row>
    <row r="1463" spans="1:16" x14ac:dyDescent="0.25">
      <c r="A1463" t="s">
        <v>669</v>
      </c>
      <c r="B1463">
        <v>3179.7</v>
      </c>
      <c r="C1463">
        <v>3179.7</v>
      </c>
      <c r="D1463" t="s">
        <v>867</v>
      </c>
      <c r="E1463" t="s">
        <v>910</v>
      </c>
      <c r="F1463" t="s">
        <v>910</v>
      </c>
      <c r="J1463">
        <v>3.1797</v>
      </c>
      <c r="K1463">
        <v>3.1797</v>
      </c>
      <c r="L1463" t="s">
        <v>303</v>
      </c>
      <c r="M1463">
        <v>3179.7</v>
      </c>
      <c r="N1463">
        <v>3179.7</v>
      </c>
      <c r="O1463" t="s">
        <v>862</v>
      </c>
      <c r="P1463">
        <f t="shared" si="22"/>
        <v>0</v>
      </c>
    </row>
    <row r="1464" spans="1:16" x14ac:dyDescent="0.25">
      <c r="A1464" t="s">
        <v>669</v>
      </c>
      <c r="B1464">
        <v>3191.6</v>
      </c>
      <c r="C1464">
        <v>3191.6</v>
      </c>
      <c r="D1464" t="s">
        <v>867</v>
      </c>
      <c r="E1464" t="s">
        <v>910</v>
      </c>
      <c r="F1464" t="s">
        <v>910</v>
      </c>
      <c r="J1464">
        <v>3.1915999999999998</v>
      </c>
      <c r="K1464">
        <v>3.1915999999999998</v>
      </c>
      <c r="L1464" t="s">
        <v>303</v>
      </c>
      <c r="M1464">
        <v>3191.6</v>
      </c>
      <c r="N1464">
        <v>3191.6</v>
      </c>
      <c r="O1464" t="s">
        <v>862</v>
      </c>
      <c r="P1464">
        <f t="shared" si="22"/>
        <v>0</v>
      </c>
    </row>
    <row r="1465" spans="1:16" x14ac:dyDescent="0.25">
      <c r="A1465" t="s">
        <v>669</v>
      </c>
      <c r="B1465">
        <v>3192.1</v>
      </c>
      <c r="C1465">
        <v>3192.1</v>
      </c>
      <c r="D1465" t="s">
        <v>867</v>
      </c>
      <c r="E1465" t="s">
        <v>910</v>
      </c>
      <c r="F1465" t="s">
        <v>910</v>
      </c>
      <c r="J1465">
        <v>3.1920999999999999</v>
      </c>
      <c r="K1465">
        <v>3.1920999999999999</v>
      </c>
      <c r="L1465" t="s">
        <v>303</v>
      </c>
      <c r="M1465">
        <v>3192.1</v>
      </c>
      <c r="N1465">
        <v>3192.1</v>
      </c>
      <c r="O1465" t="s">
        <v>862</v>
      </c>
      <c r="P1465">
        <f t="shared" si="22"/>
        <v>0</v>
      </c>
    </row>
    <row r="1466" spans="1:16" x14ac:dyDescent="0.25">
      <c r="A1466" t="s">
        <v>669</v>
      </c>
      <c r="B1466">
        <v>3194.4</v>
      </c>
      <c r="C1466">
        <v>3194.4</v>
      </c>
      <c r="D1466" t="s">
        <v>867</v>
      </c>
      <c r="E1466" t="s">
        <v>910</v>
      </c>
      <c r="F1466" t="s">
        <v>910</v>
      </c>
      <c r="J1466">
        <v>3.1943999999999999</v>
      </c>
      <c r="K1466">
        <v>3.1943999999999999</v>
      </c>
      <c r="L1466" t="s">
        <v>303</v>
      </c>
      <c r="M1466">
        <v>3194.4</v>
      </c>
      <c r="N1466">
        <v>3194.4</v>
      </c>
      <c r="O1466" t="s">
        <v>862</v>
      </c>
      <c r="P1466">
        <f t="shared" si="22"/>
        <v>0</v>
      </c>
    </row>
    <row r="1467" spans="1:16" x14ac:dyDescent="0.25">
      <c r="A1467" t="s">
        <v>669</v>
      </c>
      <c r="B1467">
        <v>3196.3</v>
      </c>
      <c r="C1467">
        <v>3196.3</v>
      </c>
      <c r="D1467" t="s">
        <v>867</v>
      </c>
      <c r="E1467" t="s">
        <v>910</v>
      </c>
      <c r="F1467" t="s">
        <v>910</v>
      </c>
      <c r="J1467">
        <v>3.1963000000000004</v>
      </c>
      <c r="K1467">
        <v>3.1963000000000004</v>
      </c>
      <c r="L1467" t="s">
        <v>303</v>
      </c>
      <c r="M1467">
        <v>3196.3</v>
      </c>
      <c r="N1467">
        <v>3196.3</v>
      </c>
      <c r="O1467" t="s">
        <v>862</v>
      </c>
      <c r="P1467">
        <f t="shared" si="22"/>
        <v>0</v>
      </c>
    </row>
    <row r="1468" spans="1:16" x14ac:dyDescent="0.25">
      <c r="A1468" t="s">
        <v>669</v>
      </c>
      <c r="B1468">
        <v>3198.2</v>
      </c>
      <c r="C1468">
        <v>3198.2</v>
      </c>
      <c r="D1468" t="s">
        <v>867</v>
      </c>
      <c r="E1468" t="s">
        <v>910</v>
      </c>
      <c r="F1468" t="s">
        <v>910</v>
      </c>
      <c r="J1468">
        <v>3.1981999999999999</v>
      </c>
      <c r="K1468">
        <v>3.1981999999999999</v>
      </c>
      <c r="L1468" t="s">
        <v>303</v>
      </c>
      <c r="M1468">
        <v>3198.2</v>
      </c>
      <c r="N1468">
        <v>3198.2</v>
      </c>
      <c r="O1468" t="s">
        <v>862</v>
      </c>
      <c r="P1468">
        <f t="shared" si="22"/>
        <v>0</v>
      </c>
    </row>
    <row r="1469" spans="1:16" x14ac:dyDescent="0.25">
      <c r="A1469" t="s">
        <v>669</v>
      </c>
      <c r="B1469">
        <v>3199.7</v>
      </c>
      <c r="C1469">
        <v>3199.7</v>
      </c>
      <c r="D1469" t="s">
        <v>867</v>
      </c>
      <c r="E1469" t="s">
        <v>910</v>
      </c>
      <c r="F1469" t="s">
        <v>910</v>
      </c>
      <c r="J1469">
        <v>3.1997</v>
      </c>
      <c r="K1469">
        <v>3.1997</v>
      </c>
      <c r="L1469" t="s">
        <v>303</v>
      </c>
      <c r="M1469">
        <v>3199.7</v>
      </c>
      <c r="N1469">
        <v>3199.7</v>
      </c>
      <c r="O1469" t="s">
        <v>862</v>
      </c>
      <c r="P1469">
        <f t="shared" si="22"/>
        <v>0</v>
      </c>
    </row>
    <row r="1470" spans="1:16" x14ac:dyDescent="0.25">
      <c r="A1470" t="s">
        <v>669</v>
      </c>
      <c r="B1470">
        <v>98</v>
      </c>
      <c r="C1470" t="s">
        <v>669</v>
      </c>
      <c r="D1470" t="s">
        <v>857</v>
      </c>
      <c r="E1470" t="s">
        <v>910</v>
      </c>
      <c r="F1470">
        <v>5</v>
      </c>
      <c r="H1470" t="s">
        <v>684</v>
      </c>
      <c r="I1470" t="s">
        <v>932</v>
      </c>
      <c r="K1470">
        <v>98</v>
      </c>
      <c r="L1470" t="s">
        <v>920</v>
      </c>
      <c r="N1470">
        <v>98</v>
      </c>
      <c r="O1470" t="s">
        <v>857</v>
      </c>
      <c r="P1470">
        <f t="shared" si="22"/>
        <v>27</v>
      </c>
    </row>
    <row r="1471" spans="1:16" x14ac:dyDescent="0.25">
      <c r="A1471" t="s">
        <v>669</v>
      </c>
      <c r="B1471">
        <v>1E-4</v>
      </c>
      <c r="C1471">
        <v>1E-4</v>
      </c>
      <c r="D1471" t="s">
        <v>303</v>
      </c>
      <c r="E1471" t="s">
        <v>910</v>
      </c>
      <c r="F1471" t="s">
        <v>910</v>
      </c>
      <c r="J1471">
        <v>100</v>
      </c>
      <c r="K1471">
        <v>100</v>
      </c>
      <c r="L1471" t="s">
        <v>931</v>
      </c>
      <c r="M1471">
        <v>1E-4</v>
      </c>
      <c r="N1471">
        <v>1E-4</v>
      </c>
      <c r="O1471" t="s">
        <v>303</v>
      </c>
      <c r="P1471">
        <f t="shared" si="22"/>
        <v>0</v>
      </c>
    </row>
    <row r="1472" spans="1:16" x14ac:dyDescent="0.25">
      <c r="A1472" t="s">
        <v>669</v>
      </c>
      <c r="B1472">
        <v>3.2</v>
      </c>
      <c r="C1472">
        <v>3.2</v>
      </c>
      <c r="D1472" t="s">
        <v>303</v>
      </c>
      <c r="E1472" t="s">
        <v>910</v>
      </c>
      <c r="F1472" t="s">
        <v>910</v>
      </c>
      <c r="J1472">
        <v>3.2</v>
      </c>
      <c r="K1472">
        <v>3.2</v>
      </c>
      <c r="L1472" t="s">
        <v>303</v>
      </c>
      <c r="M1472">
        <v>3.2</v>
      </c>
      <c r="N1472">
        <v>3.2</v>
      </c>
      <c r="O1472" t="s">
        <v>303</v>
      </c>
      <c r="P1472">
        <f t="shared" si="22"/>
        <v>0</v>
      </c>
    </row>
    <row r="1473" spans="1:16" x14ac:dyDescent="0.25">
      <c r="A1473" t="s">
        <v>669</v>
      </c>
      <c r="B1473">
        <v>3.22</v>
      </c>
      <c r="C1473">
        <v>3.22</v>
      </c>
      <c r="D1473" t="s">
        <v>303</v>
      </c>
      <c r="E1473" t="s">
        <v>910</v>
      </c>
      <c r="F1473" t="s">
        <v>910</v>
      </c>
      <c r="J1473">
        <v>3.22</v>
      </c>
      <c r="K1473">
        <v>3.22</v>
      </c>
      <c r="L1473" t="s">
        <v>303</v>
      </c>
      <c r="M1473">
        <v>3.22</v>
      </c>
      <c r="N1473">
        <v>3.22</v>
      </c>
      <c r="O1473" t="s">
        <v>303</v>
      </c>
      <c r="P1473">
        <f t="shared" si="22"/>
        <v>0</v>
      </c>
    </row>
    <row r="1474" spans="1:16" x14ac:dyDescent="0.25">
      <c r="A1474" t="s">
        <v>669</v>
      </c>
      <c r="B1474">
        <v>3.2269999999999999</v>
      </c>
      <c r="C1474">
        <v>3.2269999999999999</v>
      </c>
      <c r="D1474" t="s">
        <v>303</v>
      </c>
      <c r="E1474" t="s">
        <v>910</v>
      </c>
      <c r="F1474" t="s">
        <v>910</v>
      </c>
      <c r="J1474">
        <v>3.2269999999999999</v>
      </c>
      <c r="K1474">
        <v>3.2269999999999999</v>
      </c>
      <c r="L1474" t="s">
        <v>303</v>
      </c>
      <c r="M1474">
        <v>3.2269999999999999</v>
      </c>
      <c r="N1474">
        <v>3.2269999999999999</v>
      </c>
      <c r="O1474" t="s">
        <v>303</v>
      </c>
      <c r="P1474">
        <f t="shared" si="22"/>
        <v>0</v>
      </c>
    </row>
    <row r="1475" spans="1:16" x14ac:dyDescent="0.25">
      <c r="A1475" t="s">
        <v>669</v>
      </c>
      <c r="B1475">
        <v>3228.7</v>
      </c>
      <c r="C1475">
        <v>3228.7</v>
      </c>
      <c r="D1475" t="s">
        <v>867</v>
      </c>
      <c r="E1475" t="s">
        <v>910</v>
      </c>
      <c r="F1475" t="s">
        <v>910</v>
      </c>
      <c r="J1475">
        <v>3.2286999999999999</v>
      </c>
      <c r="K1475">
        <v>3.2286999999999999</v>
      </c>
      <c r="L1475" t="s">
        <v>303</v>
      </c>
      <c r="M1475">
        <v>3228.7</v>
      </c>
      <c r="N1475">
        <v>3228.7</v>
      </c>
      <c r="O1475" t="s">
        <v>862</v>
      </c>
      <c r="P1475">
        <f t="shared" ref="P1475:P1538" si="23">LEN(I1475)</f>
        <v>0</v>
      </c>
    </row>
    <row r="1476" spans="1:16" x14ac:dyDescent="0.25">
      <c r="A1476" t="s">
        <v>669</v>
      </c>
      <c r="B1476">
        <v>3</v>
      </c>
      <c r="C1476">
        <v>3.23</v>
      </c>
      <c r="D1476" t="s">
        <v>303</v>
      </c>
      <c r="E1476" t="s">
        <v>910</v>
      </c>
      <c r="F1476" t="s">
        <v>910</v>
      </c>
      <c r="J1476">
        <v>3.23</v>
      </c>
      <c r="K1476">
        <v>3</v>
      </c>
      <c r="L1476" t="s">
        <v>303</v>
      </c>
      <c r="M1476">
        <v>3.23</v>
      </c>
      <c r="N1476">
        <v>3</v>
      </c>
      <c r="O1476" t="s">
        <v>303</v>
      </c>
      <c r="P1476">
        <f t="shared" si="23"/>
        <v>0</v>
      </c>
    </row>
    <row r="1477" spans="1:16" x14ac:dyDescent="0.25">
      <c r="A1477" t="s">
        <v>669</v>
      </c>
      <c r="B1477">
        <v>3.23</v>
      </c>
      <c r="C1477">
        <v>3.23</v>
      </c>
      <c r="D1477" t="s">
        <v>303</v>
      </c>
      <c r="E1477" t="s">
        <v>910</v>
      </c>
      <c r="F1477" t="s">
        <v>910</v>
      </c>
      <c r="J1477">
        <v>3.23</v>
      </c>
      <c r="K1477">
        <v>3.23</v>
      </c>
      <c r="L1477" t="s">
        <v>303</v>
      </c>
      <c r="M1477">
        <v>3.23</v>
      </c>
      <c r="N1477">
        <v>3.23</v>
      </c>
      <c r="O1477" t="s">
        <v>303</v>
      </c>
      <c r="P1477">
        <f t="shared" si="23"/>
        <v>0</v>
      </c>
    </row>
    <row r="1478" spans="1:16" x14ac:dyDescent="0.25">
      <c r="A1478" t="s">
        <v>669</v>
      </c>
      <c r="B1478">
        <v>3.2519999999999998</v>
      </c>
      <c r="C1478">
        <v>3.2519999999999998</v>
      </c>
      <c r="D1478" t="s">
        <v>303</v>
      </c>
      <c r="E1478" t="s">
        <v>910</v>
      </c>
      <c r="F1478" t="s">
        <v>910</v>
      </c>
      <c r="J1478">
        <v>3.2519999999999998</v>
      </c>
      <c r="K1478">
        <v>3.2519999999999998</v>
      </c>
      <c r="L1478" t="s">
        <v>303</v>
      </c>
      <c r="M1478">
        <v>3.2519999999999998</v>
      </c>
      <c r="N1478">
        <v>3.2519999999999998</v>
      </c>
      <c r="O1478" t="s">
        <v>303</v>
      </c>
      <c r="P1478">
        <f t="shared" si="23"/>
        <v>0</v>
      </c>
    </row>
    <row r="1479" spans="1:16" x14ac:dyDescent="0.25">
      <c r="A1479" t="s">
        <v>669</v>
      </c>
      <c r="B1479">
        <v>3256</v>
      </c>
      <c r="C1479">
        <v>3256</v>
      </c>
      <c r="D1479" t="s">
        <v>867</v>
      </c>
      <c r="E1479" t="s">
        <v>910</v>
      </c>
      <c r="F1479" t="s">
        <v>910</v>
      </c>
      <c r="J1479">
        <v>3.2559999999999998</v>
      </c>
      <c r="K1479">
        <v>3.2559999999999998</v>
      </c>
      <c r="L1479" t="s">
        <v>303</v>
      </c>
      <c r="M1479">
        <v>3256</v>
      </c>
      <c r="N1479">
        <v>3256</v>
      </c>
      <c r="O1479" t="s">
        <v>862</v>
      </c>
      <c r="P1479">
        <f t="shared" si="23"/>
        <v>0</v>
      </c>
    </row>
    <row r="1480" spans="1:16" x14ac:dyDescent="0.25">
      <c r="A1480" t="s">
        <v>669</v>
      </c>
      <c r="B1480">
        <v>3.27</v>
      </c>
      <c r="C1480">
        <v>3.27</v>
      </c>
      <c r="D1480" t="s">
        <v>303</v>
      </c>
      <c r="E1480" t="s">
        <v>910</v>
      </c>
      <c r="F1480" t="s">
        <v>910</v>
      </c>
      <c r="J1480">
        <v>3.27</v>
      </c>
      <c r="K1480">
        <v>3.27</v>
      </c>
      <c r="L1480" t="s">
        <v>303</v>
      </c>
      <c r="M1480">
        <v>3.27</v>
      </c>
      <c r="N1480">
        <v>3.27</v>
      </c>
      <c r="O1480" t="s">
        <v>303</v>
      </c>
      <c r="P1480">
        <f t="shared" si="23"/>
        <v>0</v>
      </c>
    </row>
    <row r="1481" spans="1:16" x14ac:dyDescent="0.25">
      <c r="A1481" t="s">
        <v>669</v>
      </c>
      <c r="B1481">
        <v>3274.5</v>
      </c>
      <c r="C1481">
        <v>3274.5</v>
      </c>
      <c r="D1481" t="s">
        <v>867</v>
      </c>
      <c r="E1481" t="s">
        <v>910</v>
      </c>
      <c r="F1481" t="s">
        <v>910</v>
      </c>
      <c r="J1481">
        <v>3.2745000000000002</v>
      </c>
      <c r="K1481">
        <v>3.2745000000000002</v>
      </c>
      <c r="L1481" t="s">
        <v>303</v>
      </c>
      <c r="M1481">
        <v>3274.5</v>
      </c>
      <c r="N1481">
        <v>3274.5</v>
      </c>
      <c r="O1481" t="s">
        <v>862</v>
      </c>
      <c r="P1481">
        <f t="shared" si="23"/>
        <v>0</v>
      </c>
    </row>
    <row r="1482" spans="1:16" x14ac:dyDescent="0.25">
      <c r="A1482" t="s">
        <v>669</v>
      </c>
      <c r="B1482">
        <v>3.2749999999999999</v>
      </c>
      <c r="C1482">
        <v>3.2749999999999999</v>
      </c>
      <c r="D1482" t="s">
        <v>303</v>
      </c>
      <c r="E1482" t="s">
        <v>910</v>
      </c>
      <c r="F1482" t="s">
        <v>910</v>
      </c>
      <c r="J1482">
        <v>3.2749999999999999</v>
      </c>
      <c r="K1482">
        <v>3.2749999999999999</v>
      </c>
      <c r="L1482" t="s">
        <v>303</v>
      </c>
      <c r="M1482">
        <v>3.2749999999999999</v>
      </c>
      <c r="N1482">
        <v>3.2749999999999999</v>
      </c>
      <c r="O1482" t="s">
        <v>303</v>
      </c>
      <c r="P1482">
        <f t="shared" si="23"/>
        <v>0</v>
      </c>
    </row>
    <row r="1483" spans="1:16" x14ac:dyDescent="0.25">
      <c r="A1483" t="s">
        <v>669</v>
      </c>
      <c r="B1483">
        <v>3288.8</v>
      </c>
      <c r="C1483">
        <v>3288.8</v>
      </c>
      <c r="D1483" t="s">
        <v>867</v>
      </c>
      <c r="E1483" t="s">
        <v>910</v>
      </c>
      <c r="F1483" t="s">
        <v>910</v>
      </c>
      <c r="J1483">
        <v>3.2888000000000002</v>
      </c>
      <c r="K1483">
        <v>3.2888000000000002</v>
      </c>
      <c r="L1483" t="s">
        <v>303</v>
      </c>
      <c r="M1483">
        <v>3288.8</v>
      </c>
      <c r="N1483">
        <v>3288.8</v>
      </c>
      <c r="O1483" t="s">
        <v>862</v>
      </c>
      <c r="P1483">
        <f t="shared" si="23"/>
        <v>0</v>
      </c>
    </row>
    <row r="1484" spans="1:16" x14ac:dyDescent="0.25">
      <c r="A1484" t="s">
        <v>669</v>
      </c>
      <c r="B1484">
        <v>3294.8</v>
      </c>
      <c r="C1484">
        <v>3294.8</v>
      </c>
      <c r="D1484" t="s">
        <v>867</v>
      </c>
      <c r="E1484" t="s">
        <v>910</v>
      </c>
      <c r="F1484" t="s">
        <v>910</v>
      </c>
      <c r="J1484">
        <v>3.2948000000000004</v>
      </c>
      <c r="K1484">
        <v>3.2948000000000004</v>
      </c>
      <c r="L1484" t="s">
        <v>303</v>
      </c>
      <c r="M1484">
        <v>3294.8</v>
      </c>
      <c r="N1484">
        <v>3294.8</v>
      </c>
      <c r="O1484" t="s">
        <v>862</v>
      </c>
      <c r="P1484">
        <f t="shared" si="23"/>
        <v>0</v>
      </c>
    </row>
    <row r="1485" spans="1:16" x14ac:dyDescent="0.25">
      <c r="A1485" t="s">
        <v>669</v>
      </c>
      <c r="B1485">
        <v>3296.4</v>
      </c>
      <c r="C1485">
        <v>3296.4</v>
      </c>
      <c r="D1485" t="s">
        <v>867</v>
      </c>
      <c r="E1485" t="s">
        <v>910</v>
      </c>
      <c r="F1485" t="s">
        <v>910</v>
      </c>
      <c r="J1485">
        <v>3.2964000000000002</v>
      </c>
      <c r="K1485">
        <v>3.2964000000000002</v>
      </c>
      <c r="L1485" t="s">
        <v>303</v>
      </c>
      <c r="M1485">
        <v>3296.4</v>
      </c>
      <c r="N1485">
        <v>3296.4</v>
      </c>
      <c r="O1485" t="s">
        <v>862</v>
      </c>
      <c r="P1485">
        <f t="shared" si="23"/>
        <v>0</v>
      </c>
    </row>
    <row r="1486" spans="1:16" x14ac:dyDescent="0.25">
      <c r="A1486" t="s">
        <v>669</v>
      </c>
      <c r="B1486">
        <v>3.2970000000000002</v>
      </c>
      <c r="C1486">
        <v>3.2970000000000002</v>
      </c>
      <c r="D1486" t="s">
        <v>303</v>
      </c>
      <c r="E1486" t="s">
        <v>910</v>
      </c>
      <c r="F1486" t="s">
        <v>910</v>
      </c>
      <c r="J1486">
        <v>3.2970000000000002</v>
      </c>
      <c r="K1486">
        <v>3.2970000000000002</v>
      </c>
      <c r="L1486" t="s">
        <v>303</v>
      </c>
      <c r="M1486">
        <v>3.2970000000000002</v>
      </c>
      <c r="N1486">
        <v>3.2970000000000002</v>
      </c>
      <c r="O1486" t="s">
        <v>303</v>
      </c>
      <c r="P1486">
        <f t="shared" si="23"/>
        <v>0</v>
      </c>
    </row>
    <row r="1487" spans="1:16" x14ac:dyDescent="0.25">
      <c r="A1487" t="s">
        <v>669</v>
      </c>
      <c r="B1487">
        <v>3298</v>
      </c>
      <c r="C1487">
        <v>3298</v>
      </c>
      <c r="D1487" t="s">
        <v>867</v>
      </c>
      <c r="E1487" t="s">
        <v>910</v>
      </c>
      <c r="F1487" t="s">
        <v>910</v>
      </c>
      <c r="J1487">
        <v>3.298</v>
      </c>
      <c r="K1487">
        <v>3.298</v>
      </c>
      <c r="L1487" t="s">
        <v>303</v>
      </c>
      <c r="M1487">
        <v>3298</v>
      </c>
      <c r="N1487">
        <v>3298</v>
      </c>
      <c r="O1487" t="s">
        <v>862</v>
      </c>
      <c r="P1487">
        <f t="shared" si="23"/>
        <v>0</v>
      </c>
    </row>
    <row r="1488" spans="1:16" x14ac:dyDescent="0.25">
      <c r="A1488" t="s">
        <v>669</v>
      </c>
      <c r="B1488">
        <v>3299.5</v>
      </c>
      <c r="C1488">
        <v>3299.5</v>
      </c>
      <c r="D1488" t="s">
        <v>867</v>
      </c>
      <c r="E1488" t="s">
        <v>910</v>
      </c>
      <c r="F1488" t="s">
        <v>910</v>
      </c>
      <c r="J1488">
        <v>3.2995000000000001</v>
      </c>
      <c r="K1488">
        <v>3.2995000000000001</v>
      </c>
      <c r="L1488" t="s">
        <v>303</v>
      </c>
      <c r="M1488">
        <v>3299.5</v>
      </c>
      <c r="N1488">
        <v>3299.5</v>
      </c>
      <c r="O1488" t="s">
        <v>862</v>
      </c>
      <c r="P1488">
        <f t="shared" si="23"/>
        <v>0</v>
      </c>
    </row>
    <row r="1489" spans="1:16" x14ac:dyDescent="0.25">
      <c r="A1489" t="s">
        <v>669</v>
      </c>
      <c r="B1489">
        <v>3.2</v>
      </c>
      <c r="C1489">
        <v>3.3</v>
      </c>
      <c r="D1489" t="s">
        <v>303</v>
      </c>
      <c r="E1489" t="s">
        <v>910</v>
      </c>
      <c r="F1489" t="s">
        <v>910</v>
      </c>
      <c r="J1489">
        <v>3.3</v>
      </c>
      <c r="K1489">
        <v>3.2</v>
      </c>
      <c r="L1489" t="s">
        <v>303</v>
      </c>
      <c r="M1489">
        <v>3.3</v>
      </c>
      <c r="N1489">
        <v>3.2</v>
      </c>
      <c r="O1489" t="s">
        <v>303</v>
      </c>
      <c r="P1489">
        <f t="shared" si="23"/>
        <v>0</v>
      </c>
    </row>
    <row r="1490" spans="1:16" x14ac:dyDescent="0.25">
      <c r="A1490" t="s">
        <v>669</v>
      </c>
      <c r="B1490">
        <v>3303.2</v>
      </c>
      <c r="C1490">
        <v>3303.2</v>
      </c>
      <c r="D1490" t="s">
        <v>867</v>
      </c>
      <c r="E1490" t="s">
        <v>910</v>
      </c>
      <c r="F1490" t="s">
        <v>910</v>
      </c>
      <c r="J1490">
        <v>3.3031999999999999</v>
      </c>
      <c r="K1490">
        <v>3.3031999999999999</v>
      </c>
      <c r="L1490" t="s">
        <v>303</v>
      </c>
      <c r="M1490">
        <v>3303.2</v>
      </c>
      <c r="N1490">
        <v>3303.2</v>
      </c>
      <c r="O1490" t="s">
        <v>862</v>
      </c>
      <c r="P1490">
        <f t="shared" si="23"/>
        <v>0</v>
      </c>
    </row>
    <row r="1491" spans="1:16" x14ac:dyDescent="0.25">
      <c r="A1491" t="s">
        <v>669</v>
      </c>
      <c r="B1491">
        <v>3.31</v>
      </c>
      <c r="C1491">
        <v>3.31</v>
      </c>
      <c r="D1491" t="s">
        <v>303</v>
      </c>
      <c r="E1491" t="s">
        <v>910</v>
      </c>
      <c r="F1491" t="s">
        <v>910</v>
      </c>
      <c r="J1491">
        <v>3.31</v>
      </c>
      <c r="K1491">
        <v>3.31</v>
      </c>
      <c r="L1491" t="s">
        <v>303</v>
      </c>
      <c r="M1491">
        <v>3.31</v>
      </c>
      <c r="N1491">
        <v>3.31</v>
      </c>
      <c r="O1491" t="s">
        <v>303</v>
      </c>
      <c r="P1491">
        <f t="shared" si="23"/>
        <v>0</v>
      </c>
    </row>
    <row r="1492" spans="1:16" x14ac:dyDescent="0.25">
      <c r="A1492" t="s">
        <v>213</v>
      </c>
      <c r="B1492">
        <v>100</v>
      </c>
      <c r="C1492">
        <v>120</v>
      </c>
      <c r="D1492" t="s">
        <v>857</v>
      </c>
      <c r="E1492">
        <v>5</v>
      </c>
      <c r="F1492">
        <v>5</v>
      </c>
      <c r="G1492" t="s">
        <v>684</v>
      </c>
      <c r="H1492" t="s">
        <v>684</v>
      </c>
      <c r="J1492">
        <v>120</v>
      </c>
      <c r="K1492">
        <v>100</v>
      </c>
      <c r="L1492" t="s">
        <v>921</v>
      </c>
      <c r="M1492">
        <v>120</v>
      </c>
      <c r="N1492">
        <v>100</v>
      </c>
      <c r="O1492" t="s">
        <v>921</v>
      </c>
      <c r="P1492">
        <f t="shared" si="23"/>
        <v>0</v>
      </c>
    </row>
    <row r="1493" spans="1:16" x14ac:dyDescent="0.25">
      <c r="A1493" t="s">
        <v>669</v>
      </c>
      <c r="B1493">
        <v>3.319</v>
      </c>
      <c r="C1493">
        <v>3.319</v>
      </c>
      <c r="D1493" t="s">
        <v>303</v>
      </c>
      <c r="E1493" t="s">
        <v>910</v>
      </c>
      <c r="F1493" t="s">
        <v>910</v>
      </c>
      <c r="J1493">
        <v>3.319</v>
      </c>
      <c r="K1493">
        <v>3.319</v>
      </c>
      <c r="L1493" t="s">
        <v>303</v>
      </c>
      <c r="M1493">
        <v>3.319</v>
      </c>
      <c r="N1493">
        <v>3.319</v>
      </c>
      <c r="O1493" t="s">
        <v>303</v>
      </c>
      <c r="P1493">
        <f t="shared" si="23"/>
        <v>0</v>
      </c>
    </row>
    <row r="1494" spans="1:16" x14ac:dyDescent="0.25">
      <c r="A1494" t="s">
        <v>669</v>
      </c>
      <c r="B1494">
        <v>3.32</v>
      </c>
      <c r="C1494">
        <v>3.32</v>
      </c>
      <c r="D1494" t="s">
        <v>303</v>
      </c>
      <c r="E1494" t="s">
        <v>910</v>
      </c>
      <c r="F1494" t="s">
        <v>910</v>
      </c>
      <c r="J1494">
        <v>3.32</v>
      </c>
      <c r="K1494">
        <v>3.32</v>
      </c>
      <c r="L1494" t="s">
        <v>303</v>
      </c>
      <c r="M1494">
        <v>3.32</v>
      </c>
      <c r="N1494">
        <v>3.32</v>
      </c>
      <c r="O1494" t="s">
        <v>303</v>
      </c>
      <c r="P1494">
        <f t="shared" si="23"/>
        <v>0</v>
      </c>
    </row>
    <row r="1495" spans="1:16" x14ac:dyDescent="0.25">
      <c r="A1495" t="s">
        <v>669</v>
      </c>
      <c r="B1495">
        <v>3.34</v>
      </c>
      <c r="C1495">
        <v>3.34</v>
      </c>
      <c r="D1495" t="s">
        <v>303</v>
      </c>
      <c r="E1495" t="s">
        <v>910</v>
      </c>
      <c r="F1495" t="s">
        <v>910</v>
      </c>
      <c r="J1495">
        <v>3.34</v>
      </c>
      <c r="K1495">
        <v>3.34</v>
      </c>
      <c r="L1495" t="s">
        <v>303</v>
      </c>
      <c r="M1495">
        <v>3.34</v>
      </c>
      <c r="N1495">
        <v>3.34</v>
      </c>
      <c r="O1495" t="s">
        <v>303</v>
      </c>
      <c r="P1495">
        <f t="shared" si="23"/>
        <v>0</v>
      </c>
    </row>
    <row r="1496" spans="1:16" x14ac:dyDescent="0.25">
      <c r="A1496" t="s">
        <v>669</v>
      </c>
      <c r="B1496">
        <v>3.3410000000000002</v>
      </c>
      <c r="C1496">
        <v>3.3410000000000002</v>
      </c>
      <c r="D1496" t="s">
        <v>303</v>
      </c>
      <c r="E1496" t="s">
        <v>910</v>
      </c>
      <c r="F1496" t="s">
        <v>910</v>
      </c>
      <c r="J1496">
        <v>3.3410000000000002</v>
      </c>
      <c r="K1496">
        <v>3.3410000000000002</v>
      </c>
      <c r="L1496" t="s">
        <v>303</v>
      </c>
      <c r="M1496">
        <v>3.3410000000000002</v>
      </c>
      <c r="N1496">
        <v>3.3410000000000002</v>
      </c>
      <c r="O1496" t="s">
        <v>303</v>
      </c>
      <c r="P1496">
        <f t="shared" si="23"/>
        <v>0</v>
      </c>
    </row>
    <row r="1497" spans="1:16" x14ac:dyDescent="0.25">
      <c r="A1497" t="s">
        <v>669</v>
      </c>
      <c r="B1497">
        <v>3.35</v>
      </c>
      <c r="C1497">
        <v>3.35</v>
      </c>
      <c r="D1497" t="s">
        <v>303</v>
      </c>
      <c r="E1497" t="s">
        <v>910</v>
      </c>
      <c r="F1497" t="s">
        <v>910</v>
      </c>
      <c r="J1497">
        <v>3.35</v>
      </c>
      <c r="K1497">
        <v>3.35</v>
      </c>
      <c r="L1497" t="s">
        <v>303</v>
      </c>
      <c r="M1497">
        <v>3.35</v>
      </c>
      <c r="N1497">
        <v>3.35</v>
      </c>
      <c r="O1497" t="s">
        <v>303</v>
      </c>
      <c r="P1497">
        <f t="shared" si="23"/>
        <v>0</v>
      </c>
    </row>
    <row r="1498" spans="1:16" x14ac:dyDescent="0.25">
      <c r="A1498" t="s">
        <v>669</v>
      </c>
      <c r="B1498">
        <v>3356.8</v>
      </c>
      <c r="C1498">
        <v>3356.8</v>
      </c>
      <c r="D1498" t="s">
        <v>867</v>
      </c>
      <c r="E1498" t="s">
        <v>910</v>
      </c>
      <c r="F1498" t="s">
        <v>910</v>
      </c>
      <c r="J1498">
        <v>3.3568000000000002</v>
      </c>
      <c r="K1498">
        <v>3.3568000000000002</v>
      </c>
      <c r="L1498" t="s">
        <v>303</v>
      </c>
      <c r="M1498">
        <v>3356.8</v>
      </c>
      <c r="N1498">
        <v>3356.8</v>
      </c>
      <c r="O1498" t="s">
        <v>862</v>
      </c>
      <c r="P1498">
        <f t="shared" si="23"/>
        <v>0</v>
      </c>
    </row>
    <row r="1499" spans="1:16" x14ac:dyDescent="0.25">
      <c r="A1499" t="s">
        <v>669</v>
      </c>
      <c r="B1499">
        <v>3.3620000000000001</v>
      </c>
      <c r="C1499">
        <v>3.3620000000000001</v>
      </c>
      <c r="D1499" t="s">
        <v>303</v>
      </c>
      <c r="E1499" t="s">
        <v>910</v>
      </c>
      <c r="F1499" t="s">
        <v>910</v>
      </c>
      <c r="J1499">
        <v>3.3620000000000001</v>
      </c>
      <c r="K1499">
        <v>3.3620000000000001</v>
      </c>
      <c r="L1499" t="s">
        <v>303</v>
      </c>
      <c r="M1499">
        <v>3.3620000000000001</v>
      </c>
      <c r="N1499">
        <v>3.3620000000000001</v>
      </c>
      <c r="O1499" t="s">
        <v>303</v>
      </c>
      <c r="P1499">
        <f t="shared" si="23"/>
        <v>0</v>
      </c>
    </row>
    <row r="1500" spans="1:16" x14ac:dyDescent="0.25">
      <c r="A1500" t="s">
        <v>669</v>
      </c>
      <c r="B1500">
        <v>3.3645</v>
      </c>
      <c r="C1500">
        <v>3.3645</v>
      </c>
      <c r="D1500" t="s">
        <v>303</v>
      </c>
      <c r="E1500" t="s">
        <v>910</v>
      </c>
      <c r="F1500" t="s">
        <v>910</v>
      </c>
      <c r="J1500">
        <v>3.3645</v>
      </c>
      <c r="K1500">
        <v>3.3645</v>
      </c>
      <c r="L1500" t="s">
        <v>303</v>
      </c>
      <c r="M1500">
        <v>3.3645</v>
      </c>
      <c r="N1500">
        <v>3.3645</v>
      </c>
      <c r="O1500" t="s">
        <v>303</v>
      </c>
      <c r="P1500">
        <f t="shared" si="23"/>
        <v>0</v>
      </c>
    </row>
    <row r="1501" spans="1:16" x14ac:dyDescent="0.25">
      <c r="A1501" t="s">
        <v>669</v>
      </c>
      <c r="B1501">
        <v>3.37</v>
      </c>
      <c r="C1501">
        <v>3.37</v>
      </c>
      <c r="D1501" t="s">
        <v>303</v>
      </c>
      <c r="E1501" t="s">
        <v>910</v>
      </c>
      <c r="F1501" t="s">
        <v>910</v>
      </c>
      <c r="J1501">
        <v>3.37</v>
      </c>
      <c r="K1501">
        <v>3.37</v>
      </c>
      <c r="L1501" t="s">
        <v>303</v>
      </c>
      <c r="M1501">
        <v>3.37</v>
      </c>
      <c r="N1501">
        <v>3.37</v>
      </c>
      <c r="O1501" t="s">
        <v>303</v>
      </c>
      <c r="P1501">
        <f t="shared" si="23"/>
        <v>0</v>
      </c>
    </row>
    <row r="1502" spans="1:16" x14ac:dyDescent="0.25">
      <c r="A1502" t="s">
        <v>669</v>
      </c>
      <c r="B1502">
        <v>3.38</v>
      </c>
      <c r="C1502">
        <v>3.38</v>
      </c>
      <c r="D1502" t="s">
        <v>303</v>
      </c>
      <c r="E1502" t="s">
        <v>910</v>
      </c>
      <c r="F1502" t="s">
        <v>910</v>
      </c>
      <c r="J1502">
        <v>3.38</v>
      </c>
      <c r="K1502">
        <v>3.38</v>
      </c>
      <c r="L1502" t="s">
        <v>303</v>
      </c>
      <c r="M1502">
        <v>3.38</v>
      </c>
      <c r="N1502">
        <v>3.38</v>
      </c>
      <c r="O1502" t="s">
        <v>303</v>
      </c>
      <c r="P1502">
        <f t="shared" si="23"/>
        <v>0</v>
      </c>
    </row>
    <row r="1503" spans="1:16" x14ac:dyDescent="0.25">
      <c r="A1503" t="s">
        <v>669</v>
      </c>
      <c r="B1503">
        <v>3.3849999999999998</v>
      </c>
      <c r="C1503">
        <v>3.3849999999999998</v>
      </c>
      <c r="D1503" t="s">
        <v>303</v>
      </c>
      <c r="E1503" t="s">
        <v>910</v>
      </c>
      <c r="F1503" t="s">
        <v>910</v>
      </c>
      <c r="J1503">
        <v>3.3849999999999998</v>
      </c>
      <c r="K1503">
        <v>3.3849999999999998</v>
      </c>
      <c r="L1503" t="s">
        <v>303</v>
      </c>
      <c r="M1503">
        <v>3.3849999999999998</v>
      </c>
      <c r="N1503">
        <v>3.3849999999999998</v>
      </c>
      <c r="O1503" t="s">
        <v>303</v>
      </c>
      <c r="P1503">
        <f t="shared" si="23"/>
        <v>0</v>
      </c>
    </row>
    <row r="1504" spans="1:16" x14ac:dyDescent="0.25">
      <c r="A1504" t="s">
        <v>669</v>
      </c>
      <c r="B1504">
        <v>3395.2</v>
      </c>
      <c r="C1504">
        <v>3395.2</v>
      </c>
      <c r="D1504" t="s">
        <v>867</v>
      </c>
      <c r="E1504" t="s">
        <v>910</v>
      </c>
      <c r="F1504" t="s">
        <v>910</v>
      </c>
      <c r="J1504">
        <v>3.3952</v>
      </c>
      <c r="K1504">
        <v>3.3952</v>
      </c>
      <c r="L1504" t="s">
        <v>303</v>
      </c>
      <c r="M1504">
        <v>3395.2</v>
      </c>
      <c r="N1504">
        <v>3395.2</v>
      </c>
      <c r="O1504" t="s">
        <v>862</v>
      </c>
      <c r="P1504">
        <f t="shared" si="23"/>
        <v>0</v>
      </c>
    </row>
    <row r="1505" spans="1:16" x14ac:dyDescent="0.25">
      <c r="A1505" t="s">
        <v>537</v>
      </c>
      <c r="B1505">
        <v>2.73</v>
      </c>
      <c r="C1505">
        <v>3.4</v>
      </c>
      <c r="D1505" t="s">
        <v>303</v>
      </c>
      <c r="E1505">
        <v>14</v>
      </c>
      <c r="F1505">
        <v>14</v>
      </c>
      <c r="G1505" t="s">
        <v>690</v>
      </c>
      <c r="H1505" t="s">
        <v>690</v>
      </c>
      <c r="J1505">
        <v>3.4</v>
      </c>
      <c r="K1505">
        <v>2.73</v>
      </c>
      <c r="L1505" t="s">
        <v>303</v>
      </c>
      <c r="M1505">
        <v>3.4</v>
      </c>
      <c r="N1505">
        <v>2.73</v>
      </c>
      <c r="O1505" t="s">
        <v>303</v>
      </c>
      <c r="P1505">
        <f t="shared" si="23"/>
        <v>0</v>
      </c>
    </row>
    <row r="1506" spans="1:16" x14ac:dyDescent="0.25">
      <c r="A1506" t="s">
        <v>669</v>
      </c>
      <c r="B1506">
        <v>3.4</v>
      </c>
      <c r="C1506">
        <v>3.4</v>
      </c>
      <c r="D1506" t="s">
        <v>303</v>
      </c>
      <c r="E1506" t="s">
        <v>910</v>
      </c>
      <c r="F1506" t="s">
        <v>910</v>
      </c>
      <c r="J1506">
        <v>3.4</v>
      </c>
      <c r="K1506">
        <v>3.4</v>
      </c>
      <c r="L1506" t="s">
        <v>303</v>
      </c>
      <c r="M1506">
        <v>3.4</v>
      </c>
      <c r="N1506">
        <v>3.4</v>
      </c>
      <c r="O1506" t="s">
        <v>303</v>
      </c>
      <c r="P1506">
        <f t="shared" si="23"/>
        <v>0</v>
      </c>
    </row>
    <row r="1507" spans="1:16" x14ac:dyDescent="0.25">
      <c r="A1507" t="s">
        <v>669</v>
      </c>
      <c r="B1507">
        <v>3.4089999999999998</v>
      </c>
      <c r="C1507">
        <v>3.4089999999999998</v>
      </c>
      <c r="D1507" t="s">
        <v>303</v>
      </c>
      <c r="E1507" t="s">
        <v>910</v>
      </c>
      <c r="F1507" t="s">
        <v>910</v>
      </c>
      <c r="J1507">
        <v>3.4089999999999998</v>
      </c>
      <c r="K1507">
        <v>3.4089999999999998</v>
      </c>
      <c r="L1507" t="s">
        <v>303</v>
      </c>
      <c r="M1507">
        <v>3.4089999999999998</v>
      </c>
      <c r="N1507">
        <v>3.4089999999999998</v>
      </c>
      <c r="O1507" t="s">
        <v>303</v>
      </c>
      <c r="P1507">
        <f t="shared" si="23"/>
        <v>0</v>
      </c>
    </row>
    <row r="1508" spans="1:16" x14ac:dyDescent="0.25">
      <c r="A1508" t="s">
        <v>669</v>
      </c>
      <c r="B1508">
        <v>3.4283000000000001</v>
      </c>
      <c r="C1508">
        <v>3.4283000000000001</v>
      </c>
      <c r="D1508" t="s">
        <v>303</v>
      </c>
      <c r="E1508" t="s">
        <v>910</v>
      </c>
      <c r="F1508" t="s">
        <v>910</v>
      </c>
      <c r="J1508">
        <v>3.4283000000000001</v>
      </c>
      <c r="K1508">
        <v>3.4283000000000001</v>
      </c>
      <c r="L1508" t="s">
        <v>303</v>
      </c>
      <c r="M1508">
        <v>3.4283000000000001</v>
      </c>
      <c r="N1508">
        <v>3.4283000000000001</v>
      </c>
      <c r="O1508" t="s">
        <v>303</v>
      </c>
      <c r="P1508">
        <f t="shared" si="23"/>
        <v>0</v>
      </c>
    </row>
    <row r="1509" spans="1:16" x14ac:dyDescent="0.25">
      <c r="A1509" t="s">
        <v>669</v>
      </c>
      <c r="B1509">
        <v>3.4289000000000001</v>
      </c>
      <c r="C1509">
        <v>3.4289000000000001</v>
      </c>
      <c r="D1509" t="s">
        <v>303</v>
      </c>
      <c r="E1509" t="s">
        <v>910</v>
      </c>
      <c r="F1509" t="s">
        <v>910</v>
      </c>
      <c r="J1509">
        <v>3.4289000000000001</v>
      </c>
      <c r="K1509">
        <v>3.4289000000000001</v>
      </c>
      <c r="L1509" t="s">
        <v>303</v>
      </c>
      <c r="M1509">
        <v>3.4289000000000001</v>
      </c>
      <c r="N1509">
        <v>3.4289000000000001</v>
      </c>
      <c r="O1509" t="s">
        <v>303</v>
      </c>
      <c r="P1509">
        <f t="shared" si="23"/>
        <v>0</v>
      </c>
    </row>
    <row r="1510" spans="1:16" x14ac:dyDescent="0.25">
      <c r="A1510" t="s">
        <v>669</v>
      </c>
      <c r="B1510">
        <v>3.43</v>
      </c>
      <c r="C1510">
        <v>3.43</v>
      </c>
      <c r="D1510" t="s">
        <v>303</v>
      </c>
      <c r="E1510" t="s">
        <v>910</v>
      </c>
      <c r="F1510" t="s">
        <v>910</v>
      </c>
      <c r="J1510">
        <v>3.43</v>
      </c>
      <c r="K1510">
        <v>3.43</v>
      </c>
      <c r="L1510" t="s">
        <v>303</v>
      </c>
      <c r="M1510">
        <v>3.43</v>
      </c>
      <c r="N1510">
        <v>3.43</v>
      </c>
      <c r="O1510" t="s">
        <v>303</v>
      </c>
      <c r="P1510">
        <f t="shared" si="23"/>
        <v>0</v>
      </c>
    </row>
    <row r="1511" spans="1:16" x14ac:dyDescent="0.25">
      <c r="A1511" t="s">
        <v>669</v>
      </c>
      <c r="B1511">
        <v>3.4310999999999998</v>
      </c>
      <c r="C1511">
        <v>3.4310999999999998</v>
      </c>
      <c r="D1511" t="s">
        <v>303</v>
      </c>
      <c r="E1511" t="s">
        <v>910</v>
      </c>
      <c r="F1511" t="s">
        <v>910</v>
      </c>
      <c r="J1511">
        <v>3.4310999999999998</v>
      </c>
      <c r="K1511">
        <v>3.4310999999999998</v>
      </c>
      <c r="L1511" t="s">
        <v>303</v>
      </c>
      <c r="M1511">
        <v>3.4310999999999998</v>
      </c>
      <c r="N1511">
        <v>3.4310999999999998</v>
      </c>
      <c r="O1511" t="s">
        <v>303</v>
      </c>
      <c r="P1511">
        <f t="shared" si="23"/>
        <v>0</v>
      </c>
    </row>
    <row r="1512" spans="1:16" x14ac:dyDescent="0.25">
      <c r="A1512" t="s">
        <v>669</v>
      </c>
      <c r="B1512">
        <v>3.4350000000000001</v>
      </c>
      <c r="C1512">
        <v>3.4350000000000001</v>
      </c>
      <c r="D1512" t="s">
        <v>303</v>
      </c>
      <c r="E1512" t="s">
        <v>910</v>
      </c>
      <c r="F1512" t="s">
        <v>910</v>
      </c>
      <c r="J1512">
        <v>3.4350000000000001</v>
      </c>
      <c r="K1512">
        <v>3.4350000000000001</v>
      </c>
      <c r="L1512" t="s">
        <v>303</v>
      </c>
      <c r="M1512">
        <v>3.4350000000000001</v>
      </c>
      <c r="N1512">
        <v>3.4350000000000001</v>
      </c>
      <c r="O1512" t="s">
        <v>303</v>
      </c>
      <c r="P1512">
        <f t="shared" si="23"/>
        <v>0</v>
      </c>
    </row>
    <row r="1513" spans="1:16" x14ac:dyDescent="0.25">
      <c r="A1513" t="s">
        <v>669</v>
      </c>
      <c r="B1513">
        <v>3.44</v>
      </c>
      <c r="C1513">
        <v>3.44</v>
      </c>
      <c r="D1513" t="s">
        <v>303</v>
      </c>
      <c r="E1513" t="s">
        <v>910</v>
      </c>
      <c r="F1513" t="s">
        <v>910</v>
      </c>
      <c r="J1513">
        <v>3.44</v>
      </c>
      <c r="K1513">
        <v>3.44</v>
      </c>
      <c r="L1513" t="s">
        <v>303</v>
      </c>
      <c r="M1513">
        <v>3.44</v>
      </c>
      <c r="N1513">
        <v>3.44</v>
      </c>
      <c r="O1513" t="s">
        <v>303</v>
      </c>
      <c r="P1513">
        <f t="shared" si="23"/>
        <v>0</v>
      </c>
    </row>
    <row r="1514" spans="1:16" x14ac:dyDescent="0.25">
      <c r="A1514" t="s">
        <v>669</v>
      </c>
      <c r="B1514">
        <v>3.4620000000000002</v>
      </c>
      <c r="C1514">
        <v>3.4620000000000002</v>
      </c>
      <c r="D1514" t="s">
        <v>303</v>
      </c>
      <c r="E1514" t="s">
        <v>910</v>
      </c>
      <c r="F1514" t="s">
        <v>910</v>
      </c>
      <c r="J1514">
        <v>3.4620000000000002</v>
      </c>
      <c r="K1514">
        <v>3.4620000000000002</v>
      </c>
      <c r="L1514" t="s">
        <v>303</v>
      </c>
      <c r="M1514">
        <v>3.4620000000000002</v>
      </c>
      <c r="N1514">
        <v>3.4620000000000002</v>
      </c>
      <c r="O1514" t="s">
        <v>303</v>
      </c>
      <c r="P1514">
        <f t="shared" si="23"/>
        <v>0</v>
      </c>
    </row>
    <row r="1515" spans="1:16" x14ac:dyDescent="0.25">
      <c r="A1515" t="s">
        <v>669</v>
      </c>
      <c r="B1515">
        <v>3.4649000000000001</v>
      </c>
      <c r="C1515">
        <v>3.4649000000000001</v>
      </c>
      <c r="D1515" t="s">
        <v>303</v>
      </c>
      <c r="E1515" t="s">
        <v>910</v>
      </c>
      <c r="F1515" t="s">
        <v>910</v>
      </c>
      <c r="J1515">
        <v>3.4649000000000001</v>
      </c>
      <c r="K1515">
        <v>3.4649000000000001</v>
      </c>
      <c r="L1515" t="s">
        <v>303</v>
      </c>
      <c r="M1515">
        <v>3.4649000000000001</v>
      </c>
      <c r="N1515">
        <v>3.4649000000000001</v>
      </c>
      <c r="O1515" t="s">
        <v>303</v>
      </c>
      <c r="P1515">
        <f t="shared" si="23"/>
        <v>0</v>
      </c>
    </row>
    <row r="1516" spans="1:16" x14ac:dyDescent="0.25">
      <c r="A1516" t="s">
        <v>669</v>
      </c>
      <c r="B1516">
        <v>3.4758</v>
      </c>
      <c r="C1516">
        <v>3.4758</v>
      </c>
      <c r="D1516" t="s">
        <v>303</v>
      </c>
      <c r="E1516" t="s">
        <v>910</v>
      </c>
      <c r="F1516" t="s">
        <v>910</v>
      </c>
      <c r="J1516">
        <v>3.4758</v>
      </c>
      <c r="K1516">
        <v>3.4758</v>
      </c>
      <c r="L1516" t="s">
        <v>303</v>
      </c>
      <c r="M1516">
        <v>3.4758</v>
      </c>
      <c r="N1516">
        <v>3.4758</v>
      </c>
      <c r="O1516" t="s">
        <v>303</v>
      </c>
      <c r="P1516">
        <f t="shared" si="23"/>
        <v>0</v>
      </c>
    </row>
    <row r="1517" spans="1:16" x14ac:dyDescent="0.25">
      <c r="A1517" t="s">
        <v>669</v>
      </c>
      <c r="B1517">
        <v>3.4763999999999999</v>
      </c>
      <c r="C1517">
        <v>3.4763999999999999</v>
      </c>
      <c r="D1517" t="s">
        <v>303</v>
      </c>
      <c r="E1517" t="s">
        <v>910</v>
      </c>
      <c r="F1517" t="s">
        <v>910</v>
      </c>
      <c r="J1517">
        <v>3.4763999999999999</v>
      </c>
      <c r="K1517">
        <v>3.4763999999999999</v>
      </c>
      <c r="L1517" t="s">
        <v>303</v>
      </c>
      <c r="M1517">
        <v>3.4763999999999999</v>
      </c>
      <c r="N1517">
        <v>3.4763999999999999</v>
      </c>
      <c r="O1517" t="s">
        <v>303</v>
      </c>
      <c r="P1517">
        <f t="shared" si="23"/>
        <v>0</v>
      </c>
    </row>
    <row r="1518" spans="1:16" x14ac:dyDescent="0.25">
      <c r="A1518" t="s">
        <v>537</v>
      </c>
      <c r="B1518">
        <v>3483.4380000000001</v>
      </c>
      <c r="C1518">
        <v>3483.4380000000001</v>
      </c>
      <c r="D1518" t="s">
        <v>887</v>
      </c>
      <c r="E1518" t="s">
        <v>910</v>
      </c>
      <c r="F1518" t="s">
        <v>910</v>
      </c>
      <c r="J1518">
        <v>3.483438</v>
      </c>
      <c r="K1518">
        <v>3.483438</v>
      </c>
      <c r="L1518" t="s">
        <v>303</v>
      </c>
      <c r="M1518">
        <v>3483.4380000000001</v>
      </c>
      <c r="N1518">
        <v>3483.4380000000001</v>
      </c>
      <c r="O1518" t="s">
        <v>862</v>
      </c>
      <c r="P1518">
        <f t="shared" si="23"/>
        <v>0</v>
      </c>
    </row>
    <row r="1519" spans="1:16" x14ac:dyDescent="0.25">
      <c r="A1519" t="s">
        <v>669</v>
      </c>
      <c r="B1519">
        <v>3.492</v>
      </c>
      <c r="C1519">
        <v>3.492</v>
      </c>
      <c r="D1519" t="s">
        <v>303</v>
      </c>
      <c r="E1519" t="s">
        <v>910</v>
      </c>
      <c r="F1519" t="s">
        <v>910</v>
      </c>
      <c r="J1519">
        <v>3.492</v>
      </c>
      <c r="K1519">
        <v>3.492</v>
      </c>
      <c r="L1519" t="s">
        <v>303</v>
      </c>
      <c r="M1519">
        <v>3.492</v>
      </c>
      <c r="N1519">
        <v>3.492</v>
      </c>
      <c r="O1519" t="s">
        <v>303</v>
      </c>
      <c r="P1519">
        <f t="shared" si="23"/>
        <v>0</v>
      </c>
    </row>
    <row r="1520" spans="1:16" x14ac:dyDescent="0.25">
      <c r="A1520" t="s">
        <v>669</v>
      </c>
      <c r="B1520">
        <v>3.4956999999999998</v>
      </c>
      <c r="C1520">
        <v>3.4956999999999998</v>
      </c>
      <c r="D1520" t="s">
        <v>303</v>
      </c>
      <c r="E1520" t="s">
        <v>910</v>
      </c>
      <c r="F1520" t="s">
        <v>910</v>
      </c>
      <c r="J1520">
        <v>3.4956999999999998</v>
      </c>
      <c r="K1520">
        <v>3.4956999999999998</v>
      </c>
      <c r="L1520" t="s">
        <v>303</v>
      </c>
      <c r="M1520">
        <v>3.4956999999999998</v>
      </c>
      <c r="N1520">
        <v>3.4956999999999998</v>
      </c>
      <c r="O1520" t="s">
        <v>303</v>
      </c>
      <c r="P1520">
        <f t="shared" si="23"/>
        <v>0</v>
      </c>
    </row>
    <row r="1521" spans="1:16" x14ac:dyDescent="0.25">
      <c r="A1521" t="s">
        <v>669</v>
      </c>
      <c r="B1521">
        <v>3.4996</v>
      </c>
      <c r="C1521">
        <v>3.4996</v>
      </c>
      <c r="D1521" t="s">
        <v>303</v>
      </c>
      <c r="E1521" t="s">
        <v>910</v>
      </c>
      <c r="F1521" t="s">
        <v>910</v>
      </c>
      <c r="J1521">
        <v>3.4996</v>
      </c>
      <c r="K1521">
        <v>3.4996</v>
      </c>
      <c r="L1521" t="s">
        <v>303</v>
      </c>
      <c r="M1521">
        <v>3.4996</v>
      </c>
      <c r="N1521">
        <v>3.4996</v>
      </c>
      <c r="O1521" t="s">
        <v>303</v>
      </c>
      <c r="P1521">
        <f t="shared" si="23"/>
        <v>0</v>
      </c>
    </row>
    <row r="1522" spans="1:16" x14ac:dyDescent="0.25">
      <c r="A1522" t="s">
        <v>669</v>
      </c>
      <c r="B1522">
        <v>3.4998</v>
      </c>
      <c r="C1522">
        <v>3.4998</v>
      </c>
      <c r="D1522" t="s">
        <v>303</v>
      </c>
      <c r="E1522" t="s">
        <v>910</v>
      </c>
      <c r="F1522" t="s">
        <v>910</v>
      </c>
      <c r="J1522">
        <v>3.4998</v>
      </c>
      <c r="K1522">
        <v>3.4998</v>
      </c>
      <c r="L1522" t="s">
        <v>303</v>
      </c>
      <c r="M1522">
        <v>3.4998</v>
      </c>
      <c r="N1522">
        <v>3.4998</v>
      </c>
      <c r="O1522" t="s">
        <v>303</v>
      </c>
      <c r="P1522">
        <f t="shared" si="23"/>
        <v>0</v>
      </c>
    </row>
    <row r="1523" spans="1:16" x14ac:dyDescent="0.25">
      <c r="A1523" t="s">
        <v>669</v>
      </c>
      <c r="B1523">
        <v>3.23</v>
      </c>
      <c r="C1523">
        <v>3.5</v>
      </c>
      <c r="D1523" t="s">
        <v>303</v>
      </c>
      <c r="E1523" t="s">
        <v>910</v>
      </c>
      <c r="F1523" t="s">
        <v>910</v>
      </c>
      <c r="J1523">
        <v>3.5</v>
      </c>
      <c r="K1523">
        <v>3.23</v>
      </c>
      <c r="L1523" t="s">
        <v>303</v>
      </c>
      <c r="M1523">
        <v>3.5</v>
      </c>
      <c r="N1523">
        <v>3.23</v>
      </c>
      <c r="O1523" t="s">
        <v>303</v>
      </c>
      <c r="P1523">
        <f t="shared" si="23"/>
        <v>0</v>
      </c>
    </row>
    <row r="1524" spans="1:16" x14ac:dyDescent="0.25">
      <c r="A1524" t="s">
        <v>669</v>
      </c>
      <c r="B1524">
        <v>3.5</v>
      </c>
      <c r="C1524">
        <v>3.5</v>
      </c>
      <c r="D1524" t="s">
        <v>303</v>
      </c>
      <c r="E1524" t="s">
        <v>910</v>
      </c>
      <c r="F1524" t="s">
        <v>910</v>
      </c>
      <c r="J1524">
        <v>3.5</v>
      </c>
      <c r="K1524">
        <v>3.5</v>
      </c>
      <c r="L1524" t="s">
        <v>303</v>
      </c>
      <c r="M1524">
        <v>3.5</v>
      </c>
      <c r="N1524">
        <v>3.5</v>
      </c>
      <c r="O1524" t="s">
        <v>303</v>
      </c>
      <c r="P1524">
        <f t="shared" si="23"/>
        <v>0</v>
      </c>
    </row>
    <row r="1525" spans="1:16" x14ac:dyDescent="0.25">
      <c r="A1525" t="s">
        <v>669</v>
      </c>
      <c r="B1525">
        <v>3.524</v>
      </c>
      <c r="C1525">
        <v>3.524</v>
      </c>
      <c r="D1525" t="s">
        <v>303</v>
      </c>
      <c r="E1525" t="s">
        <v>910</v>
      </c>
      <c r="F1525" t="s">
        <v>910</v>
      </c>
      <c r="J1525">
        <v>3.524</v>
      </c>
      <c r="K1525">
        <v>3.524</v>
      </c>
      <c r="L1525" t="s">
        <v>303</v>
      </c>
      <c r="M1525">
        <v>3.524</v>
      </c>
      <c r="N1525">
        <v>3.524</v>
      </c>
      <c r="O1525" t="s">
        <v>303</v>
      </c>
      <c r="P1525">
        <f t="shared" si="23"/>
        <v>0</v>
      </c>
    </row>
    <row r="1526" spans="1:16" x14ac:dyDescent="0.25">
      <c r="A1526" t="s">
        <v>669</v>
      </c>
      <c r="B1526">
        <v>3.54</v>
      </c>
      <c r="C1526">
        <v>3.54</v>
      </c>
      <c r="D1526" t="s">
        <v>303</v>
      </c>
      <c r="E1526" t="s">
        <v>910</v>
      </c>
      <c r="F1526" t="s">
        <v>910</v>
      </c>
      <c r="J1526">
        <v>3.54</v>
      </c>
      <c r="K1526">
        <v>3.54</v>
      </c>
      <c r="L1526" t="s">
        <v>303</v>
      </c>
      <c r="M1526">
        <v>3.54</v>
      </c>
      <c r="N1526">
        <v>3.54</v>
      </c>
      <c r="O1526" t="s">
        <v>303</v>
      </c>
      <c r="P1526">
        <f t="shared" si="23"/>
        <v>0</v>
      </c>
    </row>
    <row r="1527" spans="1:16" x14ac:dyDescent="0.25">
      <c r="A1527" t="s">
        <v>669</v>
      </c>
      <c r="B1527">
        <v>3.5451000000000001</v>
      </c>
      <c r="C1527">
        <v>3.5451000000000001</v>
      </c>
      <c r="D1527" t="s">
        <v>303</v>
      </c>
      <c r="E1527" t="s">
        <v>910</v>
      </c>
      <c r="F1527" t="s">
        <v>910</v>
      </c>
      <c r="J1527">
        <v>3.5451000000000001</v>
      </c>
      <c r="K1527">
        <v>3.5451000000000001</v>
      </c>
      <c r="L1527" t="s">
        <v>303</v>
      </c>
      <c r="M1527">
        <v>3.5451000000000001</v>
      </c>
      <c r="N1527">
        <v>3.5451000000000001</v>
      </c>
      <c r="O1527" t="s">
        <v>303</v>
      </c>
      <c r="P1527">
        <f t="shared" si="23"/>
        <v>0</v>
      </c>
    </row>
    <row r="1528" spans="1:16" x14ac:dyDescent="0.25">
      <c r="A1528" t="s">
        <v>669</v>
      </c>
      <c r="B1528">
        <v>3.5569999999999999</v>
      </c>
      <c r="C1528">
        <v>3.5569999999999999</v>
      </c>
      <c r="D1528" t="s">
        <v>303</v>
      </c>
      <c r="E1528" t="s">
        <v>910</v>
      </c>
      <c r="F1528" t="s">
        <v>910</v>
      </c>
      <c r="J1528">
        <v>3.5569999999999999</v>
      </c>
      <c r="K1528">
        <v>3.5569999999999999</v>
      </c>
      <c r="L1528" t="s">
        <v>303</v>
      </c>
      <c r="M1528">
        <v>3.5569999999999999</v>
      </c>
      <c r="N1528">
        <v>3.5569999999999999</v>
      </c>
      <c r="O1528" t="s">
        <v>303</v>
      </c>
      <c r="P1528">
        <f t="shared" si="23"/>
        <v>0</v>
      </c>
    </row>
    <row r="1529" spans="1:16" x14ac:dyDescent="0.25">
      <c r="A1529" t="s">
        <v>537</v>
      </c>
      <c r="B1529">
        <v>2.74</v>
      </c>
      <c r="C1529">
        <v>3.58</v>
      </c>
      <c r="D1529" t="s">
        <v>303</v>
      </c>
      <c r="E1529">
        <v>14</v>
      </c>
      <c r="F1529">
        <v>14</v>
      </c>
      <c r="G1529" t="s">
        <v>690</v>
      </c>
      <c r="H1529" t="s">
        <v>690</v>
      </c>
      <c r="J1529">
        <v>3.58</v>
      </c>
      <c r="K1529">
        <v>2.74</v>
      </c>
      <c r="L1529" t="s">
        <v>303</v>
      </c>
      <c r="M1529">
        <v>3.58</v>
      </c>
      <c r="N1529">
        <v>2.74</v>
      </c>
      <c r="O1529" t="s">
        <v>303</v>
      </c>
      <c r="P1529">
        <f t="shared" si="23"/>
        <v>0</v>
      </c>
    </row>
    <row r="1530" spans="1:16" x14ac:dyDescent="0.25">
      <c r="A1530" t="s">
        <v>669</v>
      </c>
      <c r="B1530">
        <v>3.59</v>
      </c>
      <c r="C1530">
        <v>3.59</v>
      </c>
      <c r="D1530" t="s">
        <v>303</v>
      </c>
      <c r="E1530" t="s">
        <v>910</v>
      </c>
      <c r="F1530" t="s">
        <v>910</v>
      </c>
      <c r="J1530">
        <v>3.59</v>
      </c>
      <c r="K1530">
        <v>3.59</v>
      </c>
      <c r="L1530" t="s">
        <v>303</v>
      </c>
      <c r="M1530">
        <v>3.59</v>
      </c>
      <c r="N1530">
        <v>3.59</v>
      </c>
      <c r="O1530" t="s">
        <v>303</v>
      </c>
      <c r="P1530">
        <f t="shared" si="23"/>
        <v>0</v>
      </c>
    </row>
    <row r="1531" spans="1:16" x14ac:dyDescent="0.25">
      <c r="A1531" t="s">
        <v>669</v>
      </c>
      <c r="B1531">
        <v>2.6</v>
      </c>
      <c r="C1531">
        <v>3.6</v>
      </c>
      <c r="D1531" t="s">
        <v>303</v>
      </c>
      <c r="E1531" t="s">
        <v>910</v>
      </c>
      <c r="F1531" t="s">
        <v>910</v>
      </c>
      <c r="J1531">
        <v>3.6</v>
      </c>
      <c r="K1531">
        <v>2.6</v>
      </c>
      <c r="L1531" t="s">
        <v>303</v>
      </c>
      <c r="M1531">
        <v>3.6</v>
      </c>
      <c r="N1531">
        <v>2.6</v>
      </c>
      <c r="O1531" t="s">
        <v>303</v>
      </c>
      <c r="P1531">
        <f t="shared" si="23"/>
        <v>0</v>
      </c>
    </row>
    <row r="1532" spans="1:16" x14ac:dyDescent="0.25">
      <c r="A1532" t="s">
        <v>669</v>
      </c>
      <c r="B1532" t="s">
        <v>669</v>
      </c>
      <c r="C1532">
        <v>3.6</v>
      </c>
      <c r="D1532" t="s">
        <v>303</v>
      </c>
      <c r="E1532" t="s">
        <v>910</v>
      </c>
      <c r="F1532" t="s">
        <v>910</v>
      </c>
      <c r="J1532">
        <v>3.6</v>
      </c>
      <c r="K1532">
        <v>3.6</v>
      </c>
      <c r="L1532" t="s">
        <v>303</v>
      </c>
      <c r="M1532">
        <v>3.6</v>
      </c>
      <c r="N1532">
        <v>3.6</v>
      </c>
      <c r="O1532" t="s">
        <v>303</v>
      </c>
      <c r="P1532">
        <f t="shared" si="23"/>
        <v>0</v>
      </c>
    </row>
    <row r="1533" spans="1:16" x14ac:dyDescent="0.25">
      <c r="A1533" t="s">
        <v>669</v>
      </c>
      <c r="B1533">
        <v>3.6</v>
      </c>
      <c r="C1533">
        <v>3.61</v>
      </c>
      <c r="D1533" t="s">
        <v>303</v>
      </c>
      <c r="E1533" t="s">
        <v>910</v>
      </c>
      <c r="F1533" t="s">
        <v>910</v>
      </c>
      <c r="J1533">
        <v>3.61</v>
      </c>
      <c r="K1533">
        <v>3.6</v>
      </c>
      <c r="L1533" t="s">
        <v>303</v>
      </c>
      <c r="M1533">
        <v>3.61</v>
      </c>
      <c r="N1533">
        <v>3.6</v>
      </c>
      <c r="O1533" t="s">
        <v>303</v>
      </c>
      <c r="P1533">
        <f t="shared" si="23"/>
        <v>0</v>
      </c>
    </row>
    <row r="1534" spans="1:16" x14ac:dyDescent="0.25">
      <c r="A1534" t="s">
        <v>669</v>
      </c>
      <c r="B1534">
        <v>3.53</v>
      </c>
      <c r="C1534">
        <v>3.62</v>
      </c>
      <c r="D1534" t="s">
        <v>860</v>
      </c>
      <c r="E1534" t="s">
        <v>910</v>
      </c>
      <c r="F1534" t="s">
        <v>910</v>
      </c>
      <c r="J1534">
        <v>3.62</v>
      </c>
      <c r="K1534">
        <v>3.53</v>
      </c>
      <c r="L1534" t="s">
        <v>303</v>
      </c>
      <c r="M1534">
        <v>3.62</v>
      </c>
      <c r="N1534">
        <v>3.53</v>
      </c>
      <c r="O1534" t="s">
        <v>303</v>
      </c>
      <c r="P1534">
        <f t="shared" si="23"/>
        <v>0</v>
      </c>
    </row>
    <row r="1535" spans="1:16" x14ac:dyDescent="0.25">
      <c r="A1535" t="s">
        <v>669</v>
      </c>
      <c r="B1535">
        <v>3.6219999999999999</v>
      </c>
      <c r="C1535">
        <v>3.6219999999999999</v>
      </c>
      <c r="D1535" t="s">
        <v>303</v>
      </c>
      <c r="E1535" t="s">
        <v>910</v>
      </c>
      <c r="F1535" t="s">
        <v>910</v>
      </c>
      <c r="J1535">
        <v>3.6219999999999999</v>
      </c>
      <c r="K1535">
        <v>3.6219999999999999</v>
      </c>
      <c r="L1535" t="s">
        <v>303</v>
      </c>
      <c r="M1535">
        <v>3.6219999999999999</v>
      </c>
      <c r="N1535">
        <v>3.6219999999999999</v>
      </c>
      <c r="O1535" t="s">
        <v>303</v>
      </c>
      <c r="P1535">
        <f t="shared" si="23"/>
        <v>0</v>
      </c>
    </row>
    <row r="1536" spans="1:16" x14ac:dyDescent="0.25">
      <c r="A1536" t="s">
        <v>669</v>
      </c>
      <c r="B1536">
        <v>3.62</v>
      </c>
      <c r="C1536">
        <v>3.63</v>
      </c>
      <c r="D1536" t="s">
        <v>303</v>
      </c>
      <c r="E1536" t="s">
        <v>910</v>
      </c>
      <c r="F1536" t="s">
        <v>910</v>
      </c>
      <c r="J1536">
        <v>3.63</v>
      </c>
      <c r="K1536">
        <v>3.62</v>
      </c>
      <c r="L1536" t="s">
        <v>303</v>
      </c>
      <c r="M1536">
        <v>3.63</v>
      </c>
      <c r="N1536">
        <v>3.62</v>
      </c>
      <c r="O1536" t="s">
        <v>303</v>
      </c>
      <c r="P1536">
        <f t="shared" si="23"/>
        <v>0</v>
      </c>
    </row>
    <row r="1537" spans="1:16" x14ac:dyDescent="0.25">
      <c r="A1537" t="s">
        <v>669</v>
      </c>
      <c r="B1537">
        <v>3.63</v>
      </c>
      <c r="C1537">
        <v>3.63</v>
      </c>
      <c r="D1537" t="s">
        <v>303</v>
      </c>
      <c r="E1537" t="s">
        <v>910</v>
      </c>
      <c r="F1537" t="s">
        <v>910</v>
      </c>
      <c r="J1537">
        <v>3.63</v>
      </c>
      <c r="K1537">
        <v>3.63</v>
      </c>
      <c r="L1537" t="s">
        <v>303</v>
      </c>
      <c r="M1537">
        <v>3.63</v>
      </c>
      <c r="N1537">
        <v>3.63</v>
      </c>
      <c r="O1537" t="s">
        <v>303</v>
      </c>
      <c r="P1537">
        <f t="shared" si="23"/>
        <v>0</v>
      </c>
    </row>
    <row r="1538" spans="1:16" x14ac:dyDescent="0.25">
      <c r="A1538" t="s">
        <v>669</v>
      </c>
      <c r="B1538">
        <v>3.65</v>
      </c>
      <c r="C1538">
        <v>3.65</v>
      </c>
      <c r="D1538" t="s">
        <v>303</v>
      </c>
      <c r="E1538" t="s">
        <v>910</v>
      </c>
      <c r="F1538" t="s">
        <v>910</v>
      </c>
      <c r="J1538">
        <v>3.65</v>
      </c>
      <c r="K1538">
        <v>3.65</v>
      </c>
      <c r="L1538" t="s">
        <v>303</v>
      </c>
      <c r="M1538">
        <v>3.65</v>
      </c>
      <c r="N1538">
        <v>3.65</v>
      </c>
      <c r="O1538" t="s">
        <v>303</v>
      </c>
      <c r="P1538">
        <f t="shared" si="23"/>
        <v>0</v>
      </c>
    </row>
    <row r="1539" spans="1:16" x14ac:dyDescent="0.25">
      <c r="A1539" t="s">
        <v>669</v>
      </c>
      <c r="B1539">
        <v>3.6520000000000001</v>
      </c>
      <c r="C1539">
        <v>3.6520000000000001</v>
      </c>
      <c r="D1539" t="s">
        <v>303</v>
      </c>
      <c r="E1539" t="s">
        <v>910</v>
      </c>
      <c r="F1539" t="s">
        <v>910</v>
      </c>
      <c r="J1539">
        <v>3.6520000000000001</v>
      </c>
      <c r="K1539">
        <v>3.6520000000000001</v>
      </c>
      <c r="L1539" t="s">
        <v>303</v>
      </c>
      <c r="M1539">
        <v>3.6520000000000001</v>
      </c>
      <c r="N1539">
        <v>3.6520000000000001</v>
      </c>
      <c r="O1539" t="s">
        <v>303</v>
      </c>
      <c r="P1539">
        <f t="shared" ref="P1539:P1602" si="24">LEN(I1539)</f>
        <v>0</v>
      </c>
    </row>
    <row r="1540" spans="1:16" x14ac:dyDescent="0.25">
      <c r="A1540" t="s">
        <v>669</v>
      </c>
      <c r="B1540">
        <v>3.67</v>
      </c>
      <c r="C1540">
        <v>3.67</v>
      </c>
      <c r="D1540" t="s">
        <v>303</v>
      </c>
      <c r="E1540" t="s">
        <v>910</v>
      </c>
      <c r="F1540" t="s">
        <v>910</v>
      </c>
      <c r="J1540">
        <v>3.67</v>
      </c>
      <c r="K1540">
        <v>3.67</v>
      </c>
      <c r="L1540" t="s">
        <v>303</v>
      </c>
      <c r="M1540">
        <v>3.67</v>
      </c>
      <c r="N1540">
        <v>3.67</v>
      </c>
      <c r="O1540" t="s">
        <v>303</v>
      </c>
      <c r="P1540">
        <f t="shared" si="24"/>
        <v>0</v>
      </c>
    </row>
    <row r="1541" spans="1:16" x14ac:dyDescent="0.25">
      <c r="A1541" t="s">
        <v>669</v>
      </c>
      <c r="B1541">
        <v>3.6819999999999999</v>
      </c>
      <c r="C1541">
        <v>3.6819999999999999</v>
      </c>
      <c r="D1541" t="s">
        <v>303</v>
      </c>
      <c r="E1541" t="s">
        <v>910</v>
      </c>
      <c r="F1541" t="s">
        <v>910</v>
      </c>
      <c r="J1541">
        <v>3.6819999999999999</v>
      </c>
      <c r="K1541">
        <v>3.6819999999999999</v>
      </c>
      <c r="L1541" t="s">
        <v>303</v>
      </c>
      <c r="M1541">
        <v>3.6819999999999999</v>
      </c>
      <c r="N1541">
        <v>3.6819999999999999</v>
      </c>
      <c r="O1541" t="s">
        <v>303</v>
      </c>
      <c r="P1541">
        <f t="shared" si="24"/>
        <v>0</v>
      </c>
    </row>
    <row r="1542" spans="1:16" x14ac:dyDescent="0.25">
      <c r="A1542" t="s">
        <v>527</v>
      </c>
      <c r="B1542">
        <v>3694.748</v>
      </c>
      <c r="C1542">
        <v>3694.748</v>
      </c>
      <c r="D1542" t="s">
        <v>887</v>
      </c>
      <c r="E1542" t="s">
        <v>910</v>
      </c>
      <c r="F1542" t="s">
        <v>910</v>
      </c>
      <c r="I1542" t="s">
        <v>951</v>
      </c>
      <c r="J1542">
        <v>3.6947480000000001</v>
      </c>
      <c r="K1542">
        <v>3.6947480000000001</v>
      </c>
      <c r="L1542" t="s">
        <v>303</v>
      </c>
      <c r="M1542">
        <v>3694.748</v>
      </c>
      <c r="N1542">
        <v>3694.748</v>
      </c>
      <c r="O1542" t="s">
        <v>862</v>
      </c>
    </row>
    <row r="1543" spans="1:16" x14ac:dyDescent="0.25">
      <c r="A1543" t="s">
        <v>669</v>
      </c>
      <c r="B1543">
        <v>3.71</v>
      </c>
      <c r="C1543">
        <v>3.71</v>
      </c>
      <c r="D1543" t="s">
        <v>303</v>
      </c>
      <c r="E1543" t="s">
        <v>910</v>
      </c>
      <c r="F1543" t="s">
        <v>910</v>
      </c>
      <c r="J1543">
        <v>3.71</v>
      </c>
      <c r="K1543">
        <v>3.71</v>
      </c>
      <c r="L1543" t="s">
        <v>303</v>
      </c>
      <c r="M1543">
        <v>3.71</v>
      </c>
      <c r="N1543">
        <v>3.71</v>
      </c>
      <c r="O1543" t="s">
        <v>303</v>
      </c>
      <c r="P1543">
        <f t="shared" si="24"/>
        <v>0</v>
      </c>
    </row>
    <row r="1544" spans="1:16" x14ac:dyDescent="0.25">
      <c r="A1544" t="s">
        <v>669</v>
      </c>
      <c r="B1544">
        <v>3.7389999999999999</v>
      </c>
      <c r="C1544">
        <v>3.7389999999999999</v>
      </c>
      <c r="D1544" t="s">
        <v>303</v>
      </c>
      <c r="E1544" t="s">
        <v>910</v>
      </c>
      <c r="F1544" t="s">
        <v>910</v>
      </c>
      <c r="J1544">
        <v>3.7389999999999999</v>
      </c>
      <c r="K1544">
        <v>3.7389999999999999</v>
      </c>
      <c r="L1544" t="s">
        <v>303</v>
      </c>
      <c r="M1544">
        <v>3.7389999999999999</v>
      </c>
      <c r="N1544">
        <v>3.7389999999999999</v>
      </c>
      <c r="O1544" t="s">
        <v>303</v>
      </c>
      <c r="P1544">
        <f t="shared" si="24"/>
        <v>0</v>
      </c>
    </row>
    <row r="1545" spans="1:16" x14ac:dyDescent="0.25">
      <c r="A1545" t="s">
        <v>527</v>
      </c>
      <c r="B1545">
        <v>3742.9859999999999</v>
      </c>
      <c r="C1545">
        <v>3742.9859999999999</v>
      </c>
      <c r="D1545" t="s">
        <v>887</v>
      </c>
      <c r="E1545" t="s">
        <v>910</v>
      </c>
      <c r="F1545" t="s">
        <v>910</v>
      </c>
      <c r="I1545" t="s">
        <v>951</v>
      </c>
      <c r="J1545">
        <v>3.7429859999999997</v>
      </c>
      <c r="K1545">
        <v>3.7429859999999997</v>
      </c>
      <c r="L1545" t="s">
        <v>303</v>
      </c>
      <c r="M1545">
        <v>3742.9859999999999</v>
      </c>
      <c r="N1545">
        <v>3742.9859999999999</v>
      </c>
      <c r="O1545" t="s">
        <v>862</v>
      </c>
    </row>
    <row r="1546" spans="1:16" x14ac:dyDescent="0.25">
      <c r="A1546" t="s">
        <v>537</v>
      </c>
      <c r="B1546">
        <v>3743.873</v>
      </c>
      <c r="C1546">
        <v>3743.873</v>
      </c>
      <c r="D1546" t="s">
        <v>887</v>
      </c>
      <c r="E1546" t="s">
        <v>910</v>
      </c>
      <c r="F1546" t="s">
        <v>910</v>
      </c>
      <c r="J1546">
        <v>3.7438730000000002</v>
      </c>
      <c r="K1546">
        <v>3.7438730000000002</v>
      </c>
      <c r="L1546" t="s">
        <v>303</v>
      </c>
      <c r="M1546">
        <v>3743.873</v>
      </c>
      <c r="N1546">
        <v>3743.873</v>
      </c>
      <c r="O1546" t="s">
        <v>862</v>
      </c>
      <c r="P1546">
        <f t="shared" si="24"/>
        <v>0</v>
      </c>
    </row>
    <row r="1547" spans="1:16" x14ac:dyDescent="0.25">
      <c r="A1547" t="s">
        <v>669</v>
      </c>
      <c r="B1547">
        <v>3.0070000000000001</v>
      </c>
      <c r="C1547">
        <v>3.7469999999999999</v>
      </c>
      <c r="D1547" t="s">
        <v>303</v>
      </c>
      <c r="E1547" t="s">
        <v>910</v>
      </c>
      <c r="F1547" t="s">
        <v>910</v>
      </c>
      <c r="J1547">
        <v>3.7469999999999999</v>
      </c>
      <c r="K1547">
        <v>3.0070000000000001</v>
      </c>
      <c r="L1547" t="s">
        <v>303</v>
      </c>
      <c r="M1547">
        <v>3.7469999999999999</v>
      </c>
      <c r="N1547">
        <v>3.0070000000000001</v>
      </c>
      <c r="O1547" t="s">
        <v>303</v>
      </c>
      <c r="P1547">
        <f t="shared" si="24"/>
        <v>0</v>
      </c>
    </row>
    <row r="1548" spans="1:16" x14ac:dyDescent="0.25">
      <c r="A1548" t="s">
        <v>669</v>
      </c>
      <c r="B1548">
        <v>3.7669999999999999</v>
      </c>
      <c r="C1548">
        <v>3.7669999999999999</v>
      </c>
      <c r="D1548" t="s">
        <v>303</v>
      </c>
      <c r="E1548" t="s">
        <v>910</v>
      </c>
      <c r="F1548" t="s">
        <v>910</v>
      </c>
      <c r="J1548">
        <v>3.7669999999999999</v>
      </c>
      <c r="K1548">
        <v>3.7669999999999999</v>
      </c>
      <c r="L1548" t="s">
        <v>303</v>
      </c>
      <c r="M1548">
        <v>3.7669999999999999</v>
      </c>
      <c r="N1548">
        <v>3.7669999999999999</v>
      </c>
      <c r="O1548" t="s">
        <v>303</v>
      </c>
      <c r="P1548">
        <f t="shared" si="24"/>
        <v>0</v>
      </c>
    </row>
    <row r="1549" spans="1:16" x14ac:dyDescent="0.25">
      <c r="A1549" t="s">
        <v>669</v>
      </c>
      <c r="B1549">
        <v>3.77</v>
      </c>
      <c r="C1549">
        <v>3.77</v>
      </c>
      <c r="D1549" t="s">
        <v>303</v>
      </c>
      <c r="E1549" t="s">
        <v>910</v>
      </c>
      <c r="F1549" t="s">
        <v>910</v>
      </c>
      <c r="J1549">
        <v>3.77</v>
      </c>
      <c r="K1549">
        <v>3.77</v>
      </c>
      <c r="L1549" t="s">
        <v>303</v>
      </c>
      <c r="M1549">
        <v>3.77</v>
      </c>
      <c r="N1549">
        <v>3.77</v>
      </c>
      <c r="O1549" t="s">
        <v>303</v>
      </c>
      <c r="P1549">
        <f t="shared" si="24"/>
        <v>0</v>
      </c>
    </row>
    <row r="1550" spans="1:16" x14ac:dyDescent="0.25">
      <c r="A1550" t="s">
        <v>527</v>
      </c>
      <c r="B1550">
        <v>3779.8719999999998</v>
      </c>
      <c r="C1550">
        <v>3779.8719999999998</v>
      </c>
      <c r="D1550" t="s">
        <v>887</v>
      </c>
      <c r="E1550" t="s">
        <v>910</v>
      </c>
      <c r="F1550" t="s">
        <v>910</v>
      </c>
      <c r="I1550" t="s">
        <v>951</v>
      </c>
      <c r="J1550">
        <v>3.7798719999999997</v>
      </c>
      <c r="K1550">
        <v>3.7798719999999997</v>
      </c>
      <c r="L1550" t="s">
        <v>303</v>
      </c>
      <c r="M1550">
        <v>3779.8719999999998</v>
      </c>
      <c r="N1550">
        <v>3779.8719999999998</v>
      </c>
      <c r="O1550" t="s">
        <v>862</v>
      </c>
    </row>
    <row r="1551" spans="1:16" x14ac:dyDescent="0.25">
      <c r="A1551" t="s">
        <v>537</v>
      </c>
      <c r="B1551">
        <v>3787.73</v>
      </c>
      <c r="C1551">
        <v>3787.73</v>
      </c>
      <c r="D1551" t="s">
        <v>887</v>
      </c>
      <c r="E1551" t="s">
        <v>910</v>
      </c>
      <c r="F1551" t="s">
        <v>910</v>
      </c>
      <c r="J1551">
        <v>3.7877299999999998</v>
      </c>
      <c r="K1551">
        <v>3.7877299999999998</v>
      </c>
      <c r="L1551" t="s">
        <v>303</v>
      </c>
      <c r="M1551">
        <v>3787.73</v>
      </c>
      <c r="N1551">
        <v>3787.73</v>
      </c>
      <c r="O1551" t="s">
        <v>862</v>
      </c>
      <c r="P1551">
        <f t="shared" si="24"/>
        <v>0</v>
      </c>
    </row>
    <row r="1552" spans="1:16" x14ac:dyDescent="0.25">
      <c r="A1552" t="s">
        <v>669</v>
      </c>
      <c r="B1552">
        <v>3.7949999999999999</v>
      </c>
      <c r="C1552">
        <v>3.7949999999999999</v>
      </c>
      <c r="D1552" t="s">
        <v>303</v>
      </c>
      <c r="E1552" t="s">
        <v>910</v>
      </c>
      <c r="F1552" t="s">
        <v>910</v>
      </c>
      <c r="J1552">
        <v>3.7949999999999999</v>
      </c>
      <c r="K1552">
        <v>3.7949999999999999</v>
      </c>
      <c r="L1552" t="s">
        <v>303</v>
      </c>
      <c r="M1552">
        <v>3.7949999999999999</v>
      </c>
      <c r="N1552">
        <v>3.7949999999999999</v>
      </c>
      <c r="O1552" t="s">
        <v>303</v>
      </c>
      <c r="P1552">
        <f t="shared" si="24"/>
        <v>0</v>
      </c>
    </row>
    <row r="1553" spans="1:16" x14ac:dyDescent="0.25">
      <c r="A1553" t="s">
        <v>669</v>
      </c>
      <c r="B1553">
        <v>2.6</v>
      </c>
      <c r="C1553">
        <v>3.8</v>
      </c>
      <c r="D1553" t="s">
        <v>303</v>
      </c>
      <c r="E1553" t="s">
        <v>910</v>
      </c>
      <c r="F1553" t="s">
        <v>910</v>
      </c>
      <c r="J1553">
        <v>3.8</v>
      </c>
      <c r="K1553">
        <v>2.6</v>
      </c>
      <c r="L1553" t="s">
        <v>303</v>
      </c>
      <c r="M1553">
        <v>3.8</v>
      </c>
      <c r="N1553">
        <v>2.6</v>
      </c>
      <c r="O1553" t="s">
        <v>303</v>
      </c>
      <c r="P1553">
        <f t="shared" si="24"/>
        <v>0</v>
      </c>
    </row>
    <row r="1554" spans="1:16" x14ac:dyDescent="0.25">
      <c r="A1554" t="s">
        <v>669</v>
      </c>
      <c r="B1554">
        <v>3.8250000000000002</v>
      </c>
      <c r="C1554">
        <v>3.8250000000000002</v>
      </c>
      <c r="D1554" t="s">
        <v>303</v>
      </c>
      <c r="E1554" t="s">
        <v>910</v>
      </c>
      <c r="F1554" t="s">
        <v>910</v>
      </c>
      <c r="J1554">
        <v>3.8250000000000002</v>
      </c>
      <c r="K1554">
        <v>3.8250000000000002</v>
      </c>
      <c r="L1554" t="s">
        <v>303</v>
      </c>
      <c r="M1554">
        <v>3.8250000000000002</v>
      </c>
      <c r="N1554">
        <v>3.8250000000000002</v>
      </c>
      <c r="O1554" t="s">
        <v>303</v>
      </c>
      <c r="P1554">
        <f t="shared" si="24"/>
        <v>0</v>
      </c>
    </row>
    <row r="1555" spans="1:16" x14ac:dyDescent="0.25">
      <c r="A1555" t="s">
        <v>669</v>
      </c>
      <c r="B1555">
        <v>3.855</v>
      </c>
      <c r="C1555">
        <v>3.855</v>
      </c>
      <c r="D1555" t="s">
        <v>303</v>
      </c>
      <c r="E1555" t="s">
        <v>910</v>
      </c>
      <c r="F1555" t="s">
        <v>910</v>
      </c>
      <c r="J1555">
        <v>3.855</v>
      </c>
      <c r="K1555">
        <v>3.855</v>
      </c>
      <c r="L1555" t="s">
        <v>303</v>
      </c>
      <c r="M1555">
        <v>3.855</v>
      </c>
      <c r="N1555">
        <v>3.855</v>
      </c>
      <c r="O1555" t="s">
        <v>303</v>
      </c>
      <c r="P1555">
        <f t="shared" si="24"/>
        <v>0</v>
      </c>
    </row>
    <row r="1556" spans="1:16" x14ac:dyDescent="0.25">
      <c r="A1556" t="s">
        <v>669</v>
      </c>
      <c r="B1556">
        <v>3.85</v>
      </c>
      <c r="C1556">
        <v>3.86</v>
      </c>
      <c r="D1556" t="s">
        <v>303</v>
      </c>
      <c r="E1556" t="s">
        <v>910</v>
      </c>
      <c r="F1556" t="s">
        <v>910</v>
      </c>
      <c r="J1556">
        <v>3.86</v>
      </c>
      <c r="K1556">
        <v>3.85</v>
      </c>
      <c r="L1556" t="s">
        <v>303</v>
      </c>
      <c r="M1556">
        <v>3.86</v>
      </c>
      <c r="N1556">
        <v>3.85</v>
      </c>
      <c r="O1556" t="s">
        <v>303</v>
      </c>
      <c r="P1556">
        <f t="shared" si="24"/>
        <v>0</v>
      </c>
    </row>
    <row r="1557" spans="1:16" x14ac:dyDescent="0.25">
      <c r="A1557" t="s">
        <v>669</v>
      </c>
      <c r="B1557">
        <v>3.8839999999999999</v>
      </c>
      <c r="C1557">
        <v>3.8839999999999999</v>
      </c>
      <c r="D1557" t="s">
        <v>303</v>
      </c>
      <c r="E1557" t="s">
        <v>910</v>
      </c>
      <c r="F1557" t="s">
        <v>910</v>
      </c>
      <c r="J1557">
        <v>3.8839999999999999</v>
      </c>
      <c r="K1557">
        <v>3.8839999999999999</v>
      </c>
      <c r="L1557" t="s">
        <v>303</v>
      </c>
      <c r="M1557">
        <v>3.8839999999999999</v>
      </c>
      <c r="N1557">
        <v>3.8839999999999999</v>
      </c>
      <c r="O1557" t="s">
        <v>303</v>
      </c>
      <c r="P1557">
        <f t="shared" si="24"/>
        <v>0</v>
      </c>
    </row>
    <row r="1558" spans="1:16" x14ac:dyDescent="0.25">
      <c r="A1558" t="s">
        <v>669</v>
      </c>
      <c r="B1558">
        <v>3.89</v>
      </c>
      <c r="C1558">
        <v>3.89</v>
      </c>
      <c r="D1558" t="s">
        <v>303</v>
      </c>
      <c r="E1558" t="s">
        <v>910</v>
      </c>
      <c r="F1558" t="s">
        <v>910</v>
      </c>
      <c r="J1558">
        <v>3.89</v>
      </c>
      <c r="K1558">
        <v>3.89</v>
      </c>
      <c r="L1558" t="s">
        <v>303</v>
      </c>
      <c r="M1558">
        <v>3.89</v>
      </c>
      <c r="N1558">
        <v>3.89</v>
      </c>
      <c r="O1558" t="s">
        <v>303</v>
      </c>
      <c r="P1558">
        <f t="shared" si="24"/>
        <v>0</v>
      </c>
    </row>
    <row r="1559" spans="1:16" x14ac:dyDescent="0.25">
      <c r="A1559" t="s">
        <v>669</v>
      </c>
      <c r="B1559">
        <v>3.89</v>
      </c>
      <c r="C1559">
        <v>3.9</v>
      </c>
      <c r="D1559" t="s">
        <v>303</v>
      </c>
      <c r="E1559" t="s">
        <v>910</v>
      </c>
      <c r="F1559" t="s">
        <v>910</v>
      </c>
      <c r="J1559">
        <v>3.9</v>
      </c>
      <c r="K1559">
        <v>3.89</v>
      </c>
      <c r="L1559" t="s">
        <v>303</v>
      </c>
      <c r="M1559">
        <v>3.9</v>
      </c>
      <c r="N1559">
        <v>3.89</v>
      </c>
      <c r="O1559" t="s">
        <v>303</v>
      </c>
      <c r="P1559">
        <f t="shared" si="24"/>
        <v>0</v>
      </c>
    </row>
    <row r="1560" spans="1:16" x14ac:dyDescent="0.25">
      <c r="A1560" t="s">
        <v>669</v>
      </c>
      <c r="B1560">
        <v>3900000</v>
      </c>
      <c r="C1560">
        <v>3900000</v>
      </c>
      <c r="D1560" t="s">
        <v>857</v>
      </c>
      <c r="E1560" t="s">
        <v>910</v>
      </c>
      <c r="F1560" t="s">
        <v>910</v>
      </c>
      <c r="J1560">
        <v>3.9</v>
      </c>
      <c r="K1560">
        <v>3.9</v>
      </c>
      <c r="L1560" t="s">
        <v>303</v>
      </c>
      <c r="M1560">
        <v>3900000</v>
      </c>
      <c r="N1560">
        <v>3900000</v>
      </c>
      <c r="O1560" t="s">
        <v>303</v>
      </c>
      <c r="P1560">
        <f t="shared" si="24"/>
        <v>0</v>
      </c>
    </row>
    <row r="1561" spans="1:16" x14ac:dyDescent="0.25">
      <c r="A1561" t="s">
        <v>527</v>
      </c>
      <c r="B1561">
        <v>3902.3609999999999</v>
      </c>
      <c r="C1561">
        <v>3902.3609999999999</v>
      </c>
      <c r="D1561" t="s">
        <v>887</v>
      </c>
      <c r="E1561" t="s">
        <v>910</v>
      </c>
      <c r="F1561" t="s">
        <v>910</v>
      </c>
      <c r="I1561" t="s">
        <v>951</v>
      </c>
      <c r="J1561">
        <v>3.902361</v>
      </c>
      <c r="K1561">
        <v>3.902361</v>
      </c>
      <c r="L1561" t="s">
        <v>303</v>
      </c>
      <c r="M1561">
        <v>3902.3609999999999</v>
      </c>
      <c r="N1561">
        <v>3902.3609999999999</v>
      </c>
      <c r="O1561" t="s">
        <v>862</v>
      </c>
    </row>
    <row r="1562" spans="1:16" x14ac:dyDescent="0.25">
      <c r="A1562" t="s">
        <v>669</v>
      </c>
      <c r="B1562">
        <v>3.91</v>
      </c>
      <c r="C1562">
        <v>3.91</v>
      </c>
      <c r="D1562" t="s">
        <v>303</v>
      </c>
      <c r="E1562" t="s">
        <v>910</v>
      </c>
      <c r="F1562" t="s">
        <v>910</v>
      </c>
      <c r="J1562">
        <v>3.91</v>
      </c>
      <c r="K1562">
        <v>3.91</v>
      </c>
      <c r="L1562" t="s">
        <v>303</v>
      </c>
      <c r="M1562">
        <v>3.91</v>
      </c>
      <c r="N1562">
        <v>3.91</v>
      </c>
      <c r="O1562" t="s">
        <v>303</v>
      </c>
      <c r="P1562">
        <f t="shared" si="24"/>
        <v>0</v>
      </c>
    </row>
    <row r="1563" spans="1:16" x14ac:dyDescent="0.25">
      <c r="A1563" t="s">
        <v>669</v>
      </c>
      <c r="B1563">
        <v>3.9119999999999999</v>
      </c>
      <c r="C1563">
        <v>3.9119999999999999</v>
      </c>
      <c r="D1563" t="s">
        <v>303</v>
      </c>
      <c r="E1563" t="s">
        <v>910</v>
      </c>
      <c r="F1563" t="s">
        <v>910</v>
      </c>
      <c r="J1563">
        <v>3.9119999999999999</v>
      </c>
      <c r="K1563">
        <v>3.9119999999999999</v>
      </c>
      <c r="L1563" t="s">
        <v>303</v>
      </c>
      <c r="M1563">
        <v>3.9119999999999999</v>
      </c>
      <c r="N1563">
        <v>3.9119999999999999</v>
      </c>
      <c r="O1563" t="s">
        <v>303</v>
      </c>
      <c r="P1563">
        <f t="shared" si="24"/>
        <v>0</v>
      </c>
    </row>
    <row r="1564" spans="1:16" x14ac:dyDescent="0.25">
      <c r="A1564" t="s">
        <v>213</v>
      </c>
      <c r="B1564">
        <v>0.1</v>
      </c>
      <c r="C1564">
        <v>0.35</v>
      </c>
      <c r="D1564" t="s">
        <v>862</v>
      </c>
      <c r="E1564">
        <v>5</v>
      </c>
      <c r="F1564">
        <v>5</v>
      </c>
      <c r="G1564" t="s">
        <v>684</v>
      </c>
      <c r="H1564" t="s">
        <v>684</v>
      </c>
      <c r="J1564">
        <v>350</v>
      </c>
      <c r="K1564">
        <v>100</v>
      </c>
      <c r="L1564" t="s">
        <v>931</v>
      </c>
      <c r="M1564">
        <v>0.35</v>
      </c>
      <c r="N1564">
        <v>0.1</v>
      </c>
      <c r="O1564" t="s">
        <v>862</v>
      </c>
      <c r="P1564">
        <f t="shared" si="24"/>
        <v>0</v>
      </c>
    </row>
    <row r="1565" spans="1:16" x14ac:dyDescent="0.25">
      <c r="A1565" t="s">
        <v>669</v>
      </c>
      <c r="B1565">
        <v>3.92</v>
      </c>
      <c r="C1565">
        <v>3.93</v>
      </c>
      <c r="D1565" t="s">
        <v>303</v>
      </c>
      <c r="E1565" t="s">
        <v>910</v>
      </c>
      <c r="F1565" t="s">
        <v>910</v>
      </c>
      <c r="J1565">
        <v>3.93</v>
      </c>
      <c r="K1565">
        <v>3.92</v>
      </c>
      <c r="L1565" t="s">
        <v>303</v>
      </c>
      <c r="M1565">
        <v>3.93</v>
      </c>
      <c r="N1565">
        <v>3.92</v>
      </c>
      <c r="O1565" t="s">
        <v>303</v>
      </c>
      <c r="P1565">
        <f t="shared" si="24"/>
        <v>0</v>
      </c>
    </row>
    <row r="1566" spans="1:16" x14ac:dyDescent="0.25">
      <c r="A1566" t="s">
        <v>669</v>
      </c>
      <c r="B1566">
        <v>3.9380000000000002</v>
      </c>
      <c r="C1566">
        <v>3.9380000000000002</v>
      </c>
      <c r="D1566" t="s">
        <v>303</v>
      </c>
      <c r="E1566" t="s">
        <v>910</v>
      </c>
      <c r="F1566" t="s">
        <v>910</v>
      </c>
      <c r="J1566">
        <v>3.9380000000000002</v>
      </c>
      <c r="K1566">
        <v>3.9380000000000002</v>
      </c>
      <c r="L1566" t="s">
        <v>303</v>
      </c>
      <c r="M1566">
        <v>3.9380000000000002</v>
      </c>
      <c r="N1566">
        <v>3.9380000000000002</v>
      </c>
      <c r="O1566" t="s">
        <v>303</v>
      </c>
      <c r="P1566">
        <f t="shared" si="24"/>
        <v>0</v>
      </c>
    </row>
    <row r="1567" spans="1:16" x14ac:dyDescent="0.25">
      <c r="A1567" t="s">
        <v>537</v>
      </c>
      <c r="B1567">
        <v>3.86</v>
      </c>
      <c r="C1567">
        <v>3.95</v>
      </c>
      <c r="D1567" t="s">
        <v>669</v>
      </c>
      <c r="E1567">
        <v>14</v>
      </c>
      <c r="F1567">
        <v>14</v>
      </c>
      <c r="G1567" t="s">
        <v>690</v>
      </c>
      <c r="H1567" t="s">
        <v>690</v>
      </c>
      <c r="I1567" t="s">
        <v>927</v>
      </c>
      <c r="J1567">
        <v>3.95</v>
      </c>
      <c r="K1567">
        <v>3.86</v>
      </c>
      <c r="L1567" t="s">
        <v>930</v>
      </c>
      <c r="M1567">
        <v>3.95</v>
      </c>
      <c r="N1567">
        <v>3.86</v>
      </c>
      <c r="P1567">
        <f t="shared" si="24"/>
        <v>14</v>
      </c>
    </row>
    <row r="1568" spans="1:16" x14ac:dyDescent="0.25">
      <c r="A1568" t="s">
        <v>669</v>
      </c>
      <c r="B1568" t="s">
        <v>669</v>
      </c>
      <c r="C1568">
        <v>3.95</v>
      </c>
      <c r="D1568" t="s">
        <v>303</v>
      </c>
      <c r="E1568" t="s">
        <v>910</v>
      </c>
      <c r="F1568" t="s">
        <v>910</v>
      </c>
      <c r="J1568">
        <v>3.95</v>
      </c>
      <c r="K1568">
        <v>3.95</v>
      </c>
      <c r="L1568" t="s">
        <v>303</v>
      </c>
      <c r="M1568">
        <v>3.95</v>
      </c>
      <c r="N1568">
        <v>3.95</v>
      </c>
      <c r="O1568" t="s">
        <v>303</v>
      </c>
      <c r="P1568">
        <f t="shared" si="24"/>
        <v>0</v>
      </c>
    </row>
    <row r="1569" spans="1:16" x14ac:dyDescent="0.25">
      <c r="A1569" t="s">
        <v>669</v>
      </c>
      <c r="B1569">
        <v>3.9590000000000001</v>
      </c>
      <c r="C1569">
        <v>3.9590000000000001</v>
      </c>
      <c r="D1569" t="s">
        <v>303</v>
      </c>
      <c r="E1569" t="s">
        <v>910</v>
      </c>
      <c r="F1569" t="s">
        <v>910</v>
      </c>
      <c r="J1569">
        <v>3.9590000000000001</v>
      </c>
      <c r="K1569">
        <v>3.9590000000000001</v>
      </c>
      <c r="L1569" t="s">
        <v>303</v>
      </c>
      <c r="M1569">
        <v>3.9590000000000001</v>
      </c>
      <c r="N1569">
        <v>3.9590000000000001</v>
      </c>
      <c r="O1569" t="s">
        <v>303</v>
      </c>
      <c r="P1569">
        <f t="shared" si="24"/>
        <v>0</v>
      </c>
    </row>
    <row r="1570" spans="1:16" x14ac:dyDescent="0.25">
      <c r="A1570" t="s">
        <v>669</v>
      </c>
      <c r="B1570" t="s">
        <v>669</v>
      </c>
      <c r="C1570">
        <v>3.98</v>
      </c>
      <c r="D1570" t="s">
        <v>303</v>
      </c>
      <c r="E1570" t="s">
        <v>910</v>
      </c>
      <c r="F1570" t="s">
        <v>910</v>
      </c>
      <c r="J1570">
        <v>3.98</v>
      </c>
      <c r="L1570" t="s">
        <v>303</v>
      </c>
      <c r="M1570">
        <v>3.98</v>
      </c>
      <c r="O1570" t="s">
        <v>303</v>
      </c>
      <c r="P1570">
        <f t="shared" si="24"/>
        <v>0</v>
      </c>
    </row>
    <row r="1571" spans="1:16" x14ac:dyDescent="0.25">
      <c r="A1571" t="s">
        <v>669</v>
      </c>
      <c r="B1571">
        <v>3.9860000000000002</v>
      </c>
      <c r="C1571">
        <v>3.9860000000000002</v>
      </c>
      <c r="D1571" t="s">
        <v>303</v>
      </c>
      <c r="E1571" t="s">
        <v>910</v>
      </c>
      <c r="F1571" t="s">
        <v>910</v>
      </c>
      <c r="J1571">
        <v>3.9860000000000002</v>
      </c>
      <c r="K1571">
        <v>3.9860000000000002</v>
      </c>
      <c r="L1571" t="s">
        <v>303</v>
      </c>
      <c r="M1571">
        <v>3.9860000000000002</v>
      </c>
      <c r="N1571">
        <v>3.9860000000000002</v>
      </c>
      <c r="O1571" t="s">
        <v>303</v>
      </c>
      <c r="P1571">
        <f t="shared" si="24"/>
        <v>0</v>
      </c>
    </row>
    <row r="1572" spans="1:16" x14ac:dyDescent="0.25">
      <c r="A1572" t="s">
        <v>669</v>
      </c>
      <c r="B1572" t="s">
        <v>669</v>
      </c>
      <c r="C1572">
        <v>3.99</v>
      </c>
      <c r="D1572" t="s">
        <v>303</v>
      </c>
      <c r="E1572" t="s">
        <v>910</v>
      </c>
      <c r="F1572" t="s">
        <v>910</v>
      </c>
      <c r="J1572">
        <v>3.99</v>
      </c>
      <c r="L1572" t="s">
        <v>303</v>
      </c>
      <c r="M1572">
        <v>3.99</v>
      </c>
      <c r="O1572" t="s">
        <v>303</v>
      </c>
      <c r="P1572">
        <f t="shared" si="24"/>
        <v>0</v>
      </c>
    </row>
    <row r="1573" spans="1:16" x14ac:dyDescent="0.25">
      <c r="A1573">
        <v>1.5</v>
      </c>
      <c r="B1573">
        <v>0.6</v>
      </c>
      <c r="C1573">
        <v>4</v>
      </c>
      <c r="D1573" t="s">
        <v>303</v>
      </c>
      <c r="E1573" t="s">
        <v>910</v>
      </c>
      <c r="F1573" t="s">
        <v>910</v>
      </c>
      <c r="J1573">
        <v>4</v>
      </c>
      <c r="K1573">
        <v>0.6</v>
      </c>
      <c r="L1573" t="s">
        <v>303</v>
      </c>
      <c r="M1573">
        <v>4</v>
      </c>
      <c r="N1573">
        <v>0.6</v>
      </c>
      <c r="O1573" t="s">
        <v>303</v>
      </c>
      <c r="P1573">
        <f t="shared" si="24"/>
        <v>0</v>
      </c>
    </row>
    <row r="1574" spans="1:16" x14ac:dyDescent="0.25">
      <c r="A1574" t="s">
        <v>669</v>
      </c>
      <c r="B1574">
        <v>3</v>
      </c>
      <c r="C1574">
        <v>4</v>
      </c>
      <c r="D1574" t="s">
        <v>303</v>
      </c>
      <c r="E1574" t="s">
        <v>910</v>
      </c>
      <c r="F1574" t="s">
        <v>910</v>
      </c>
      <c r="J1574">
        <v>4</v>
      </c>
      <c r="K1574">
        <v>3</v>
      </c>
      <c r="L1574" t="s">
        <v>303</v>
      </c>
      <c r="M1574">
        <v>4</v>
      </c>
      <c r="N1574">
        <v>3</v>
      </c>
      <c r="O1574" t="s">
        <v>303</v>
      </c>
      <c r="P1574">
        <f t="shared" si="24"/>
        <v>0</v>
      </c>
    </row>
    <row r="1575" spans="1:16" x14ac:dyDescent="0.25">
      <c r="A1575" t="s">
        <v>537</v>
      </c>
      <c r="B1575">
        <v>3.86</v>
      </c>
      <c r="C1575">
        <v>4</v>
      </c>
      <c r="D1575" t="s">
        <v>303</v>
      </c>
      <c r="E1575">
        <v>14</v>
      </c>
      <c r="F1575">
        <v>14</v>
      </c>
      <c r="G1575" t="s">
        <v>690</v>
      </c>
      <c r="H1575" t="s">
        <v>690</v>
      </c>
      <c r="J1575">
        <v>4</v>
      </c>
      <c r="K1575">
        <v>3.86</v>
      </c>
      <c r="L1575" t="s">
        <v>303</v>
      </c>
      <c r="M1575">
        <v>4</v>
      </c>
      <c r="N1575">
        <v>3.86</v>
      </c>
      <c r="O1575" t="s">
        <v>303</v>
      </c>
      <c r="P1575">
        <f t="shared" si="24"/>
        <v>0</v>
      </c>
    </row>
    <row r="1576" spans="1:16" x14ac:dyDescent="0.25">
      <c r="A1576" t="s">
        <v>669</v>
      </c>
      <c r="B1576">
        <v>4</v>
      </c>
      <c r="C1576">
        <v>4</v>
      </c>
      <c r="D1576" t="s">
        <v>303</v>
      </c>
      <c r="E1576" t="s">
        <v>910</v>
      </c>
      <c r="F1576" t="s">
        <v>910</v>
      </c>
      <c r="J1576">
        <v>4</v>
      </c>
      <c r="K1576">
        <v>4</v>
      </c>
      <c r="L1576" t="s">
        <v>303</v>
      </c>
      <c r="M1576">
        <v>4</v>
      </c>
      <c r="N1576">
        <v>4</v>
      </c>
      <c r="O1576" t="s">
        <v>303</v>
      </c>
      <c r="P1576">
        <f t="shared" si="24"/>
        <v>0</v>
      </c>
    </row>
    <row r="1577" spans="1:16" x14ac:dyDescent="0.25">
      <c r="A1577" t="s">
        <v>59</v>
      </c>
      <c r="B1577">
        <v>730</v>
      </c>
      <c r="C1577">
        <v>4000</v>
      </c>
      <c r="D1577" t="s">
        <v>862</v>
      </c>
      <c r="E1577" t="s">
        <v>910</v>
      </c>
      <c r="F1577" t="s">
        <v>910</v>
      </c>
      <c r="J1577">
        <v>4</v>
      </c>
      <c r="K1577">
        <v>0.73</v>
      </c>
      <c r="L1577" t="s">
        <v>303</v>
      </c>
      <c r="M1577">
        <v>4000</v>
      </c>
      <c r="N1577">
        <v>730</v>
      </c>
      <c r="O1577" t="s">
        <v>862</v>
      </c>
      <c r="P1577">
        <f t="shared" si="24"/>
        <v>0</v>
      </c>
    </row>
    <row r="1578" spans="1:16" x14ac:dyDescent="0.25">
      <c r="A1578" t="s">
        <v>537</v>
      </c>
      <c r="B1578">
        <v>3.8279999999999998</v>
      </c>
      <c r="C1578">
        <v>4.0039999999999996</v>
      </c>
      <c r="D1578" t="s">
        <v>303</v>
      </c>
      <c r="E1578">
        <v>14</v>
      </c>
      <c r="F1578">
        <v>14</v>
      </c>
      <c r="G1578" t="s">
        <v>690</v>
      </c>
      <c r="H1578" t="s">
        <v>690</v>
      </c>
      <c r="J1578">
        <v>4.0039999999999996</v>
      </c>
      <c r="K1578">
        <v>3.8279999999999998</v>
      </c>
      <c r="L1578" t="s">
        <v>303</v>
      </c>
      <c r="M1578">
        <v>4.0039999999999996</v>
      </c>
      <c r="N1578">
        <v>3.8279999999999998</v>
      </c>
      <c r="O1578" t="s">
        <v>303</v>
      </c>
      <c r="P1578">
        <f t="shared" si="24"/>
        <v>0</v>
      </c>
    </row>
    <row r="1579" spans="1:16" x14ac:dyDescent="0.25">
      <c r="A1579" t="s">
        <v>669</v>
      </c>
      <c r="B1579">
        <v>2.82</v>
      </c>
      <c r="C1579">
        <v>4.03</v>
      </c>
      <c r="D1579" t="s">
        <v>303</v>
      </c>
      <c r="E1579" t="s">
        <v>910</v>
      </c>
      <c r="F1579" t="s">
        <v>910</v>
      </c>
      <c r="J1579">
        <v>4.03</v>
      </c>
      <c r="K1579">
        <v>2.82</v>
      </c>
      <c r="L1579" t="s">
        <v>303</v>
      </c>
      <c r="M1579">
        <v>4.03</v>
      </c>
      <c r="N1579">
        <v>2.82</v>
      </c>
      <c r="O1579" t="s">
        <v>303</v>
      </c>
      <c r="P1579">
        <f t="shared" si="24"/>
        <v>0</v>
      </c>
    </row>
    <row r="1580" spans="1:16" x14ac:dyDescent="0.25">
      <c r="A1580" t="s">
        <v>669</v>
      </c>
      <c r="B1580">
        <v>4.0430000000000001</v>
      </c>
      <c r="C1580">
        <v>4.0430000000000001</v>
      </c>
      <c r="D1580" t="s">
        <v>303</v>
      </c>
      <c r="E1580" t="s">
        <v>910</v>
      </c>
      <c r="F1580" t="s">
        <v>910</v>
      </c>
      <c r="J1580">
        <v>4.0430000000000001</v>
      </c>
      <c r="K1580">
        <v>4.0430000000000001</v>
      </c>
      <c r="L1580" t="s">
        <v>303</v>
      </c>
      <c r="M1580">
        <v>4.0430000000000001</v>
      </c>
      <c r="N1580">
        <v>4.0430000000000001</v>
      </c>
      <c r="O1580" t="s">
        <v>303</v>
      </c>
      <c r="P1580">
        <f t="shared" si="24"/>
        <v>0</v>
      </c>
    </row>
    <row r="1581" spans="1:16" x14ac:dyDescent="0.25">
      <c r="A1581" t="s">
        <v>669</v>
      </c>
      <c r="B1581">
        <v>4.0750000000000002</v>
      </c>
      <c r="C1581">
        <v>4.0750000000000002</v>
      </c>
      <c r="D1581" t="s">
        <v>303</v>
      </c>
      <c r="E1581" t="s">
        <v>910</v>
      </c>
      <c r="F1581" t="s">
        <v>910</v>
      </c>
      <c r="J1581">
        <v>4.0750000000000002</v>
      </c>
      <c r="K1581">
        <v>4.0750000000000002</v>
      </c>
      <c r="L1581" t="s">
        <v>303</v>
      </c>
      <c r="M1581">
        <v>4.0750000000000002</v>
      </c>
      <c r="N1581">
        <v>4.0750000000000002</v>
      </c>
      <c r="O1581" t="s">
        <v>303</v>
      </c>
      <c r="P1581">
        <f t="shared" si="24"/>
        <v>0</v>
      </c>
    </row>
    <row r="1582" spans="1:16" x14ac:dyDescent="0.25">
      <c r="A1582" t="s">
        <v>669</v>
      </c>
      <c r="B1582">
        <v>4.09</v>
      </c>
      <c r="C1582">
        <v>4.09</v>
      </c>
      <c r="D1582" t="s">
        <v>303</v>
      </c>
      <c r="E1582" t="s">
        <v>910</v>
      </c>
      <c r="F1582" t="s">
        <v>910</v>
      </c>
      <c r="J1582">
        <v>4.09</v>
      </c>
      <c r="K1582">
        <v>4.09</v>
      </c>
      <c r="L1582" t="s">
        <v>303</v>
      </c>
      <c r="M1582">
        <v>4.09</v>
      </c>
      <c r="N1582">
        <v>4.09</v>
      </c>
      <c r="O1582" t="s">
        <v>303</v>
      </c>
      <c r="P1582">
        <f t="shared" si="24"/>
        <v>0</v>
      </c>
    </row>
    <row r="1583" spans="1:16" x14ac:dyDescent="0.25">
      <c r="A1583" t="s">
        <v>669</v>
      </c>
      <c r="B1583">
        <v>4.0941999999999998</v>
      </c>
      <c r="C1583">
        <v>4.0941999999999998</v>
      </c>
      <c r="D1583" t="s">
        <v>303</v>
      </c>
      <c r="E1583" t="s">
        <v>910</v>
      </c>
      <c r="F1583" t="s">
        <v>910</v>
      </c>
      <c r="J1583">
        <v>4.0941999999999998</v>
      </c>
      <c r="K1583">
        <v>4.0941999999999998</v>
      </c>
      <c r="L1583" t="s">
        <v>303</v>
      </c>
      <c r="M1583">
        <v>4.0941999999999998</v>
      </c>
      <c r="N1583">
        <v>4.0941999999999998</v>
      </c>
      <c r="O1583" t="s">
        <v>303</v>
      </c>
      <c r="P1583">
        <f t="shared" si="24"/>
        <v>0</v>
      </c>
    </row>
    <row r="1584" spans="1:16" x14ac:dyDescent="0.25">
      <c r="A1584" t="s">
        <v>669</v>
      </c>
      <c r="B1584">
        <v>4.0999999999999996</v>
      </c>
      <c r="C1584">
        <v>4.0999999999999996</v>
      </c>
      <c r="D1584" t="s">
        <v>303</v>
      </c>
      <c r="E1584" t="s">
        <v>910</v>
      </c>
      <c r="F1584" t="s">
        <v>910</v>
      </c>
      <c r="J1584">
        <v>4.0999999999999996</v>
      </c>
      <c r="K1584">
        <v>4.0999999999999996</v>
      </c>
      <c r="L1584" t="s">
        <v>303</v>
      </c>
      <c r="M1584">
        <v>4.0999999999999996</v>
      </c>
      <c r="N1584">
        <v>4.0999999999999996</v>
      </c>
      <c r="O1584" t="s">
        <v>303</v>
      </c>
      <c r="P1584">
        <f t="shared" si="24"/>
        <v>0</v>
      </c>
    </row>
    <row r="1585" spans="1:16" x14ac:dyDescent="0.25">
      <c r="A1585" t="s">
        <v>669</v>
      </c>
      <c r="B1585">
        <v>4.0999999999999996</v>
      </c>
      <c r="C1585">
        <v>4.0999999999999996</v>
      </c>
      <c r="D1585" t="s">
        <v>860</v>
      </c>
      <c r="E1585" t="s">
        <v>910</v>
      </c>
      <c r="F1585" t="s">
        <v>910</v>
      </c>
      <c r="J1585">
        <v>4.0999999999999996</v>
      </c>
      <c r="K1585">
        <v>4.0999999999999996</v>
      </c>
      <c r="L1585" t="s">
        <v>303</v>
      </c>
      <c r="M1585">
        <v>4.0999999999999996</v>
      </c>
      <c r="N1585">
        <v>4.0999999999999996</v>
      </c>
      <c r="O1585" t="s">
        <v>303</v>
      </c>
      <c r="P1585">
        <f t="shared" si="24"/>
        <v>0</v>
      </c>
    </row>
    <row r="1586" spans="1:16" x14ac:dyDescent="0.25">
      <c r="A1586" t="s">
        <v>527</v>
      </c>
      <c r="B1586">
        <v>4105.9610000000002</v>
      </c>
      <c r="C1586">
        <v>4105.9610000000002</v>
      </c>
      <c r="D1586" t="s">
        <v>887</v>
      </c>
      <c r="E1586" t="s">
        <v>910</v>
      </c>
      <c r="F1586" t="s">
        <v>910</v>
      </c>
      <c r="I1586" t="s">
        <v>951</v>
      </c>
      <c r="J1586">
        <v>4.1059610000000006</v>
      </c>
      <c r="K1586">
        <v>4.1059610000000006</v>
      </c>
      <c r="L1586" t="s">
        <v>303</v>
      </c>
      <c r="M1586">
        <v>4105.9610000000002</v>
      </c>
      <c r="N1586">
        <v>4105.9610000000002</v>
      </c>
      <c r="O1586" t="s">
        <v>862</v>
      </c>
    </row>
    <row r="1587" spans="1:16" x14ac:dyDescent="0.25">
      <c r="A1587" t="s">
        <v>669</v>
      </c>
      <c r="B1587">
        <v>4.109</v>
      </c>
      <c r="C1587">
        <v>4.109</v>
      </c>
      <c r="D1587" t="s">
        <v>303</v>
      </c>
      <c r="E1587" t="s">
        <v>910</v>
      </c>
      <c r="F1587" t="s">
        <v>910</v>
      </c>
      <c r="J1587">
        <v>4.109</v>
      </c>
      <c r="K1587">
        <v>4.109</v>
      </c>
      <c r="L1587" t="s">
        <v>303</v>
      </c>
      <c r="M1587">
        <v>4.109</v>
      </c>
      <c r="N1587">
        <v>4.109</v>
      </c>
      <c r="O1587" t="s">
        <v>303</v>
      </c>
      <c r="P1587">
        <f t="shared" si="24"/>
        <v>0</v>
      </c>
    </row>
    <row r="1588" spans="1:16" x14ac:dyDescent="0.25">
      <c r="A1588" t="s">
        <v>669</v>
      </c>
      <c r="B1588">
        <v>4.1100000000000003</v>
      </c>
      <c r="C1588">
        <v>4.1100000000000003</v>
      </c>
      <c r="D1588" t="s">
        <v>303</v>
      </c>
      <c r="E1588" t="s">
        <v>910</v>
      </c>
      <c r="F1588" t="s">
        <v>910</v>
      </c>
      <c r="J1588">
        <v>4.1100000000000003</v>
      </c>
      <c r="K1588">
        <v>4.1100000000000003</v>
      </c>
      <c r="L1588" t="s">
        <v>303</v>
      </c>
      <c r="M1588">
        <v>4.1100000000000003</v>
      </c>
      <c r="N1588">
        <v>4.1100000000000003</v>
      </c>
      <c r="O1588" t="s">
        <v>303</v>
      </c>
      <c r="P1588">
        <f t="shared" si="24"/>
        <v>0</v>
      </c>
    </row>
    <row r="1589" spans="1:16" x14ac:dyDescent="0.25">
      <c r="A1589" t="s">
        <v>669</v>
      </c>
      <c r="B1589">
        <v>4.1440000000000001</v>
      </c>
      <c r="C1589">
        <v>4.1440000000000001</v>
      </c>
      <c r="D1589" t="s">
        <v>303</v>
      </c>
      <c r="E1589" t="s">
        <v>910</v>
      </c>
      <c r="F1589" t="s">
        <v>910</v>
      </c>
      <c r="J1589">
        <v>4.1440000000000001</v>
      </c>
      <c r="K1589">
        <v>4.1440000000000001</v>
      </c>
      <c r="L1589" t="s">
        <v>303</v>
      </c>
      <c r="M1589">
        <v>4.1440000000000001</v>
      </c>
      <c r="N1589">
        <v>4.1440000000000001</v>
      </c>
      <c r="O1589" t="s">
        <v>303</v>
      </c>
      <c r="P1589">
        <f t="shared" si="24"/>
        <v>0</v>
      </c>
    </row>
    <row r="1590" spans="1:16" x14ac:dyDescent="0.25">
      <c r="A1590" t="s">
        <v>669</v>
      </c>
      <c r="B1590">
        <v>4.16</v>
      </c>
      <c r="C1590">
        <v>4.16</v>
      </c>
      <c r="D1590" t="s">
        <v>303</v>
      </c>
      <c r="E1590" t="s">
        <v>910</v>
      </c>
      <c r="F1590" t="s">
        <v>910</v>
      </c>
      <c r="J1590">
        <v>4.16</v>
      </c>
      <c r="K1590">
        <v>4.16</v>
      </c>
      <c r="L1590" t="s">
        <v>303</v>
      </c>
      <c r="M1590">
        <v>4.16</v>
      </c>
      <c r="N1590">
        <v>4.16</v>
      </c>
      <c r="O1590" t="s">
        <v>303</v>
      </c>
      <c r="P1590">
        <f t="shared" si="24"/>
        <v>0</v>
      </c>
    </row>
    <row r="1591" spans="1:16" x14ac:dyDescent="0.25">
      <c r="A1591" t="s">
        <v>669</v>
      </c>
      <c r="B1591">
        <v>4.1790000000000003</v>
      </c>
      <c r="C1591">
        <v>4.1790000000000003</v>
      </c>
      <c r="D1591" t="s">
        <v>303</v>
      </c>
      <c r="E1591" t="s">
        <v>910</v>
      </c>
      <c r="F1591" t="s">
        <v>910</v>
      </c>
      <c r="J1591">
        <v>4.1790000000000003</v>
      </c>
      <c r="K1591">
        <v>4.1790000000000003</v>
      </c>
      <c r="L1591" t="s">
        <v>303</v>
      </c>
      <c r="M1591">
        <v>4.1790000000000003</v>
      </c>
      <c r="N1591">
        <v>4.1790000000000003</v>
      </c>
      <c r="O1591" t="s">
        <v>303</v>
      </c>
      <c r="P1591">
        <f t="shared" si="24"/>
        <v>0</v>
      </c>
    </row>
    <row r="1592" spans="1:16" x14ac:dyDescent="0.25">
      <c r="A1592" t="s">
        <v>669</v>
      </c>
      <c r="B1592">
        <v>4.194</v>
      </c>
      <c r="C1592">
        <v>4.194</v>
      </c>
      <c r="D1592" t="s">
        <v>303</v>
      </c>
      <c r="E1592" t="s">
        <v>910</v>
      </c>
      <c r="F1592" t="s">
        <v>910</v>
      </c>
      <c r="J1592">
        <v>4.194</v>
      </c>
      <c r="K1592">
        <v>4.194</v>
      </c>
      <c r="L1592" t="s">
        <v>303</v>
      </c>
      <c r="M1592">
        <v>4.194</v>
      </c>
      <c r="N1592">
        <v>4.194</v>
      </c>
      <c r="O1592" t="s">
        <v>303</v>
      </c>
      <c r="P1592">
        <f t="shared" si="24"/>
        <v>0</v>
      </c>
    </row>
    <row r="1593" spans="1:16" x14ac:dyDescent="0.25">
      <c r="A1593" t="s">
        <v>669</v>
      </c>
      <c r="B1593">
        <v>4.1955999999999998</v>
      </c>
      <c r="C1593">
        <v>4.1955999999999998</v>
      </c>
      <c r="D1593" t="s">
        <v>303</v>
      </c>
      <c r="E1593" t="s">
        <v>910</v>
      </c>
      <c r="F1593" t="s">
        <v>910</v>
      </c>
      <c r="J1593">
        <v>4.1955999999999998</v>
      </c>
      <c r="K1593">
        <v>4.1955999999999998</v>
      </c>
      <c r="L1593" t="s">
        <v>303</v>
      </c>
      <c r="M1593">
        <v>4.1955999999999998</v>
      </c>
      <c r="N1593">
        <v>4.1955999999999998</v>
      </c>
      <c r="O1593" t="s">
        <v>303</v>
      </c>
      <c r="P1593">
        <f t="shared" si="24"/>
        <v>0</v>
      </c>
    </row>
    <row r="1594" spans="1:16" x14ac:dyDescent="0.25">
      <c r="A1594" t="s">
        <v>669</v>
      </c>
      <c r="B1594">
        <v>3.6</v>
      </c>
      <c r="C1594">
        <v>4.2</v>
      </c>
      <c r="D1594" t="s">
        <v>303</v>
      </c>
      <c r="E1594" t="s">
        <v>910</v>
      </c>
      <c r="F1594" t="s">
        <v>910</v>
      </c>
      <c r="J1594">
        <v>4.2</v>
      </c>
      <c r="K1594">
        <v>3.6</v>
      </c>
      <c r="L1594" t="s">
        <v>303</v>
      </c>
      <c r="M1594">
        <v>4.2</v>
      </c>
      <c r="N1594">
        <v>3.6</v>
      </c>
      <c r="O1594" t="s">
        <v>303</v>
      </c>
      <c r="P1594">
        <f t="shared" si="24"/>
        <v>0</v>
      </c>
    </row>
    <row r="1595" spans="1:16" x14ac:dyDescent="0.25">
      <c r="A1595" t="s">
        <v>669</v>
      </c>
      <c r="B1595">
        <v>4.2</v>
      </c>
      <c r="C1595">
        <v>4.2</v>
      </c>
      <c r="D1595" t="s">
        <v>303</v>
      </c>
      <c r="E1595" t="s">
        <v>910</v>
      </c>
      <c r="F1595" t="s">
        <v>910</v>
      </c>
      <c r="J1595">
        <v>4.2</v>
      </c>
      <c r="K1595">
        <v>4.2</v>
      </c>
      <c r="L1595" t="s">
        <v>303</v>
      </c>
      <c r="M1595">
        <v>4.2</v>
      </c>
      <c r="N1595">
        <v>4.2</v>
      </c>
      <c r="O1595" t="s">
        <v>303</v>
      </c>
      <c r="P1595">
        <f t="shared" si="24"/>
        <v>0</v>
      </c>
    </row>
    <row r="1596" spans="1:16" x14ac:dyDescent="0.25">
      <c r="A1596" t="s">
        <v>669</v>
      </c>
      <c r="B1596" t="s">
        <v>669</v>
      </c>
      <c r="C1596">
        <v>4.2</v>
      </c>
      <c r="D1596" t="s">
        <v>303</v>
      </c>
      <c r="E1596" t="s">
        <v>910</v>
      </c>
      <c r="F1596" t="s">
        <v>910</v>
      </c>
      <c r="J1596">
        <v>4.2</v>
      </c>
      <c r="K1596">
        <v>4.2</v>
      </c>
      <c r="L1596" t="s">
        <v>303</v>
      </c>
      <c r="M1596">
        <v>4.2</v>
      </c>
      <c r="N1596">
        <v>4.2</v>
      </c>
      <c r="O1596" t="s">
        <v>303</v>
      </c>
      <c r="P1596">
        <f t="shared" si="24"/>
        <v>0</v>
      </c>
    </row>
    <row r="1597" spans="1:16" x14ac:dyDescent="0.25">
      <c r="A1597" t="s">
        <v>527</v>
      </c>
      <c r="B1597">
        <v>4211.8010000000004</v>
      </c>
      <c r="C1597">
        <v>4211.8010000000004</v>
      </c>
      <c r="D1597" t="s">
        <v>887</v>
      </c>
      <c r="E1597" t="s">
        <v>910</v>
      </c>
      <c r="F1597" t="s">
        <v>910</v>
      </c>
      <c r="I1597" t="s">
        <v>951</v>
      </c>
      <c r="J1597">
        <v>4.2118010000000004</v>
      </c>
      <c r="K1597">
        <v>4.2118010000000004</v>
      </c>
      <c r="L1597" t="s">
        <v>303</v>
      </c>
      <c r="M1597">
        <v>4211.8010000000004</v>
      </c>
      <c r="N1597">
        <v>4211.8010000000004</v>
      </c>
      <c r="O1597" t="s">
        <v>862</v>
      </c>
    </row>
    <row r="1598" spans="1:16" x14ac:dyDescent="0.25">
      <c r="A1598" t="s">
        <v>669</v>
      </c>
      <c r="B1598">
        <v>4.2119999999999997</v>
      </c>
      <c r="C1598">
        <v>4.2119999999999997</v>
      </c>
      <c r="D1598" t="s">
        <v>303</v>
      </c>
      <c r="E1598" t="s">
        <v>910</v>
      </c>
      <c r="F1598" t="s">
        <v>910</v>
      </c>
      <c r="J1598">
        <v>4.2119999999999997</v>
      </c>
      <c r="K1598">
        <v>4.2119999999999997</v>
      </c>
      <c r="L1598" t="s">
        <v>303</v>
      </c>
      <c r="M1598">
        <v>4.2119999999999997</v>
      </c>
      <c r="N1598">
        <v>4.2119999999999997</v>
      </c>
      <c r="O1598" t="s">
        <v>303</v>
      </c>
      <c r="P1598">
        <f t="shared" si="24"/>
        <v>0</v>
      </c>
    </row>
    <row r="1599" spans="1:16" x14ac:dyDescent="0.25">
      <c r="A1599" t="s">
        <v>669</v>
      </c>
      <c r="B1599">
        <v>4.24</v>
      </c>
      <c r="C1599">
        <v>4.24</v>
      </c>
      <c r="D1599" t="s">
        <v>303</v>
      </c>
      <c r="E1599" t="s">
        <v>910</v>
      </c>
      <c r="F1599" t="s">
        <v>910</v>
      </c>
      <c r="J1599">
        <v>4.24</v>
      </c>
      <c r="K1599">
        <v>4.24</v>
      </c>
      <c r="L1599" t="s">
        <v>303</v>
      </c>
      <c r="M1599">
        <v>4.24</v>
      </c>
      <c r="N1599">
        <v>4.24</v>
      </c>
      <c r="O1599" t="s">
        <v>303</v>
      </c>
      <c r="P1599">
        <f t="shared" si="24"/>
        <v>0</v>
      </c>
    </row>
    <row r="1600" spans="1:16" x14ac:dyDescent="0.25">
      <c r="A1600" t="s">
        <v>669</v>
      </c>
      <c r="B1600">
        <v>4.2439999999999998</v>
      </c>
      <c r="C1600">
        <v>4.2439999999999998</v>
      </c>
      <c r="D1600" t="s">
        <v>303</v>
      </c>
      <c r="E1600" t="s">
        <v>910</v>
      </c>
      <c r="F1600" t="s">
        <v>910</v>
      </c>
      <c r="J1600">
        <v>4.2439999999999998</v>
      </c>
      <c r="K1600">
        <v>4.2439999999999998</v>
      </c>
      <c r="L1600" t="s">
        <v>303</v>
      </c>
      <c r="M1600">
        <v>4.2439999999999998</v>
      </c>
      <c r="N1600">
        <v>4.2439999999999998</v>
      </c>
      <c r="O1600" t="s">
        <v>303</v>
      </c>
      <c r="P1600">
        <f t="shared" si="24"/>
        <v>0</v>
      </c>
    </row>
    <row r="1601" spans="1:16" x14ac:dyDescent="0.25">
      <c r="A1601" t="s">
        <v>669</v>
      </c>
      <c r="B1601">
        <v>4.2729999999999997</v>
      </c>
      <c r="C1601">
        <v>4.2729999999999997</v>
      </c>
      <c r="D1601" t="s">
        <v>303</v>
      </c>
      <c r="E1601" t="s">
        <v>910</v>
      </c>
      <c r="F1601" t="s">
        <v>910</v>
      </c>
      <c r="J1601">
        <v>4.2729999999999997</v>
      </c>
      <c r="K1601">
        <v>4.2729999999999997</v>
      </c>
      <c r="L1601" t="s">
        <v>303</v>
      </c>
      <c r="M1601">
        <v>4.2729999999999997</v>
      </c>
      <c r="N1601">
        <v>4.2729999999999997</v>
      </c>
      <c r="O1601" t="s">
        <v>303</v>
      </c>
      <c r="P1601">
        <f t="shared" si="24"/>
        <v>0</v>
      </c>
    </row>
    <row r="1602" spans="1:16" x14ac:dyDescent="0.25">
      <c r="A1602" t="s">
        <v>537</v>
      </c>
      <c r="B1602">
        <v>4.16</v>
      </c>
      <c r="C1602">
        <v>4.28</v>
      </c>
      <c r="D1602" t="s">
        <v>669</v>
      </c>
      <c r="E1602">
        <v>14</v>
      </c>
      <c r="F1602">
        <v>14</v>
      </c>
      <c r="G1602" t="s">
        <v>690</v>
      </c>
      <c r="H1602" t="s">
        <v>690</v>
      </c>
      <c r="I1602" t="s">
        <v>927</v>
      </c>
      <c r="J1602">
        <v>4.28</v>
      </c>
      <c r="K1602">
        <v>4.16</v>
      </c>
      <c r="L1602" t="s">
        <v>930</v>
      </c>
      <c r="M1602">
        <v>4.28</v>
      </c>
      <c r="N1602">
        <v>4.16</v>
      </c>
      <c r="P1602">
        <f t="shared" si="24"/>
        <v>14</v>
      </c>
    </row>
    <row r="1603" spans="1:16" x14ac:dyDescent="0.25">
      <c r="A1603" t="s">
        <v>669</v>
      </c>
      <c r="B1603">
        <v>4.2819000000000003</v>
      </c>
      <c r="C1603">
        <v>4.2819000000000003</v>
      </c>
      <c r="D1603" t="s">
        <v>303</v>
      </c>
      <c r="E1603" t="s">
        <v>910</v>
      </c>
      <c r="F1603" t="s">
        <v>910</v>
      </c>
      <c r="J1603">
        <v>4.2819000000000003</v>
      </c>
      <c r="K1603">
        <v>4.2819000000000003</v>
      </c>
      <c r="L1603" t="s">
        <v>303</v>
      </c>
      <c r="M1603">
        <v>4.2819000000000003</v>
      </c>
      <c r="N1603">
        <v>4.2819000000000003</v>
      </c>
      <c r="O1603" t="s">
        <v>303</v>
      </c>
      <c r="P1603">
        <f t="shared" ref="P1603:P1666" si="25">LEN(I1603)</f>
        <v>0</v>
      </c>
    </row>
    <row r="1604" spans="1:16" x14ac:dyDescent="0.25">
      <c r="A1604" t="s">
        <v>669</v>
      </c>
      <c r="B1604">
        <v>3.83</v>
      </c>
      <c r="C1604">
        <v>4.29</v>
      </c>
      <c r="D1604" t="s">
        <v>860</v>
      </c>
      <c r="E1604" t="s">
        <v>910</v>
      </c>
      <c r="F1604" t="s">
        <v>910</v>
      </c>
      <c r="J1604">
        <v>4.29</v>
      </c>
      <c r="K1604">
        <v>3.83</v>
      </c>
      <c r="L1604" t="s">
        <v>303</v>
      </c>
      <c r="M1604">
        <v>4.29</v>
      </c>
      <c r="N1604">
        <v>3.83</v>
      </c>
      <c r="O1604" t="s">
        <v>303</v>
      </c>
      <c r="P1604">
        <f t="shared" si="25"/>
        <v>0</v>
      </c>
    </row>
    <row r="1605" spans="1:16" x14ac:dyDescent="0.25">
      <c r="A1605" t="s">
        <v>669</v>
      </c>
      <c r="B1605">
        <v>4.29</v>
      </c>
      <c r="C1605">
        <v>4.29</v>
      </c>
      <c r="D1605" t="s">
        <v>303</v>
      </c>
      <c r="E1605" t="s">
        <v>910</v>
      </c>
      <c r="F1605" t="s">
        <v>910</v>
      </c>
      <c r="J1605">
        <v>4.29</v>
      </c>
      <c r="K1605">
        <v>4.29</v>
      </c>
      <c r="L1605" t="s">
        <v>303</v>
      </c>
      <c r="M1605">
        <v>4.29</v>
      </c>
      <c r="N1605">
        <v>4.29</v>
      </c>
      <c r="O1605" t="s">
        <v>303</v>
      </c>
      <c r="P1605">
        <f t="shared" si="25"/>
        <v>0</v>
      </c>
    </row>
    <row r="1606" spans="1:16" x14ac:dyDescent="0.25">
      <c r="A1606" t="s">
        <v>669</v>
      </c>
      <c r="B1606">
        <v>4.2990000000000004</v>
      </c>
      <c r="C1606">
        <v>4.2990000000000004</v>
      </c>
      <c r="D1606" t="s">
        <v>303</v>
      </c>
      <c r="E1606" t="s">
        <v>910</v>
      </c>
      <c r="F1606" t="s">
        <v>910</v>
      </c>
      <c r="J1606">
        <v>4.2990000000000004</v>
      </c>
      <c r="K1606">
        <v>4.2990000000000004</v>
      </c>
      <c r="L1606" t="s">
        <v>303</v>
      </c>
      <c r="M1606">
        <v>4.2990000000000004</v>
      </c>
      <c r="N1606">
        <v>4.2990000000000004</v>
      </c>
      <c r="O1606" t="s">
        <v>303</v>
      </c>
      <c r="P1606">
        <f t="shared" si="25"/>
        <v>0</v>
      </c>
    </row>
    <row r="1607" spans="1:16" x14ac:dyDescent="0.25">
      <c r="A1607">
        <v>2.9</v>
      </c>
      <c r="B1607">
        <v>2</v>
      </c>
      <c r="C1607">
        <v>4.3</v>
      </c>
      <c r="D1607" t="s">
        <v>303</v>
      </c>
      <c r="E1607" t="s">
        <v>910</v>
      </c>
      <c r="F1607" t="s">
        <v>910</v>
      </c>
      <c r="J1607">
        <v>4.3</v>
      </c>
      <c r="K1607">
        <v>2</v>
      </c>
      <c r="L1607" t="s">
        <v>303</v>
      </c>
      <c r="M1607">
        <v>4.3</v>
      </c>
      <c r="N1607">
        <v>2</v>
      </c>
      <c r="O1607" t="s">
        <v>303</v>
      </c>
      <c r="P1607">
        <f t="shared" si="25"/>
        <v>0</v>
      </c>
    </row>
    <row r="1608" spans="1:16" x14ac:dyDescent="0.25">
      <c r="A1608" t="s">
        <v>669</v>
      </c>
      <c r="B1608" t="s">
        <v>669</v>
      </c>
      <c r="C1608">
        <v>4.3</v>
      </c>
      <c r="D1608" t="s">
        <v>303</v>
      </c>
      <c r="E1608" t="s">
        <v>910</v>
      </c>
      <c r="F1608" t="s">
        <v>910</v>
      </c>
      <c r="J1608">
        <v>4.3</v>
      </c>
      <c r="K1608">
        <v>4.3</v>
      </c>
      <c r="L1608" t="s">
        <v>303</v>
      </c>
      <c r="M1608">
        <v>4.3</v>
      </c>
      <c r="N1608">
        <v>4.3</v>
      </c>
      <c r="O1608" t="s">
        <v>303</v>
      </c>
      <c r="P1608">
        <f t="shared" si="25"/>
        <v>0</v>
      </c>
    </row>
    <row r="1609" spans="1:16" x14ac:dyDescent="0.25">
      <c r="A1609" t="s">
        <v>669</v>
      </c>
      <c r="B1609">
        <v>4.3220000000000001</v>
      </c>
      <c r="C1609">
        <v>4.3220000000000001</v>
      </c>
      <c r="D1609" t="s">
        <v>303</v>
      </c>
      <c r="E1609" t="s">
        <v>910</v>
      </c>
      <c r="F1609" t="s">
        <v>910</v>
      </c>
      <c r="J1609">
        <v>4.3220000000000001</v>
      </c>
      <c r="K1609">
        <v>4.3220000000000001</v>
      </c>
      <c r="L1609" t="s">
        <v>303</v>
      </c>
      <c r="M1609">
        <v>4.3220000000000001</v>
      </c>
      <c r="N1609">
        <v>4.3220000000000001</v>
      </c>
      <c r="O1609" t="s">
        <v>303</v>
      </c>
      <c r="P1609">
        <f t="shared" si="25"/>
        <v>0</v>
      </c>
    </row>
    <row r="1610" spans="1:16" x14ac:dyDescent="0.25">
      <c r="A1610" t="s">
        <v>669</v>
      </c>
      <c r="B1610">
        <v>4.33</v>
      </c>
      <c r="C1610">
        <v>4.33</v>
      </c>
      <c r="D1610" t="s">
        <v>303</v>
      </c>
      <c r="E1610" t="s">
        <v>910</v>
      </c>
      <c r="F1610" t="s">
        <v>910</v>
      </c>
      <c r="J1610">
        <v>4.33</v>
      </c>
      <c r="K1610">
        <v>4.33</v>
      </c>
      <c r="L1610" t="s">
        <v>303</v>
      </c>
      <c r="M1610">
        <v>4.33</v>
      </c>
      <c r="N1610">
        <v>4.33</v>
      </c>
      <c r="O1610" t="s">
        <v>303</v>
      </c>
      <c r="P1610">
        <f t="shared" si="25"/>
        <v>0</v>
      </c>
    </row>
    <row r="1611" spans="1:16" x14ac:dyDescent="0.25">
      <c r="A1611" t="s">
        <v>669</v>
      </c>
      <c r="B1611">
        <v>100</v>
      </c>
      <c r="C1611" t="s">
        <v>669</v>
      </c>
      <c r="D1611" t="s">
        <v>857</v>
      </c>
      <c r="E1611" t="s">
        <v>910</v>
      </c>
      <c r="F1611">
        <v>5</v>
      </c>
      <c r="H1611" t="s">
        <v>684</v>
      </c>
      <c r="I1611" t="s">
        <v>932</v>
      </c>
      <c r="K1611">
        <v>100</v>
      </c>
      <c r="L1611" t="s">
        <v>920</v>
      </c>
      <c r="N1611">
        <v>100</v>
      </c>
      <c r="O1611" t="s">
        <v>857</v>
      </c>
      <c r="P1611">
        <f t="shared" si="25"/>
        <v>27</v>
      </c>
    </row>
    <row r="1612" spans="1:16" x14ac:dyDescent="0.25">
      <c r="A1612" t="s">
        <v>669</v>
      </c>
      <c r="B1612">
        <v>4.3440000000000003</v>
      </c>
      <c r="C1612">
        <v>4.3440000000000003</v>
      </c>
      <c r="D1612" t="s">
        <v>303</v>
      </c>
      <c r="E1612" t="s">
        <v>910</v>
      </c>
      <c r="F1612" t="s">
        <v>910</v>
      </c>
      <c r="J1612">
        <v>4.3440000000000003</v>
      </c>
      <c r="K1612">
        <v>4.3440000000000003</v>
      </c>
      <c r="L1612" t="s">
        <v>303</v>
      </c>
      <c r="M1612">
        <v>4.3440000000000003</v>
      </c>
      <c r="N1612">
        <v>4.3440000000000003</v>
      </c>
      <c r="O1612" t="s">
        <v>303</v>
      </c>
      <c r="P1612">
        <f t="shared" si="25"/>
        <v>0</v>
      </c>
    </row>
    <row r="1613" spans="1:16" x14ac:dyDescent="0.25">
      <c r="A1613" t="s">
        <v>669</v>
      </c>
      <c r="B1613">
        <v>4.3639999999999999</v>
      </c>
      <c r="C1613">
        <v>4.3639999999999999</v>
      </c>
      <c r="D1613" t="s">
        <v>303</v>
      </c>
      <c r="E1613" t="s">
        <v>910</v>
      </c>
      <c r="F1613" t="s">
        <v>910</v>
      </c>
      <c r="J1613">
        <v>4.3639999999999999</v>
      </c>
      <c r="K1613">
        <v>4.3639999999999999</v>
      </c>
      <c r="L1613" t="s">
        <v>303</v>
      </c>
      <c r="M1613">
        <v>4.3639999999999999</v>
      </c>
      <c r="N1613">
        <v>4.3639999999999999</v>
      </c>
      <c r="O1613" t="s">
        <v>303</v>
      </c>
      <c r="P1613">
        <f t="shared" si="25"/>
        <v>0</v>
      </c>
    </row>
    <row r="1614" spans="1:16" x14ac:dyDescent="0.25">
      <c r="A1614" t="s">
        <v>669</v>
      </c>
      <c r="B1614">
        <v>4.38</v>
      </c>
      <c r="C1614">
        <v>4.38</v>
      </c>
      <c r="D1614" t="s">
        <v>303</v>
      </c>
      <c r="E1614" t="s">
        <v>910</v>
      </c>
      <c r="F1614" t="s">
        <v>910</v>
      </c>
      <c r="J1614">
        <v>4.38</v>
      </c>
      <c r="K1614">
        <v>4.38</v>
      </c>
      <c r="L1614" t="s">
        <v>303</v>
      </c>
      <c r="M1614">
        <v>4.38</v>
      </c>
      <c r="N1614">
        <v>4.38</v>
      </c>
      <c r="O1614" t="s">
        <v>303</v>
      </c>
      <c r="P1614">
        <f t="shared" si="25"/>
        <v>0</v>
      </c>
    </row>
    <row r="1615" spans="1:16" x14ac:dyDescent="0.25">
      <c r="A1615" t="s">
        <v>669</v>
      </c>
      <c r="B1615">
        <v>4.383</v>
      </c>
      <c r="C1615">
        <v>4.383</v>
      </c>
      <c r="D1615" t="s">
        <v>303</v>
      </c>
      <c r="E1615" t="s">
        <v>910</v>
      </c>
      <c r="F1615" t="s">
        <v>910</v>
      </c>
      <c r="J1615">
        <v>4.383</v>
      </c>
      <c r="K1615">
        <v>4.383</v>
      </c>
      <c r="L1615" t="s">
        <v>303</v>
      </c>
      <c r="M1615">
        <v>4.383</v>
      </c>
      <c r="N1615">
        <v>4.383</v>
      </c>
      <c r="O1615" t="s">
        <v>303</v>
      </c>
      <c r="P1615">
        <f t="shared" si="25"/>
        <v>0</v>
      </c>
    </row>
    <row r="1616" spans="1:16" x14ac:dyDescent="0.25">
      <c r="A1616" t="s">
        <v>669</v>
      </c>
      <c r="B1616">
        <v>4.2</v>
      </c>
      <c r="C1616">
        <v>4.4000000000000004</v>
      </c>
      <c r="D1616" t="s">
        <v>860</v>
      </c>
      <c r="E1616" t="s">
        <v>910</v>
      </c>
      <c r="F1616" t="s">
        <v>910</v>
      </c>
      <c r="J1616">
        <v>4.4000000000000004</v>
      </c>
      <c r="K1616">
        <v>4.2</v>
      </c>
      <c r="L1616" t="s">
        <v>303</v>
      </c>
      <c r="M1616">
        <v>4.4000000000000004</v>
      </c>
      <c r="N1616">
        <v>4.2</v>
      </c>
      <c r="O1616" t="s">
        <v>303</v>
      </c>
      <c r="P1616">
        <f t="shared" si="25"/>
        <v>0</v>
      </c>
    </row>
    <row r="1617" spans="1:16" x14ac:dyDescent="0.25">
      <c r="A1617" t="s">
        <v>669</v>
      </c>
      <c r="B1617">
        <v>4.4000000000000004</v>
      </c>
      <c r="C1617">
        <v>4.4000000000000004</v>
      </c>
      <c r="D1617" t="s">
        <v>303</v>
      </c>
      <c r="E1617" t="s">
        <v>910</v>
      </c>
      <c r="F1617" t="s">
        <v>910</v>
      </c>
      <c r="J1617">
        <v>4.4000000000000004</v>
      </c>
      <c r="K1617">
        <v>4.4000000000000004</v>
      </c>
      <c r="L1617" t="s">
        <v>303</v>
      </c>
      <c r="M1617">
        <v>4.4000000000000004</v>
      </c>
      <c r="N1617">
        <v>4.4000000000000004</v>
      </c>
      <c r="O1617" t="s">
        <v>303</v>
      </c>
      <c r="P1617">
        <f t="shared" si="25"/>
        <v>0</v>
      </c>
    </row>
    <row r="1618" spans="1:16" x14ac:dyDescent="0.25">
      <c r="A1618" t="s">
        <v>213</v>
      </c>
      <c r="B1618">
        <v>4150</v>
      </c>
      <c r="C1618">
        <v>4410</v>
      </c>
      <c r="D1618" t="s">
        <v>894</v>
      </c>
      <c r="E1618" t="s">
        <v>910</v>
      </c>
      <c r="F1618" t="s">
        <v>910</v>
      </c>
      <c r="J1618">
        <v>4.41</v>
      </c>
      <c r="K1618">
        <v>4.1500000000000004</v>
      </c>
      <c r="L1618" t="s">
        <v>303</v>
      </c>
      <c r="M1618">
        <v>4410</v>
      </c>
      <c r="N1618">
        <v>4150</v>
      </c>
      <c r="O1618" t="s">
        <v>862</v>
      </c>
      <c r="P1618">
        <f t="shared" si="25"/>
        <v>0</v>
      </c>
    </row>
    <row r="1619" spans="1:16" x14ac:dyDescent="0.25">
      <c r="A1619" t="s">
        <v>669</v>
      </c>
      <c r="B1619">
        <v>4.4169999999999998</v>
      </c>
      <c r="C1619">
        <v>4.4169999999999998</v>
      </c>
      <c r="D1619" t="s">
        <v>303</v>
      </c>
      <c r="E1619" t="s">
        <v>910</v>
      </c>
      <c r="F1619" t="s">
        <v>910</v>
      </c>
      <c r="J1619">
        <v>4.4169999999999998</v>
      </c>
      <c r="K1619">
        <v>4.4169999999999998</v>
      </c>
      <c r="L1619" t="s">
        <v>303</v>
      </c>
      <c r="M1619">
        <v>4.4169999999999998</v>
      </c>
      <c r="N1619">
        <v>4.4169999999999998</v>
      </c>
      <c r="O1619" t="s">
        <v>303</v>
      </c>
      <c r="P1619">
        <f t="shared" si="25"/>
        <v>0</v>
      </c>
    </row>
    <row r="1620" spans="1:16" x14ac:dyDescent="0.25">
      <c r="A1620" t="s">
        <v>669</v>
      </c>
      <c r="B1620">
        <v>4.42</v>
      </c>
      <c r="C1620">
        <v>4.42</v>
      </c>
      <c r="D1620" t="s">
        <v>303</v>
      </c>
      <c r="E1620" t="s">
        <v>910</v>
      </c>
      <c r="F1620" t="s">
        <v>910</v>
      </c>
      <c r="J1620">
        <v>4.42</v>
      </c>
      <c r="K1620">
        <v>4.42</v>
      </c>
      <c r="L1620" t="s">
        <v>303</v>
      </c>
      <c r="M1620">
        <v>4.42</v>
      </c>
      <c r="N1620">
        <v>4.42</v>
      </c>
      <c r="O1620" t="s">
        <v>303</v>
      </c>
      <c r="P1620">
        <f t="shared" si="25"/>
        <v>0</v>
      </c>
    </row>
    <row r="1621" spans="1:16" x14ac:dyDescent="0.25">
      <c r="A1621" t="s">
        <v>669</v>
      </c>
      <c r="B1621">
        <v>4.4329999999999998</v>
      </c>
      <c r="C1621">
        <v>4.4329999999999998</v>
      </c>
      <c r="D1621" t="s">
        <v>303</v>
      </c>
      <c r="E1621" t="s">
        <v>910</v>
      </c>
      <c r="F1621" t="s">
        <v>910</v>
      </c>
      <c r="J1621">
        <v>4.4329999999999998</v>
      </c>
      <c r="K1621">
        <v>4.4329999999999998</v>
      </c>
      <c r="L1621" t="s">
        <v>303</v>
      </c>
      <c r="M1621">
        <v>4.4329999999999998</v>
      </c>
      <c r="N1621">
        <v>4.4329999999999998</v>
      </c>
      <c r="O1621" t="s">
        <v>303</v>
      </c>
      <c r="P1621">
        <f t="shared" si="25"/>
        <v>0</v>
      </c>
    </row>
    <row r="1622" spans="1:16" x14ac:dyDescent="0.25">
      <c r="A1622" t="s">
        <v>669</v>
      </c>
      <c r="B1622">
        <v>4.4489999999999998</v>
      </c>
      <c r="C1622">
        <v>4.4489999999999998</v>
      </c>
      <c r="D1622" t="s">
        <v>303</v>
      </c>
      <c r="E1622" t="s">
        <v>910</v>
      </c>
      <c r="F1622" t="s">
        <v>910</v>
      </c>
      <c r="J1622">
        <v>4.4489999999999998</v>
      </c>
      <c r="K1622">
        <v>4.4489999999999998</v>
      </c>
      <c r="L1622" t="s">
        <v>303</v>
      </c>
      <c r="M1622">
        <v>4.4489999999999998</v>
      </c>
      <c r="N1622">
        <v>4.4489999999999998</v>
      </c>
      <c r="O1622" t="s">
        <v>303</v>
      </c>
      <c r="P1622">
        <f t="shared" si="25"/>
        <v>0</v>
      </c>
    </row>
    <row r="1623" spans="1:16" x14ac:dyDescent="0.25">
      <c r="A1623" t="s">
        <v>669</v>
      </c>
      <c r="B1623">
        <v>4.46</v>
      </c>
      <c r="C1623">
        <v>4.46</v>
      </c>
      <c r="D1623" t="s">
        <v>303</v>
      </c>
      <c r="E1623" t="s">
        <v>910</v>
      </c>
      <c r="F1623" t="s">
        <v>910</v>
      </c>
      <c r="J1623">
        <v>4.46</v>
      </c>
      <c r="K1623">
        <v>4.46</v>
      </c>
      <c r="L1623" t="s">
        <v>303</v>
      </c>
      <c r="M1623">
        <v>4.46</v>
      </c>
      <c r="N1623">
        <v>4.46</v>
      </c>
      <c r="O1623" t="s">
        <v>303</v>
      </c>
      <c r="P1623">
        <f t="shared" si="25"/>
        <v>0</v>
      </c>
    </row>
    <row r="1624" spans="1:16" x14ac:dyDescent="0.25">
      <c r="A1624" t="s">
        <v>669</v>
      </c>
      <c r="B1624">
        <v>4.4640000000000004</v>
      </c>
      <c r="C1624">
        <v>4.4640000000000004</v>
      </c>
      <c r="D1624" t="s">
        <v>303</v>
      </c>
      <c r="E1624" t="s">
        <v>910</v>
      </c>
      <c r="F1624" t="s">
        <v>910</v>
      </c>
      <c r="J1624">
        <v>4.4640000000000004</v>
      </c>
      <c r="K1624">
        <v>4.4640000000000004</v>
      </c>
      <c r="L1624" t="s">
        <v>303</v>
      </c>
      <c r="M1624">
        <v>4.4640000000000004</v>
      </c>
      <c r="N1624">
        <v>4.4640000000000004</v>
      </c>
      <c r="O1624" t="s">
        <v>303</v>
      </c>
      <c r="P1624">
        <f t="shared" si="25"/>
        <v>0</v>
      </c>
    </row>
    <row r="1625" spans="1:16" x14ac:dyDescent="0.25">
      <c r="A1625" t="s">
        <v>669</v>
      </c>
      <c r="B1625">
        <v>4.4770000000000003</v>
      </c>
      <c r="C1625">
        <v>4.4770000000000003</v>
      </c>
      <c r="D1625" t="s">
        <v>303</v>
      </c>
      <c r="E1625" t="s">
        <v>910</v>
      </c>
      <c r="F1625" t="s">
        <v>910</v>
      </c>
      <c r="J1625">
        <v>4.4770000000000003</v>
      </c>
      <c r="K1625">
        <v>4.4770000000000003</v>
      </c>
      <c r="L1625" t="s">
        <v>303</v>
      </c>
      <c r="M1625">
        <v>4.4770000000000003</v>
      </c>
      <c r="N1625">
        <v>4.4770000000000003</v>
      </c>
      <c r="O1625" t="s">
        <v>303</v>
      </c>
      <c r="P1625">
        <f t="shared" si="25"/>
        <v>0</v>
      </c>
    </row>
    <row r="1626" spans="1:16" x14ac:dyDescent="0.25">
      <c r="A1626" t="s">
        <v>669</v>
      </c>
      <c r="B1626">
        <v>4.4800000000000004</v>
      </c>
      <c r="C1626">
        <v>4.4800000000000004</v>
      </c>
      <c r="D1626" t="s">
        <v>303</v>
      </c>
      <c r="E1626" t="s">
        <v>910</v>
      </c>
      <c r="F1626" t="s">
        <v>910</v>
      </c>
      <c r="J1626">
        <v>4.4800000000000004</v>
      </c>
      <c r="K1626">
        <v>4.4800000000000004</v>
      </c>
      <c r="L1626" t="s">
        <v>303</v>
      </c>
      <c r="M1626">
        <v>4.4800000000000004</v>
      </c>
      <c r="N1626">
        <v>4.4800000000000004</v>
      </c>
      <c r="O1626" t="s">
        <v>303</v>
      </c>
      <c r="P1626">
        <f t="shared" si="25"/>
        <v>0</v>
      </c>
    </row>
    <row r="1627" spans="1:16" x14ac:dyDescent="0.25">
      <c r="A1627" t="s">
        <v>669</v>
      </c>
      <c r="B1627">
        <v>4.4960000000000004</v>
      </c>
      <c r="C1627">
        <v>4.4960000000000004</v>
      </c>
      <c r="D1627" t="s">
        <v>303</v>
      </c>
      <c r="E1627" t="s">
        <v>910</v>
      </c>
      <c r="F1627" t="s">
        <v>910</v>
      </c>
      <c r="J1627">
        <v>4.4960000000000004</v>
      </c>
      <c r="K1627">
        <v>4.4960000000000004</v>
      </c>
      <c r="L1627" t="s">
        <v>303</v>
      </c>
      <c r="M1627">
        <v>4.4960000000000004</v>
      </c>
      <c r="N1627">
        <v>4.4960000000000004</v>
      </c>
      <c r="O1627" t="s">
        <v>303</v>
      </c>
      <c r="P1627">
        <f t="shared" si="25"/>
        <v>0</v>
      </c>
    </row>
    <row r="1628" spans="1:16" x14ac:dyDescent="0.25">
      <c r="A1628" t="s">
        <v>669</v>
      </c>
      <c r="B1628">
        <v>4</v>
      </c>
      <c r="C1628">
        <v>4.5</v>
      </c>
      <c r="D1628" t="s">
        <v>303</v>
      </c>
      <c r="E1628" t="s">
        <v>910</v>
      </c>
      <c r="F1628" t="s">
        <v>910</v>
      </c>
      <c r="J1628">
        <v>4.5</v>
      </c>
      <c r="K1628">
        <v>4</v>
      </c>
      <c r="L1628" t="s">
        <v>303</v>
      </c>
      <c r="M1628">
        <v>4.5</v>
      </c>
      <c r="N1628">
        <v>4</v>
      </c>
      <c r="O1628" t="s">
        <v>303</v>
      </c>
      <c r="P1628">
        <f t="shared" si="25"/>
        <v>0</v>
      </c>
    </row>
    <row r="1629" spans="1:16" x14ac:dyDescent="0.25">
      <c r="A1629" t="s">
        <v>669</v>
      </c>
      <c r="B1629">
        <v>4.5</v>
      </c>
      <c r="C1629">
        <v>4.5</v>
      </c>
      <c r="D1629" t="s">
        <v>860</v>
      </c>
      <c r="E1629" t="s">
        <v>910</v>
      </c>
      <c r="F1629" t="s">
        <v>910</v>
      </c>
      <c r="J1629">
        <v>4.5</v>
      </c>
      <c r="K1629">
        <v>4.5</v>
      </c>
      <c r="L1629" t="s">
        <v>303</v>
      </c>
      <c r="M1629">
        <v>4.5</v>
      </c>
      <c r="N1629">
        <v>4.5</v>
      </c>
      <c r="O1629" t="s">
        <v>303</v>
      </c>
      <c r="P1629">
        <f t="shared" si="25"/>
        <v>0</v>
      </c>
    </row>
    <row r="1630" spans="1:16" x14ac:dyDescent="0.25">
      <c r="A1630" t="s">
        <v>669</v>
      </c>
      <c r="B1630" t="s">
        <v>669</v>
      </c>
      <c r="C1630">
        <v>4.5</v>
      </c>
      <c r="D1630" t="s">
        <v>303</v>
      </c>
      <c r="E1630" t="s">
        <v>910</v>
      </c>
      <c r="F1630" t="s">
        <v>910</v>
      </c>
      <c r="J1630">
        <v>4.5</v>
      </c>
      <c r="K1630">
        <v>4.5</v>
      </c>
      <c r="L1630" t="s">
        <v>303</v>
      </c>
      <c r="M1630">
        <v>4.5</v>
      </c>
      <c r="N1630">
        <v>4.5</v>
      </c>
      <c r="O1630" t="s">
        <v>303</v>
      </c>
      <c r="P1630">
        <f t="shared" si="25"/>
        <v>0</v>
      </c>
    </row>
    <row r="1631" spans="1:16" x14ac:dyDescent="0.25">
      <c r="A1631" t="s">
        <v>669</v>
      </c>
      <c r="B1631">
        <v>4.51</v>
      </c>
      <c r="C1631">
        <v>4.51</v>
      </c>
      <c r="D1631" t="s">
        <v>303</v>
      </c>
      <c r="E1631" t="s">
        <v>910</v>
      </c>
      <c r="F1631" t="s">
        <v>910</v>
      </c>
      <c r="J1631">
        <v>4.51</v>
      </c>
      <c r="K1631">
        <v>4.51</v>
      </c>
      <c r="L1631" t="s">
        <v>303</v>
      </c>
      <c r="M1631">
        <v>4.51</v>
      </c>
      <c r="N1631">
        <v>4.51</v>
      </c>
      <c r="O1631" t="s">
        <v>303</v>
      </c>
      <c r="P1631">
        <f t="shared" si="25"/>
        <v>0</v>
      </c>
    </row>
    <row r="1632" spans="1:16" x14ac:dyDescent="0.25">
      <c r="A1632" t="s">
        <v>669</v>
      </c>
      <c r="B1632">
        <v>4.5119999999999996</v>
      </c>
      <c r="C1632">
        <v>4.5119999999999996</v>
      </c>
      <c r="D1632" t="s">
        <v>303</v>
      </c>
      <c r="E1632" t="s">
        <v>910</v>
      </c>
      <c r="F1632" t="s">
        <v>910</v>
      </c>
      <c r="J1632">
        <v>4.5119999999999996</v>
      </c>
      <c r="K1632">
        <v>4.5119999999999996</v>
      </c>
      <c r="L1632" t="s">
        <v>303</v>
      </c>
      <c r="M1632">
        <v>4.5119999999999996</v>
      </c>
      <c r="N1632">
        <v>4.5119999999999996</v>
      </c>
      <c r="O1632" t="s">
        <v>303</v>
      </c>
      <c r="P1632">
        <f t="shared" si="25"/>
        <v>0</v>
      </c>
    </row>
    <row r="1633" spans="1:16" x14ac:dyDescent="0.25">
      <c r="A1633" t="s">
        <v>669</v>
      </c>
      <c r="B1633">
        <v>4.5289999999999999</v>
      </c>
      <c r="C1633">
        <v>4.5289999999999999</v>
      </c>
      <c r="D1633" t="s">
        <v>303</v>
      </c>
      <c r="E1633" t="s">
        <v>910</v>
      </c>
      <c r="F1633" t="s">
        <v>910</v>
      </c>
      <c r="J1633">
        <v>4.5289999999999999</v>
      </c>
      <c r="K1633">
        <v>4.5289999999999999</v>
      </c>
      <c r="L1633" t="s">
        <v>303</v>
      </c>
      <c r="M1633">
        <v>4.5289999999999999</v>
      </c>
      <c r="N1633">
        <v>4.5289999999999999</v>
      </c>
      <c r="O1633" t="s">
        <v>303</v>
      </c>
      <c r="P1633">
        <f t="shared" si="25"/>
        <v>0</v>
      </c>
    </row>
    <row r="1634" spans="1:16" x14ac:dyDescent="0.25">
      <c r="A1634" t="s">
        <v>669</v>
      </c>
      <c r="B1634">
        <v>0</v>
      </c>
      <c r="C1634">
        <v>4.54</v>
      </c>
      <c r="D1634" t="s">
        <v>669</v>
      </c>
      <c r="E1634" t="s">
        <v>910</v>
      </c>
      <c r="F1634" t="s">
        <v>910</v>
      </c>
      <c r="I1634" t="s">
        <v>927</v>
      </c>
      <c r="J1634">
        <v>4.54</v>
      </c>
      <c r="K1634">
        <v>0</v>
      </c>
      <c r="L1634" t="s">
        <v>930</v>
      </c>
      <c r="M1634">
        <v>4.54</v>
      </c>
      <c r="N1634">
        <v>0</v>
      </c>
      <c r="P1634">
        <f t="shared" si="25"/>
        <v>14</v>
      </c>
    </row>
    <row r="1635" spans="1:16" x14ac:dyDescent="0.25">
      <c r="A1635" t="s">
        <v>669</v>
      </c>
      <c r="B1635">
        <v>4.5460000000000003</v>
      </c>
      <c r="C1635">
        <v>4.5460000000000003</v>
      </c>
      <c r="D1635" t="s">
        <v>303</v>
      </c>
      <c r="E1635" t="s">
        <v>910</v>
      </c>
      <c r="F1635" t="s">
        <v>910</v>
      </c>
      <c r="J1635">
        <v>4.5460000000000003</v>
      </c>
      <c r="K1635">
        <v>4.5460000000000003</v>
      </c>
      <c r="L1635" t="s">
        <v>303</v>
      </c>
      <c r="M1635">
        <v>4.5460000000000003</v>
      </c>
      <c r="N1635">
        <v>4.5460000000000003</v>
      </c>
      <c r="O1635" t="s">
        <v>303</v>
      </c>
      <c r="P1635">
        <f t="shared" si="25"/>
        <v>0</v>
      </c>
    </row>
    <row r="1636" spans="1:16" x14ac:dyDescent="0.25">
      <c r="A1636" t="s">
        <v>669</v>
      </c>
      <c r="B1636">
        <v>4.55</v>
      </c>
      <c r="C1636">
        <v>4.55</v>
      </c>
      <c r="D1636" t="s">
        <v>303</v>
      </c>
      <c r="E1636" t="s">
        <v>910</v>
      </c>
      <c r="F1636" t="s">
        <v>910</v>
      </c>
      <c r="J1636">
        <v>4.55</v>
      </c>
      <c r="K1636">
        <v>4.55</v>
      </c>
      <c r="L1636" t="s">
        <v>303</v>
      </c>
      <c r="M1636">
        <v>4.55</v>
      </c>
      <c r="N1636">
        <v>4.55</v>
      </c>
      <c r="O1636" t="s">
        <v>303</v>
      </c>
      <c r="P1636">
        <f t="shared" si="25"/>
        <v>0</v>
      </c>
    </row>
    <row r="1637" spans="1:16" x14ac:dyDescent="0.25">
      <c r="A1637" t="s">
        <v>669</v>
      </c>
      <c r="B1637">
        <v>4.5650000000000004</v>
      </c>
      <c r="C1637">
        <v>4.5650000000000004</v>
      </c>
      <c r="D1637" t="s">
        <v>303</v>
      </c>
      <c r="E1637" t="s">
        <v>910</v>
      </c>
      <c r="F1637" t="s">
        <v>910</v>
      </c>
      <c r="J1637">
        <v>4.5650000000000004</v>
      </c>
      <c r="K1637">
        <v>4.5650000000000004</v>
      </c>
      <c r="L1637" t="s">
        <v>303</v>
      </c>
      <c r="M1637">
        <v>4.5650000000000004</v>
      </c>
      <c r="N1637">
        <v>4.5650000000000004</v>
      </c>
      <c r="O1637" t="s">
        <v>303</v>
      </c>
      <c r="P1637">
        <f t="shared" si="25"/>
        <v>0</v>
      </c>
    </row>
    <row r="1638" spans="1:16" x14ac:dyDescent="0.25">
      <c r="A1638" t="s">
        <v>669</v>
      </c>
      <c r="B1638">
        <v>4.585</v>
      </c>
      <c r="C1638">
        <v>4.585</v>
      </c>
      <c r="D1638" t="s">
        <v>303</v>
      </c>
      <c r="E1638" t="s">
        <v>910</v>
      </c>
      <c r="F1638" t="s">
        <v>910</v>
      </c>
      <c r="J1638">
        <v>4.585</v>
      </c>
      <c r="K1638">
        <v>4.585</v>
      </c>
      <c r="L1638" t="s">
        <v>303</v>
      </c>
      <c r="M1638">
        <v>4.585</v>
      </c>
      <c r="N1638">
        <v>4.585</v>
      </c>
      <c r="O1638" t="s">
        <v>303</v>
      </c>
      <c r="P1638">
        <f t="shared" si="25"/>
        <v>0</v>
      </c>
    </row>
    <row r="1639" spans="1:16" x14ac:dyDescent="0.25">
      <c r="A1639" t="s">
        <v>669</v>
      </c>
      <c r="B1639">
        <v>4.59</v>
      </c>
      <c r="C1639">
        <v>4.59</v>
      </c>
      <c r="D1639" t="s">
        <v>303</v>
      </c>
      <c r="E1639" t="s">
        <v>910</v>
      </c>
      <c r="F1639" t="s">
        <v>910</v>
      </c>
      <c r="J1639">
        <v>4.59</v>
      </c>
      <c r="K1639">
        <v>4.59</v>
      </c>
      <c r="L1639" t="s">
        <v>303</v>
      </c>
      <c r="M1639">
        <v>4.59</v>
      </c>
      <c r="N1639">
        <v>4.59</v>
      </c>
      <c r="O1639" t="s">
        <v>303</v>
      </c>
      <c r="P1639">
        <f t="shared" si="25"/>
        <v>0</v>
      </c>
    </row>
    <row r="1640" spans="1:16" x14ac:dyDescent="0.25">
      <c r="A1640" t="s">
        <v>669</v>
      </c>
      <c r="B1640">
        <v>4.6059999999999999</v>
      </c>
      <c r="C1640">
        <v>4.6059999999999999</v>
      </c>
      <c r="D1640" t="s">
        <v>303</v>
      </c>
      <c r="E1640" t="s">
        <v>910</v>
      </c>
      <c r="F1640" t="s">
        <v>910</v>
      </c>
      <c r="J1640">
        <v>4.6059999999999999</v>
      </c>
      <c r="K1640">
        <v>4.6059999999999999</v>
      </c>
      <c r="L1640" t="s">
        <v>303</v>
      </c>
      <c r="M1640">
        <v>4.6059999999999999</v>
      </c>
      <c r="N1640">
        <v>4.6059999999999999</v>
      </c>
      <c r="O1640" t="s">
        <v>303</v>
      </c>
      <c r="P1640">
        <f t="shared" si="25"/>
        <v>0</v>
      </c>
    </row>
    <row r="1641" spans="1:16" x14ac:dyDescent="0.25">
      <c r="A1641" t="s">
        <v>669</v>
      </c>
      <c r="B1641">
        <v>4.6100000000000003</v>
      </c>
      <c r="C1641">
        <v>4.6100000000000003</v>
      </c>
      <c r="D1641" t="s">
        <v>303</v>
      </c>
      <c r="E1641" t="s">
        <v>910</v>
      </c>
      <c r="F1641" t="s">
        <v>910</v>
      </c>
      <c r="J1641">
        <v>4.6100000000000003</v>
      </c>
      <c r="K1641">
        <v>4.6100000000000003</v>
      </c>
      <c r="L1641" t="s">
        <v>303</v>
      </c>
      <c r="M1641">
        <v>4.6100000000000003</v>
      </c>
      <c r="N1641">
        <v>4.6100000000000003</v>
      </c>
      <c r="O1641" t="s">
        <v>303</v>
      </c>
      <c r="P1641">
        <f t="shared" si="25"/>
        <v>0</v>
      </c>
    </row>
    <row r="1642" spans="1:16" x14ac:dyDescent="0.25">
      <c r="A1642" t="s">
        <v>669</v>
      </c>
      <c r="B1642">
        <v>4.6269999999999998</v>
      </c>
      <c r="C1642">
        <v>4.6269999999999998</v>
      </c>
      <c r="D1642" t="s">
        <v>303</v>
      </c>
      <c r="E1642" t="s">
        <v>910</v>
      </c>
      <c r="F1642" t="s">
        <v>910</v>
      </c>
      <c r="J1642">
        <v>4.6269999999999998</v>
      </c>
      <c r="K1642">
        <v>4.6269999999999998</v>
      </c>
      <c r="L1642" t="s">
        <v>303</v>
      </c>
      <c r="M1642">
        <v>4.6269999999999998</v>
      </c>
      <c r="N1642">
        <v>4.6269999999999998</v>
      </c>
      <c r="O1642" t="s">
        <v>303</v>
      </c>
      <c r="P1642">
        <f t="shared" si="25"/>
        <v>0</v>
      </c>
    </row>
    <row r="1643" spans="1:16" x14ac:dyDescent="0.25">
      <c r="A1643" t="s">
        <v>669</v>
      </c>
      <c r="B1643">
        <v>4.6399999999999997</v>
      </c>
      <c r="C1643">
        <v>4.6399999999999997</v>
      </c>
      <c r="D1643" t="s">
        <v>303</v>
      </c>
      <c r="E1643" t="s">
        <v>910</v>
      </c>
      <c r="F1643" t="s">
        <v>910</v>
      </c>
      <c r="J1643">
        <v>4.6399999999999997</v>
      </c>
      <c r="K1643">
        <v>4.6399999999999997</v>
      </c>
      <c r="L1643" t="s">
        <v>303</v>
      </c>
      <c r="M1643">
        <v>4.6399999999999997</v>
      </c>
      <c r="N1643">
        <v>4.6399999999999997</v>
      </c>
      <c r="O1643" t="s">
        <v>303</v>
      </c>
      <c r="P1643">
        <f t="shared" si="25"/>
        <v>0</v>
      </c>
    </row>
    <row r="1644" spans="1:16" x14ac:dyDescent="0.25">
      <c r="A1644" t="s">
        <v>669</v>
      </c>
      <c r="B1644">
        <v>4.649</v>
      </c>
      <c r="C1644">
        <v>4.649</v>
      </c>
      <c r="D1644" t="s">
        <v>303</v>
      </c>
      <c r="E1644" t="s">
        <v>910</v>
      </c>
      <c r="F1644" t="s">
        <v>910</v>
      </c>
      <c r="J1644">
        <v>4.649</v>
      </c>
      <c r="K1644">
        <v>4.649</v>
      </c>
      <c r="L1644" t="s">
        <v>303</v>
      </c>
      <c r="M1644">
        <v>4.649</v>
      </c>
      <c r="N1644">
        <v>4.649</v>
      </c>
      <c r="O1644" t="s">
        <v>303</v>
      </c>
      <c r="P1644">
        <f t="shared" si="25"/>
        <v>0</v>
      </c>
    </row>
    <row r="1645" spans="1:16" x14ac:dyDescent="0.25">
      <c r="A1645" t="s">
        <v>669</v>
      </c>
      <c r="B1645">
        <v>4.67</v>
      </c>
      <c r="C1645">
        <v>4.67</v>
      </c>
      <c r="D1645" t="s">
        <v>303</v>
      </c>
      <c r="E1645" t="s">
        <v>910</v>
      </c>
      <c r="F1645" t="s">
        <v>910</v>
      </c>
      <c r="J1645">
        <v>4.67</v>
      </c>
      <c r="K1645">
        <v>4.67</v>
      </c>
      <c r="L1645" t="s">
        <v>303</v>
      </c>
      <c r="M1645">
        <v>4.67</v>
      </c>
      <c r="N1645">
        <v>4.67</v>
      </c>
      <c r="O1645" t="s">
        <v>303</v>
      </c>
      <c r="P1645">
        <f t="shared" si="25"/>
        <v>0</v>
      </c>
    </row>
    <row r="1646" spans="1:16" x14ac:dyDescent="0.25">
      <c r="A1646" t="s">
        <v>669</v>
      </c>
      <c r="B1646">
        <v>4.3099999999999996</v>
      </c>
      <c r="C1646">
        <v>4.6900000000000004</v>
      </c>
      <c r="D1646" t="s">
        <v>860</v>
      </c>
      <c r="E1646" t="s">
        <v>910</v>
      </c>
      <c r="F1646" t="s">
        <v>910</v>
      </c>
      <c r="J1646">
        <v>4.6900000000000004</v>
      </c>
      <c r="K1646">
        <v>4.3099999999999996</v>
      </c>
      <c r="L1646" t="s">
        <v>303</v>
      </c>
      <c r="M1646">
        <v>4.6900000000000004</v>
      </c>
      <c r="N1646">
        <v>4.3099999999999996</v>
      </c>
      <c r="O1646" t="s">
        <v>303</v>
      </c>
      <c r="P1646">
        <f t="shared" si="25"/>
        <v>0</v>
      </c>
    </row>
    <row r="1647" spans="1:16" x14ac:dyDescent="0.25">
      <c r="A1647" t="s">
        <v>669</v>
      </c>
      <c r="B1647">
        <v>4.6920000000000002</v>
      </c>
      <c r="C1647">
        <v>4.6920000000000002</v>
      </c>
      <c r="D1647" t="s">
        <v>303</v>
      </c>
      <c r="E1647" t="s">
        <v>910</v>
      </c>
      <c r="F1647" t="s">
        <v>910</v>
      </c>
      <c r="J1647">
        <v>4.6920000000000002</v>
      </c>
      <c r="K1647">
        <v>4.6920000000000002</v>
      </c>
      <c r="L1647" t="s">
        <v>303</v>
      </c>
      <c r="M1647">
        <v>4.6920000000000002</v>
      </c>
      <c r="N1647">
        <v>4.6920000000000002</v>
      </c>
      <c r="O1647" t="s">
        <v>303</v>
      </c>
      <c r="P1647">
        <f t="shared" si="25"/>
        <v>0</v>
      </c>
    </row>
    <row r="1648" spans="1:16" x14ac:dyDescent="0.25">
      <c r="A1648" t="s">
        <v>537</v>
      </c>
      <c r="B1648">
        <v>4.2</v>
      </c>
      <c r="C1648">
        <v>4.7</v>
      </c>
      <c r="D1648" t="s">
        <v>303</v>
      </c>
      <c r="E1648">
        <v>14</v>
      </c>
      <c r="F1648">
        <v>14</v>
      </c>
      <c r="G1648" t="s">
        <v>690</v>
      </c>
      <c r="H1648" t="s">
        <v>690</v>
      </c>
      <c r="J1648">
        <v>4.7</v>
      </c>
      <c r="K1648">
        <v>4.2</v>
      </c>
      <c r="L1648" t="s">
        <v>303</v>
      </c>
      <c r="M1648">
        <v>4.7</v>
      </c>
      <c r="N1648">
        <v>4.2</v>
      </c>
      <c r="O1648" t="s">
        <v>303</v>
      </c>
      <c r="P1648">
        <f t="shared" si="25"/>
        <v>0</v>
      </c>
    </row>
    <row r="1649" spans="1:16" x14ac:dyDescent="0.25">
      <c r="A1649" t="s">
        <v>537</v>
      </c>
      <c r="B1649">
        <v>4.2</v>
      </c>
      <c r="C1649">
        <v>4.7</v>
      </c>
      <c r="D1649" t="s">
        <v>669</v>
      </c>
      <c r="E1649">
        <v>14</v>
      </c>
      <c r="F1649">
        <v>14</v>
      </c>
      <c r="G1649" t="s">
        <v>690</v>
      </c>
      <c r="H1649" t="s">
        <v>690</v>
      </c>
      <c r="I1649" t="s">
        <v>927</v>
      </c>
      <c r="J1649">
        <v>4.7</v>
      </c>
      <c r="K1649">
        <v>4.2</v>
      </c>
      <c r="L1649" t="s">
        <v>930</v>
      </c>
      <c r="M1649">
        <v>4.7</v>
      </c>
      <c r="N1649">
        <v>4.2</v>
      </c>
      <c r="P1649">
        <f t="shared" si="25"/>
        <v>14</v>
      </c>
    </row>
    <row r="1650" spans="1:16" x14ac:dyDescent="0.25">
      <c r="A1650" t="s">
        <v>669</v>
      </c>
      <c r="B1650">
        <v>4.7</v>
      </c>
      <c r="C1650">
        <v>4.7</v>
      </c>
      <c r="D1650" t="s">
        <v>860</v>
      </c>
      <c r="E1650" t="s">
        <v>910</v>
      </c>
      <c r="F1650" t="s">
        <v>910</v>
      </c>
      <c r="J1650">
        <v>4.7</v>
      </c>
      <c r="K1650">
        <v>4.7</v>
      </c>
      <c r="L1650" t="s">
        <v>303</v>
      </c>
      <c r="M1650">
        <v>4.7</v>
      </c>
      <c r="N1650">
        <v>4.7</v>
      </c>
      <c r="O1650" t="s">
        <v>303</v>
      </c>
      <c r="P1650">
        <f t="shared" si="25"/>
        <v>0</v>
      </c>
    </row>
    <row r="1651" spans="1:16" x14ac:dyDescent="0.25">
      <c r="A1651" t="s">
        <v>537</v>
      </c>
      <c r="B1651" t="s">
        <v>669</v>
      </c>
      <c r="C1651">
        <v>4.7</v>
      </c>
      <c r="D1651" t="s">
        <v>860</v>
      </c>
      <c r="E1651">
        <v>14</v>
      </c>
      <c r="F1651">
        <v>14</v>
      </c>
      <c r="G1651" t="s">
        <v>690</v>
      </c>
      <c r="H1651" t="s">
        <v>690</v>
      </c>
      <c r="J1651">
        <v>4.7</v>
      </c>
      <c r="K1651">
        <v>4.7</v>
      </c>
      <c r="L1651" t="s">
        <v>303</v>
      </c>
      <c r="M1651">
        <v>4.7</v>
      </c>
      <c r="N1651">
        <v>4.7</v>
      </c>
      <c r="O1651" t="s">
        <v>303</v>
      </c>
      <c r="P1651">
        <f t="shared" si="25"/>
        <v>0</v>
      </c>
    </row>
    <row r="1652" spans="1:16" x14ac:dyDescent="0.25">
      <c r="A1652" t="s">
        <v>669</v>
      </c>
      <c r="B1652" t="s">
        <v>669</v>
      </c>
      <c r="C1652">
        <v>4.7</v>
      </c>
      <c r="D1652" t="s">
        <v>303</v>
      </c>
      <c r="E1652" t="s">
        <v>910</v>
      </c>
      <c r="F1652" t="s">
        <v>910</v>
      </c>
      <c r="J1652">
        <v>4.7</v>
      </c>
      <c r="K1652">
        <v>4.7</v>
      </c>
      <c r="L1652" t="s">
        <v>303</v>
      </c>
      <c r="M1652">
        <v>4.7</v>
      </c>
      <c r="N1652">
        <v>4.7</v>
      </c>
      <c r="O1652" t="s">
        <v>303</v>
      </c>
      <c r="P1652">
        <f t="shared" si="25"/>
        <v>0</v>
      </c>
    </row>
    <row r="1653" spans="1:16" x14ac:dyDescent="0.25">
      <c r="A1653" t="s">
        <v>669</v>
      </c>
      <c r="B1653">
        <v>4.7140000000000004</v>
      </c>
      <c r="C1653">
        <v>4.7140000000000004</v>
      </c>
      <c r="D1653" t="s">
        <v>303</v>
      </c>
      <c r="E1653" t="s">
        <v>910</v>
      </c>
      <c r="F1653" t="s">
        <v>910</v>
      </c>
      <c r="J1653">
        <v>4.7140000000000004</v>
      </c>
      <c r="K1653">
        <v>4.7140000000000004</v>
      </c>
      <c r="L1653" t="s">
        <v>303</v>
      </c>
      <c r="M1653">
        <v>4.7140000000000004</v>
      </c>
      <c r="N1653">
        <v>4.7140000000000004</v>
      </c>
      <c r="O1653" t="s">
        <v>303</v>
      </c>
      <c r="P1653">
        <f t="shared" si="25"/>
        <v>0</v>
      </c>
    </row>
    <row r="1654" spans="1:16" x14ac:dyDescent="0.25">
      <c r="A1654" t="s">
        <v>669</v>
      </c>
      <c r="B1654">
        <v>4.7359999999999998</v>
      </c>
      <c r="C1654">
        <v>4.7359999999999998</v>
      </c>
      <c r="D1654" t="s">
        <v>303</v>
      </c>
      <c r="E1654" t="s">
        <v>910</v>
      </c>
      <c r="F1654" t="s">
        <v>910</v>
      </c>
      <c r="J1654">
        <v>4.7359999999999998</v>
      </c>
      <c r="K1654">
        <v>4.7359999999999998</v>
      </c>
      <c r="L1654" t="s">
        <v>303</v>
      </c>
      <c r="M1654">
        <v>4.7359999999999998</v>
      </c>
      <c r="N1654">
        <v>4.7359999999999998</v>
      </c>
      <c r="O1654" t="s">
        <v>303</v>
      </c>
      <c r="P1654">
        <f t="shared" si="25"/>
        <v>0</v>
      </c>
    </row>
    <row r="1655" spans="1:16" x14ac:dyDescent="0.25">
      <c r="A1655" t="s">
        <v>669</v>
      </c>
      <c r="B1655">
        <v>4.7426000000000004</v>
      </c>
      <c r="C1655">
        <v>4.7426000000000004</v>
      </c>
      <c r="D1655" t="s">
        <v>303</v>
      </c>
      <c r="E1655" t="s">
        <v>910</v>
      </c>
      <c r="F1655" t="s">
        <v>910</v>
      </c>
      <c r="J1655">
        <v>4.7426000000000004</v>
      </c>
      <c r="K1655">
        <v>4.7426000000000004</v>
      </c>
      <c r="L1655" t="s">
        <v>303</v>
      </c>
      <c r="M1655">
        <v>4.7426000000000004</v>
      </c>
      <c r="N1655">
        <v>4.7426000000000004</v>
      </c>
      <c r="O1655" t="s">
        <v>303</v>
      </c>
      <c r="P1655">
        <f t="shared" si="25"/>
        <v>0</v>
      </c>
    </row>
    <row r="1656" spans="1:16" x14ac:dyDescent="0.25">
      <c r="A1656" t="s">
        <v>669</v>
      </c>
      <c r="B1656">
        <v>4.75</v>
      </c>
      <c r="C1656">
        <v>4.75</v>
      </c>
      <c r="D1656" t="s">
        <v>303</v>
      </c>
      <c r="E1656" t="s">
        <v>910</v>
      </c>
      <c r="F1656" t="s">
        <v>910</v>
      </c>
      <c r="J1656">
        <v>4.75</v>
      </c>
      <c r="K1656">
        <v>4.75</v>
      </c>
      <c r="L1656" t="s">
        <v>303</v>
      </c>
      <c r="M1656">
        <v>4.75</v>
      </c>
      <c r="N1656">
        <v>4.75</v>
      </c>
      <c r="O1656" t="s">
        <v>303</v>
      </c>
      <c r="P1656">
        <f t="shared" si="25"/>
        <v>0</v>
      </c>
    </row>
    <row r="1657" spans="1:16" x14ac:dyDescent="0.25">
      <c r="A1657" t="s">
        <v>669</v>
      </c>
      <c r="B1657">
        <v>4.7502000000000004</v>
      </c>
      <c r="C1657">
        <v>4.7502000000000004</v>
      </c>
      <c r="D1657" t="s">
        <v>303</v>
      </c>
      <c r="E1657" t="s">
        <v>910</v>
      </c>
      <c r="F1657" t="s">
        <v>910</v>
      </c>
      <c r="J1657">
        <v>4.7502000000000004</v>
      </c>
      <c r="K1657">
        <v>4.7502000000000004</v>
      </c>
      <c r="L1657" t="s">
        <v>303</v>
      </c>
      <c r="M1657">
        <v>4.7502000000000004</v>
      </c>
      <c r="N1657">
        <v>4.7502000000000004</v>
      </c>
      <c r="O1657" t="s">
        <v>303</v>
      </c>
      <c r="P1657">
        <f t="shared" si="25"/>
        <v>0</v>
      </c>
    </row>
    <row r="1658" spans="1:16" x14ac:dyDescent="0.25">
      <c r="A1658" t="s">
        <v>669</v>
      </c>
      <c r="B1658">
        <v>4.7523</v>
      </c>
      <c r="C1658">
        <v>4.7523</v>
      </c>
      <c r="D1658" t="s">
        <v>303</v>
      </c>
      <c r="E1658" t="s">
        <v>910</v>
      </c>
      <c r="F1658" t="s">
        <v>910</v>
      </c>
      <c r="J1658">
        <v>4.7523</v>
      </c>
      <c r="K1658">
        <v>4.7523</v>
      </c>
      <c r="L1658" t="s">
        <v>303</v>
      </c>
      <c r="M1658">
        <v>4.7523</v>
      </c>
      <c r="N1658">
        <v>4.7523</v>
      </c>
      <c r="O1658" t="s">
        <v>303</v>
      </c>
      <c r="P1658">
        <f t="shared" si="25"/>
        <v>0</v>
      </c>
    </row>
    <row r="1659" spans="1:16" x14ac:dyDescent="0.25">
      <c r="A1659" t="s">
        <v>669</v>
      </c>
      <c r="B1659">
        <v>4.7539999999999996</v>
      </c>
      <c r="C1659">
        <v>4.7539999999999996</v>
      </c>
      <c r="D1659" t="s">
        <v>303</v>
      </c>
      <c r="E1659" t="s">
        <v>910</v>
      </c>
      <c r="F1659" t="s">
        <v>910</v>
      </c>
      <c r="J1659">
        <v>4.7539999999999996</v>
      </c>
      <c r="K1659">
        <v>4.7539999999999996</v>
      </c>
      <c r="L1659" t="s">
        <v>303</v>
      </c>
      <c r="M1659">
        <v>4.7539999999999996</v>
      </c>
      <c r="N1659">
        <v>4.7539999999999996</v>
      </c>
      <c r="O1659" t="s">
        <v>303</v>
      </c>
      <c r="P1659">
        <f t="shared" si="25"/>
        <v>0</v>
      </c>
    </row>
    <row r="1660" spans="1:16" x14ac:dyDescent="0.25">
      <c r="A1660" t="s">
        <v>669</v>
      </c>
      <c r="B1660">
        <v>4.7553000000000001</v>
      </c>
      <c r="C1660">
        <v>4.7553000000000001</v>
      </c>
      <c r="D1660" t="s">
        <v>303</v>
      </c>
      <c r="E1660" t="s">
        <v>910</v>
      </c>
      <c r="F1660" t="s">
        <v>910</v>
      </c>
      <c r="J1660">
        <v>4.7553000000000001</v>
      </c>
      <c r="K1660">
        <v>4.7553000000000001</v>
      </c>
      <c r="L1660" t="s">
        <v>303</v>
      </c>
      <c r="M1660">
        <v>4.7553000000000001</v>
      </c>
      <c r="N1660">
        <v>4.7553000000000001</v>
      </c>
      <c r="O1660" t="s">
        <v>303</v>
      </c>
      <c r="P1660">
        <f t="shared" si="25"/>
        <v>0</v>
      </c>
    </row>
    <row r="1661" spans="1:16" x14ac:dyDescent="0.25">
      <c r="A1661" t="s">
        <v>669</v>
      </c>
      <c r="B1661">
        <v>4.758</v>
      </c>
      <c r="C1661">
        <v>4.758</v>
      </c>
      <c r="D1661" t="s">
        <v>303</v>
      </c>
      <c r="E1661" t="s">
        <v>910</v>
      </c>
      <c r="F1661" t="s">
        <v>910</v>
      </c>
      <c r="J1661">
        <v>4.758</v>
      </c>
      <c r="K1661">
        <v>4.758</v>
      </c>
      <c r="L1661" t="s">
        <v>303</v>
      </c>
      <c r="M1661">
        <v>4.758</v>
      </c>
      <c r="N1661">
        <v>4.758</v>
      </c>
      <c r="O1661" t="s">
        <v>303</v>
      </c>
      <c r="P1661">
        <f t="shared" si="25"/>
        <v>0</v>
      </c>
    </row>
    <row r="1662" spans="1:16" x14ac:dyDescent="0.25">
      <c r="A1662" t="s">
        <v>669</v>
      </c>
      <c r="B1662">
        <v>4.782</v>
      </c>
      <c r="C1662">
        <v>4.782</v>
      </c>
      <c r="D1662" t="s">
        <v>303</v>
      </c>
      <c r="E1662" t="s">
        <v>910</v>
      </c>
      <c r="F1662" t="s">
        <v>910</v>
      </c>
      <c r="J1662">
        <v>4.782</v>
      </c>
      <c r="K1662">
        <v>4.782</v>
      </c>
      <c r="L1662" t="s">
        <v>303</v>
      </c>
      <c r="M1662">
        <v>4.782</v>
      </c>
      <c r="N1662">
        <v>4.782</v>
      </c>
      <c r="O1662" t="s">
        <v>303</v>
      </c>
      <c r="P1662">
        <f t="shared" si="25"/>
        <v>0</v>
      </c>
    </row>
    <row r="1663" spans="1:16" x14ac:dyDescent="0.25">
      <c r="A1663" t="s">
        <v>669</v>
      </c>
      <c r="B1663">
        <v>4.7854000000000001</v>
      </c>
      <c r="C1663">
        <v>4.7854000000000001</v>
      </c>
      <c r="D1663" t="s">
        <v>303</v>
      </c>
      <c r="E1663" t="s">
        <v>910</v>
      </c>
      <c r="F1663" t="s">
        <v>910</v>
      </c>
      <c r="J1663">
        <v>4.7854000000000001</v>
      </c>
      <c r="K1663">
        <v>4.7854000000000001</v>
      </c>
      <c r="L1663" t="s">
        <v>303</v>
      </c>
      <c r="M1663">
        <v>4.7854000000000001</v>
      </c>
      <c r="N1663">
        <v>4.7854000000000001</v>
      </c>
      <c r="O1663" t="s">
        <v>303</v>
      </c>
      <c r="P1663">
        <f t="shared" si="25"/>
        <v>0</v>
      </c>
    </row>
    <row r="1664" spans="1:16" x14ac:dyDescent="0.25">
      <c r="A1664">
        <v>3.5</v>
      </c>
      <c r="B1664">
        <v>2.2000000000000002</v>
      </c>
      <c r="C1664">
        <v>4.8</v>
      </c>
      <c r="D1664" t="s">
        <v>860</v>
      </c>
      <c r="E1664" t="s">
        <v>910</v>
      </c>
      <c r="F1664" t="s">
        <v>910</v>
      </c>
      <c r="J1664">
        <v>4.8</v>
      </c>
      <c r="K1664">
        <v>2.2000000000000002</v>
      </c>
      <c r="L1664" t="s">
        <v>303</v>
      </c>
      <c r="M1664">
        <v>4.8</v>
      </c>
      <c r="N1664">
        <v>2.2000000000000002</v>
      </c>
      <c r="O1664" t="s">
        <v>303</v>
      </c>
      <c r="P1664">
        <f t="shared" si="25"/>
        <v>0</v>
      </c>
    </row>
    <row r="1665" spans="1:16" x14ac:dyDescent="0.25">
      <c r="A1665" t="s">
        <v>669</v>
      </c>
      <c r="B1665">
        <v>4.8070000000000004</v>
      </c>
      <c r="C1665">
        <v>4.8070000000000004</v>
      </c>
      <c r="D1665" t="s">
        <v>303</v>
      </c>
      <c r="E1665" t="s">
        <v>910</v>
      </c>
      <c r="F1665" t="s">
        <v>910</v>
      </c>
      <c r="J1665">
        <v>4.8070000000000004</v>
      </c>
      <c r="K1665">
        <v>4.8070000000000004</v>
      </c>
      <c r="L1665" t="s">
        <v>303</v>
      </c>
      <c r="M1665">
        <v>4.8070000000000004</v>
      </c>
      <c r="N1665">
        <v>4.8070000000000004</v>
      </c>
      <c r="O1665" t="s">
        <v>303</v>
      </c>
      <c r="P1665">
        <f t="shared" si="25"/>
        <v>0</v>
      </c>
    </row>
    <row r="1666" spans="1:16" x14ac:dyDescent="0.25">
      <c r="A1666" t="s">
        <v>669</v>
      </c>
      <c r="B1666">
        <v>4.8506999999999998</v>
      </c>
      <c r="C1666">
        <v>4.8506999999999998</v>
      </c>
      <c r="D1666" t="s">
        <v>303</v>
      </c>
      <c r="E1666" t="s">
        <v>910</v>
      </c>
      <c r="F1666" t="s">
        <v>910</v>
      </c>
      <c r="J1666">
        <v>4.8506999999999998</v>
      </c>
      <c r="K1666">
        <v>4.8506999999999998</v>
      </c>
      <c r="L1666" t="s">
        <v>303</v>
      </c>
      <c r="M1666">
        <v>4.8506999999999998</v>
      </c>
      <c r="N1666">
        <v>4.8506999999999998</v>
      </c>
      <c r="O1666" t="s">
        <v>303</v>
      </c>
      <c r="P1666">
        <f t="shared" si="25"/>
        <v>0</v>
      </c>
    </row>
    <row r="1667" spans="1:16" x14ac:dyDescent="0.25">
      <c r="A1667" t="s">
        <v>669</v>
      </c>
      <c r="B1667">
        <v>4.74</v>
      </c>
      <c r="C1667">
        <v>4.8600000000000003</v>
      </c>
      <c r="D1667" t="s">
        <v>860</v>
      </c>
      <c r="E1667" t="s">
        <v>910</v>
      </c>
      <c r="F1667" t="s">
        <v>910</v>
      </c>
      <c r="J1667">
        <v>4.8600000000000003</v>
      </c>
      <c r="K1667">
        <v>4.74</v>
      </c>
      <c r="L1667" t="s">
        <v>303</v>
      </c>
      <c r="M1667">
        <v>4.8600000000000003</v>
      </c>
      <c r="N1667">
        <v>4.74</v>
      </c>
      <c r="O1667" t="s">
        <v>303</v>
      </c>
      <c r="P1667">
        <f t="shared" ref="P1667:P1730" si="26">LEN(I1667)</f>
        <v>0</v>
      </c>
    </row>
    <row r="1668" spans="1:16" x14ac:dyDescent="0.25">
      <c r="A1668" t="s">
        <v>669</v>
      </c>
      <c r="B1668">
        <v>4.8600000000000003</v>
      </c>
      <c r="C1668">
        <v>4.8600000000000003</v>
      </c>
      <c r="D1668" t="s">
        <v>303</v>
      </c>
      <c r="E1668" t="s">
        <v>910</v>
      </c>
      <c r="F1668" t="s">
        <v>910</v>
      </c>
      <c r="J1668">
        <v>4.8600000000000003</v>
      </c>
      <c r="K1668">
        <v>4.8600000000000003</v>
      </c>
      <c r="L1668" t="s">
        <v>303</v>
      </c>
      <c r="M1668">
        <v>4.8600000000000003</v>
      </c>
      <c r="N1668">
        <v>4.8600000000000003</v>
      </c>
      <c r="O1668" t="s">
        <v>303</v>
      </c>
      <c r="P1668">
        <f t="shared" si="26"/>
        <v>0</v>
      </c>
    </row>
    <row r="1669" spans="1:16" x14ac:dyDescent="0.25">
      <c r="A1669" t="s">
        <v>669</v>
      </c>
      <c r="B1669">
        <v>4.8659999999999997</v>
      </c>
      <c r="C1669">
        <v>4.8659999999999997</v>
      </c>
      <c r="D1669" t="s">
        <v>303</v>
      </c>
      <c r="E1669" t="s">
        <v>910</v>
      </c>
      <c r="F1669" t="s">
        <v>910</v>
      </c>
      <c r="J1669">
        <v>4.8659999999999997</v>
      </c>
      <c r="K1669">
        <v>4.8659999999999997</v>
      </c>
      <c r="L1669" t="s">
        <v>303</v>
      </c>
      <c r="M1669">
        <v>4.8659999999999997</v>
      </c>
      <c r="N1669">
        <v>4.8659999999999997</v>
      </c>
      <c r="O1669" t="s">
        <v>303</v>
      </c>
      <c r="P1669">
        <f t="shared" si="26"/>
        <v>0</v>
      </c>
    </row>
    <row r="1670" spans="1:16" x14ac:dyDescent="0.25">
      <c r="A1670" t="s">
        <v>537</v>
      </c>
      <c r="B1670">
        <v>4.28</v>
      </c>
      <c r="C1670">
        <v>4.87</v>
      </c>
      <c r="D1670" t="s">
        <v>303</v>
      </c>
      <c r="E1670">
        <v>14</v>
      </c>
      <c r="F1670">
        <v>14</v>
      </c>
      <c r="G1670" t="s">
        <v>690</v>
      </c>
      <c r="H1670" t="s">
        <v>690</v>
      </c>
      <c r="J1670">
        <v>4.87</v>
      </c>
      <c r="K1670">
        <v>4.28</v>
      </c>
      <c r="L1670" t="s">
        <v>303</v>
      </c>
      <c r="M1670">
        <v>4.87</v>
      </c>
      <c r="N1670">
        <v>4.28</v>
      </c>
      <c r="O1670" t="s">
        <v>303</v>
      </c>
      <c r="P1670">
        <f t="shared" si="26"/>
        <v>0</v>
      </c>
    </row>
    <row r="1671" spans="1:16" x14ac:dyDescent="0.25">
      <c r="A1671" t="s">
        <v>669</v>
      </c>
      <c r="B1671">
        <v>4.87</v>
      </c>
      <c r="C1671">
        <v>4.87</v>
      </c>
      <c r="D1671" t="s">
        <v>303</v>
      </c>
      <c r="E1671" t="s">
        <v>910</v>
      </c>
      <c r="F1671" t="s">
        <v>910</v>
      </c>
      <c r="J1671">
        <v>4.87</v>
      </c>
      <c r="K1671">
        <v>4.87</v>
      </c>
      <c r="L1671" t="s">
        <v>303</v>
      </c>
      <c r="M1671">
        <v>4.87</v>
      </c>
      <c r="N1671">
        <v>4.87</v>
      </c>
      <c r="O1671" t="s">
        <v>303</v>
      </c>
      <c r="P1671">
        <f t="shared" si="26"/>
        <v>0</v>
      </c>
    </row>
    <row r="1672" spans="1:16" x14ac:dyDescent="0.25">
      <c r="A1672" t="s">
        <v>669</v>
      </c>
      <c r="B1672">
        <v>4.883</v>
      </c>
      <c r="C1672">
        <v>4.883</v>
      </c>
      <c r="D1672" t="s">
        <v>303</v>
      </c>
      <c r="E1672" t="s">
        <v>910</v>
      </c>
      <c r="F1672" t="s">
        <v>910</v>
      </c>
      <c r="J1672">
        <v>4.883</v>
      </c>
      <c r="K1672">
        <v>4.883</v>
      </c>
      <c r="L1672" t="s">
        <v>303</v>
      </c>
      <c r="M1672">
        <v>4.883</v>
      </c>
      <c r="N1672">
        <v>4.883</v>
      </c>
      <c r="O1672" t="s">
        <v>303</v>
      </c>
      <c r="P1672">
        <f t="shared" si="26"/>
        <v>0</v>
      </c>
    </row>
    <row r="1673" spans="1:16" x14ac:dyDescent="0.25">
      <c r="A1673" t="s">
        <v>669</v>
      </c>
      <c r="B1673">
        <v>4.8893000000000004</v>
      </c>
      <c r="C1673">
        <v>4.8893000000000004</v>
      </c>
      <c r="D1673" t="s">
        <v>303</v>
      </c>
      <c r="E1673" t="s">
        <v>910</v>
      </c>
      <c r="F1673" t="s">
        <v>910</v>
      </c>
      <c r="J1673">
        <v>4.8893000000000004</v>
      </c>
      <c r="K1673">
        <v>4.8893000000000004</v>
      </c>
      <c r="L1673" t="s">
        <v>303</v>
      </c>
      <c r="M1673">
        <v>4.8893000000000004</v>
      </c>
      <c r="N1673">
        <v>4.8893000000000004</v>
      </c>
      <c r="O1673" t="s">
        <v>303</v>
      </c>
      <c r="P1673">
        <f t="shared" si="26"/>
        <v>0</v>
      </c>
    </row>
    <row r="1674" spans="1:16" x14ac:dyDescent="0.25">
      <c r="A1674" t="s">
        <v>669</v>
      </c>
      <c r="B1674">
        <v>4.8994999999999997</v>
      </c>
      <c r="C1674">
        <v>4.8994999999999997</v>
      </c>
      <c r="D1674" t="s">
        <v>303</v>
      </c>
      <c r="E1674" t="s">
        <v>910</v>
      </c>
      <c r="F1674" t="s">
        <v>910</v>
      </c>
      <c r="J1674">
        <v>4.8994999999999997</v>
      </c>
      <c r="K1674">
        <v>4.8994999999999997</v>
      </c>
      <c r="L1674" t="s">
        <v>303</v>
      </c>
      <c r="M1674">
        <v>4.8994999999999997</v>
      </c>
      <c r="N1674">
        <v>4.8994999999999997</v>
      </c>
      <c r="O1674" t="s">
        <v>303</v>
      </c>
      <c r="P1674">
        <f t="shared" si="26"/>
        <v>0</v>
      </c>
    </row>
    <row r="1675" spans="1:16" x14ac:dyDescent="0.25">
      <c r="A1675" t="s">
        <v>669</v>
      </c>
      <c r="B1675">
        <v>4.9009999999999998</v>
      </c>
      <c r="C1675">
        <v>4.9009999999999998</v>
      </c>
      <c r="D1675" t="s">
        <v>303</v>
      </c>
      <c r="E1675" t="s">
        <v>910</v>
      </c>
      <c r="F1675" t="s">
        <v>910</v>
      </c>
      <c r="J1675">
        <v>4.9009999999999998</v>
      </c>
      <c r="K1675">
        <v>4.9009999999999998</v>
      </c>
      <c r="L1675" t="s">
        <v>303</v>
      </c>
      <c r="M1675">
        <v>4.9009999999999998</v>
      </c>
      <c r="N1675">
        <v>4.9009999999999998</v>
      </c>
      <c r="O1675" t="s">
        <v>303</v>
      </c>
      <c r="P1675">
        <f t="shared" si="26"/>
        <v>0</v>
      </c>
    </row>
    <row r="1676" spans="1:16" x14ac:dyDescent="0.25">
      <c r="A1676" t="s">
        <v>669</v>
      </c>
      <c r="B1676">
        <v>4.93</v>
      </c>
      <c r="C1676">
        <v>4.93</v>
      </c>
      <c r="D1676" t="s">
        <v>303</v>
      </c>
      <c r="E1676" t="s">
        <v>910</v>
      </c>
      <c r="F1676" t="s">
        <v>910</v>
      </c>
      <c r="J1676">
        <v>4.93</v>
      </c>
      <c r="K1676">
        <v>4.93</v>
      </c>
      <c r="L1676" t="s">
        <v>303</v>
      </c>
      <c r="M1676">
        <v>4.93</v>
      </c>
      <c r="N1676">
        <v>4.93</v>
      </c>
      <c r="O1676" t="s">
        <v>303</v>
      </c>
      <c r="P1676">
        <f t="shared" si="26"/>
        <v>0</v>
      </c>
    </row>
    <row r="1677" spans="1:16" x14ac:dyDescent="0.25">
      <c r="A1677" t="s">
        <v>669</v>
      </c>
      <c r="B1677">
        <v>4.9400000000000004</v>
      </c>
      <c r="C1677">
        <v>4.9400000000000004</v>
      </c>
      <c r="D1677" t="s">
        <v>303</v>
      </c>
      <c r="E1677" t="s">
        <v>910</v>
      </c>
      <c r="F1677" t="s">
        <v>910</v>
      </c>
      <c r="J1677">
        <v>4.9400000000000004</v>
      </c>
      <c r="K1677">
        <v>4.9400000000000004</v>
      </c>
      <c r="L1677" t="s">
        <v>303</v>
      </c>
      <c r="M1677">
        <v>4.9400000000000004</v>
      </c>
      <c r="N1677">
        <v>4.9400000000000004</v>
      </c>
      <c r="O1677" t="s">
        <v>303</v>
      </c>
      <c r="P1677">
        <f t="shared" si="26"/>
        <v>0</v>
      </c>
    </row>
    <row r="1678" spans="1:16" x14ac:dyDescent="0.25">
      <c r="A1678" t="s">
        <v>669</v>
      </c>
      <c r="B1678">
        <v>4.944</v>
      </c>
      <c r="C1678">
        <v>4.944</v>
      </c>
      <c r="D1678" t="s">
        <v>303</v>
      </c>
      <c r="E1678" t="s">
        <v>910</v>
      </c>
      <c r="F1678" t="s">
        <v>910</v>
      </c>
      <c r="J1678">
        <v>4.944</v>
      </c>
      <c r="K1678">
        <v>4.944</v>
      </c>
      <c r="L1678" t="s">
        <v>303</v>
      </c>
      <c r="M1678">
        <v>4.944</v>
      </c>
      <c r="N1678">
        <v>4.944</v>
      </c>
      <c r="O1678" t="s">
        <v>303</v>
      </c>
      <c r="P1678">
        <f t="shared" si="26"/>
        <v>0</v>
      </c>
    </row>
    <row r="1679" spans="1:16" x14ac:dyDescent="0.25">
      <c r="A1679" t="s">
        <v>669</v>
      </c>
      <c r="B1679">
        <v>4.9452999999999996</v>
      </c>
      <c r="C1679">
        <v>4.9452999999999996</v>
      </c>
      <c r="D1679" t="s">
        <v>303</v>
      </c>
      <c r="E1679" t="s">
        <v>910</v>
      </c>
      <c r="F1679" t="s">
        <v>910</v>
      </c>
      <c r="J1679">
        <v>4.9452999999999996</v>
      </c>
      <c r="K1679">
        <v>4.9452999999999996</v>
      </c>
      <c r="L1679" t="s">
        <v>303</v>
      </c>
      <c r="M1679">
        <v>4.9452999999999996</v>
      </c>
      <c r="N1679">
        <v>4.9452999999999996</v>
      </c>
      <c r="O1679" t="s">
        <v>303</v>
      </c>
      <c r="P1679">
        <f t="shared" si="26"/>
        <v>0</v>
      </c>
    </row>
    <row r="1680" spans="1:16" x14ac:dyDescent="0.25">
      <c r="A1680" t="s">
        <v>669</v>
      </c>
      <c r="B1680">
        <v>4.9930000000000003</v>
      </c>
      <c r="C1680">
        <v>4.9930000000000003</v>
      </c>
      <c r="D1680" t="s">
        <v>303</v>
      </c>
      <c r="E1680" t="s">
        <v>910</v>
      </c>
      <c r="F1680" t="s">
        <v>910</v>
      </c>
      <c r="J1680">
        <v>4.9930000000000003</v>
      </c>
      <c r="K1680">
        <v>4.9930000000000003</v>
      </c>
      <c r="L1680" t="s">
        <v>303</v>
      </c>
      <c r="M1680">
        <v>4.9930000000000003</v>
      </c>
      <c r="N1680">
        <v>4.9930000000000003</v>
      </c>
      <c r="O1680" t="s">
        <v>303</v>
      </c>
      <c r="P1680">
        <f t="shared" si="26"/>
        <v>0</v>
      </c>
    </row>
    <row r="1681" spans="1:16" x14ac:dyDescent="0.25">
      <c r="A1681" t="s">
        <v>669</v>
      </c>
      <c r="B1681">
        <v>4.8</v>
      </c>
      <c r="C1681">
        <v>5</v>
      </c>
      <c r="D1681" t="s">
        <v>669</v>
      </c>
      <c r="E1681" t="s">
        <v>910</v>
      </c>
      <c r="F1681" t="s">
        <v>910</v>
      </c>
      <c r="I1681" t="s">
        <v>927</v>
      </c>
      <c r="J1681">
        <v>5</v>
      </c>
      <c r="K1681">
        <v>4.8</v>
      </c>
      <c r="L1681" t="s">
        <v>930</v>
      </c>
      <c r="M1681">
        <v>5</v>
      </c>
      <c r="N1681">
        <v>4.8</v>
      </c>
      <c r="P1681">
        <f t="shared" si="26"/>
        <v>14</v>
      </c>
    </row>
    <row r="1682" spans="1:16" x14ac:dyDescent="0.25">
      <c r="A1682" t="s">
        <v>538</v>
      </c>
      <c r="B1682">
        <v>4.7</v>
      </c>
      <c r="C1682">
        <v>5.0199999999999996</v>
      </c>
      <c r="D1682" t="s">
        <v>303</v>
      </c>
      <c r="E1682">
        <v>17</v>
      </c>
      <c r="F1682">
        <v>14</v>
      </c>
      <c r="G1682" t="s">
        <v>689</v>
      </c>
      <c r="H1682" t="s">
        <v>690</v>
      </c>
      <c r="J1682">
        <v>5.0199999999999996</v>
      </c>
      <c r="K1682">
        <v>4.7</v>
      </c>
      <c r="L1682" t="s">
        <v>303</v>
      </c>
      <c r="M1682">
        <v>5.0199999999999996</v>
      </c>
      <c r="N1682">
        <v>4.7</v>
      </c>
      <c r="O1682" t="s">
        <v>303</v>
      </c>
      <c r="P1682">
        <f t="shared" si="26"/>
        <v>0</v>
      </c>
    </row>
    <row r="1683" spans="1:16" x14ac:dyDescent="0.25">
      <c r="A1683" t="s">
        <v>669</v>
      </c>
      <c r="B1683">
        <v>5.03</v>
      </c>
      <c r="C1683">
        <v>5.03</v>
      </c>
      <c r="D1683" t="s">
        <v>303</v>
      </c>
      <c r="E1683" t="s">
        <v>910</v>
      </c>
      <c r="F1683" t="s">
        <v>910</v>
      </c>
      <c r="J1683">
        <v>5.03</v>
      </c>
      <c r="K1683">
        <v>5.03</v>
      </c>
      <c r="L1683" t="s">
        <v>303</v>
      </c>
      <c r="M1683">
        <v>5.03</v>
      </c>
      <c r="N1683">
        <v>5.03</v>
      </c>
      <c r="O1683" t="s">
        <v>303</v>
      </c>
      <c r="P1683">
        <f t="shared" si="26"/>
        <v>0</v>
      </c>
    </row>
    <row r="1684" spans="1:16" x14ac:dyDescent="0.25">
      <c r="A1684" t="s">
        <v>669</v>
      </c>
      <c r="B1684">
        <v>5.0439999999999996</v>
      </c>
      <c r="C1684">
        <v>5.0439999999999996</v>
      </c>
      <c r="D1684" t="s">
        <v>303</v>
      </c>
      <c r="E1684" t="s">
        <v>910</v>
      </c>
      <c r="F1684" t="s">
        <v>910</v>
      </c>
      <c r="J1684">
        <v>5.0439999999999996</v>
      </c>
      <c r="K1684">
        <v>5.0439999999999996</v>
      </c>
      <c r="L1684" t="s">
        <v>303</v>
      </c>
      <c r="M1684">
        <v>5.0439999999999996</v>
      </c>
      <c r="N1684">
        <v>5.0439999999999996</v>
      </c>
      <c r="O1684" t="s">
        <v>303</v>
      </c>
      <c r="P1684">
        <f t="shared" si="26"/>
        <v>0</v>
      </c>
    </row>
    <row r="1685" spans="1:16" x14ac:dyDescent="0.25">
      <c r="A1685" t="s">
        <v>669</v>
      </c>
      <c r="B1685">
        <v>5.0502000000000002</v>
      </c>
      <c r="C1685">
        <v>5.0502000000000002</v>
      </c>
      <c r="D1685" t="s">
        <v>303</v>
      </c>
      <c r="E1685" t="s">
        <v>910</v>
      </c>
      <c r="F1685" t="s">
        <v>910</v>
      </c>
      <c r="J1685">
        <v>5.0502000000000002</v>
      </c>
      <c r="K1685">
        <v>5.0502000000000002</v>
      </c>
      <c r="L1685" t="s">
        <v>303</v>
      </c>
      <c r="M1685">
        <v>5.0502000000000002</v>
      </c>
      <c r="N1685">
        <v>5.0502000000000002</v>
      </c>
      <c r="O1685" t="s">
        <v>303</v>
      </c>
      <c r="P1685">
        <f t="shared" si="26"/>
        <v>0</v>
      </c>
    </row>
    <row r="1686" spans="1:16" x14ac:dyDescent="0.25">
      <c r="A1686" t="s">
        <v>669</v>
      </c>
      <c r="B1686">
        <v>5</v>
      </c>
      <c r="C1686">
        <v>5.08</v>
      </c>
      <c r="D1686" t="s">
        <v>860</v>
      </c>
      <c r="E1686" t="s">
        <v>910</v>
      </c>
      <c r="F1686" t="s">
        <v>910</v>
      </c>
      <c r="J1686">
        <v>5.08</v>
      </c>
      <c r="K1686">
        <v>5</v>
      </c>
      <c r="L1686" t="s">
        <v>303</v>
      </c>
      <c r="M1686">
        <v>5.08</v>
      </c>
      <c r="N1686">
        <v>5</v>
      </c>
      <c r="O1686" t="s">
        <v>303</v>
      </c>
      <c r="P1686">
        <f t="shared" si="26"/>
        <v>0</v>
      </c>
    </row>
    <row r="1687" spans="1:16" x14ac:dyDescent="0.25">
      <c r="A1687" t="s">
        <v>669</v>
      </c>
      <c r="B1687">
        <v>5.08</v>
      </c>
      <c r="C1687">
        <v>5.08</v>
      </c>
      <c r="D1687" t="s">
        <v>303</v>
      </c>
      <c r="E1687" t="s">
        <v>910</v>
      </c>
      <c r="F1687" t="s">
        <v>910</v>
      </c>
      <c r="J1687">
        <v>5.08</v>
      </c>
      <c r="K1687">
        <v>5.08</v>
      </c>
      <c r="L1687" t="s">
        <v>303</v>
      </c>
      <c r="M1687">
        <v>5.08</v>
      </c>
      <c r="N1687">
        <v>5.08</v>
      </c>
      <c r="O1687" t="s">
        <v>303</v>
      </c>
      <c r="P1687">
        <f t="shared" si="26"/>
        <v>0</v>
      </c>
    </row>
    <row r="1688" spans="1:16" x14ac:dyDescent="0.25">
      <c r="A1688" t="s">
        <v>669</v>
      </c>
      <c r="B1688">
        <v>5.0949999999999998</v>
      </c>
      <c r="C1688">
        <v>5.0949999999999998</v>
      </c>
      <c r="D1688" t="s">
        <v>303</v>
      </c>
      <c r="E1688" t="s">
        <v>910</v>
      </c>
      <c r="F1688" t="s">
        <v>910</v>
      </c>
      <c r="J1688">
        <v>5.0949999999999998</v>
      </c>
      <c r="K1688">
        <v>5.0949999999999998</v>
      </c>
      <c r="L1688" t="s">
        <v>303</v>
      </c>
      <c r="M1688">
        <v>5.0949999999999998</v>
      </c>
      <c r="N1688">
        <v>5.0949999999999998</v>
      </c>
      <c r="O1688" t="s">
        <v>303</v>
      </c>
      <c r="P1688">
        <f t="shared" si="26"/>
        <v>0</v>
      </c>
    </row>
    <row r="1689" spans="1:16" x14ac:dyDescent="0.25">
      <c r="A1689" t="s">
        <v>537</v>
      </c>
      <c r="B1689">
        <v>4.4000000000000004</v>
      </c>
      <c r="C1689">
        <v>5.0999999999999996</v>
      </c>
      <c r="D1689" t="s">
        <v>303</v>
      </c>
      <c r="E1689">
        <v>14</v>
      </c>
      <c r="F1689">
        <v>14</v>
      </c>
      <c r="G1689" t="s">
        <v>690</v>
      </c>
      <c r="H1689" t="s">
        <v>690</v>
      </c>
      <c r="J1689">
        <v>5.0999999999999996</v>
      </c>
      <c r="K1689">
        <v>4.4000000000000004</v>
      </c>
      <c r="L1689" t="s">
        <v>303</v>
      </c>
      <c r="M1689">
        <v>5.0999999999999996</v>
      </c>
      <c r="N1689">
        <v>4.4000000000000004</v>
      </c>
      <c r="O1689" t="s">
        <v>303</v>
      </c>
      <c r="P1689">
        <f t="shared" si="26"/>
        <v>0</v>
      </c>
    </row>
    <row r="1690" spans="1:16" x14ac:dyDescent="0.25">
      <c r="A1690" t="s">
        <v>669</v>
      </c>
      <c r="B1690">
        <v>5.03</v>
      </c>
      <c r="C1690">
        <v>5.1100000000000003</v>
      </c>
      <c r="D1690" t="s">
        <v>860</v>
      </c>
      <c r="E1690" t="s">
        <v>910</v>
      </c>
      <c r="F1690" t="s">
        <v>910</v>
      </c>
      <c r="J1690">
        <v>5.1100000000000003</v>
      </c>
      <c r="K1690">
        <v>5.03</v>
      </c>
      <c r="L1690" t="s">
        <v>303</v>
      </c>
      <c r="M1690">
        <v>5.1100000000000003</v>
      </c>
      <c r="N1690">
        <v>5.03</v>
      </c>
      <c r="O1690" t="s">
        <v>303</v>
      </c>
      <c r="P1690">
        <f t="shared" si="26"/>
        <v>0</v>
      </c>
    </row>
    <row r="1691" spans="1:16" x14ac:dyDescent="0.25">
      <c r="A1691" t="s">
        <v>669</v>
      </c>
      <c r="B1691">
        <v>110</v>
      </c>
      <c r="C1691" t="s">
        <v>669</v>
      </c>
      <c r="D1691" t="s">
        <v>857</v>
      </c>
      <c r="E1691" t="s">
        <v>910</v>
      </c>
      <c r="F1691">
        <v>5</v>
      </c>
      <c r="H1691" t="s">
        <v>684</v>
      </c>
      <c r="I1691" t="s">
        <v>932</v>
      </c>
      <c r="K1691">
        <v>110</v>
      </c>
      <c r="L1691" t="s">
        <v>920</v>
      </c>
      <c r="N1691">
        <v>110</v>
      </c>
      <c r="O1691" t="s">
        <v>857</v>
      </c>
      <c r="P1691">
        <f t="shared" si="26"/>
        <v>27</v>
      </c>
    </row>
    <row r="1692" spans="1:16" x14ac:dyDescent="0.25">
      <c r="A1692" t="s">
        <v>669</v>
      </c>
      <c r="B1692">
        <v>5.1319999999999997</v>
      </c>
      <c r="C1692">
        <v>5.1319999999999997</v>
      </c>
      <c r="D1692" t="s">
        <v>303</v>
      </c>
      <c r="E1692" t="s">
        <v>910</v>
      </c>
      <c r="F1692" t="s">
        <v>910</v>
      </c>
      <c r="J1692">
        <v>5.1319999999999997</v>
      </c>
      <c r="K1692">
        <v>5.1319999999999997</v>
      </c>
      <c r="L1692" t="s">
        <v>303</v>
      </c>
      <c r="M1692">
        <v>5.1319999999999997</v>
      </c>
      <c r="N1692">
        <v>5.1319999999999997</v>
      </c>
      <c r="O1692" t="s">
        <v>303</v>
      </c>
      <c r="P1692">
        <f t="shared" si="26"/>
        <v>0</v>
      </c>
    </row>
    <row r="1693" spans="1:16" x14ac:dyDescent="0.25">
      <c r="A1693" t="s">
        <v>669</v>
      </c>
      <c r="B1693">
        <v>5.1609999999999996</v>
      </c>
      <c r="C1693">
        <v>5.1609999999999996</v>
      </c>
      <c r="D1693" t="s">
        <v>303</v>
      </c>
      <c r="E1693" t="s">
        <v>910</v>
      </c>
      <c r="F1693" t="s">
        <v>910</v>
      </c>
      <c r="J1693">
        <v>5.1609999999999996</v>
      </c>
      <c r="K1693">
        <v>5.1609999999999996</v>
      </c>
      <c r="L1693" t="s">
        <v>303</v>
      </c>
      <c r="M1693">
        <v>5.1609999999999996</v>
      </c>
      <c r="N1693">
        <v>5.1609999999999996</v>
      </c>
      <c r="O1693" t="s">
        <v>303</v>
      </c>
      <c r="P1693">
        <f t="shared" si="26"/>
        <v>0</v>
      </c>
    </row>
    <row r="1694" spans="1:16" x14ac:dyDescent="0.25">
      <c r="A1694" t="s">
        <v>669</v>
      </c>
      <c r="B1694">
        <v>5.1859999999999999</v>
      </c>
      <c r="C1694">
        <v>5.1859999999999999</v>
      </c>
      <c r="D1694" t="s">
        <v>303</v>
      </c>
      <c r="E1694" t="s">
        <v>910</v>
      </c>
      <c r="F1694" t="s">
        <v>910</v>
      </c>
      <c r="J1694">
        <v>5.1859999999999999</v>
      </c>
      <c r="K1694">
        <v>5.1859999999999999</v>
      </c>
      <c r="L1694" t="s">
        <v>303</v>
      </c>
      <c r="M1694">
        <v>5.1859999999999999</v>
      </c>
      <c r="N1694">
        <v>5.1859999999999999</v>
      </c>
      <c r="O1694" t="s">
        <v>303</v>
      </c>
      <c r="P1694">
        <f t="shared" si="26"/>
        <v>0</v>
      </c>
    </row>
    <row r="1695" spans="1:16" x14ac:dyDescent="0.25">
      <c r="A1695" t="s">
        <v>669</v>
      </c>
      <c r="B1695">
        <v>4.79</v>
      </c>
      <c r="C1695">
        <v>5.19</v>
      </c>
      <c r="D1695" t="s">
        <v>303</v>
      </c>
      <c r="E1695" t="s">
        <v>910</v>
      </c>
      <c r="F1695" t="s">
        <v>910</v>
      </c>
      <c r="J1695">
        <v>5.19</v>
      </c>
      <c r="K1695">
        <v>4.79</v>
      </c>
      <c r="L1695" t="s">
        <v>303</v>
      </c>
      <c r="M1695">
        <v>5.19</v>
      </c>
      <c r="N1695">
        <v>4.79</v>
      </c>
      <c r="O1695" t="s">
        <v>303</v>
      </c>
      <c r="P1695">
        <f t="shared" si="26"/>
        <v>0</v>
      </c>
    </row>
    <row r="1696" spans="1:16" x14ac:dyDescent="0.25">
      <c r="A1696" t="s">
        <v>535</v>
      </c>
      <c r="B1696">
        <v>0.01</v>
      </c>
      <c r="C1696">
        <v>5.2</v>
      </c>
      <c r="D1696" t="s">
        <v>860</v>
      </c>
      <c r="E1696">
        <v>14</v>
      </c>
      <c r="F1696">
        <v>8</v>
      </c>
      <c r="G1696" t="s">
        <v>690</v>
      </c>
      <c r="H1696" t="s">
        <v>687</v>
      </c>
      <c r="J1696">
        <v>5.2</v>
      </c>
      <c r="K1696">
        <v>0.01</v>
      </c>
      <c r="L1696" t="s">
        <v>303</v>
      </c>
      <c r="M1696">
        <v>5.2</v>
      </c>
      <c r="N1696">
        <v>0.01</v>
      </c>
      <c r="O1696" t="s">
        <v>303</v>
      </c>
      <c r="P1696">
        <f t="shared" si="26"/>
        <v>0</v>
      </c>
    </row>
    <row r="1697" spans="1:16" x14ac:dyDescent="0.25">
      <c r="A1697" t="s">
        <v>537</v>
      </c>
      <c r="B1697">
        <v>1.64</v>
      </c>
      <c r="C1697">
        <v>5.2</v>
      </c>
      <c r="D1697" t="s">
        <v>860</v>
      </c>
      <c r="E1697">
        <v>14</v>
      </c>
      <c r="F1697">
        <v>14</v>
      </c>
      <c r="G1697" t="s">
        <v>690</v>
      </c>
      <c r="H1697" t="s">
        <v>690</v>
      </c>
      <c r="J1697">
        <v>5.2</v>
      </c>
      <c r="K1697">
        <v>1.64</v>
      </c>
      <c r="L1697" t="s">
        <v>303</v>
      </c>
      <c r="M1697">
        <v>5.2</v>
      </c>
      <c r="N1697">
        <v>1.64</v>
      </c>
      <c r="O1697" t="s">
        <v>303</v>
      </c>
      <c r="P1697">
        <f t="shared" si="26"/>
        <v>0</v>
      </c>
    </row>
    <row r="1698" spans="1:16" x14ac:dyDescent="0.25">
      <c r="A1698" t="s">
        <v>669</v>
      </c>
      <c r="B1698">
        <v>4.2</v>
      </c>
      <c r="C1698">
        <v>5.2</v>
      </c>
      <c r="D1698" t="s">
        <v>303</v>
      </c>
      <c r="E1698" t="s">
        <v>910</v>
      </c>
      <c r="F1698" t="s">
        <v>910</v>
      </c>
      <c r="J1698">
        <v>5.2</v>
      </c>
      <c r="K1698">
        <v>4.2</v>
      </c>
      <c r="L1698" t="s">
        <v>303</v>
      </c>
      <c r="M1698">
        <v>5.2</v>
      </c>
      <c r="N1698">
        <v>4.2</v>
      </c>
      <c r="O1698" t="s">
        <v>303</v>
      </c>
      <c r="P1698">
        <f t="shared" si="26"/>
        <v>0</v>
      </c>
    </row>
    <row r="1699" spans="1:16" x14ac:dyDescent="0.25">
      <c r="A1699" t="s">
        <v>669</v>
      </c>
      <c r="B1699">
        <v>5.2</v>
      </c>
      <c r="C1699">
        <v>5.2</v>
      </c>
      <c r="D1699" t="s">
        <v>303</v>
      </c>
      <c r="E1699" t="s">
        <v>910</v>
      </c>
      <c r="F1699" t="s">
        <v>910</v>
      </c>
      <c r="J1699">
        <v>5.2</v>
      </c>
      <c r="K1699">
        <v>5.2</v>
      </c>
      <c r="L1699" t="s">
        <v>303</v>
      </c>
      <c r="M1699">
        <v>5.2</v>
      </c>
      <c r="N1699">
        <v>5.2</v>
      </c>
      <c r="O1699" t="s">
        <v>303</v>
      </c>
      <c r="P1699">
        <f t="shared" si="26"/>
        <v>0</v>
      </c>
    </row>
    <row r="1700" spans="1:16" x14ac:dyDescent="0.25">
      <c r="A1700" t="s">
        <v>669</v>
      </c>
      <c r="B1700">
        <v>5.2</v>
      </c>
      <c r="C1700">
        <v>5.2</v>
      </c>
      <c r="D1700" t="s">
        <v>860</v>
      </c>
      <c r="E1700" t="s">
        <v>910</v>
      </c>
      <c r="F1700" t="s">
        <v>910</v>
      </c>
      <c r="J1700">
        <v>5.2</v>
      </c>
      <c r="K1700">
        <v>5.2</v>
      </c>
      <c r="L1700" t="s">
        <v>303</v>
      </c>
      <c r="M1700">
        <v>5.2</v>
      </c>
      <c r="N1700">
        <v>5.2</v>
      </c>
      <c r="O1700" t="s">
        <v>303</v>
      </c>
      <c r="P1700">
        <f t="shared" si="26"/>
        <v>0</v>
      </c>
    </row>
    <row r="1701" spans="1:16" x14ac:dyDescent="0.25">
      <c r="A1701" t="s">
        <v>669</v>
      </c>
      <c r="B1701">
        <v>5.2080000000000002</v>
      </c>
      <c r="C1701">
        <v>5.2080000000000002</v>
      </c>
      <c r="D1701" t="s">
        <v>303</v>
      </c>
      <c r="E1701" t="s">
        <v>910</v>
      </c>
      <c r="F1701" t="s">
        <v>910</v>
      </c>
      <c r="J1701">
        <v>5.2080000000000002</v>
      </c>
      <c r="K1701">
        <v>5.2080000000000002</v>
      </c>
      <c r="L1701" t="s">
        <v>303</v>
      </c>
      <c r="M1701">
        <v>5.2080000000000002</v>
      </c>
      <c r="N1701">
        <v>5.2080000000000002</v>
      </c>
      <c r="O1701" t="s">
        <v>303</v>
      </c>
      <c r="P1701">
        <f t="shared" si="26"/>
        <v>0</v>
      </c>
    </row>
    <row r="1702" spans="1:16" x14ac:dyDescent="0.25">
      <c r="A1702" t="s">
        <v>669</v>
      </c>
      <c r="B1702">
        <v>5.2150999999999996</v>
      </c>
      <c r="C1702">
        <v>5.2150999999999996</v>
      </c>
      <c r="D1702" t="s">
        <v>303</v>
      </c>
      <c r="E1702" t="s">
        <v>910</v>
      </c>
      <c r="F1702" t="s">
        <v>910</v>
      </c>
      <c r="J1702">
        <v>5.2150999999999996</v>
      </c>
      <c r="K1702">
        <v>5.2150999999999996</v>
      </c>
      <c r="L1702" t="s">
        <v>303</v>
      </c>
      <c r="M1702">
        <v>5.2150999999999996</v>
      </c>
      <c r="N1702">
        <v>5.2150999999999996</v>
      </c>
      <c r="O1702" t="s">
        <v>303</v>
      </c>
      <c r="P1702">
        <f t="shared" si="26"/>
        <v>0</v>
      </c>
    </row>
    <row r="1703" spans="1:16" x14ac:dyDescent="0.25">
      <c r="A1703" t="s">
        <v>669</v>
      </c>
      <c r="B1703">
        <v>5.2279999999999998</v>
      </c>
      <c r="C1703">
        <v>5.2279999999999998</v>
      </c>
      <c r="D1703" t="s">
        <v>303</v>
      </c>
      <c r="E1703" t="s">
        <v>910</v>
      </c>
      <c r="F1703" t="s">
        <v>910</v>
      </c>
      <c r="J1703">
        <v>5.2279999999999998</v>
      </c>
      <c r="K1703">
        <v>5.2279999999999998</v>
      </c>
      <c r="L1703" t="s">
        <v>303</v>
      </c>
      <c r="M1703">
        <v>5.2279999999999998</v>
      </c>
      <c r="N1703">
        <v>5.2279999999999998</v>
      </c>
      <c r="O1703" t="s">
        <v>303</v>
      </c>
      <c r="P1703">
        <f t="shared" si="26"/>
        <v>0</v>
      </c>
    </row>
    <row r="1704" spans="1:16" x14ac:dyDescent="0.25">
      <c r="A1704" t="s">
        <v>669</v>
      </c>
      <c r="B1704">
        <v>5.23</v>
      </c>
      <c r="C1704">
        <v>5.23</v>
      </c>
      <c r="D1704" t="s">
        <v>303</v>
      </c>
      <c r="E1704" t="s">
        <v>910</v>
      </c>
      <c r="F1704" t="s">
        <v>910</v>
      </c>
      <c r="J1704">
        <v>5.23</v>
      </c>
      <c r="K1704">
        <v>5.23</v>
      </c>
      <c r="L1704" t="s">
        <v>303</v>
      </c>
      <c r="M1704">
        <v>5.23</v>
      </c>
      <c r="N1704">
        <v>5.23</v>
      </c>
      <c r="O1704" t="s">
        <v>303</v>
      </c>
      <c r="P1704">
        <f t="shared" si="26"/>
        <v>0</v>
      </c>
    </row>
    <row r="1705" spans="1:16" x14ac:dyDescent="0.25">
      <c r="A1705" t="s">
        <v>669</v>
      </c>
      <c r="B1705">
        <v>5.2489999999999997</v>
      </c>
      <c r="C1705">
        <v>5.2489999999999997</v>
      </c>
      <c r="D1705" t="s">
        <v>303</v>
      </c>
      <c r="E1705" t="s">
        <v>910</v>
      </c>
      <c r="F1705" t="s">
        <v>910</v>
      </c>
      <c r="J1705">
        <v>5.2489999999999997</v>
      </c>
      <c r="K1705">
        <v>5.2489999999999997</v>
      </c>
      <c r="L1705" t="s">
        <v>303</v>
      </c>
      <c r="M1705">
        <v>5.2489999999999997</v>
      </c>
      <c r="N1705">
        <v>5.2489999999999997</v>
      </c>
      <c r="O1705" t="s">
        <v>303</v>
      </c>
      <c r="P1705">
        <f t="shared" si="26"/>
        <v>0</v>
      </c>
    </row>
    <row r="1706" spans="1:16" x14ac:dyDescent="0.25">
      <c r="A1706" t="s">
        <v>669</v>
      </c>
      <c r="B1706">
        <v>5.26</v>
      </c>
      <c r="C1706">
        <v>5.26</v>
      </c>
      <c r="D1706" t="s">
        <v>303</v>
      </c>
      <c r="E1706" t="s">
        <v>910</v>
      </c>
      <c r="F1706" t="s">
        <v>910</v>
      </c>
      <c r="J1706">
        <v>5.26</v>
      </c>
      <c r="K1706">
        <v>5.26</v>
      </c>
      <c r="L1706" t="s">
        <v>303</v>
      </c>
      <c r="M1706">
        <v>5.26</v>
      </c>
      <c r="N1706">
        <v>5.26</v>
      </c>
      <c r="O1706" t="s">
        <v>303</v>
      </c>
      <c r="P1706">
        <f t="shared" si="26"/>
        <v>0</v>
      </c>
    </row>
    <row r="1707" spans="1:16" x14ac:dyDescent="0.25">
      <c r="A1707" t="s">
        <v>669</v>
      </c>
      <c r="B1707">
        <v>5.2690000000000001</v>
      </c>
      <c r="C1707">
        <v>5.2690000000000001</v>
      </c>
      <c r="D1707" t="s">
        <v>303</v>
      </c>
      <c r="E1707" t="s">
        <v>910</v>
      </c>
      <c r="F1707" t="s">
        <v>910</v>
      </c>
      <c r="J1707">
        <v>5.2690000000000001</v>
      </c>
      <c r="K1707">
        <v>5.2690000000000001</v>
      </c>
      <c r="L1707" t="s">
        <v>303</v>
      </c>
      <c r="M1707">
        <v>5.2690000000000001</v>
      </c>
      <c r="N1707">
        <v>5.2690000000000001</v>
      </c>
      <c r="O1707" t="s">
        <v>303</v>
      </c>
      <c r="P1707">
        <f t="shared" si="26"/>
        <v>0</v>
      </c>
    </row>
    <row r="1708" spans="1:16" x14ac:dyDescent="0.25">
      <c r="A1708" t="s">
        <v>537</v>
      </c>
      <c r="B1708">
        <v>4.8</v>
      </c>
      <c r="C1708">
        <v>5.28</v>
      </c>
      <c r="D1708" t="s">
        <v>303</v>
      </c>
      <c r="E1708">
        <v>14</v>
      </c>
      <c r="F1708">
        <v>14</v>
      </c>
      <c r="G1708" t="s">
        <v>690</v>
      </c>
      <c r="H1708" t="s">
        <v>690</v>
      </c>
      <c r="J1708">
        <v>5.28</v>
      </c>
      <c r="K1708">
        <v>4.8</v>
      </c>
      <c r="L1708" t="s">
        <v>303</v>
      </c>
      <c r="M1708">
        <v>5.28</v>
      </c>
      <c r="N1708">
        <v>4.8</v>
      </c>
      <c r="O1708" t="s">
        <v>303</v>
      </c>
      <c r="P1708">
        <f t="shared" si="26"/>
        <v>0</v>
      </c>
    </row>
    <row r="1709" spans="1:16" x14ac:dyDescent="0.25">
      <c r="A1709" t="s">
        <v>669</v>
      </c>
      <c r="B1709">
        <v>5.2919999999999998</v>
      </c>
      <c r="C1709">
        <v>5.2919999999999998</v>
      </c>
      <c r="D1709" t="s">
        <v>303</v>
      </c>
      <c r="E1709" t="s">
        <v>910</v>
      </c>
      <c r="F1709" t="s">
        <v>910</v>
      </c>
      <c r="J1709">
        <v>5.2919999999999998</v>
      </c>
      <c r="K1709">
        <v>5.2919999999999998</v>
      </c>
      <c r="L1709" t="s">
        <v>303</v>
      </c>
      <c r="M1709">
        <v>5.2919999999999998</v>
      </c>
      <c r="N1709">
        <v>5.2919999999999998</v>
      </c>
      <c r="O1709" t="s">
        <v>303</v>
      </c>
      <c r="P1709">
        <f t="shared" si="26"/>
        <v>0</v>
      </c>
    </row>
    <row r="1710" spans="1:16" x14ac:dyDescent="0.25">
      <c r="A1710" t="s">
        <v>75</v>
      </c>
      <c r="B1710">
        <v>2.6</v>
      </c>
      <c r="C1710">
        <v>5.3</v>
      </c>
      <c r="D1710" t="s">
        <v>303</v>
      </c>
      <c r="E1710">
        <v>14</v>
      </c>
      <c r="F1710">
        <v>14</v>
      </c>
      <c r="G1710" t="s">
        <v>690</v>
      </c>
      <c r="H1710" t="s">
        <v>690</v>
      </c>
      <c r="J1710">
        <v>5.3</v>
      </c>
      <c r="K1710">
        <v>2.6</v>
      </c>
      <c r="L1710" t="s">
        <v>303</v>
      </c>
      <c r="M1710">
        <v>5.3</v>
      </c>
      <c r="N1710">
        <v>2.6</v>
      </c>
      <c r="O1710" t="s">
        <v>303</v>
      </c>
      <c r="P1710">
        <f t="shared" si="26"/>
        <v>0</v>
      </c>
    </row>
    <row r="1711" spans="1:16" x14ac:dyDescent="0.25">
      <c r="A1711" t="s">
        <v>422</v>
      </c>
      <c r="B1711">
        <v>2.6</v>
      </c>
      <c r="C1711">
        <v>5.3</v>
      </c>
      <c r="D1711" t="s">
        <v>303</v>
      </c>
      <c r="E1711">
        <v>25</v>
      </c>
      <c r="F1711">
        <v>17</v>
      </c>
      <c r="G1711" t="s">
        <v>691</v>
      </c>
      <c r="H1711" t="s">
        <v>689</v>
      </c>
      <c r="J1711">
        <v>5.3</v>
      </c>
      <c r="K1711">
        <v>2.6</v>
      </c>
      <c r="L1711" t="s">
        <v>303</v>
      </c>
      <c r="M1711">
        <v>5.3</v>
      </c>
      <c r="N1711">
        <v>2.6</v>
      </c>
      <c r="O1711" t="s">
        <v>303</v>
      </c>
      <c r="P1711">
        <f t="shared" si="26"/>
        <v>0</v>
      </c>
    </row>
    <row r="1712" spans="1:16" x14ac:dyDescent="0.25">
      <c r="A1712" t="s">
        <v>537</v>
      </c>
      <c r="B1712">
        <v>2.6</v>
      </c>
      <c r="C1712">
        <v>5.3</v>
      </c>
      <c r="D1712" t="s">
        <v>303</v>
      </c>
      <c r="E1712">
        <v>14</v>
      </c>
      <c r="F1712">
        <v>14</v>
      </c>
      <c r="G1712" t="s">
        <v>690</v>
      </c>
      <c r="H1712" t="s">
        <v>690</v>
      </c>
      <c r="J1712">
        <v>5.3</v>
      </c>
      <c r="K1712">
        <v>2.6</v>
      </c>
      <c r="L1712" t="s">
        <v>303</v>
      </c>
      <c r="M1712">
        <v>5.3</v>
      </c>
      <c r="N1712">
        <v>2.6</v>
      </c>
      <c r="O1712" t="s">
        <v>303</v>
      </c>
      <c r="P1712">
        <f t="shared" si="26"/>
        <v>0</v>
      </c>
    </row>
    <row r="1713" spans="1:16" x14ac:dyDescent="0.25">
      <c r="A1713" t="s">
        <v>669</v>
      </c>
      <c r="B1713">
        <v>2.6</v>
      </c>
      <c r="C1713">
        <v>5.3</v>
      </c>
      <c r="D1713" t="s">
        <v>303</v>
      </c>
      <c r="E1713" t="s">
        <v>910</v>
      </c>
      <c r="F1713" t="s">
        <v>910</v>
      </c>
      <c r="J1713">
        <v>5.3</v>
      </c>
      <c r="K1713">
        <v>2.6</v>
      </c>
      <c r="L1713" t="s">
        <v>303</v>
      </c>
      <c r="M1713">
        <v>5.3</v>
      </c>
      <c r="N1713">
        <v>2.6</v>
      </c>
      <c r="O1713" t="s">
        <v>303</v>
      </c>
      <c r="P1713">
        <f t="shared" si="26"/>
        <v>0</v>
      </c>
    </row>
    <row r="1714" spans="1:16" x14ac:dyDescent="0.25">
      <c r="A1714" t="s">
        <v>76</v>
      </c>
      <c r="B1714">
        <v>3.6</v>
      </c>
      <c r="C1714">
        <v>5.3</v>
      </c>
      <c r="D1714" t="s">
        <v>303</v>
      </c>
      <c r="E1714">
        <v>16</v>
      </c>
      <c r="F1714">
        <v>16</v>
      </c>
      <c r="G1714" t="s">
        <v>695</v>
      </c>
      <c r="H1714" t="s">
        <v>695</v>
      </c>
      <c r="J1714">
        <v>5.3</v>
      </c>
      <c r="K1714">
        <v>3.6</v>
      </c>
      <c r="L1714" t="s">
        <v>303</v>
      </c>
      <c r="M1714">
        <v>5.3</v>
      </c>
      <c r="N1714">
        <v>3.6</v>
      </c>
      <c r="O1714" t="s">
        <v>303</v>
      </c>
      <c r="P1714">
        <f t="shared" si="26"/>
        <v>0</v>
      </c>
    </row>
    <row r="1715" spans="1:16" x14ac:dyDescent="0.25">
      <c r="A1715" t="s">
        <v>669</v>
      </c>
      <c r="B1715">
        <v>5.3179999999999996</v>
      </c>
      <c r="C1715">
        <v>5.3179999999999996</v>
      </c>
      <c r="D1715" t="s">
        <v>303</v>
      </c>
      <c r="E1715" t="s">
        <v>910</v>
      </c>
      <c r="F1715" t="s">
        <v>910</v>
      </c>
      <c r="J1715">
        <v>5.3179999999999996</v>
      </c>
      <c r="K1715">
        <v>5.3179999999999996</v>
      </c>
      <c r="L1715" t="s">
        <v>303</v>
      </c>
      <c r="M1715">
        <v>5.3179999999999996</v>
      </c>
      <c r="N1715">
        <v>5.3179999999999996</v>
      </c>
      <c r="O1715" t="s">
        <v>303</v>
      </c>
      <c r="P1715">
        <f t="shared" si="26"/>
        <v>0</v>
      </c>
    </row>
    <row r="1716" spans="1:16" x14ac:dyDescent="0.25">
      <c r="A1716" t="s">
        <v>669</v>
      </c>
      <c r="B1716">
        <v>5.32</v>
      </c>
      <c r="C1716">
        <v>5.32</v>
      </c>
      <c r="D1716" t="s">
        <v>303</v>
      </c>
      <c r="E1716" t="s">
        <v>910</v>
      </c>
      <c r="F1716" t="s">
        <v>910</v>
      </c>
      <c r="J1716">
        <v>5.32</v>
      </c>
      <c r="K1716">
        <v>5.32</v>
      </c>
      <c r="L1716" t="s">
        <v>303</v>
      </c>
      <c r="M1716">
        <v>5.32</v>
      </c>
      <c r="N1716">
        <v>5.32</v>
      </c>
      <c r="O1716" t="s">
        <v>303</v>
      </c>
      <c r="P1716">
        <f t="shared" si="26"/>
        <v>0</v>
      </c>
    </row>
    <row r="1717" spans="1:16" x14ac:dyDescent="0.25">
      <c r="A1717" t="s">
        <v>669</v>
      </c>
      <c r="B1717">
        <v>5.3529999999999998</v>
      </c>
      <c r="C1717">
        <v>5.3529999999999998</v>
      </c>
      <c r="D1717" t="s">
        <v>303</v>
      </c>
      <c r="E1717" t="s">
        <v>910</v>
      </c>
      <c r="F1717" t="s">
        <v>910</v>
      </c>
      <c r="J1717">
        <v>5.3529999999999998</v>
      </c>
      <c r="K1717">
        <v>5.3529999999999998</v>
      </c>
      <c r="L1717" t="s">
        <v>303</v>
      </c>
      <c r="M1717">
        <v>5.3529999999999998</v>
      </c>
      <c r="N1717">
        <v>5.3529999999999998</v>
      </c>
      <c r="O1717" t="s">
        <v>303</v>
      </c>
      <c r="P1717">
        <f t="shared" si="26"/>
        <v>0</v>
      </c>
    </row>
    <row r="1718" spans="1:16" x14ac:dyDescent="0.25">
      <c r="A1718" t="s">
        <v>669</v>
      </c>
      <c r="B1718">
        <v>5.36</v>
      </c>
      <c r="C1718">
        <v>5.36</v>
      </c>
      <c r="D1718" t="s">
        <v>303</v>
      </c>
      <c r="E1718" t="s">
        <v>910</v>
      </c>
      <c r="F1718" t="s">
        <v>910</v>
      </c>
      <c r="J1718">
        <v>5.36</v>
      </c>
      <c r="K1718">
        <v>5.36</v>
      </c>
      <c r="L1718" t="s">
        <v>303</v>
      </c>
      <c r="M1718">
        <v>5.36</v>
      </c>
      <c r="N1718">
        <v>5.36</v>
      </c>
      <c r="O1718" t="s">
        <v>303</v>
      </c>
      <c r="P1718">
        <f t="shared" si="26"/>
        <v>0</v>
      </c>
    </row>
    <row r="1719" spans="1:16" x14ac:dyDescent="0.25">
      <c r="A1719" t="s">
        <v>669</v>
      </c>
      <c r="B1719" t="s">
        <v>669</v>
      </c>
      <c r="C1719">
        <v>5.4</v>
      </c>
      <c r="D1719" t="s">
        <v>303</v>
      </c>
      <c r="E1719" t="s">
        <v>910</v>
      </c>
      <c r="F1719" t="s">
        <v>910</v>
      </c>
      <c r="J1719">
        <v>5.4</v>
      </c>
      <c r="L1719" t="s">
        <v>303</v>
      </c>
      <c r="M1719">
        <v>5.4</v>
      </c>
      <c r="O1719" t="s">
        <v>303</v>
      </c>
      <c r="P1719">
        <f t="shared" si="26"/>
        <v>0</v>
      </c>
    </row>
    <row r="1720" spans="1:16" x14ac:dyDescent="0.25">
      <c r="A1720" t="s">
        <v>669</v>
      </c>
      <c r="B1720">
        <v>5.407</v>
      </c>
      <c r="C1720">
        <v>5.407</v>
      </c>
      <c r="D1720" t="s">
        <v>303</v>
      </c>
      <c r="E1720" t="s">
        <v>910</v>
      </c>
      <c r="F1720" t="s">
        <v>910</v>
      </c>
      <c r="J1720">
        <v>5.407</v>
      </c>
      <c r="K1720">
        <v>5.407</v>
      </c>
      <c r="L1720" t="s">
        <v>303</v>
      </c>
      <c r="M1720">
        <v>5.407</v>
      </c>
      <c r="N1720">
        <v>5.407</v>
      </c>
      <c r="O1720" t="s">
        <v>303</v>
      </c>
      <c r="P1720">
        <f t="shared" si="26"/>
        <v>0</v>
      </c>
    </row>
    <row r="1721" spans="1:16" x14ac:dyDescent="0.25">
      <c r="A1721" t="s">
        <v>669</v>
      </c>
      <c r="B1721">
        <v>5.41</v>
      </c>
      <c r="C1721">
        <v>5.41</v>
      </c>
      <c r="D1721" t="s">
        <v>303</v>
      </c>
      <c r="E1721" t="s">
        <v>910</v>
      </c>
      <c r="F1721" t="s">
        <v>910</v>
      </c>
      <c r="J1721">
        <v>5.41</v>
      </c>
      <c r="K1721">
        <v>5.41</v>
      </c>
      <c r="L1721" t="s">
        <v>303</v>
      </c>
      <c r="M1721">
        <v>5.41</v>
      </c>
      <c r="N1721">
        <v>5.41</v>
      </c>
      <c r="O1721" t="s">
        <v>303</v>
      </c>
      <c r="P1721">
        <f t="shared" si="26"/>
        <v>0</v>
      </c>
    </row>
    <row r="1722" spans="1:16" x14ac:dyDescent="0.25">
      <c r="A1722" t="s">
        <v>669</v>
      </c>
      <c r="B1722">
        <v>5.46</v>
      </c>
      <c r="C1722">
        <v>5.46</v>
      </c>
      <c r="D1722" t="s">
        <v>303</v>
      </c>
      <c r="E1722" t="s">
        <v>910</v>
      </c>
      <c r="F1722" t="s">
        <v>910</v>
      </c>
      <c r="J1722">
        <v>5.46</v>
      </c>
      <c r="K1722">
        <v>5.46</v>
      </c>
      <c r="L1722" t="s">
        <v>303</v>
      </c>
      <c r="M1722">
        <v>5.46</v>
      </c>
      <c r="N1722">
        <v>5.46</v>
      </c>
      <c r="O1722" t="s">
        <v>303</v>
      </c>
      <c r="P1722">
        <f t="shared" si="26"/>
        <v>0</v>
      </c>
    </row>
    <row r="1723" spans="1:16" x14ac:dyDescent="0.25">
      <c r="A1723" t="s">
        <v>274</v>
      </c>
      <c r="B1723">
        <v>0</v>
      </c>
      <c r="C1723">
        <v>5.5</v>
      </c>
      <c r="D1723" t="s">
        <v>860</v>
      </c>
      <c r="E1723">
        <v>18</v>
      </c>
      <c r="F1723">
        <v>3</v>
      </c>
      <c r="G1723" t="s">
        <v>693</v>
      </c>
      <c r="H1723" t="s">
        <v>700</v>
      </c>
      <c r="J1723">
        <v>5.5</v>
      </c>
      <c r="K1723">
        <v>0</v>
      </c>
      <c r="L1723" t="s">
        <v>303</v>
      </c>
      <c r="M1723">
        <v>5.5</v>
      </c>
      <c r="N1723">
        <v>0</v>
      </c>
      <c r="O1723" t="s">
        <v>303</v>
      </c>
      <c r="P1723">
        <f t="shared" si="26"/>
        <v>0</v>
      </c>
    </row>
    <row r="1724" spans="1:16" x14ac:dyDescent="0.25">
      <c r="A1724" t="s">
        <v>669</v>
      </c>
      <c r="B1724">
        <v>5.5</v>
      </c>
      <c r="C1724">
        <v>5.5</v>
      </c>
      <c r="D1724" t="s">
        <v>860</v>
      </c>
      <c r="E1724" t="s">
        <v>910</v>
      </c>
      <c r="F1724" t="s">
        <v>910</v>
      </c>
      <c r="J1724">
        <v>5.5</v>
      </c>
      <c r="K1724">
        <v>5.5</v>
      </c>
      <c r="L1724" t="s">
        <v>303</v>
      </c>
      <c r="M1724">
        <v>5.5</v>
      </c>
      <c r="N1724">
        <v>5.5</v>
      </c>
      <c r="O1724" t="s">
        <v>303</v>
      </c>
      <c r="P1724">
        <f t="shared" si="26"/>
        <v>0</v>
      </c>
    </row>
    <row r="1725" spans="1:16" x14ac:dyDescent="0.25">
      <c r="A1725" t="s">
        <v>669</v>
      </c>
      <c r="B1725" t="s">
        <v>669</v>
      </c>
      <c r="C1725">
        <v>5.5</v>
      </c>
      <c r="D1725" t="s">
        <v>303</v>
      </c>
      <c r="E1725" t="s">
        <v>910</v>
      </c>
      <c r="F1725" t="s">
        <v>910</v>
      </c>
      <c r="J1725">
        <v>5.5</v>
      </c>
      <c r="K1725">
        <v>5.5</v>
      </c>
      <c r="L1725" t="s">
        <v>303</v>
      </c>
      <c r="M1725">
        <v>5.5</v>
      </c>
      <c r="N1725">
        <v>5.5</v>
      </c>
      <c r="O1725" t="s">
        <v>303</v>
      </c>
      <c r="P1725">
        <f t="shared" si="26"/>
        <v>0</v>
      </c>
    </row>
    <row r="1726" spans="1:16" x14ac:dyDescent="0.25">
      <c r="A1726" t="s">
        <v>669</v>
      </c>
      <c r="B1726">
        <v>5.5049999999999999</v>
      </c>
      <c r="C1726">
        <v>5.5049999999999999</v>
      </c>
      <c r="D1726" t="s">
        <v>303</v>
      </c>
      <c r="E1726" t="s">
        <v>910</v>
      </c>
      <c r="F1726" t="s">
        <v>910</v>
      </c>
      <c r="J1726">
        <v>5.5049999999999999</v>
      </c>
      <c r="K1726">
        <v>5.5049999999999999</v>
      </c>
      <c r="L1726" t="s">
        <v>303</v>
      </c>
      <c r="M1726">
        <v>5.5049999999999999</v>
      </c>
      <c r="N1726">
        <v>5.5049999999999999</v>
      </c>
      <c r="O1726" t="s">
        <v>303</v>
      </c>
      <c r="P1726">
        <f t="shared" si="26"/>
        <v>0</v>
      </c>
    </row>
    <row r="1727" spans="1:16" x14ac:dyDescent="0.25">
      <c r="A1727" t="s">
        <v>669</v>
      </c>
      <c r="B1727">
        <v>5.51</v>
      </c>
      <c r="C1727">
        <v>5.51</v>
      </c>
      <c r="D1727" t="s">
        <v>303</v>
      </c>
      <c r="E1727" t="s">
        <v>910</v>
      </c>
      <c r="F1727" t="s">
        <v>910</v>
      </c>
      <c r="J1727">
        <v>5.51</v>
      </c>
      <c r="K1727">
        <v>5.51</v>
      </c>
      <c r="L1727" t="s">
        <v>303</v>
      </c>
      <c r="M1727">
        <v>5.51</v>
      </c>
      <c r="N1727">
        <v>5.51</v>
      </c>
      <c r="O1727" t="s">
        <v>303</v>
      </c>
      <c r="P1727">
        <f t="shared" si="26"/>
        <v>0</v>
      </c>
    </row>
    <row r="1728" spans="1:16" x14ac:dyDescent="0.25">
      <c r="A1728" t="s">
        <v>669</v>
      </c>
      <c r="B1728">
        <v>5.53</v>
      </c>
      <c r="C1728">
        <v>5.53</v>
      </c>
      <c r="D1728" t="s">
        <v>303</v>
      </c>
      <c r="E1728" t="s">
        <v>910</v>
      </c>
      <c r="F1728" t="s">
        <v>910</v>
      </c>
      <c r="J1728">
        <v>5.53</v>
      </c>
      <c r="K1728">
        <v>5.53</v>
      </c>
      <c r="L1728" t="s">
        <v>303</v>
      </c>
      <c r="M1728">
        <v>5.53</v>
      </c>
      <c r="N1728">
        <v>5.53</v>
      </c>
      <c r="O1728" t="s">
        <v>303</v>
      </c>
      <c r="P1728">
        <f t="shared" si="26"/>
        <v>0</v>
      </c>
    </row>
    <row r="1729" spans="1:16" x14ac:dyDescent="0.25">
      <c r="A1729" t="s">
        <v>669</v>
      </c>
      <c r="B1729">
        <v>5.59</v>
      </c>
      <c r="C1729">
        <v>5.59</v>
      </c>
      <c r="D1729" t="s">
        <v>303</v>
      </c>
      <c r="E1729" t="s">
        <v>910</v>
      </c>
      <c r="F1729" t="s">
        <v>910</v>
      </c>
      <c r="J1729">
        <v>5.59</v>
      </c>
      <c r="K1729">
        <v>5.59</v>
      </c>
      <c r="L1729" t="s">
        <v>303</v>
      </c>
      <c r="M1729">
        <v>5.59</v>
      </c>
      <c r="N1729">
        <v>5.59</v>
      </c>
      <c r="O1729" t="s">
        <v>303</v>
      </c>
      <c r="P1729">
        <f t="shared" si="26"/>
        <v>0</v>
      </c>
    </row>
    <row r="1730" spans="1:16" x14ac:dyDescent="0.25">
      <c r="A1730" t="s">
        <v>669</v>
      </c>
      <c r="B1730">
        <v>5</v>
      </c>
      <c r="C1730">
        <v>5.6</v>
      </c>
      <c r="D1730" t="s">
        <v>669</v>
      </c>
      <c r="E1730" t="s">
        <v>910</v>
      </c>
      <c r="F1730" t="s">
        <v>910</v>
      </c>
      <c r="I1730" t="s">
        <v>927</v>
      </c>
      <c r="J1730">
        <v>5.6</v>
      </c>
      <c r="K1730">
        <v>5</v>
      </c>
      <c r="L1730" t="s">
        <v>930</v>
      </c>
      <c r="M1730">
        <v>5.6</v>
      </c>
      <c r="N1730">
        <v>5</v>
      </c>
      <c r="P1730">
        <f t="shared" si="26"/>
        <v>14</v>
      </c>
    </row>
    <row r="1731" spans="1:16" x14ac:dyDescent="0.25">
      <c r="A1731" t="s">
        <v>669</v>
      </c>
      <c r="B1731">
        <v>5.61</v>
      </c>
      <c r="C1731">
        <v>5.61</v>
      </c>
      <c r="D1731" t="s">
        <v>303</v>
      </c>
      <c r="E1731" t="s">
        <v>910</v>
      </c>
      <c r="F1731" t="s">
        <v>910</v>
      </c>
      <c r="J1731">
        <v>5.61</v>
      </c>
      <c r="K1731">
        <v>5.61</v>
      </c>
      <c r="L1731" t="s">
        <v>303</v>
      </c>
      <c r="M1731">
        <v>5.61</v>
      </c>
      <c r="N1731">
        <v>5.61</v>
      </c>
      <c r="O1731" t="s">
        <v>303</v>
      </c>
      <c r="P1731">
        <f t="shared" ref="P1731:P1794" si="27">LEN(I1731)</f>
        <v>0</v>
      </c>
    </row>
    <row r="1732" spans="1:16" x14ac:dyDescent="0.25">
      <c r="A1732" t="s">
        <v>669</v>
      </c>
      <c r="B1732">
        <v>5.6779999999999999</v>
      </c>
      <c r="C1732">
        <v>5.6779999999999999</v>
      </c>
      <c r="D1732" t="s">
        <v>303</v>
      </c>
      <c r="E1732" t="s">
        <v>910</v>
      </c>
      <c r="F1732" t="s">
        <v>910</v>
      </c>
      <c r="J1732">
        <v>5.6779999999999999</v>
      </c>
      <c r="K1732">
        <v>5.6779999999999999</v>
      </c>
      <c r="L1732" t="s">
        <v>303</v>
      </c>
      <c r="M1732">
        <v>5.6779999999999999</v>
      </c>
      <c r="N1732">
        <v>5.6779999999999999</v>
      </c>
      <c r="O1732" t="s">
        <v>303</v>
      </c>
      <c r="P1732">
        <f t="shared" si="27"/>
        <v>0</v>
      </c>
    </row>
    <row r="1733" spans="1:16" x14ac:dyDescent="0.25">
      <c r="A1733" t="s">
        <v>669</v>
      </c>
      <c r="B1733">
        <v>5.68</v>
      </c>
      <c r="C1733">
        <v>5.68</v>
      </c>
      <c r="D1733" t="s">
        <v>303</v>
      </c>
      <c r="E1733" t="s">
        <v>910</v>
      </c>
      <c r="F1733" t="s">
        <v>910</v>
      </c>
      <c r="J1733">
        <v>5.68</v>
      </c>
      <c r="K1733">
        <v>5.68</v>
      </c>
      <c r="L1733" t="s">
        <v>303</v>
      </c>
      <c r="M1733">
        <v>5.68</v>
      </c>
      <c r="N1733">
        <v>5.68</v>
      </c>
      <c r="O1733" t="s">
        <v>303</v>
      </c>
      <c r="P1733">
        <f t="shared" si="27"/>
        <v>0</v>
      </c>
    </row>
    <row r="1734" spans="1:16" x14ac:dyDescent="0.25">
      <c r="A1734" t="s">
        <v>669</v>
      </c>
      <c r="B1734">
        <v>5.6950000000000003</v>
      </c>
      <c r="C1734">
        <v>5.6950000000000003</v>
      </c>
      <c r="D1734" t="s">
        <v>303</v>
      </c>
      <c r="E1734" t="s">
        <v>910</v>
      </c>
      <c r="F1734" t="s">
        <v>910</v>
      </c>
      <c r="J1734">
        <v>5.6950000000000003</v>
      </c>
      <c r="K1734">
        <v>5.6950000000000003</v>
      </c>
      <c r="L1734" t="s">
        <v>303</v>
      </c>
      <c r="M1734">
        <v>5.6950000000000003</v>
      </c>
      <c r="N1734">
        <v>5.6950000000000003</v>
      </c>
      <c r="O1734" t="s">
        <v>303</v>
      </c>
      <c r="P1734">
        <f t="shared" si="27"/>
        <v>0</v>
      </c>
    </row>
    <row r="1735" spans="1:16" x14ac:dyDescent="0.25">
      <c r="A1735" t="s">
        <v>669</v>
      </c>
      <c r="B1735">
        <v>5.6980000000000004</v>
      </c>
      <c r="C1735">
        <v>5.6980000000000004</v>
      </c>
      <c r="D1735" t="s">
        <v>303</v>
      </c>
      <c r="E1735" t="s">
        <v>910</v>
      </c>
      <c r="F1735" t="s">
        <v>910</v>
      </c>
      <c r="J1735">
        <v>5.6980000000000004</v>
      </c>
      <c r="K1735">
        <v>5.6980000000000004</v>
      </c>
      <c r="L1735" t="s">
        <v>303</v>
      </c>
      <c r="M1735">
        <v>5.6980000000000004</v>
      </c>
      <c r="N1735">
        <v>5.6980000000000004</v>
      </c>
      <c r="O1735" t="s">
        <v>303</v>
      </c>
      <c r="P1735">
        <f t="shared" si="27"/>
        <v>0</v>
      </c>
    </row>
    <row r="1736" spans="1:16" x14ac:dyDescent="0.25">
      <c r="A1736" t="s">
        <v>669</v>
      </c>
      <c r="B1736">
        <v>5700000</v>
      </c>
      <c r="C1736">
        <v>5700000</v>
      </c>
      <c r="D1736" t="s">
        <v>857</v>
      </c>
      <c r="E1736" t="s">
        <v>910</v>
      </c>
      <c r="F1736" t="s">
        <v>910</v>
      </c>
      <c r="J1736">
        <v>5.7</v>
      </c>
      <c r="K1736">
        <v>5.7</v>
      </c>
      <c r="L1736" t="s">
        <v>303</v>
      </c>
      <c r="M1736">
        <v>5700000</v>
      </c>
      <c r="N1736">
        <v>5700000</v>
      </c>
      <c r="O1736" t="s">
        <v>303</v>
      </c>
      <c r="P1736">
        <f t="shared" si="27"/>
        <v>0</v>
      </c>
    </row>
    <row r="1737" spans="1:16" x14ac:dyDescent="0.25">
      <c r="A1737" t="s">
        <v>669</v>
      </c>
      <c r="B1737">
        <v>5.7130000000000001</v>
      </c>
      <c r="C1737">
        <v>5.7130000000000001</v>
      </c>
      <c r="D1737" t="s">
        <v>303</v>
      </c>
      <c r="E1737" t="s">
        <v>910</v>
      </c>
      <c r="F1737" t="s">
        <v>910</v>
      </c>
      <c r="J1737">
        <v>5.7130000000000001</v>
      </c>
      <c r="K1737">
        <v>5.7130000000000001</v>
      </c>
      <c r="L1737" t="s">
        <v>303</v>
      </c>
      <c r="M1737">
        <v>5.7130000000000001</v>
      </c>
      <c r="N1737">
        <v>5.7130000000000001</v>
      </c>
      <c r="O1737" t="s">
        <v>303</v>
      </c>
      <c r="P1737">
        <f t="shared" si="27"/>
        <v>0</v>
      </c>
    </row>
    <row r="1738" spans="1:16" x14ac:dyDescent="0.25">
      <c r="A1738" t="s">
        <v>669</v>
      </c>
      <c r="B1738">
        <v>5.7213000000000003</v>
      </c>
      <c r="C1738">
        <v>5.7213000000000003</v>
      </c>
      <c r="D1738" t="s">
        <v>303</v>
      </c>
      <c r="E1738" t="s">
        <v>910</v>
      </c>
      <c r="F1738" t="s">
        <v>910</v>
      </c>
      <c r="J1738">
        <v>5.7213000000000003</v>
      </c>
      <c r="K1738">
        <v>5.7213000000000003</v>
      </c>
      <c r="L1738" t="s">
        <v>303</v>
      </c>
      <c r="M1738">
        <v>5.7213000000000003</v>
      </c>
      <c r="N1738">
        <v>5.7213000000000003</v>
      </c>
      <c r="O1738" t="s">
        <v>303</v>
      </c>
      <c r="P1738">
        <f t="shared" si="27"/>
        <v>0</v>
      </c>
    </row>
    <row r="1739" spans="1:16" x14ac:dyDescent="0.25">
      <c r="A1739" t="s">
        <v>669</v>
      </c>
      <c r="B1739">
        <v>5.734</v>
      </c>
      <c r="C1739">
        <v>5.734</v>
      </c>
      <c r="D1739" t="s">
        <v>303</v>
      </c>
      <c r="E1739" t="s">
        <v>910</v>
      </c>
      <c r="F1739" t="s">
        <v>910</v>
      </c>
      <c r="J1739">
        <v>5.734</v>
      </c>
      <c r="K1739">
        <v>5.734</v>
      </c>
      <c r="L1739" t="s">
        <v>303</v>
      </c>
      <c r="M1739">
        <v>5.734</v>
      </c>
      <c r="N1739">
        <v>5.734</v>
      </c>
      <c r="O1739" t="s">
        <v>303</v>
      </c>
      <c r="P1739">
        <f t="shared" si="27"/>
        <v>0</v>
      </c>
    </row>
    <row r="1740" spans="1:16" x14ac:dyDescent="0.25">
      <c r="A1740" t="s">
        <v>669</v>
      </c>
      <c r="B1740">
        <v>120</v>
      </c>
      <c r="C1740" t="s">
        <v>669</v>
      </c>
      <c r="D1740" t="s">
        <v>857</v>
      </c>
      <c r="E1740" t="s">
        <v>910</v>
      </c>
      <c r="F1740">
        <v>5</v>
      </c>
      <c r="H1740" t="s">
        <v>684</v>
      </c>
      <c r="I1740" t="s">
        <v>932</v>
      </c>
      <c r="K1740">
        <v>120</v>
      </c>
      <c r="L1740" t="s">
        <v>920</v>
      </c>
      <c r="N1740">
        <v>120</v>
      </c>
      <c r="O1740" t="s">
        <v>857</v>
      </c>
      <c r="P1740">
        <f t="shared" si="27"/>
        <v>27</v>
      </c>
    </row>
    <row r="1741" spans="1:16" x14ac:dyDescent="0.25">
      <c r="A1741" t="s">
        <v>669</v>
      </c>
      <c r="B1741">
        <v>5.7549999999999999</v>
      </c>
      <c r="C1741">
        <v>5.7549999999999999</v>
      </c>
      <c r="D1741" t="s">
        <v>303</v>
      </c>
      <c r="E1741" t="s">
        <v>910</v>
      </c>
      <c r="F1741" t="s">
        <v>910</v>
      </c>
      <c r="J1741">
        <v>5.7549999999999999</v>
      </c>
      <c r="K1741">
        <v>5.7549999999999999</v>
      </c>
      <c r="L1741" t="s">
        <v>303</v>
      </c>
      <c r="M1741">
        <v>5.7549999999999999</v>
      </c>
      <c r="N1741">
        <v>5.7549999999999999</v>
      </c>
      <c r="O1741" t="s">
        <v>303</v>
      </c>
      <c r="P1741">
        <f t="shared" si="27"/>
        <v>0</v>
      </c>
    </row>
    <row r="1742" spans="1:16" x14ac:dyDescent="0.25">
      <c r="A1742" t="s">
        <v>669</v>
      </c>
      <c r="B1742">
        <v>5.34</v>
      </c>
      <c r="C1742">
        <v>5.76</v>
      </c>
      <c r="D1742" t="s">
        <v>303</v>
      </c>
      <c r="E1742" t="s">
        <v>910</v>
      </c>
      <c r="F1742" t="s">
        <v>910</v>
      </c>
      <c r="J1742">
        <v>5.76</v>
      </c>
      <c r="K1742">
        <v>5.34</v>
      </c>
      <c r="L1742" t="s">
        <v>303</v>
      </c>
      <c r="M1742">
        <v>5.76</v>
      </c>
      <c r="N1742">
        <v>5.34</v>
      </c>
      <c r="O1742" t="s">
        <v>303</v>
      </c>
      <c r="P1742">
        <f t="shared" si="27"/>
        <v>0</v>
      </c>
    </row>
    <row r="1743" spans="1:16" x14ac:dyDescent="0.25">
      <c r="A1743" t="s">
        <v>669</v>
      </c>
      <c r="B1743">
        <v>5.774</v>
      </c>
      <c r="C1743">
        <v>5.774</v>
      </c>
      <c r="D1743" t="s">
        <v>303</v>
      </c>
      <c r="E1743" t="s">
        <v>910</v>
      </c>
      <c r="F1743" t="s">
        <v>910</v>
      </c>
      <c r="J1743">
        <v>5.774</v>
      </c>
      <c r="K1743">
        <v>5.774</v>
      </c>
      <c r="L1743" t="s">
        <v>303</v>
      </c>
      <c r="M1743">
        <v>5.774</v>
      </c>
      <c r="N1743">
        <v>5.774</v>
      </c>
      <c r="O1743" t="s">
        <v>303</v>
      </c>
      <c r="P1743">
        <f t="shared" si="27"/>
        <v>0</v>
      </c>
    </row>
    <row r="1744" spans="1:16" x14ac:dyDescent="0.25">
      <c r="A1744" t="s">
        <v>669</v>
      </c>
      <c r="B1744">
        <v>5.7930000000000001</v>
      </c>
      <c r="C1744">
        <v>5.7930000000000001</v>
      </c>
      <c r="D1744" t="s">
        <v>303</v>
      </c>
      <c r="E1744" t="s">
        <v>910</v>
      </c>
      <c r="F1744" t="s">
        <v>910</v>
      </c>
      <c r="J1744">
        <v>5.7930000000000001</v>
      </c>
      <c r="K1744">
        <v>5.7930000000000001</v>
      </c>
      <c r="L1744" t="s">
        <v>303</v>
      </c>
      <c r="M1744">
        <v>5.7930000000000001</v>
      </c>
      <c r="N1744">
        <v>5.7930000000000001</v>
      </c>
      <c r="O1744" t="s">
        <v>303</v>
      </c>
      <c r="P1744">
        <f t="shared" si="27"/>
        <v>0</v>
      </c>
    </row>
    <row r="1745" spans="1:16" x14ac:dyDescent="0.25">
      <c r="A1745" t="s">
        <v>669</v>
      </c>
      <c r="B1745">
        <v>5.8</v>
      </c>
      <c r="C1745">
        <v>5.8</v>
      </c>
      <c r="D1745" t="s">
        <v>303</v>
      </c>
      <c r="E1745" t="s">
        <v>910</v>
      </c>
      <c r="F1745" t="s">
        <v>910</v>
      </c>
      <c r="J1745">
        <v>5.8</v>
      </c>
      <c r="K1745">
        <v>5.8</v>
      </c>
      <c r="L1745" t="s">
        <v>303</v>
      </c>
      <c r="M1745">
        <v>5.8</v>
      </c>
      <c r="N1745">
        <v>5.8</v>
      </c>
      <c r="O1745" t="s">
        <v>303</v>
      </c>
      <c r="P1745">
        <f t="shared" si="27"/>
        <v>0</v>
      </c>
    </row>
    <row r="1746" spans="1:16" x14ac:dyDescent="0.25">
      <c r="A1746" t="s">
        <v>669</v>
      </c>
      <c r="B1746">
        <v>5.8</v>
      </c>
      <c r="C1746">
        <v>5.8</v>
      </c>
      <c r="D1746" t="s">
        <v>860</v>
      </c>
      <c r="E1746" t="s">
        <v>910</v>
      </c>
      <c r="F1746" t="s">
        <v>910</v>
      </c>
      <c r="J1746">
        <v>5.8</v>
      </c>
      <c r="K1746">
        <v>5.8</v>
      </c>
      <c r="L1746" t="s">
        <v>303</v>
      </c>
      <c r="M1746">
        <v>5.8</v>
      </c>
      <c r="N1746">
        <v>5.8</v>
      </c>
      <c r="O1746" t="s">
        <v>303</v>
      </c>
      <c r="P1746">
        <f t="shared" si="27"/>
        <v>0</v>
      </c>
    </row>
    <row r="1747" spans="1:16" x14ac:dyDescent="0.25">
      <c r="A1747" t="s">
        <v>669</v>
      </c>
      <c r="B1747">
        <v>5.8109999999999999</v>
      </c>
      <c r="C1747">
        <v>5.8109999999999999</v>
      </c>
      <c r="D1747" t="s">
        <v>303</v>
      </c>
      <c r="E1747" t="s">
        <v>910</v>
      </c>
      <c r="F1747" t="s">
        <v>910</v>
      </c>
      <c r="J1747">
        <v>5.8109999999999999</v>
      </c>
      <c r="K1747">
        <v>5.8109999999999999</v>
      </c>
      <c r="L1747" t="s">
        <v>303</v>
      </c>
      <c r="M1747">
        <v>5.8109999999999999</v>
      </c>
      <c r="N1747">
        <v>5.8109999999999999</v>
      </c>
      <c r="O1747" t="s">
        <v>303</v>
      </c>
      <c r="P1747">
        <f t="shared" si="27"/>
        <v>0</v>
      </c>
    </row>
    <row r="1748" spans="1:16" x14ac:dyDescent="0.25">
      <c r="A1748" t="s">
        <v>669</v>
      </c>
      <c r="B1748">
        <v>5.82</v>
      </c>
      <c r="C1748">
        <v>5.82</v>
      </c>
      <c r="D1748" t="s">
        <v>303</v>
      </c>
      <c r="E1748" t="s">
        <v>910</v>
      </c>
      <c r="F1748" t="s">
        <v>910</v>
      </c>
      <c r="J1748">
        <v>5.82</v>
      </c>
      <c r="K1748">
        <v>5.82</v>
      </c>
      <c r="L1748" t="s">
        <v>303</v>
      </c>
      <c r="M1748">
        <v>5.82</v>
      </c>
      <c r="N1748">
        <v>5.82</v>
      </c>
      <c r="O1748" t="s">
        <v>303</v>
      </c>
      <c r="P1748">
        <f t="shared" si="27"/>
        <v>0</v>
      </c>
    </row>
    <row r="1749" spans="1:16" x14ac:dyDescent="0.25">
      <c r="A1749" t="s">
        <v>669</v>
      </c>
      <c r="B1749">
        <v>125</v>
      </c>
      <c r="C1749" t="s">
        <v>669</v>
      </c>
      <c r="D1749" t="s">
        <v>857</v>
      </c>
      <c r="E1749" t="s">
        <v>910</v>
      </c>
      <c r="F1749">
        <v>5</v>
      </c>
      <c r="H1749" t="s">
        <v>684</v>
      </c>
      <c r="I1749" t="s">
        <v>932</v>
      </c>
      <c r="K1749">
        <v>125</v>
      </c>
      <c r="L1749" t="s">
        <v>920</v>
      </c>
      <c r="N1749">
        <v>125</v>
      </c>
      <c r="O1749" t="s">
        <v>857</v>
      </c>
      <c r="P1749">
        <f t="shared" si="27"/>
        <v>27</v>
      </c>
    </row>
    <row r="1750" spans="1:16" x14ac:dyDescent="0.25">
      <c r="A1750" t="s">
        <v>669</v>
      </c>
      <c r="B1750">
        <v>5.83</v>
      </c>
      <c r="C1750">
        <v>5.83</v>
      </c>
      <c r="D1750" t="s">
        <v>303</v>
      </c>
      <c r="E1750" t="s">
        <v>910</v>
      </c>
      <c r="F1750" t="s">
        <v>910</v>
      </c>
      <c r="J1750">
        <v>5.83</v>
      </c>
      <c r="K1750">
        <v>5.83</v>
      </c>
      <c r="L1750" t="s">
        <v>303</v>
      </c>
      <c r="M1750">
        <v>5.83</v>
      </c>
      <c r="N1750">
        <v>5.83</v>
      </c>
      <c r="O1750" t="s">
        <v>303</v>
      </c>
      <c r="P1750">
        <f t="shared" si="27"/>
        <v>0</v>
      </c>
    </row>
    <row r="1751" spans="1:16" x14ac:dyDescent="0.25">
      <c r="A1751" t="s">
        <v>669</v>
      </c>
      <c r="B1751">
        <v>5.85</v>
      </c>
      <c r="C1751">
        <v>5.85</v>
      </c>
      <c r="D1751" t="s">
        <v>303</v>
      </c>
      <c r="E1751" t="s">
        <v>910</v>
      </c>
      <c r="F1751" t="s">
        <v>910</v>
      </c>
      <c r="J1751">
        <v>5.85</v>
      </c>
      <c r="K1751">
        <v>5.85</v>
      </c>
      <c r="L1751" t="s">
        <v>303</v>
      </c>
      <c r="M1751">
        <v>5.85</v>
      </c>
      <c r="N1751">
        <v>5.85</v>
      </c>
      <c r="O1751" t="s">
        <v>303</v>
      </c>
      <c r="P1751">
        <f t="shared" si="27"/>
        <v>0</v>
      </c>
    </row>
    <row r="1752" spans="1:16" x14ac:dyDescent="0.25">
      <c r="A1752" t="s">
        <v>669</v>
      </c>
      <c r="B1752">
        <v>5.85</v>
      </c>
      <c r="C1752">
        <v>5.85</v>
      </c>
      <c r="D1752" t="s">
        <v>860</v>
      </c>
      <c r="E1752" t="s">
        <v>910</v>
      </c>
      <c r="F1752" t="s">
        <v>910</v>
      </c>
      <c r="J1752">
        <v>5.85</v>
      </c>
      <c r="K1752">
        <v>5.85</v>
      </c>
      <c r="L1752" t="s">
        <v>303</v>
      </c>
      <c r="M1752">
        <v>5.85</v>
      </c>
      <c r="N1752">
        <v>5.85</v>
      </c>
      <c r="O1752" t="s">
        <v>303</v>
      </c>
      <c r="P1752">
        <f t="shared" si="27"/>
        <v>0</v>
      </c>
    </row>
    <row r="1753" spans="1:16" x14ac:dyDescent="0.25">
      <c r="A1753" t="s">
        <v>669</v>
      </c>
      <c r="B1753">
        <v>5.87</v>
      </c>
      <c r="C1753">
        <v>5.87</v>
      </c>
      <c r="D1753" t="s">
        <v>303</v>
      </c>
      <c r="E1753" t="s">
        <v>910</v>
      </c>
      <c r="F1753" t="s">
        <v>910</v>
      </c>
      <c r="J1753">
        <v>5.87</v>
      </c>
      <c r="K1753">
        <v>5.87</v>
      </c>
      <c r="L1753" t="s">
        <v>303</v>
      </c>
      <c r="M1753">
        <v>5.87</v>
      </c>
      <c r="N1753">
        <v>5.87</v>
      </c>
      <c r="O1753" t="s">
        <v>303</v>
      </c>
      <c r="P1753">
        <f t="shared" si="27"/>
        <v>0</v>
      </c>
    </row>
    <row r="1754" spans="1:16" x14ac:dyDescent="0.25">
      <c r="A1754" t="s">
        <v>669</v>
      </c>
      <c r="B1754">
        <v>5.8929999999999998</v>
      </c>
      <c r="C1754">
        <v>5.8929999999999998</v>
      </c>
      <c r="D1754" t="s">
        <v>303</v>
      </c>
      <c r="E1754" t="s">
        <v>910</v>
      </c>
      <c r="F1754" t="s">
        <v>910</v>
      </c>
      <c r="J1754">
        <v>5.8929999999999998</v>
      </c>
      <c r="K1754">
        <v>5.8929999999999998</v>
      </c>
      <c r="L1754" t="s">
        <v>303</v>
      </c>
      <c r="M1754">
        <v>5.8929999999999998</v>
      </c>
      <c r="N1754">
        <v>5.8929999999999998</v>
      </c>
      <c r="O1754" t="s">
        <v>303</v>
      </c>
      <c r="P1754">
        <f t="shared" si="27"/>
        <v>0</v>
      </c>
    </row>
    <row r="1755" spans="1:16" x14ac:dyDescent="0.25">
      <c r="A1755" t="s">
        <v>669</v>
      </c>
      <c r="B1755">
        <v>5.9169999999999998</v>
      </c>
      <c r="C1755">
        <v>5.9169999999999998</v>
      </c>
      <c r="D1755" t="s">
        <v>303</v>
      </c>
      <c r="E1755" t="s">
        <v>910</v>
      </c>
      <c r="F1755" t="s">
        <v>910</v>
      </c>
      <c r="J1755">
        <v>5.9169999999999998</v>
      </c>
      <c r="K1755">
        <v>5.9169999999999998</v>
      </c>
      <c r="L1755" t="s">
        <v>303</v>
      </c>
      <c r="M1755">
        <v>5.9169999999999998</v>
      </c>
      <c r="N1755">
        <v>5.9169999999999998</v>
      </c>
      <c r="O1755" t="s">
        <v>303</v>
      </c>
      <c r="P1755">
        <f t="shared" si="27"/>
        <v>0</v>
      </c>
    </row>
    <row r="1756" spans="1:16" x14ac:dyDescent="0.25">
      <c r="A1756" t="s">
        <v>669</v>
      </c>
      <c r="B1756">
        <v>5.92</v>
      </c>
      <c r="C1756">
        <v>5.92</v>
      </c>
      <c r="D1756" t="s">
        <v>303</v>
      </c>
      <c r="E1756" t="s">
        <v>910</v>
      </c>
      <c r="F1756" t="s">
        <v>910</v>
      </c>
      <c r="J1756">
        <v>5.92</v>
      </c>
      <c r="K1756">
        <v>5.92</v>
      </c>
      <c r="L1756" t="s">
        <v>303</v>
      </c>
      <c r="M1756">
        <v>5.92</v>
      </c>
      <c r="N1756">
        <v>5.92</v>
      </c>
      <c r="O1756" t="s">
        <v>303</v>
      </c>
      <c r="P1756">
        <f t="shared" si="27"/>
        <v>0</v>
      </c>
    </row>
    <row r="1757" spans="1:16" x14ac:dyDescent="0.25">
      <c r="A1757" t="s">
        <v>669</v>
      </c>
      <c r="B1757">
        <v>5.9420000000000002</v>
      </c>
      <c r="C1757">
        <v>5.9420000000000002</v>
      </c>
      <c r="D1757" t="s">
        <v>303</v>
      </c>
      <c r="E1757" t="s">
        <v>910</v>
      </c>
      <c r="F1757" t="s">
        <v>910</v>
      </c>
      <c r="J1757">
        <v>5.9420000000000002</v>
      </c>
      <c r="K1757">
        <v>5.9420000000000002</v>
      </c>
      <c r="L1757" t="s">
        <v>303</v>
      </c>
      <c r="M1757">
        <v>5.9420000000000002</v>
      </c>
      <c r="N1757">
        <v>5.9420000000000002</v>
      </c>
      <c r="O1757" t="s">
        <v>303</v>
      </c>
      <c r="P1757">
        <f t="shared" si="27"/>
        <v>0</v>
      </c>
    </row>
    <row r="1758" spans="1:16" x14ac:dyDescent="0.25">
      <c r="A1758" t="s">
        <v>669</v>
      </c>
      <c r="B1758">
        <v>5.9939999999999998</v>
      </c>
      <c r="C1758">
        <v>5.9939999999999998</v>
      </c>
      <c r="D1758" t="s">
        <v>303</v>
      </c>
      <c r="E1758" t="s">
        <v>910</v>
      </c>
      <c r="F1758" t="s">
        <v>910</v>
      </c>
      <c r="J1758">
        <v>5.9939999999999998</v>
      </c>
      <c r="K1758">
        <v>5.9939999999999998</v>
      </c>
      <c r="L1758" t="s">
        <v>303</v>
      </c>
      <c r="M1758">
        <v>5.9939999999999998</v>
      </c>
      <c r="N1758">
        <v>5.9939999999999998</v>
      </c>
      <c r="O1758" t="s">
        <v>303</v>
      </c>
      <c r="P1758">
        <f t="shared" si="27"/>
        <v>0</v>
      </c>
    </row>
    <row r="1759" spans="1:16" x14ac:dyDescent="0.25">
      <c r="A1759" t="s">
        <v>669</v>
      </c>
      <c r="B1759">
        <v>4</v>
      </c>
      <c r="C1759">
        <v>6</v>
      </c>
      <c r="D1759" t="s">
        <v>303</v>
      </c>
      <c r="E1759" t="s">
        <v>910</v>
      </c>
      <c r="F1759" t="s">
        <v>910</v>
      </c>
      <c r="J1759">
        <v>6</v>
      </c>
      <c r="K1759">
        <v>4</v>
      </c>
      <c r="L1759" t="s">
        <v>303</v>
      </c>
      <c r="M1759">
        <v>6</v>
      </c>
      <c r="N1759">
        <v>4</v>
      </c>
      <c r="O1759" t="s">
        <v>303</v>
      </c>
      <c r="P1759">
        <f t="shared" si="27"/>
        <v>0</v>
      </c>
    </row>
    <row r="1760" spans="1:16" x14ac:dyDescent="0.25">
      <c r="A1760" t="s">
        <v>669</v>
      </c>
      <c r="B1760">
        <v>4</v>
      </c>
      <c r="C1760">
        <v>6</v>
      </c>
      <c r="D1760" t="s">
        <v>669</v>
      </c>
      <c r="E1760" t="s">
        <v>910</v>
      </c>
      <c r="F1760" t="s">
        <v>910</v>
      </c>
      <c r="I1760" t="s">
        <v>927</v>
      </c>
      <c r="J1760">
        <v>6</v>
      </c>
      <c r="K1760">
        <v>4</v>
      </c>
      <c r="L1760" t="s">
        <v>930</v>
      </c>
      <c r="M1760">
        <v>6</v>
      </c>
      <c r="N1760">
        <v>4</v>
      </c>
      <c r="P1760">
        <f t="shared" si="27"/>
        <v>14</v>
      </c>
    </row>
    <row r="1761" spans="1:16" x14ac:dyDescent="0.25">
      <c r="A1761" t="s">
        <v>669</v>
      </c>
      <c r="B1761">
        <v>6.01</v>
      </c>
      <c r="C1761">
        <v>6.01</v>
      </c>
      <c r="D1761" t="s">
        <v>303</v>
      </c>
      <c r="E1761" t="s">
        <v>910</v>
      </c>
      <c r="F1761" t="s">
        <v>910</v>
      </c>
      <c r="J1761">
        <v>6.01</v>
      </c>
      <c r="K1761">
        <v>6.01</v>
      </c>
      <c r="L1761" t="s">
        <v>303</v>
      </c>
      <c r="M1761">
        <v>6.01</v>
      </c>
      <c r="N1761">
        <v>6.01</v>
      </c>
      <c r="O1761" t="s">
        <v>303</v>
      </c>
      <c r="P1761">
        <f t="shared" si="27"/>
        <v>0</v>
      </c>
    </row>
    <row r="1762" spans="1:16" x14ac:dyDescent="0.25">
      <c r="A1762" t="s">
        <v>669</v>
      </c>
      <c r="B1762">
        <v>6.04</v>
      </c>
      <c r="C1762">
        <v>6.04</v>
      </c>
      <c r="D1762" t="s">
        <v>303</v>
      </c>
      <c r="E1762" t="s">
        <v>910</v>
      </c>
      <c r="F1762" t="s">
        <v>910</v>
      </c>
      <c r="J1762">
        <v>6.04</v>
      </c>
      <c r="K1762">
        <v>6.04</v>
      </c>
      <c r="L1762" t="s">
        <v>303</v>
      </c>
      <c r="M1762">
        <v>6.04</v>
      </c>
      <c r="N1762">
        <v>6.04</v>
      </c>
      <c r="O1762" t="s">
        <v>303</v>
      </c>
      <c r="P1762">
        <f t="shared" si="27"/>
        <v>0</v>
      </c>
    </row>
    <row r="1763" spans="1:16" x14ac:dyDescent="0.25">
      <c r="A1763" t="s">
        <v>669</v>
      </c>
      <c r="B1763" t="s">
        <v>669</v>
      </c>
      <c r="C1763">
        <v>6.05</v>
      </c>
      <c r="D1763" t="s">
        <v>303</v>
      </c>
      <c r="E1763" t="s">
        <v>910</v>
      </c>
      <c r="F1763" t="s">
        <v>910</v>
      </c>
      <c r="J1763">
        <v>6.05</v>
      </c>
      <c r="L1763" t="s">
        <v>303</v>
      </c>
      <c r="M1763">
        <v>6.05</v>
      </c>
      <c r="O1763" t="s">
        <v>303</v>
      </c>
      <c r="P1763">
        <f t="shared" si="27"/>
        <v>0</v>
      </c>
    </row>
    <row r="1764" spans="1:16" x14ac:dyDescent="0.25">
      <c r="A1764" t="s">
        <v>669</v>
      </c>
      <c r="B1764">
        <v>6.0876000000000001</v>
      </c>
      <c r="C1764">
        <v>6.0876000000000001</v>
      </c>
      <c r="D1764" t="s">
        <v>303</v>
      </c>
      <c r="E1764" t="s">
        <v>910</v>
      </c>
      <c r="F1764" t="s">
        <v>910</v>
      </c>
      <c r="J1764">
        <v>6.0876000000000001</v>
      </c>
      <c r="K1764">
        <v>6.0876000000000001</v>
      </c>
      <c r="L1764" t="s">
        <v>303</v>
      </c>
      <c r="M1764">
        <v>6.0876000000000001</v>
      </c>
      <c r="N1764">
        <v>6.0876000000000001</v>
      </c>
      <c r="O1764" t="s">
        <v>303</v>
      </c>
      <c r="P1764">
        <f t="shared" si="27"/>
        <v>0</v>
      </c>
    </row>
    <row r="1765" spans="1:16" x14ac:dyDescent="0.25">
      <c r="A1765" t="s">
        <v>669</v>
      </c>
      <c r="B1765">
        <v>6.0888999999999998</v>
      </c>
      <c r="C1765">
        <v>6.0888999999999998</v>
      </c>
      <c r="D1765" t="s">
        <v>303</v>
      </c>
      <c r="E1765" t="s">
        <v>910</v>
      </c>
      <c r="F1765" t="s">
        <v>910</v>
      </c>
      <c r="J1765">
        <v>6.0888999999999998</v>
      </c>
      <c r="K1765">
        <v>6.0888999999999998</v>
      </c>
      <c r="L1765" t="s">
        <v>303</v>
      </c>
      <c r="M1765">
        <v>6.0888999999999998</v>
      </c>
      <c r="N1765">
        <v>6.0888999999999998</v>
      </c>
      <c r="O1765" t="s">
        <v>303</v>
      </c>
      <c r="P1765">
        <f t="shared" si="27"/>
        <v>0</v>
      </c>
    </row>
    <row r="1766" spans="1:16" x14ac:dyDescent="0.25">
      <c r="A1766" t="s">
        <v>669</v>
      </c>
      <c r="B1766">
        <v>6.1</v>
      </c>
      <c r="C1766">
        <v>6.1</v>
      </c>
      <c r="D1766" t="s">
        <v>303</v>
      </c>
      <c r="E1766" t="s">
        <v>910</v>
      </c>
      <c r="F1766" t="s">
        <v>910</v>
      </c>
      <c r="J1766">
        <v>6.1</v>
      </c>
      <c r="K1766">
        <v>6.1</v>
      </c>
      <c r="L1766" t="s">
        <v>303</v>
      </c>
      <c r="M1766">
        <v>6.1</v>
      </c>
      <c r="N1766">
        <v>6.1</v>
      </c>
      <c r="O1766" t="s">
        <v>303</v>
      </c>
      <c r="P1766">
        <f t="shared" si="27"/>
        <v>0</v>
      </c>
    </row>
    <row r="1767" spans="1:16" x14ac:dyDescent="0.25">
      <c r="A1767" t="s">
        <v>669</v>
      </c>
      <c r="B1767">
        <v>6.1041999999999996</v>
      </c>
      <c r="C1767">
        <v>6.1041999999999996</v>
      </c>
      <c r="D1767" t="s">
        <v>303</v>
      </c>
      <c r="E1767" t="s">
        <v>910</v>
      </c>
      <c r="F1767" t="s">
        <v>910</v>
      </c>
      <c r="J1767">
        <v>6.1041999999999996</v>
      </c>
      <c r="K1767">
        <v>6.1041999999999996</v>
      </c>
      <c r="L1767" t="s">
        <v>303</v>
      </c>
      <c r="M1767">
        <v>6.1041999999999996</v>
      </c>
      <c r="N1767">
        <v>6.1041999999999996</v>
      </c>
      <c r="O1767" t="s">
        <v>303</v>
      </c>
      <c r="P1767">
        <f t="shared" si="27"/>
        <v>0</v>
      </c>
    </row>
    <row r="1768" spans="1:16" x14ac:dyDescent="0.25">
      <c r="A1768" t="s">
        <v>669</v>
      </c>
      <c r="B1768">
        <v>6.1265999999999998</v>
      </c>
      <c r="C1768">
        <v>6.1265999999999998</v>
      </c>
      <c r="D1768" t="s">
        <v>303</v>
      </c>
      <c r="E1768" t="s">
        <v>910</v>
      </c>
      <c r="F1768" t="s">
        <v>910</v>
      </c>
      <c r="J1768">
        <v>6.1265999999999998</v>
      </c>
      <c r="K1768">
        <v>6.1265999999999998</v>
      </c>
      <c r="L1768" t="s">
        <v>303</v>
      </c>
      <c r="M1768">
        <v>6.1265999999999998</v>
      </c>
      <c r="N1768">
        <v>6.1265999999999998</v>
      </c>
      <c r="O1768" t="s">
        <v>303</v>
      </c>
      <c r="P1768">
        <f t="shared" si="27"/>
        <v>0</v>
      </c>
    </row>
    <row r="1769" spans="1:16" x14ac:dyDescent="0.25">
      <c r="A1769" t="s">
        <v>669</v>
      </c>
      <c r="B1769">
        <v>6.15</v>
      </c>
      <c r="C1769">
        <v>6.15</v>
      </c>
      <c r="D1769" t="s">
        <v>303</v>
      </c>
      <c r="E1769" t="s">
        <v>910</v>
      </c>
      <c r="F1769" t="s">
        <v>910</v>
      </c>
      <c r="J1769">
        <v>6.15</v>
      </c>
      <c r="K1769">
        <v>6.15</v>
      </c>
      <c r="L1769" t="s">
        <v>303</v>
      </c>
      <c r="M1769">
        <v>6.15</v>
      </c>
      <c r="N1769">
        <v>6.15</v>
      </c>
      <c r="O1769" t="s">
        <v>303</v>
      </c>
      <c r="P1769">
        <f t="shared" si="27"/>
        <v>0</v>
      </c>
    </row>
    <row r="1770" spans="1:16" x14ac:dyDescent="0.25">
      <c r="A1770" t="s">
        <v>669</v>
      </c>
      <c r="B1770">
        <v>6.1753999999999998</v>
      </c>
      <c r="C1770">
        <v>6.1753999999999998</v>
      </c>
      <c r="D1770" t="s">
        <v>303</v>
      </c>
      <c r="E1770" t="s">
        <v>910</v>
      </c>
      <c r="F1770" t="s">
        <v>910</v>
      </c>
      <c r="J1770">
        <v>6.1753999999999998</v>
      </c>
      <c r="K1770">
        <v>6.1753999999999998</v>
      </c>
      <c r="L1770" t="s">
        <v>303</v>
      </c>
      <c r="M1770">
        <v>6.1753999999999998</v>
      </c>
      <c r="N1770">
        <v>6.1753999999999998</v>
      </c>
      <c r="O1770" t="s">
        <v>303</v>
      </c>
      <c r="P1770">
        <f t="shared" si="27"/>
        <v>0</v>
      </c>
    </row>
    <row r="1771" spans="1:16" x14ac:dyDescent="0.25">
      <c r="A1771" t="s">
        <v>669</v>
      </c>
      <c r="B1771">
        <v>6.19</v>
      </c>
      <c r="C1771">
        <v>6.19</v>
      </c>
      <c r="D1771" t="s">
        <v>303</v>
      </c>
      <c r="E1771" t="s">
        <v>910</v>
      </c>
      <c r="F1771" t="s">
        <v>910</v>
      </c>
      <c r="J1771">
        <v>6.19</v>
      </c>
      <c r="K1771">
        <v>6.19</v>
      </c>
      <c r="L1771" t="s">
        <v>303</v>
      </c>
      <c r="M1771">
        <v>6.19</v>
      </c>
      <c r="N1771">
        <v>6.19</v>
      </c>
      <c r="O1771" t="s">
        <v>303</v>
      </c>
      <c r="P1771">
        <f t="shared" si="27"/>
        <v>0</v>
      </c>
    </row>
    <row r="1772" spans="1:16" x14ac:dyDescent="0.25">
      <c r="A1772" t="s">
        <v>669</v>
      </c>
      <c r="B1772">
        <v>2.5</v>
      </c>
      <c r="C1772">
        <v>6.4</v>
      </c>
      <c r="D1772" t="s">
        <v>303</v>
      </c>
      <c r="E1772" t="s">
        <v>910</v>
      </c>
      <c r="F1772" t="s">
        <v>910</v>
      </c>
      <c r="J1772">
        <v>6.4</v>
      </c>
      <c r="K1772">
        <v>2.5</v>
      </c>
      <c r="L1772" t="s">
        <v>303</v>
      </c>
      <c r="M1772">
        <v>6.4</v>
      </c>
      <c r="N1772">
        <v>2.5</v>
      </c>
      <c r="O1772" t="s">
        <v>303</v>
      </c>
      <c r="P1772">
        <f t="shared" si="27"/>
        <v>0</v>
      </c>
    </row>
    <row r="1773" spans="1:16" x14ac:dyDescent="0.25">
      <c r="A1773" t="s">
        <v>669</v>
      </c>
      <c r="B1773">
        <v>6.5</v>
      </c>
      <c r="C1773">
        <v>6.5</v>
      </c>
      <c r="D1773" t="s">
        <v>860</v>
      </c>
      <c r="E1773" t="s">
        <v>910</v>
      </c>
      <c r="F1773" t="s">
        <v>910</v>
      </c>
      <c r="J1773">
        <v>6.5</v>
      </c>
      <c r="K1773">
        <v>6.5</v>
      </c>
      <c r="L1773" t="s">
        <v>303</v>
      </c>
      <c r="M1773">
        <v>6.5</v>
      </c>
      <c r="N1773">
        <v>6.5</v>
      </c>
      <c r="O1773" t="s">
        <v>303</v>
      </c>
      <c r="P1773">
        <f t="shared" si="27"/>
        <v>0</v>
      </c>
    </row>
    <row r="1774" spans="1:16" x14ac:dyDescent="0.25">
      <c r="A1774" t="s">
        <v>669</v>
      </c>
      <c r="B1774">
        <v>6.49</v>
      </c>
      <c r="C1774">
        <v>6.51</v>
      </c>
      <c r="D1774" t="s">
        <v>303</v>
      </c>
      <c r="E1774" t="s">
        <v>910</v>
      </c>
      <c r="F1774" t="s">
        <v>910</v>
      </c>
      <c r="J1774">
        <v>6.51</v>
      </c>
      <c r="K1774">
        <v>6.49</v>
      </c>
      <c r="L1774" t="s">
        <v>303</v>
      </c>
      <c r="M1774">
        <v>6.51</v>
      </c>
      <c r="N1774">
        <v>6.49</v>
      </c>
      <c r="O1774" t="s">
        <v>303</v>
      </c>
      <c r="P1774">
        <f t="shared" si="27"/>
        <v>0</v>
      </c>
    </row>
    <row r="1775" spans="1:16" x14ac:dyDescent="0.25">
      <c r="A1775" t="s">
        <v>669</v>
      </c>
      <c r="B1775">
        <v>6.52</v>
      </c>
      <c r="C1775">
        <v>6.52</v>
      </c>
      <c r="D1775" t="s">
        <v>303</v>
      </c>
      <c r="E1775" t="s">
        <v>910</v>
      </c>
      <c r="F1775" t="s">
        <v>910</v>
      </c>
      <c r="J1775">
        <v>6.52</v>
      </c>
      <c r="K1775">
        <v>6.52</v>
      </c>
      <c r="L1775" t="s">
        <v>303</v>
      </c>
      <c r="M1775">
        <v>6.52</v>
      </c>
      <c r="N1775">
        <v>6.52</v>
      </c>
      <c r="O1775" t="s">
        <v>303</v>
      </c>
      <c r="P1775">
        <f t="shared" si="27"/>
        <v>0</v>
      </c>
    </row>
    <row r="1776" spans="1:16" x14ac:dyDescent="0.25">
      <c r="A1776" t="s">
        <v>375</v>
      </c>
      <c r="B1776">
        <v>6.4960000000000004</v>
      </c>
      <c r="C1776">
        <v>6.548</v>
      </c>
      <c r="D1776" t="s">
        <v>860</v>
      </c>
      <c r="E1776">
        <v>17</v>
      </c>
      <c r="F1776">
        <v>17</v>
      </c>
      <c r="G1776" t="s">
        <v>689</v>
      </c>
      <c r="H1776" t="s">
        <v>689</v>
      </c>
      <c r="J1776">
        <v>6.548</v>
      </c>
      <c r="K1776">
        <v>6.4960000000000004</v>
      </c>
      <c r="L1776" t="s">
        <v>303</v>
      </c>
      <c r="M1776">
        <v>6.548</v>
      </c>
      <c r="N1776">
        <v>6.4960000000000004</v>
      </c>
      <c r="O1776" t="s">
        <v>303</v>
      </c>
      <c r="P1776">
        <f t="shared" si="27"/>
        <v>0</v>
      </c>
    </row>
    <row r="1777" spans="1:16" x14ac:dyDescent="0.25">
      <c r="A1777" t="s">
        <v>669</v>
      </c>
      <c r="B1777">
        <v>5.6</v>
      </c>
      <c r="C1777">
        <v>6.6</v>
      </c>
      <c r="D1777" t="s">
        <v>303</v>
      </c>
      <c r="E1777" t="s">
        <v>910</v>
      </c>
      <c r="F1777" t="s">
        <v>910</v>
      </c>
      <c r="J1777">
        <v>6.6</v>
      </c>
      <c r="K1777">
        <v>5.6</v>
      </c>
      <c r="L1777" t="s">
        <v>303</v>
      </c>
      <c r="M1777">
        <v>6.6</v>
      </c>
      <c r="N1777">
        <v>5.6</v>
      </c>
      <c r="O1777" t="s">
        <v>303</v>
      </c>
      <c r="P1777">
        <f t="shared" si="27"/>
        <v>0</v>
      </c>
    </row>
    <row r="1778" spans="1:16" x14ac:dyDescent="0.25">
      <c r="A1778" t="s">
        <v>669</v>
      </c>
      <c r="B1778">
        <v>6.66</v>
      </c>
      <c r="C1778">
        <v>6.66</v>
      </c>
      <c r="D1778" t="s">
        <v>303</v>
      </c>
      <c r="E1778" t="s">
        <v>910</v>
      </c>
      <c r="F1778" t="s">
        <v>910</v>
      </c>
      <c r="J1778">
        <v>6.66</v>
      </c>
      <c r="K1778">
        <v>6.66</v>
      </c>
      <c r="L1778" t="s">
        <v>303</v>
      </c>
      <c r="M1778">
        <v>6.66</v>
      </c>
      <c r="N1778">
        <v>6.66</v>
      </c>
      <c r="O1778" t="s">
        <v>303</v>
      </c>
      <c r="P1778">
        <f t="shared" si="27"/>
        <v>0</v>
      </c>
    </row>
    <row r="1779" spans="1:16" x14ac:dyDescent="0.25">
      <c r="A1779" t="s">
        <v>669</v>
      </c>
      <c r="B1779">
        <v>6700000</v>
      </c>
      <c r="C1779">
        <v>6700000</v>
      </c>
      <c r="D1779" t="s">
        <v>857</v>
      </c>
      <c r="E1779" t="s">
        <v>910</v>
      </c>
      <c r="F1779" t="s">
        <v>910</v>
      </c>
      <c r="J1779">
        <v>6.7</v>
      </c>
      <c r="K1779">
        <v>6.7</v>
      </c>
      <c r="L1779" t="s">
        <v>303</v>
      </c>
      <c r="M1779">
        <v>6700000</v>
      </c>
      <c r="N1779">
        <v>6700000</v>
      </c>
      <c r="O1779" t="s">
        <v>303</v>
      </c>
      <c r="P1779">
        <f t="shared" si="27"/>
        <v>0</v>
      </c>
    </row>
    <row r="1780" spans="1:16" x14ac:dyDescent="0.25">
      <c r="A1780" t="s">
        <v>669</v>
      </c>
      <c r="B1780">
        <v>6.7327000000000004</v>
      </c>
      <c r="C1780">
        <v>6.7327000000000004</v>
      </c>
      <c r="D1780" t="s">
        <v>303</v>
      </c>
      <c r="E1780" t="s">
        <v>910</v>
      </c>
      <c r="F1780" t="s">
        <v>910</v>
      </c>
      <c r="J1780">
        <v>6.7327000000000004</v>
      </c>
      <c r="K1780">
        <v>6.7327000000000004</v>
      </c>
      <c r="L1780" t="s">
        <v>303</v>
      </c>
      <c r="M1780">
        <v>6.7327000000000004</v>
      </c>
      <c r="N1780">
        <v>6.7327000000000004</v>
      </c>
      <c r="O1780" t="s">
        <v>303</v>
      </c>
      <c r="P1780">
        <f t="shared" si="27"/>
        <v>0</v>
      </c>
    </row>
    <row r="1781" spans="1:16" x14ac:dyDescent="0.25">
      <c r="A1781" t="s">
        <v>669</v>
      </c>
      <c r="B1781">
        <v>6.75</v>
      </c>
      <c r="C1781">
        <v>6.75</v>
      </c>
      <c r="D1781" t="s">
        <v>303</v>
      </c>
      <c r="E1781" t="s">
        <v>910</v>
      </c>
      <c r="F1781" t="s">
        <v>910</v>
      </c>
      <c r="J1781">
        <v>6.75</v>
      </c>
      <c r="K1781">
        <v>6.75</v>
      </c>
      <c r="L1781" t="s">
        <v>303</v>
      </c>
      <c r="M1781">
        <v>6.75</v>
      </c>
      <c r="N1781">
        <v>6.75</v>
      </c>
      <c r="O1781" t="s">
        <v>303</v>
      </c>
      <c r="P1781">
        <f t="shared" si="27"/>
        <v>0</v>
      </c>
    </row>
    <row r="1782" spans="1:16" x14ac:dyDescent="0.25">
      <c r="A1782" t="s">
        <v>669</v>
      </c>
      <c r="B1782">
        <v>6.84</v>
      </c>
      <c r="C1782">
        <v>6.84</v>
      </c>
      <c r="D1782" t="s">
        <v>303</v>
      </c>
      <c r="E1782" t="s">
        <v>910</v>
      </c>
      <c r="F1782" t="s">
        <v>910</v>
      </c>
      <c r="J1782">
        <v>6.84</v>
      </c>
      <c r="K1782">
        <v>6.84</v>
      </c>
      <c r="L1782" t="s">
        <v>303</v>
      </c>
      <c r="M1782">
        <v>6.84</v>
      </c>
      <c r="N1782">
        <v>6.84</v>
      </c>
      <c r="O1782" t="s">
        <v>303</v>
      </c>
      <c r="P1782">
        <f t="shared" si="27"/>
        <v>0</v>
      </c>
    </row>
    <row r="1783" spans="1:16" x14ac:dyDescent="0.25">
      <c r="A1783">
        <v>5.3</v>
      </c>
      <c r="B1783">
        <v>4.0999999999999996</v>
      </c>
      <c r="C1783">
        <v>6.9</v>
      </c>
      <c r="D1783" t="s">
        <v>303</v>
      </c>
      <c r="E1783" t="s">
        <v>910</v>
      </c>
      <c r="F1783" t="s">
        <v>910</v>
      </c>
      <c r="J1783">
        <v>6.9</v>
      </c>
      <c r="K1783">
        <v>4.0999999999999996</v>
      </c>
      <c r="L1783" t="s">
        <v>303</v>
      </c>
      <c r="M1783">
        <v>6.9</v>
      </c>
      <c r="N1783">
        <v>4.0999999999999996</v>
      </c>
      <c r="O1783" t="s">
        <v>303</v>
      </c>
      <c r="P1783">
        <f t="shared" si="27"/>
        <v>0</v>
      </c>
    </row>
    <row r="1784" spans="1:16" x14ac:dyDescent="0.25">
      <c r="A1784" t="s">
        <v>669</v>
      </c>
      <c r="B1784">
        <v>6.5</v>
      </c>
      <c r="C1784">
        <v>7</v>
      </c>
      <c r="D1784" t="s">
        <v>860</v>
      </c>
      <c r="E1784" t="s">
        <v>910</v>
      </c>
      <c r="F1784" t="s">
        <v>910</v>
      </c>
      <c r="J1784">
        <v>7</v>
      </c>
      <c r="K1784">
        <v>6.5</v>
      </c>
      <c r="L1784" t="s">
        <v>303</v>
      </c>
      <c r="M1784">
        <v>7</v>
      </c>
      <c r="N1784">
        <v>6.5</v>
      </c>
      <c r="O1784" t="s">
        <v>303</v>
      </c>
      <c r="P1784">
        <f t="shared" si="27"/>
        <v>0</v>
      </c>
    </row>
    <row r="1785" spans="1:16" x14ac:dyDescent="0.25">
      <c r="A1785" t="s">
        <v>669</v>
      </c>
      <c r="B1785">
        <v>7</v>
      </c>
      <c r="C1785">
        <v>7</v>
      </c>
      <c r="D1785" t="s">
        <v>303</v>
      </c>
      <c r="E1785" t="s">
        <v>910</v>
      </c>
      <c r="F1785" t="s">
        <v>910</v>
      </c>
      <c r="J1785">
        <v>7</v>
      </c>
      <c r="K1785">
        <v>7</v>
      </c>
      <c r="L1785" t="s">
        <v>303</v>
      </c>
      <c r="M1785">
        <v>7</v>
      </c>
      <c r="N1785">
        <v>7</v>
      </c>
      <c r="O1785" t="s">
        <v>303</v>
      </c>
      <c r="P1785">
        <f t="shared" si="27"/>
        <v>0</v>
      </c>
    </row>
    <row r="1786" spans="1:16" x14ac:dyDescent="0.25">
      <c r="A1786" t="s">
        <v>669</v>
      </c>
      <c r="B1786">
        <v>7.12</v>
      </c>
      <c r="C1786">
        <v>7.12</v>
      </c>
      <c r="D1786" t="s">
        <v>303</v>
      </c>
      <c r="E1786" t="s">
        <v>910</v>
      </c>
      <c r="F1786" t="s">
        <v>910</v>
      </c>
      <c r="J1786">
        <v>7.12</v>
      </c>
      <c r="K1786">
        <v>7.12</v>
      </c>
      <c r="L1786" t="s">
        <v>303</v>
      </c>
      <c r="M1786">
        <v>7.12</v>
      </c>
      <c r="N1786">
        <v>7.12</v>
      </c>
      <c r="O1786" t="s">
        <v>303</v>
      </c>
      <c r="P1786">
        <f t="shared" si="27"/>
        <v>0</v>
      </c>
    </row>
    <row r="1787" spans="1:16" x14ac:dyDescent="0.25">
      <c r="A1787" t="s">
        <v>72</v>
      </c>
      <c r="B1787">
        <v>5.3</v>
      </c>
      <c r="C1787">
        <v>7.2</v>
      </c>
      <c r="D1787" t="s">
        <v>303</v>
      </c>
      <c r="E1787">
        <v>18</v>
      </c>
      <c r="F1787">
        <v>18</v>
      </c>
      <c r="G1787" t="s">
        <v>693</v>
      </c>
      <c r="H1787" t="s">
        <v>693</v>
      </c>
      <c r="J1787">
        <v>7.2</v>
      </c>
      <c r="K1787">
        <v>5.3</v>
      </c>
      <c r="L1787" t="s">
        <v>303</v>
      </c>
      <c r="M1787">
        <v>7.2</v>
      </c>
      <c r="N1787">
        <v>5.3</v>
      </c>
      <c r="O1787" t="s">
        <v>303</v>
      </c>
      <c r="P1787">
        <f t="shared" si="27"/>
        <v>0</v>
      </c>
    </row>
    <row r="1788" spans="1:16" x14ac:dyDescent="0.25">
      <c r="A1788" t="s">
        <v>669</v>
      </c>
      <c r="B1788">
        <v>7.22</v>
      </c>
      <c r="C1788">
        <v>7.22</v>
      </c>
      <c r="D1788" t="s">
        <v>303</v>
      </c>
      <c r="E1788" t="s">
        <v>910</v>
      </c>
      <c r="F1788" t="s">
        <v>910</v>
      </c>
      <c r="J1788">
        <v>7.22</v>
      </c>
      <c r="K1788">
        <v>7.22</v>
      </c>
      <c r="L1788" t="s">
        <v>303</v>
      </c>
      <c r="M1788">
        <v>7.22</v>
      </c>
      <c r="N1788">
        <v>7.22</v>
      </c>
      <c r="O1788" t="s">
        <v>303</v>
      </c>
      <c r="P1788">
        <f t="shared" si="27"/>
        <v>0</v>
      </c>
    </row>
    <row r="1789" spans="1:16" x14ac:dyDescent="0.25">
      <c r="A1789">
        <v>5.8</v>
      </c>
      <c r="B1789">
        <v>4.5999999999999996</v>
      </c>
      <c r="C1789">
        <v>7.3</v>
      </c>
      <c r="D1789" t="s">
        <v>303</v>
      </c>
      <c r="E1789" t="s">
        <v>910</v>
      </c>
      <c r="F1789" t="s">
        <v>910</v>
      </c>
      <c r="J1789">
        <v>7.3</v>
      </c>
      <c r="K1789">
        <v>4.5999999999999996</v>
      </c>
      <c r="L1789" t="s">
        <v>303</v>
      </c>
      <c r="M1789">
        <v>7.3</v>
      </c>
      <c r="N1789">
        <v>4.5999999999999996</v>
      </c>
      <c r="O1789" t="s">
        <v>303</v>
      </c>
      <c r="P1789">
        <f t="shared" si="27"/>
        <v>0</v>
      </c>
    </row>
    <row r="1790" spans="1:16" x14ac:dyDescent="0.25">
      <c r="A1790" t="s">
        <v>669</v>
      </c>
      <c r="B1790">
        <v>6.7</v>
      </c>
      <c r="C1790">
        <v>7.3</v>
      </c>
      <c r="D1790" t="s">
        <v>303</v>
      </c>
      <c r="E1790" t="s">
        <v>910</v>
      </c>
      <c r="F1790" t="s">
        <v>910</v>
      </c>
      <c r="J1790">
        <v>7.3</v>
      </c>
      <c r="K1790">
        <v>6.7</v>
      </c>
      <c r="L1790" t="s">
        <v>303</v>
      </c>
      <c r="M1790">
        <v>7.3</v>
      </c>
      <c r="N1790">
        <v>6.7</v>
      </c>
      <c r="O1790" t="s">
        <v>303</v>
      </c>
      <c r="P1790">
        <f t="shared" si="27"/>
        <v>0</v>
      </c>
    </row>
    <row r="1791" spans="1:16" x14ac:dyDescent="0.25">
      <c r="A1791" t="s">
        <v>260</v>
      </c>
      <c r="B1791">
        <v>7.1</v>
      </c>
      <c r="C1791">
        <v>7.3</v>
      </c>
      <c r="D1791" t="s">
        <v>303</v>
      </c>
      <c r="E1791">
        <v>19</v>
      </c>
      <c r="F1791">
        <v>18</v>
      </c>
      <c r="G1791" t="s">
        <v>800</v>
      </c>
      <c r="H1791" t="s">
        <v>693</v>
      </c>
      <c r="J1791">
        <v>7.3</v>
      </c>
      <c r="K1791">
        <v>7.1</v>
      </c>
      <c r="L1791" t="s">
        <v>303</v>
      </c>
      <c r="M1791">
        <v>7.3</v>
      </c>
      <c r="N1791">
        <v>7.1</v>
      </c>
      <c r="O1791" t="s">
        <v>303</v>
      </c>
      <c r="P1791">
        <f t="shared" si="27"/>
        <v>0</v>
      </c>
    </row>
    <row r="1792" spans="1:16" x14ac:dyDescent="0.25">
      <c r="A1792" t="s">
        <v>375</v>
      </c>
      <c r="B1792">
        <v>7.3</v>
      </c>
      <c r="C1792">
        <v>7.34</v>
      </c>
      <c r="D1792" t="s">
        <v>860</v>
      </c>
      <c r="E1792">
        <v>17</v>
      </c>
      <c r="F1792">
        <v>17</v>
      </c>
      <c r="G1792" t="s">
        <v>689</v>
      </c>
      <c r="H1792" t="s">
        <v>689</v>
      </c>
      <c r="J1792">
        <v>7.34</v>
      </c>
      <c r="K1792">
        <v>7.3</v>
      </c>
      <c r="L1792" t="s">
        <v>303</v>
      </c>
      <c r="M1792">
        <v>7.34</v>
      </c>
      <c r="N1792">
        <v>7.3</v>
      </c>
      <c r="O1792" t="s">
        <v>303</v>
      </c>
      <c r="P1792">
        <f t="shared" si="27"/>
        <v>0</v>
      </c>
    </row>
    <row r="1793" spans="1:16" x14ac:dyDescent="0.25">
      <c r="A1793" t="s">
        <v>669</v>
      </c>
      <c r="B1793">
        <v>7.3951000000000002</v>
      </c>
      <c r="C1793">
        <v>7.3951000000000002</v>
      </c>
      <c r="D1793" t="s">
        <v>303</v>
      </c>
      <c r="E1793" t="s">
        <v>910</v>
      </c>
      <c r="F1793" t="s">
        <v>910</v>
      </c>
      <c r="J1793">
        <v>7.3951000000000002</v>
      </c>
      <c r="K1793">
        <v>7.3951000000000002</v>
      </c>
      <c r="L1793" t="s">
        <v>303</v>
      </c>
      <c r="M1793">
        <v>7.3951000000000002</v>
      </c>
      <c r="N1793">
        <v>7.3951000000000002</v>
      </c>
      <c r="O1793" t="s">
        <v>303</v>
      </c>
      <c r="P1793">
        <f t="shared" si="27"/>
        <v>0</v>
      </c>
    </row>
    <row r="1794" spans="1:16" x14ac:dyDescent="0.25">
      <c r="A1794" t="s">
        <v>669</v>
      </c>
      <c r="B1794">
        <v>2.6</v>
      </c>
      <c r="C1794">
        <v>7.4</v>
      </c>
      <c r="D1794" t="s">
        <v>303</v>
      </c>
      <c r="E1794" t="s">
        <v>910</v>
      </c>
      <c r="F1794" t="s">
        <v>910</v>
      </c>
      <c r="J1794">
        <v>7.4</v>
      </c>
      <c r="K1794">
        <v>2.6</v>
      </c>
      <c r="L1794" t="s">
        <v>303</v>
      </c>
      <c r="M1794">
        <v>7.4</v>
      </c>
      <c r="N1794">
        <v>2.6</v>
      </c>
      <c r="O1794" t="s">
        <v>303</v>
      </c>
      <c r="P1794">
        <f t="shared" si="27"/>
        <v>0</v>
      </c>
    </row>
    <row r="1795" spans="1:16" x14ac:dyDescent="0.25">
      <c r="A1795" t="s">
        <v>669</v>
      </c>
      <c r="B1795" t="s">
        <v>669</v>
      </c>
      <c r="C1795">
        <v>7.4</v>
      </c>
      <c r="D1795" t="s">
        <v>303</v>
      </c>
      <c r="E1795" t="s">
        <v>910</v>
      </c>
      <c r="F1795" t="s">
        <v>910</v>
      </c>
      <c r="J1795">
        <v>7.4</v>
      </c>
      <c r="K1795">
        <v>7.4</v>
      </c>
      <c r="L1795" t="s">
        <v>303</v>
      </c>
      <c r="M1795">
        <v>7.4</v>
      </c>
      <c r="N1795">
        <v>7.4</v>
      </c>
      <c r="O1795" t="s">
        <v>303</v>
      </c>
      <c r="P1795">
        <f t="shared" ref="P1795:P1858" si="28">LEN(I1795)</f>
        <v>0</v>
      </c>
    </row>
    <row r="1796" spans="1:16" x14ac:dyDescent="0.25">
      <c r="A1796" t="s">
        <v>669</v>
      </c>
      <c r="B1796">
        <v>7.44</v>
      </c>
      <c r="C1796">
        <v>7.44</v>
      </c>
      <c r="D1796" t="s">
        <v>303</v>
      </c>
      <c r="E1796" t="s">
        <v>910</v>
      </c>
      <c r="F1796" t="s">
        <v>910</v>
      </c>
      <c r="J1796">
        <v>7.44</v>
      </c>
      <c r="K1796">
        <v>7.44</v>
      </c>
      <c r="L1796" t="s">
        <v>303</v>
      </c>
      <c r="M1796">
        <v>7.44</v>
      </c>
      <c r="N1796">
        <v>7.44</v>
      </c>
      <c r="O1796" t="s">
        <v>303</v>
      </c>
      <c r="P1796">
        <f t="shared" si="28"/>
        <v>0</v>
      </c>
    </row>
    <row r="1797" spans="1:16" x14ac:dyDescent="0.25">
      <c r="A1797">
        <v>5.3</v>
      </c>
      <c r="B1797">
        <v>3.7</v>
      </c>
      <c r="C1797">
        <v>7.5</v>
      </c>
      <c r="D1797" t="s">
        <v>303</v>
      </c>
      <c r="E1797" t="s">
        <v>910</v>
      </c>
      <c r="F1797" t="s">
        <v>910</v>
      </c>
      <c r="J1797">
        <v>7.5</v>
      </c>
      <c r="K1797">
        <v>3.7</v>
      </c>
      <c r="L1797" t="s">
        <v>303</v>
      </c>
      <c r="M1797">
        <v>7.5</v>
      </c>
      <c r="N1797">
        <v>3.7</v>
      </c>
      <c r="O1797" t="s">
        <v>303</v>
      </c>
      <c r="P1797">
        <f t="shared" si="28"/>
        <v>0</v>
      </c>
    </row>
    <row r="1798" spans="1:16" x14ac:dyDescent="0.25">
      <c r="A1798" t="s">
        <v>375</v>
      </c>
      <c r="B1798">
        <v>7.4560000000000004</v>
      </c>
      <c r="C1798">
        <v>7.5019999999999998</v>
      </c>
      <c r="D1798" t="s">
        <v>860</v>
      </c>
      <c r="E1798">
        <v>17</v>
      </c>
      <c r="F1798">
        <v>17</v>
      </c>
      <c r="G1798" t="s">
        <v>689</v>
      </c>
      <c r="H1798" t="s">
        <v>689</v>
      </c>
      <c r="J1798">
        <v>7.5019999999999998</v>
      </c>
      <c r="K1798">
        <v>7.4560000000000004</v>
      </c>
      <c r="L1798" t="s">
        <v>303</v>
      </c>
      <c r="M1798">
        <v>7.5019999999999998</v>
      </c>
      <c r="N1798">
        <v>7.4560000000000004</v>
      </c>
      <c r="O1798" t="s">
        <v>303</v>
      </c>
      <c r="P1798">
        <f t="shared" si="28"/>
        <v>0</v>
      </c>
    </row>
    <row r="1799" spans="1:16" x14ac:dyDescent="0.25">
      <c r="A1799" t="s">
        <v>669</v>
      </c>
      <c r="B1799">
        <v>7.7781000000000002</v>
      </c>
      <c r="C1799">
        <v>7.7781000000000002</v>
      </c>
      <c r="D1799" t="s">
        <v>303</v>
      </c>
      <c r="E1799" t="s">
        <v>910</v>
      </c>
      <c r="F1799" t="s">
        <v>910</v>
      </c>
      <c r="J1799">
        <v>7.7781000000000002</v>
      </c>
      <c r="K1799">
        <v>7.7781000000000002</v>
      </c>
      <c r="L1799" t="s">
        <v>303</v>
      </c>
      <c r="M1799">
        <v>7.7781000000000002</v>
      </c>
      <c r="N1799">
        <v>7.7781000000000002</v>
      </c>
      <c r="O1799" t="s">
        <v>303</v>
      </c>
      <c r="P1799">
        <f t="shared" si="28"/>
        <v>0</v>
      </c>
    </row>
    <row r="1800" spans="1:16" x14ac:dyDescent="0.25">
      <c r="A1800">
        <v>5.9</v>
      </c>
      <c r="B1800">
        <v>4.4000000000000004</v>
      </c>
      <c r="C1800">
        <v>7.8</v>
      </c>
      <c r="D1800" t="s">
        <v>303</v>
      </c>
      <c r="E1800" t="s">
        <v>910</v>
      </c>
      <c r="F1800" t="s">
        <v>910</v>
      </c>
      <c r="J1800">
        <v>7.8</v>
      </c>
      <c r="K1800">
        <v>4.4000000000000004</v>
      </c>
      <c r="L1800" t="s">
        <v>303</v>
      </c>
      <c r="M1800">
        <v>7.8</v>
      </c>
      <c r="N1800">
        <v>4.4000000000000004</v>
      </c>
      <c r="O1800" t="s">
        <v>303</v>
      </c>
      <c r="P1800">
        <f t="shared" si="28"/>
        <v>0</v>
      </c>
    </row>
    <row r="1801" spans="1:16" x14ac:dyDescent="0.25">
      <c r="A1801" t="s">
        <v>669</v>
      </c>
      <c r="B1801">
        <v>7.8326000000000002</v>
      </c>
      <c r="C1801">
        <v>7.8326000000000002</v>
      </c>
      <c r="D1801" t="s">
        <v>303</v>
      </c>
      <c r="E1801" t="s">
        <v>910</v>
      </c>
      <c r="F1801" t="s">
        <v>910</v>
      </c>
      <c r="J1801">
        <v>7.8326000000000002</v>
      </c>
      <c r="K1801">
        <v>7.8326000000000002</v>
      </c>
      <c r="L1801" t="s">
        <v>303</v>
      </c>
      <c r="M1801">
        <v>7.8326000000000002</v>
      </c>
      <c r="N1801">
        <v>7.8326000000000002</v>
      </c>
      <c r="O1801" t="s">
        <v>303</v>
      </c>
      <c r="P1801">
        <f t="shared" si="28"/>
        <v>0</v>
      </c>
    </row>
    <row r="1802" spans="1:16" x14ac:dyDescent="0.25">
      <c r="A1802" t="s">
        <v>669</v>
      </c>
      <c r="B1802">
        <v>7.84</v>
      </c>
      <c r="C1802">
        <v>7.84</v>
      </c>
      <c r="D1802" t="s">
        <v>303</v>
      </c>
      <c r="E1802" t="s">
        <v>910</v>
      </c>
      <c r="F1802" t="s">
        <v>910</v>
      </c>
      <c r="J1802">
        <v>7.84</v>
      </c>
      <c r="K1802">
        <v>7.84</v>
      </c>
      <c r="L1802" t="s">
        <v>303</v>
      </c>
      <c r="M1802">
        <v>7.84</v>
      </c>
      <c r="N1802">
        <v>7.84</v>
      </c>
      <c r="O1802" t="s">
        <v>303</v>
      </c>
      <c r="P1802">
        <f t="shared" si="28"/>
        <v>0</v>
      </c>
    </row>
    <row r="1803" spans="1:16" x14ac:dyDescent="0.25">
      <c r="A1803" t="s">
        <v>669</v>
      </c>
      <c r="B1803">
        <v>7.8579999999999997</v>
      </c>
      <c r="C1803">
        <v>7.8579999999999997</v>
      </c>
      <c r="D1803" t="s">
        <v>303</v>
      </c>
      <c r="E1803" t="s">
        <v>910</v>
      </c>
      <c r="F1803" t="s">
        <v>910</v>
      </c>
      <c r="J1803">
        <v>7.8579999999999997</v>
      </c>
      <c r="K1803">
        <v>7.8579999999999997</v>
      </c>
      <c r="L1803" t="s">
        <v>303</v>
      </c>
      <c r="M1803">
        <v>7.8579999999999997</v>
      </c>
      <c r="N1803">
        <v>7.8579999999999997</v>
      </c>
      <c r="O1803" t="s">
        <v>303</v>
      </c>
      <c r="P1803">
        <f t="shared" si="28"/>
        <v>0</v>
      </c>
    </row>
    <row r="1804" spans="1:16" x14ac:dyDescent="0.25">
      <c r="A1804" t="s">
        <v>669</v>
      </c>
      <c r="B1804" t="s">
        <v>669</v>
      </c>
      <c r="C1804">
        <v>7.86</v>
      </c>
      <c r="D1804" t="s">
        <v>303</v>
      </c>
      <c r="E1804" t="s">
        <v>910</v>
      </c>
      <c r="F1804" t="s">
        <v>910</v>
      </c>
      <c r="J1804">
        <v>7.86</v>
      </c>
      <c r="L1804" t="s">
        <v>303</v>
      </c>
      <c r="M1804">
        <v>7.86</v>
      </c>
      <c r="O1804" t="s">
        <v>303</v>
      </c>
      <c r="P1804">
        <f t="shared" si="28"/>
        <v>0</v>
      </c>
    </row>
    <row r="1805" spans="1:16" x14ac:dyDescent="0.25">
      <c r="A1805" t="s">
        <v>669</v>
      </c>
      <c r="B1805">
        <v>7.97</v>
      </c>
      <c r="C1805">
        <v>7.97</v>
      </c>
      <c r="D1805" t="s">
        <v>303</v>
      </c>
      <c r="E1805" t="s">
        <v>910</v>
      </c>
      <c r="F1805" t="s">
        <v>910</v>
      </c>
      <c r="J1805">
        <v>7.97</v>
      </c>
      <c r="K1805">
        <v>7.97</v>
      </c>
      <c r="L1805" t="s">
        <v>303</v>
      </c>
      <c r="M1805">
        <v>7.97</v>
      </c>
      <c r="N1805">
        <v>7.97</v>
      </c>
      <c r="O1805" t="s">
        <v>303</v>
      </c>
      <c r="P1805">
        <f t="shared" si="28"/>
        <v>0</v>
      </c>
    </row>
    <row r="1806" spans="1:16" x14ac:dyDescent="0.25">
      <c r="A1806" t="s">
        <v>375</v>
      </c>
      <c r="B1806">
        <v>7.34</v>
      </c>
      <c r="C1806">
        <v>7.98</v>
      </c>
      <c r="D1806" t="s">
        <v>860</v>
      </c>
      <c r="E1806">
        <v>17</v>
      </c>
      <c r="F1806">
        <v>17</v>
      </c>
      <c r="G1806" t="s">
        <v>689</v>
      </c>
      <c r="H1806" t="s">
        <v>689</v>
      </c>
      <c r="J1806">
        <v>7.98</v>
      </c>
      <c r="K1806">
        <v>7.34</v>
      </c>
      <c r="L1806" t="s">
        <v>303</v>
      </c>
      <c r="M1806">
        <v>7.98</v>
      </c>
      <c r="N1806">
        <v>7.34</v>
      </c>
      <c r="O1806" t="s">
        <v>303</v>
      </c>
      <c r="P1806">
        <f t="shared" si="28"/>
        <v>0</v>
      </c>
    </row>
    <row r="1807" spans="1:16" x14ac:dyDescent="0.25">
      <c r="A1807" t="s">
        <v>375</v>
      </c>
      <c r="B1807">
        <v>7.6</v>
      </c>
      <c r="C1807">
        <v>8.0399999999999991</v>
      </c>
      <c r="D1807" t="s">
        <v>860</v>
      </c>
      <c r="E1807">
        <v>17</v>
      </c>
      <c r="F1807">
        <v>17</v>
      </c>
      <c r="G1807" t="s">
        <v>689</v>
      </c>
      <c r="H1807" t="s">
        <v>689</v>
      </c>
      <c r="J1807">
        <v>8.0399999999999991</v>
      </c>
      <c r="K1807">
        <v>7.6</v>
      </c>
      <c r="L1807" t="s">
        <v>303</v>
      </c>
      <c r="M1807">
        <v>8.0399999999999991</v>
      </c>
      <c r="N1807">
        <v>7.6</v>
      </c>
      <c r="O1807" t="s">
        <v>303</v>
      </c>
      <c r="P1807">
        <f t="shared" si="28"/>
        <v>0</v>
      </c>
    </row>
    <row r="1808" spans="1:16" x14ac:dyDescent="0.25">
      <c r="A1808" t="s">
        <v>375</v>
      </c>
      <c r="B1808">
        <v>6.41</v>
      </c>
      <c r="C1808">
        <v>8.07</v>
      </c>
      <c r="D1808" t="s">
        <v>860</v>
      </c>
      <c r="E1808">
        <v>17</v>
      </c>
      <c r="F1808">
        <v>17</v>
      </c>
      <c r="G1808" t="s">
        <v>689</v>
      </c>
      <c r="H1808" t="s">
        <v>689</v>
      </c>
      <c r="J1808">
        <v>8.07</v>
      </c>
      <c r="K1808">
        <v>6.41</v>
      </c>
      <c r="L1808" t="s">
        <v>303</v>
      </c>
      <c r="M1808">
        <v>8.07</v>
      </c>
      <c r="N1808">
        <v>6.41</v>
      </c>
      <c r="O1808" t="s">
        <v>303</v>
      </c>
      <c r="P1808">
        <f t="shared" si="28"/>
        <v>0</v>
      </c>
    </row>
    <row r="1809" spans="1:16" x14ac:dyDescent="0.25">
      <c r="A1809">
        <v>5.7</v>
      </c>
      <c r="B1809">
        <v>4</v>
      </c>
      <c r="C1809">
        <v>8.1</v>
      </c>
      <c r="D1809" t="s">
        <v>303</v>
      </c>
      <c r="E1809" t="s">
        <v>910</v>
      </c>
      <c r="F1809" t="s">
        <v>910</v>
      </c>
      <c r="J1809">
        <v>8.1</v>
      </c>
      <c r="K1809">
        <v>4</v>
      </c>
      <c r="L1809" t="s">
        <v>303</v>
      </c>
      <c r="M1809">
        <v>8.1</v>
      </c>
      <c r="N1809">
        <v>4</v>
      </c>
      <c r="O1809" t="s">
        <v>303</v>
      </c>
      <c r="P1809">
        <f t="shared" si="28"/>
        <v>0</v>
      </c>
    </row>
    <row r="1810" spans="1:16" x14ac:dyDescent="0.25">
      <c r="A1810" t="s">
        <v>578</v>
      </c>
      <c r="B1810">
        <v>130</v>
      </c>
      <c r="C1810">
        <v>130</v>
      </c>
      <c r="D1810" t="s">
        <v>857</v>
      </c>
      <c r="E1810">
        <v>5</v>
      </c>
      <c r="F1810">
        <v>5</v>
      </c>
      <c r="G1810" t="s">
        <v>684</v>
      </c>
      <c r="H1810" t="s">
        <v>684</v>
      </c>
      <c r="J1810">
        <v>130</v>
      </c>
      <c r="K1810">
        <v>130</v>
      </c>
      <c r="L1810" t="s">
        <v>921</v>
      </c>
      <c r="M1810">
        <v>130</v>
      </c>
      <c r="N1810">
        <v>130</v>
      </c>
      <c r="O1810" t="s">
        <v>921</v>
      </c>
      <c r="P1810">
        <f t="shared" si="28"/>
        <v>0</v>
      </c>
    </row>
    <row r="1811" spans="1:16" x14ac:dyDescent="0.25">
      <c r="A1811" t="s">
        <v>375</v>
      </c>
      <c r="B1811" t="s">
        <v>669</v>
      </c>
      <c r="C1811">
        <v>8.1999999999999993</v>
      </c>
      <c r="D1811" t="s">
        <v>860</v>
      </c>
      <c r="E1811">
        <v>17</v>
      </c>
      <c r="F1811">
        <v>17</v>
      </c>
      <c r="G1811" t="s">
        <v>689</v>
      </c>
      <c r="H1811" t="s">
        <v>689</v>
      </c>
      <c r="J1811">
        <v>8.1999999999999993</v>
      </c>
      <c r="L1811" t="s">
        <v>303</v>
      </c>
      <c r="M1811">
        <v>8.1999999999999993</v>
      </c>
      <c r="O1811" t="s">
        <v>303</v>
      </c>
      <c r="P1811">
        <f t="shared" si="28"/>
        <v>0</v>
      </c>
    </row>
    <row r="1812" spans="1:16" x14ac:dyDescent="0.25">
      <c r="A1812" t="s">
        <v>213</v>
      </c>
      <c r="B1812">
        <v>142</v>
      </c>
      <c r="C1812">
        <v>143</v>
      </c>
      <c r="D1812" t="s">
        <v>857</v>
      </c>
      <c r="E1812">
        <v>5</v>
      </c>
      <c r="F1812">
        <v>5</v>
      </c>
      <c r="G1812" t="s">
        <v>684</v>
      </c>
      <c r="H1812" t="s">
        <v>684</v>
      </c>
      <c r="J1812">
        <v>143</v>
      </c>
      <c r="K1812">
        <v>142</v>
      </c>
      <c r="L1812" t="s">
        <v>921</v>
      </c>
      <c r="M1812">
        <v>143</v>
      </c>
      <c r="N1812">
        <v>142</v>
      </c>
      <c r="O1812" t="s">
        <v>921</v>
      </c>
      <c r="P1812">
        <f t="shared" si="28"/>
        <v>0</v>
      </c>
    </row>
    <row r="1813" spans="1:16" x14ac:dyDescent="0.25">
      <c r="A1813" t="s">
        <v>669</v>
      </c>
      <c r="B1813">
        <v>8.2799999999999994</v>
      </c>
      <c r="C1813">
        <v>8.2899999999999991</v>
      </c>
      <c r="D1813" t="s">
        <v>303</v>
      </c>
      <c r="E1813" t="s">
        <v>910</v>
      </c>
      <c r="F1813" t="s">
        <v>910</v>
      </c>
      <c r="J1813">
        <v>8.2899999999999991</v>
      </c>
      <c r="K1813">
        <v>8.2799999999999994</v>
      </c>
      <c r="L1813" t="s">
        <v>303</v>
      </c>
      <c r="M1813">
        <v>8.2899999999999991</v>
      </c>
      <c r="N1813">
        <v>8.2799999999999994</v>
      </c>
      <c r="O1813" t="s">
        <v>303</v>
      </c>
      <c r="P1813">
        <f t="shared" si="28"/>
        <v>0</v>
      </c>
    </row>
    <row r="1814" spans="1:16" x14ac:dyDescent="0.25">
      <c r="A1814" t="s">
        <v>669</v>
      </c>
      <c r="B1814">
        <v>8.35</v>
      </c>
      <c r="C1814">
        <v>8.35</v>
      </c>
      <c r="D1814" t="s">
        <v>303</v>
      </c>
      <c r="E1814" t="s">
        <v>910</v>
      </c>
      <c r="F1814" t="s">
        <v>910</v>
      </c>
      <c r="J1814">
        <v>8.35</v>
      </c>
      <c r="K1814">
        <v>8.35</v>
      </c>
      <c r="L1814" t="s">
        <v>303</v>
      </c>
      <c r="M1814">
        <v>8.35</v>
      </c>
      <c r="N1814">
        <v>8.35</v>
      </c>
      <c r="O1814" t="s">
        <v>303</v>
      </c>
      <c r="P1814">
        <f t="shared" si="28"/>
        <v>0</v>
      </c>
    </row>
    <row r="1815" spans="1:16" x14ac:dyDescent="0.25">
      <c r="A1815" t="s">
        <v>669</v>
      </c>
      <c r="B1815">
        <v>8.44</v>
      </c>
      <c r="C1815">
        <v>8.44</v>
      </c>
      <c r="D1815" t="s">
        <v>303</v>
      </c>
      <c r="E1815" t="s">
        <v>910</v>
      </c>
      <c r="F1815" t="s">
        <v>910</v>
      </c>
      <c r="J1815">
        <v>8.44</v>
      </c>
      <c r="K1815">
        <v>8.44</v>
      </c>
      <c r="L1815" t="s">
        <v>303</v>
      </c>
      <c r="M1815">
        <v>8.44</v>
      </c>
      <c r="N1815">
        <v>8.44</v>
      </c>
      <c r="O1815" t="s">
        <v>303</v>
      </c>
      <c r="P1815">
        <f t="shared" si="28"/>
        <v>0</v>
      </c>
    </row>
    <row r="1816" spans="1:16" x14ac:dyDescent="0.25">
      <c r="A1816" t="s">
        <v>669</v>
      </c>
      <c r="B1816">
        <v>8.4600000000000009</v>
      </c>
      <c r="C1816">
        <v>8.4700000000000006</v>
      </c>
      <c r="D1816" t="s">
        <v>303</v>
      </c>
      <c r="E1816" t="s">
        <v>910</v>
      </c>
      <c r="F1816" t="s">
        <v>910</v>
      </c>
      <c r="J1816">
        <v>8.4700000000000006</v>
      </c>
      <c r="K1816">
        <v>8.4600000000000009</v>
      </c>
      <c r="L1816" t="s">
        <v>303</v>
      </c>
      <c r="M1816">
        <v>8.4700000000000006</v>
      </c>
      <c r="N1816">
        <v>8.4600000000000009</v>
      </c>
      <c r="O1816" t="s">
        <v>303</v>
      </c>
      <c r="P1816">
        <f t="shared" si="28"/>
        <v>0</v>
      </c>
    </row>
    <row r="1817" spans="1:16" x14ac:dyDescent="0.25">
      <c r="A1817" t="s">
        <v>669</v>
      </c>
      <c r="B1817">
        <v>8.4700000000000006</v>
      </c>
      <c r="C1817">
        <v>8.4700000000000006</v>
      </c>
      <c r="D1817" t="s">
        <v>303</v>
      </c>
      <c r="E1817" t="s">
        <v>910</v>
      </c>
      <c r="F1817" t="s">
        <v>910</v>
      </c>
      <c r="J1817">
        <v>8.4700000000000006</v>
      </c>
      <c r="K1817">
        <v>8.4700000000000006</v>
      </c>
      <c r="L1817" t="s">
        <v>303</v>
      </c>
      <c r="M1817">
        <v>8.4700000000000006</v>
      </c>
      <c r="N1817">
        <v>8.4700000000000006</v>
      </c>
      <c r="O1817" t="s">
        <v>303</v>
      </c>
      <c r="P1817">
        <f t="shared" si="28"/>
        <v>0</v>
      </c>
    </row>
    <row r="1818" spans="1:16" x14ac:dyDescent="0.25">
      <c r="A1818" t="s">
        <v>669</v>
      </c>
      <c r="B1818">
        <v>8.52</v>
      </c>
      <c r="C1818">
        <v>8.52</v>
      </c>
      <c r="D1818" t="s">
        <v>303</v>
      </c>
      <c r="E1818" t="s">
        <v>910</v>
      </c>
      <c r="F1818" t="s">
        <v>910</v>
      </c>
      <c r="J1818">
        <v>8.52</v>
      </c>
      <c r="K1818">
        <v>8.52</v>
      </c>
      <c r="L1818" t="s">
        <v>303</v>
      </c>
      <c r="M1818">
        <v>8.52</v>
      </c>
      <c r="N1818">
        <v>8.52</v>
      </c>
      <c r="O1818" t="s">
        <v>303</v>
      </c>
      <c r="P1818">
        <f t="shared" si="28"/>
        <v>0</v>
      </c>
    </row>
    <row r="1819" spans="1:16" x14ac:dyDescent="0.25">
      <c r="A1819" t="s">
        <v>669</v>
      </c>
      <c r="B1819">
        <v>8.61</v>
      </c>
      <c r="C1819">
        <v>8.61</v>
      </c>
      <c r="D1819" t="s">
        <v>303</v>
      </c>
      <c r="E1819" t="s">
        <v>910</v>
      </c>
      <c r="F1819" t="s">
        <v>910</v>
      </c>
      <c r="J1819">
        <v>8.61</v>
      </c>
      <c r="K1819">
        <v>8.61</v>
      </c>
      <c r="L1819" t="s">
        <v>303</v>
      </c>
      <c r="M1819">
        <v>8.61</v>
      </c>
      <c r="N1819">
        <v>8.61</v>
      </c>
      <c r="O1819" t="s">
        <v>303</v>
      </c>
      <c r="P1819">
        <f t="shared" si="28"/>
        <v>0</v>
      </c>
    </row>
    <row r="1820" spans="1:16" x14ac:dyDescent="0.25">
      <c r="A1820" t="s">
        <v>260</v>
      </c>
      <c r="B1820">
        <v>8.5</v>
      </c>
      <c r="C1820">
        <v>8.9</v>
      </c>
      <c r="D1820" t="s">
        <v>303</v>
      </c>
      <c r="E1820">
        <v>19</v>
      </c>
      <c r="F1820">
        <v>18</v>
      </c>
      <c r="G1820" t="s">
        <v>800</v>
      </c>
      <c r="H1820" t="s">
        <v>693</v>
      </c>
      <c r="J1820">
        <v>8.9</v>
      </c>
      <c r="K1820">
        <v>8.5</v>
      </c>
      <c r="L1820" t="s">
        <v>303</v>
      </c>
      <c r="M1820">
        <v>8.9</v>
      </c>
      <c r="N1820">
        <v>8.5</v>
      </c>
      <c r="O1820" t="s">
        <v>303</v>
      </c>
      <c r="P1820">
        <f t="shared" si="28"/>
        <v>0</v>
      </c>
    </row>
    <row r="1821" spans="1:16" x14ac:dyDescent="0.25">
      <c r="A1821" t="s">
        <v>669</v>
      </c>
      <c r="B1821">
        <v>9</v>
      </c>
      <c r="C1821">
        <v>9</v>
      </c>
      <c r="D1821" t="s">
        <v>303</v>
      </c>
      <c r="E1821" t="s">
        <v>910</v>
      </c>
      <c r="F1821" t="s">
        <v>910</v>
      </c>
      <c r="J1821">
        <v>9</v>
      </c>
      <c r="K1821">
        <v>9</v>
      </c>
      <c r="L1821" t="s">
        <v>303</v>
      </c>
      <c r="M1821">
        <v>9</v>
      </c>
      <c r="N1821">
        <v>9</v>
      </c>
      <c r="O1821" t="s">
        <v>303</v>
      </c>
      <c r="P1821">
        <f t="shared" si="28"/>
        <v>0</v>
      </c>
    </row>
    <row r="1822" spans="1:16" x14ac:dyDescent="0.25">
      <c r="A1822" t="s">
        <v>669</v>
      </c>
      <c r="B1822">
        <v>144</v>
      </c>
      <c r="C1822" t="s">
        <v>669</v>
      </c>
      <c r="D1822" t="s">
        <v>857</v>
      </c>
      <c r="E1822" t="s">
        <v>910</v>
      </c>
      <c r="F1822">
        <v>5</v>
      </c>
      <c r="H1822" t="s">
        <v>684</v>
      </c>
      <c r="I1822" t="s">
        <v>932</v>
      </c>
      <c r="K1822">
        <v>144</v>
      </c>
      <c r="L1822" t="s">
        <v>920</v>
      </c>
      <c r="N1822">
        <v>144</v>
      </c>
      <c r="O1822" t="s">
        <v>857</v>
      </c>
      <c r="P1822">
        <f t="shared" si="28"/>
        <v>27</v>
      </c>
    </row>
    <row r="1823" spans="1:16" x14ac:dyDescent="0.25">
      <c r="A1823" t="s">
        <v>669</v>
      </c>
      <c r="B1823">
        <v>9.0399999999999991</v>
      </c>
      <c r="C1823">
        <v>9.08</v>
      </c>
      <c r="D1823" t="s">
        <v>303</v>
      </c>
      <c r="E1823" t="s">
        <v>910</v>
      </c>
      <c r="F1823" t="s">
        <v>910</v>
      </c>
      <c r="J1823">
        <v>9.08</v>
      </c>
      <c r="K1823">
        <v>9.0399999999999991</v>
      </c>
      <c r="L1823" t="s">
        <v>303</v>
      </c>
      <c r="M1823">
        <v>9.08</v>
      </c>
      <c r="N1823">
        <v>9.0399999999999991</v>
      </c>
      <c r="O1823" t="s">
        <v>303</v>
      </c>
      <c r="P1823">
        <f t="shared" si="28"/>
        <v>0</v>
      </c>
    </row>
    <row r="1824" spans="1:16" x14ac:dyDescent="0.25">
      <c r="A1824" t="s">
        <v>669</v>
      </c>
      <c r="B1824">
        <v>9.06</v>
      </c>
      <c r="C1824">
        <v>9.08</v>
      </c>
      <c r="D1824" t="s">
        <v>303</v>
      </c>
      <c r="E1824" t="s">
        <v>910</v>
      </c>
      <c r="F1824" t="s">
        <v>910</v>
      </c>
      <c r="J1824">
        <v>9.08</v>
      </c>
      <c r="K1824">
        <v>9.06</v>
      </c>
      <c r="L1824" t="s">
        <v>303</v>
      </c>
      <c r="M1824">
        <v>9.08</v>
      </c>
      <c r="N1824">
        <v>9.06</v>
      </c>
      <c r="O1824" t="s">
        <v>303</v>
      </c>
      <c r="P1824">
        <f t="shared" si="28"/>
        <v>0</v>
      </c>
    </row>
    <row r="1825" spans="1:16" x14ac:dyDescent="0.25">
      <c r="A1825" t="s">
        <v>669</v>
      </c>
      <c r="B1825">
        <v>8.9700000000000006</v>
      </c>
      <c r="C1825">
        <v>9.1199999999999992</v>
      </c>
      <c r="D1825" t="s">
        <v>303</v>
      </c>
      <c r="E1825" t="s">
        <v>910</v>
      </c>
      <c r="F1825" t="s">
        <v>910</v>
      </c>
      <c r="J1825">
        <v>9.1199999999999992</v>
      </c>
      <c r="K1825">
        <v>8.9700000000000006</v>
      </c>
      <c r="L1825" t="s">
        <v>303</v>
      </c>
      <c r="M1825">
        <v>9.1199999999999992</v>
      </c>
      <c r="N1825">
        <v>8.9700000000000006</v>
      </c>
      <c r="O1825" t="s">
        <v>303</v>
      </c>
      <c r="P1825">
        <f t="shared" si="28"/>
        <v>0</v>
      </c>
    </row>
    <row r="1826" spans="1:16" x14ac:dyDescent="0.25">
      <c r="A1826" t="s">
        <v>669</v>
      </c>
      <c r="B1826">
        <v>9.36</v>
      </c>
      <c r="C1826">
        <v>9.36</v>
      </c>
      <c r="D1826" t="s">
        <v>303</v>
      </c>
      <c r="E1826" t="s">
        <v>910</v>
      </c>
      <c r="F1826" t="s">
        <v>910</v>
      </c>
      <c r="J1826">
        <v>9.36</v>
      </c>
      <c r="K1826">
        <v>9.36</v>
      </c>
      <c r="L1826" t="s">
        <v>303</v>
      </c>
      <c r="M1826">
        <v>9.36</v>
      </c>
      <c r="N1826">
        <v>9.36</v>
      </c>
      <c r="O1826" t="s">
        <v>303</v>
      </c>
      <c r="P1826">
        <f t="shared" si="28"/>
        <v>0</v>
      </c>
    </row>
    <row r="1827" spans="1:16" x14ac:dyDescent="0.25">
      <c r="A1827" t="s">
        <v>669</v>
      </c>
      <c r="B1827">
        <v>9.3800000000000008</v>
      </c>
      <c r="C1827">
        <v>9.3800000000000008</v>
      </c>
      <c r="D1827" t="s">
        <v>303</v>
      </c>
      <c r="E1827" t="s">
        <v>910</v>
      </c>
      <c r="F1827" t="s">
        <v>910</v>
      </c>
      <c r="J1827">
        <v>9.3800000000000008</v>
      </c>
      <c r="K1827">
        <v>9.3800000000000008</v>
      </c>
      <c r="L1827" t="s">
        <v>303</v>
      </c>
      <c r="M1827">
        <v>9.3800000000000008</v>
      </c>
      <c r="N1827">
        <v>9.3800000000000008</v>
      </c>
      <c r="O1827" t="s">
        <v>303</v>
      </c>
      <c r="P1827">
        <f t="shared" si="28"/>
        <v>0</v>
      </c>
    </row>
    <row r="1828" spans="1:16" x14ac:dyDescent="0.25">
      <c r="A1828" t="s">
        <v>669</v>
      </c>
      <c r="B1828">
        <v>9.44</v>
      </c>
      <c r="C1828">
        <v>9.44</v>
      </c>
      <c r="D1828" t="s">
        <v>303</v>
      </c>
      <c r="E1828" t="s">
        <v>910</v>
      </c>
      <c r="F1828" t="s">
        <v>910</v>
      </c>
      <c r="J1828">
        <v>9.44</v>
      </c>
      <c r="K1828">
        <v>9.44</v>
      </c>
      <c r="L1828" t="s">
        <v>303</v>
      </c>
      <c r="M1828">
        <v>9.44</v>
      </c>
      <c r="N1828">
        <v>9.44</v>
      </c>
      <c r="O1828" t="s">
        <v>303</v>
      </c>
      <c r="P1828">
        <f t="shared" si="28"/>
        <v>0</v>
      </c>
    </row>
    <row r="1829" spans="1:16" x14ac:dyDescent="0.25">
      <c r="A1829">
        <v>7.2</v>
      </c>
      <c r="B1829">
        <v>5.4</v>
      </c>
      <c r="C1829">
        <v>9.5</v>
      </c>
      <c r="D1829" t="s">
        <v>303</v>
      </c>
      <c r="E1829" t="s">
        <v>910</v>
      </c>
      <c r="F1829" t="s">
        <v>910</v>
      </c>
      <c r="J1829">
        <v>9.5</v>
      </c>
      <c r="K1829">
        <v>5.4</v>
      </c>
      <c r="L1829" t="s">
        <v>303</v>
      </c>
      <c r="M1829">
        <v>9.5</v>
      </c>
      <c r="N1829">
        <v>5.4</v>
      </c>
      <c r="O1829" t="s">
        <v>303</v>
      </c>
      <c r="P1829">
        <f t="shared" si="28"/>
        <v>0</v>
      </c>
    </row>
    <row r="1830" spans="1:16" x14ac:dyDescent="0.25">
      <c r="A1830" t="s">
        <v>669</v>
      </c>
      <c r="B1830">
        <v>9.56</v>
      </c>
      <c r="C1830">
        <v>9.6300000000000008</v>
      </c>
      <c r="D1830" t="s">
        <v>303</v>
      </c>
      <c r="E1830" t="s">
        <v>910</v>
      </c>
      <c r="F1830" t="s">
        <v>910</v>
      </c>
      <c r="J1830">
        <v>9.6300000000000008</v>
      </c>
      <c r="K1830">
        <v>9.56</v>
      </c>
      <c r="L1830" t="s">
        <v>303</v>
      </c>
      <c r="M1830">
        <v>9.6300000000000008</v>
      </c>
      <c r="N1830">
        <v>9.56</v>
      </c>
      <c r="O1830" t="s">
        <v>303</v>
      </c>
      <c r="P1830">
        <f t="shared" si="28"/>
        <v>0</v>
      </c>
    </row>
    <row r="1831" spans="1:16" x14ac:dyDescent="0.25">
      <c r="A1831" t="s">
        <v>669</v>
      </c>
      <c r="B1831">
        <v>9.7200000000000006</v>
      </c>
      <c r="C1831">
        <v>9.74</v>
      </c>
      <c r="D1831" t="s">
        <v>303</v>
      </c>
      <c r="E1831" t="s">
        <v>910</v>
      </c>
      <c r="F1831" t="s">
        <v>910</v>
      </c>
      <c r="J1831">
        <v>9.74</v>
      </c>
      <c r="K1831">
        <v>9.7200000000000006</v>
      </c>
      <c r="L1831" t="s">
        <v>303</v>
      </c>
      <c r="M1831">
        <v>9.74</v>
      </c>
      <c r="N1831">
        <v>9.7200000000000006</v>
      </c>
      <c r="O1831" t="s">
        <v>303</v>
      </c>
      <c r="P1831">
        <f t="shared" si="28"/>
        <v>0</v>
      </c>
    </row>
    <row r="1832" spans="1:16" x14ac:dyDescent="0.25">
      <c r="A1832" t="s">
        <v>669</v>
      </c>
      <c r="B1832">
        <v>9.81</v>
      </c>
      <c r="C1832">
        <v>9.8800000000000008</v>
      </c>
      <c r="D1832" t="s">
        <v>303</v>
      </c>
      <c r="E1832" t="s">
        <v>910</v>
      </c>
      <c r="F1832" t="s">
        <v>910</v>
      </c>
      <c r="J1832">
        <v>9.8800000000000008</v>
      </c>
      <c r="K1832">
        <v>9.81</v>
      </c>
      <c r="L1832" t="s">
        <v>303</v>
      </c>
      <c r="M1832">
        <v>9.8800000000000008</v>
      </c>
      <c r="N1832">
        <v>9.81</v>
      </c>
      <c r="O1832" t="s">
        <v>303</v>
      </c>
      <c r="P1832">
        <f t="shared" si="28"/>
        <v>0</v>
      </c>
    </row>
    <row r="1833" spans="1:16" x14ac:dyDescent="0.25">
      <c r="A1833" t="s">
        <v>408</v>
      </c>
      <c r="B1833">
        <v>0</v>
      </c>
      <c r="C1833">
        <v>10</v>
      </c>
      <c r="D1833" t="s">
        <v>303</v>
      </c>
      <c r="E1833">
        <v>13</v>
      </c>
      <c r="F1833">
        <v>13</v>
      </c>
      <c r="G1833" t="s">
        <v>686</v>
      </c>
      <c r="H1833" t="s">
        <v>686</v>
      </c>
      <c r="J1833">
        <v>10</v>
      </c>
      <c r="K1833">
        <v>0</v>
      </c>
      <c r="L1833" t="s">
        <v>303</v>
      </c>
      <c r="M1833">
        <v>10</v>
      </c>
      <c r="N1833">
        <v>0</v>
      </c>
      <c r="O1833" t="s">
        <v>303</v>
      </c>
      <c r="P1833">
        <f t="shared" si="28"/>
        <v>0</v>
      </c>
    </row>
    <row r="1834" spans="1:16" x14ac:dyDescent="0.25">
      <c r="A1834" t="s">
        <v>637</v>
      </c>
      <c r="B1834">
        <v>0</v>
      </c>
      <c r="C1834">
        <v>10</v>
      </c>
      <c r="D1834" t="s">
        <v>860</v>
      </c>
      <c r="E1834" t="s">
        <v>910</v>
      </c>
      <c r="F1834" t="s">
        <v>910</v>
      </c>
      <c r="J1834">
        <v>10</v>
      </c>
      <c r="K1834">
        <v>0</v>
      </c>
      <c r="L1834" t="s">
        <v>303</v>
      </c>
      <c r="M1834">
        <v>10</v>
      </c>
      <c r="N1834">
        <v>0</v>
      </c>
      <c r="O1834" t="s">
        <v>303</v>
      </c>
      <c r="P1834">
        <f t="shared" si="28"/>
        <v>0</v>
      </c>
    </row>
    <row r="1835" spans="1:16" x14ac:dyDescent="0.25">
      <c r="A1835" t="s">
        <v>669</v>
      </c>
      <c r="B1835">
        <v>1</v>
      </c>
      <c r="C1835">
        <v>10</v>
      </c>
      <c r="D1835" t="s">
        <v>860</v>
      </c>
      <c r="E1835" t="s">
        <v>910</v>
      </c>
      <c r="F1835" t="s">
        <v>910</v>
      </c>
      <c r="J1835">
        <v>10</v>
      </c>
      <c r="K1835">
        <v>1</v>
      </c>
      <c r="L1835" t="s">
        <v>303</v>
      </c>
      <c r="M1835">
        <v>10</v>
      </c>
      <c r="N1835">
        <v>1</v>
      </c>
      <c r="O1835" t="s">
        <v>303</v>
      </c>
      <c r="P1835">
        <f t="shared" si="28"/>
        <v>0</v>
      </c>
    </row>
    <row r="1836" spans="1:16" x14ac:dyDescent="0.25">
      <c r="A1836" t="s">
        <v>669</v>
      </c>
      <c r="B1836">
        <v>5</v>
      </c>
      <c r="C1836">
        <v>10</v>
      </c>
      <c r="D1836" t="s">
        <v>669</v>
      </c>
      <c r="E1836" t="s">
        <v>910</v>
      </c>
      <c r="F1836" t="s">
        <v>910</v>
      </c>
      <c r="I1836" t="s">
        <v>927</v>
      </c>
      <c r="J1836">
        <v>10</v>
      </c>
      <c r="K1836">
        <v>5</v>
      </c>
      <c r="L1836" t="s">
        <v>930</v>
      </c>
      <c r="M1836">
        <v>10</v>
      </c>
      <c r="N1836">
        <v>5</v>
      </c>
      <c r="P1836">
        <f t="shared" si="28"/>
        <v>14</v>
      </c>
    </row>
    <row r="1837" spans="1:16" x14ac:dyDescent="0.25">
      <c r="A1837" t="s">
        <v>375</v>
      </c>
      <c r="B1837">
        <v>9</v>
      </c>
      <c r="C1837">
        <v>10</v>
      </c>
      <c r="D1837" t="s">
        <v>860</v>
      </c>
      <c r="E1837">
        <v>17</v>
      </c>
      <c r="F1837">
        <v>17</v>
      </c>
      <c r="G1837" t="s">
        <v>689</v>
      </c>
      <c r="H1837" t="s">
        <v>689</v>
      </c>
      <c r="J1837">
        <v>10</v>
      </c>
      <c r="K1837">
        <v>9</v>
      </c>
      <c r="L1837" t="s">
        <v>303</v>
      </c>
      <c r="M1837">
        <v>10</v>
      </c>
      <c r="N1837">
        <v>9</v>
      </c>
      <c r="O1837" t="s">
        <v>303</v>
      </c>
      <c r="P1837">
        <f t="shared" si="28"/>
        <v>0</v>
      </c>
    </row>
    <row r="1838" spans="1:16" x14ac:dyDescent="0.25">
      <c r="A1838" t="s">
        <v>669</v>
      </c>
      <c r="B1838">
        <v>9</v>
      </c>
      <c r="C1838">
        <v>10</v>
      </c>
      <c r="D1838" t="s">
        <v>303</v>
      </c>
      <c r="E1838" t="s">
        <v>910</v>
      </c>
      <c r="F1838" t="s">
        <v>910</v>
      </c>
      <c r="J1838">
        <v>10</v>
      </c>
      <c r="K1838">
        <v>9</v>
      </c>
      <c r="L1838" t="s">
        <v>303</v>
      </c>
      <c r="M1838">
        <v>10</v>
      </c>
      <c r="N1838">
        <v>9</v>
      </c>
      <c r="O1838" t="s">
        <v>303</v>
      </c>
      <c r="P1838">
        <f t="shared" si="28"/>
        <v>0</v>
      </c>
    </row>
    <row r="1839" spans="1:16" x14ac:dyDescent="0.25">
      <c r="A1839" t="s">
        <v>669</v>
      </c>
      <c r="B1839" t="s">
        <v>669</v>
      </c>
      <c r="C1839">
        <v>10</v>
      </c>
      <c r="D1839" t="s">
        <v>303</v>
      </c>
      <c r="E1839" t="s">
        <v>910</v>
      </c>
      <c r="F1839" t="s">
        <v>910</v>
      </c>
      <c r="J1839">
        <v>10</v>
      </c>
      <c r="K1839">
        <v>10</v>
      </c>
      <c r="L1839" t="s">
        <v>303</v>
      </c>
      <c r="M1839">
        <v>10</v>
      </c>
      <c r="N1839">
        <v>10</v>
      </c>
      <c r="O1839" t="s">
        <v>303</v>
      </c>
      <c r="P1839">
        <f t="shared" si="28"/>
        <v>0</v>
      </c>
    </row>
    <row r="1840" spans="1:16" x14ac:dyDescent="0.25">
      <c r="A1840">
        <v>10.02</v>
      </c>
      <c r="B1840">
        <v>10.02</v>
      </c>
      <c r="C1840">
        <v>10.02</v>
      </c>
      <c r="D1840" t="s">
        <v>860</v>
      </c>
      <c r="E1840" t="s">
        <v>910</v>
      </c>
      <c r="F1840" t="s">
        <v>910</v>
      </c>
      <c r="J1840">
        <v>10.02</v>
      </c>
      <c r="K1840">
        <v>10.02</v>
      </c>
      <c r="L1840" t="s">
        <v>303</v>
      </c>
      <c r="M1840">
        <v>10.02</v>
      </c>
      <c r="N1840">
        <v>10.02</v>
      </c>
      <c r="O1840" t="s">
        <v>303</v>
      </c>
      <c r="P1840">
        <f t="shared" si="28"/>
        <v>0</v>
      </c>
    </row>
    <row r="1841" spans="1:16" x14ac:dyDescent="0.25">
      <c r="A1841">
        <v>10.02</v>
      </c>
      <c r="B1841">
        <v>10.02</v>
      </c>
      <c r="C1841">
        <v>10.02</v>
      </c>
      <c r="D1841" t="s">
        <v>905</v>
      </c>
      <c r="E1841" t="s">
        <v>910</v>
      </c>
      <c r="F1841" t="s">
        <v>910</v>
      </c>
      <c r="J1841">
        <v>10.02</v>
      </c>
      <c r="K1841">
        <v>10.02</v>
      </c>
      <c r="L1841" t="s">
        <v>303</v>
      </c>
      <c r="M1841">
        <v>10.02</v>
      </c>
      <c r="N1841">
        <v>10.02</v>
      </c>
      <c r="O1841" t="s">
        <v>303</v>
      </c>
      <c r="P1841">
        <f t="shared" si="28"/>
        <v>0</v>
      </c>
    </row>
    <row r="1842" spans="1:16" x14ac:dyDescent="0.25">
      <c r="A1842" t="s">
        <v>669</v>
      </c>
      <c r="B1842">
        <v>10.14</v>
      </c>
      <c r="C1842">
        <v>10.14</v>
      </c>
      <c r="D1842" t="s">
        <v>303</v>
      </c>
      <c r="E1842" t="s">
        <v>910</v>
      </c>
      <c r="F1842" t="s">
        <v>910</v>
      </c>
      <c r="J1842">
        <v>10.14</v>
      </c>
      <c r="K1842">
        <v>10.14</v>
      </c>
      <c r="L1842" t="s">
        <v>303</v>
      </c>
      <c r="M1842">
        <v>10.14</v>
      </c>
      <c r="N1842">
        <v>10.14</v>
      </c>
      <c r="O1842" t="s">
        <v>303</v>
      </c>
      <c r="P1842">
        <f t="shared" si="28"/>
        <v>0</v>
      </c>
    </row>
    <row r="1843" spans="1:16" x14ac:dyDescent="0.25">
      <c r="A1843" t="s">
        <v>669</v>
      </c>
      <c r="B1843">
        <v>10.18</v>
      </c>
      <c r="C1843">
        <v>10.18</v>
      </c>
      <c r="D1843" t="s">
        <v>303</v>
      </c>
      <c r="E1843" t="s">
        <v>910</v>
      </c>
      <c r="F1843" t="s">
        <v>910</v>
      </c>
      <c r="J1843">
        <v>10.18</v>
      </c>
      <c r="K1843">
        <v>10.18</v>
      </c>
      <c r="L1843" t="s">
        <v>303</v>
      </c>
      <c r="M1843">
        <v>10.18</v>
      </c>
      <c r="N1843">
        <v>10.18</v>
      </c>
      <c r="O1843" t="s">
        <v>303</v>
      </c>
      <c r="P1843">
        <f t="shared" si="28"/>
        <v>0</v>
      </c>
    </row>
    <row r="1844" spans="1:16" x14ac:dyDescent="0.25">
      <c r="A1844">
        <v>10</v>
      </c>
      <c r="B1844">
        <v>10.220000000000001</v>
      </c>
      <c r="C1844">
        <v>10.3</v>
      </c>
      <c r="D1844" t="s">
        <v>303</v>
      </c>
      <c r="E1844" t="s">
        <v>910</v>
      </c>
      <c r="F1844" t="s">
        <v>910</v>
      </c>
      <c r="J1844">
        <v>10.3</v>
      </c>
      <c r="K1844">
        <v>10.220000000000001</v>
      </c>
      <c r="L1844" t="s">
        <v>303</v>
      </c>
      <c r="M1844">
        <v>10.3</v>
      </c>
      <c r="N1844">
        <v>10.220000000000001</v>
      </c>
      <c r="O1844" t="s">
        <v>303</v>
      </c>
      <c r="P1844">
        <f t="shared" si="28"/>
        <v>0</v>
      </c>
    </row>
    <row r="1845" spans="1:16" x14ac:dyDescent="0.25">
      <c r="A1845" t="s">
        <v>669</v>
      </c>
      <c r="B1845">
        <v>10.47</v>
      </c>
      <c r="C1845">
        <v>10.47</v>
      </c>
      <c r="D1845" t="s">
        <v>303</v>
      </c>
      <c r="E1845" t="s">
        <v>910</v>
      </c>
      <c r="F1845" t="s">
        <v>910</v>
      </c>
      <c r="J1845">
        <v>10.47</v>
      </c>
      <c r="K1845">
        <v>10.47</v>
      </c>
      <c r="L1845" t="s">
        <v>303</v>
      </c>
      <c r="M1845">
        <v>10.47</v>
      </c>
      <c r="N1845">
        <v>10.47</v>
      </c>
      <c r="O1845" t="s">
        <v>303</v>
      </c>
      <c r="P1845">
        <f t="shared" si="28"/>
        <v>0</v>
      </c>
    </row>
    <row r="1846" spans="1:16" x14ac:dyDescent="0.25">
      <c r="A1846" t="s">
        <v>669</v>
      </c>
      <c r="B1846">
        <v>10.72</v>
      </c>
      <c r="C1846">
        <v>10.72</v>
      </c>
      <c r="D1846" t="s">
        <v>303</v>
      </c>
      <c r="E1846" t="s">
        <v>910</v>
      </c>
      <c r="F1846" t="s">
        <v>910</v>
      </c>
      <c r="J1846">
        <v>10.72</v>
      </c>
      <c r="K1846">
        <v>10.72</v>
      </c>
      <c r="L1846" t="s">
        <v>303</v>
      </c>
      <c r="M1846">
        <v>10.72</v>
      </c>
      <c r="N1846">
        <v>10.72</v>
      </c>
      <c r="O1846" t="s">
        <v>303</v>
      </c>
      <c r="P1846">
        <f t="shared" si="28"/>
        <v>0</v>
      </c>
    </row>
    <row r="1847" spans="1:16" x14ac:dyDescent="0.25">
      <c r="A1847" t="s">
        <v>669</v>
      </c>
      <c r="B1847">
        <v>10.74</v>
      </c>
      <c r="C1847">
        <v>10.74</v>
      </c>
      <c r="D1847" t="s">
        <v>303</v>
      </c>
      <c r="E1847" t="s">
        <v>910</v>
      </c>
      <c r="F1847" t="s">
        <v>910</v>
      </c>
      <c r="J1847">
        <v>10.74</v>
      </c>
      <c r="K1847">
        <v>10.74</v>
      </c>
      <c r="L1847" t="s">
        <v>303</v>
      </c>
      <c r="M1847">
        <v>10.74</v>
      </c>
      <c r="N1847">
        <v>10.74</v>
      </c>
      <c r="O1847" t="s">
        <v>303</v>
      </c>
      <c r="P1847">
        <f t="shared" si="28"/>
        <v>0</v>
      </c>
    </row>
    <row r="1848" spans="1:16" x14ac:dyDescent="0.25">
      <c r="A1848" t="s">
        <v>669</v>
      </c>
      <c r="B1848">
        <v>145</v>
      </c>
      <c r="C1848">
        <v>145</v>
      </c>
      <c r="D1848" t="s">
        <v>857</v>
      </c>
      <c r="E1848">
        <v>5</v>
      </c>
      <c r="F1848">
        <v>5</v>
      </c>
      <c r="G1848" t="s">
        <v>684</v>
      </c>
      <c r="H1848" t="s">
        <v>684</v>
      </c>
      <c r="J1848">
        <v>145</v>
      </c>
      <c r="K1848">
        <v>145</v>
      </c>
      <c r="L1848" t="s">
        <v>921</v>
      </c>
      <c r="M1848">
        <v>145</v>
      </c>
      <c r="N1848">
        <v>145</v>
      </c>
      <c r="O1848" t="s">
        <v>921</v>
      </c>
      <c r="P1848">
        <f t="shared" si="28"/>
        <v>0</v>
      </c>
    </row>
    <row r="1849" spans="1:16" x14ac:dyDescent="0.25">
      <c r="A1849" t="s">
        <v>669</v>
      </c>
      <c r="B1849">
        <v>10.96</v>
      </c>
      <c r="C1849">
        <v>10.97</v>
      </c>
      <c r="D1849" t="s">
        <v>303</v>
      </c>
      <c r="E1849" t="s">
        <v>910</v>
      </c>
      <c r="F1849" t="s">
        <v>910</v>
      </c>
      <c r="J1849">
        <v>10.97</v>
      </c>
      <c r="K1849">
        <v>10.96</v>
      </c>
      <c r="L1849" t="s">
        <v>303</v>
      </c>
      <c r="M1849">
        <v>10.97</v>
      </c>
      <c r="N1849">
        <v>10.96</v>
      </c>
      <c r="O1849" t="s">
        <v>303</v>
      </c>
      <c r="P1849">
        <f t="shared" si="28"/>
        <v>0</v>
      </c>
    </row>
    <row r="1850" spans="1:16" x14ac:dyDescent="0.25">
      <c r="A1850" t="s">
        <v>669</v>
      </c>
      <c r="B1850">
        <v>1</v>
      </c>
      <c r="C1850">
        <v>11</v>
      </c>
      <c r="D1850" t="s">
        <v>303</v>
      </c>
      <c r="E1850" t="s">
        <v>910</v>
      </c>
      <c r="F1850" t="s">
        <v>910</v>
      </c>
      <c r="J1850">
        <v>11</v>
      </c>
      <c r="K1850">
        <v>1</v>
      </c>
      <c r="L1850" t="s">
        <v>303</v>
      </c>
      <c r="M1850">
        <v>11</v>
      </c>
      <c r="N1850">
        <v>1</v>
      </c>
      <c r="O1850" t="s">
        <v>303</v>
      </c>
      <c r="P1850">
        <f t="shared" si="28"/>
        <v>0</v>
      </c>
    </row>
    <row r="1851" spans="1:16" x14ac:dyDescent="0.25">
      <c r="A1851" t="s">
        <v>669</v>
      </c>
      <c r="B1851">
        <v>7</v>
      </c>
      <c r="C1851">
        <v>11</v>
      </c>
      <c r="D1851" t="s">
        <v>303</v>
      </c>
      <c r="E1851" t="s">
        <v>910</v>
      </c>
      <c r="F1851" t="s">
        <v>910</v>
      </c>
      <c r="J1851">
        <v>11</v>
      </c>
      <c r="K1851">
        <v>7</v>
      </c>
      <c r="L1851" t="s">
        <v>303</v>
      </c>
      <c r="M1851">
        <v>11</v>
      </c>
      <c r="N1851">
        <v>7</v>
      </c>
      <c r="O1851" t="s">
        <v>303</v>
      </c>
      <c r="P1851">
        <f t="shared" si="28"/>
        <v>0</v>
      </c>
    </row>
    <row r="1852" spans="1:16" x14ac:dyDescent="0.25">
      <c r="A1852" t="s">
        <v>669</v>
      </c>
      <c r="B1852">
        <v>10.6</v>
      </c>
      <c r="C1852">
        <v>11</v>
      </c>
      <c r="D1852" t="s">
        <v>860</v>
      </c>
      <c r="E1852" t="s">
        <v>910</v>
      </c>
      <c r="F1852" t="s">
        <v>910</v>
      </c>
      <c r="J1852">
        <v>11</v>
      </c>
      <c r="K1852">
        <v>10.6</v>
      </c>
      <c r="L1852" t="s">
        <v>303</v>
      </c>
      <c r="M1852">
        <v>11</v>
      </c>
      <c r="N1852">
        <v>10.6</v>
      </c>
      <c r="O1852" t="s">
        <v>303</v>
      </c>
      <c r="P1852">
        <f t="shared" si="28"/>
        <v>0</v>
      </c>
    </row>
    <row r="1853" spans="1:16" x14ac:dyDescent="0.25">
      <c r="A1853" t="s">
        <v>669</v>
      </c>
      <c r="B1853">
        <v>11</v>
      </c>
      <c r="C1853">
        <v>11</v>
      </c>
      <c r="D1853" t="s">
        <v>860</v>
      </c>
      <c r="E1853" t="s">
        <v>910</v>
      </c>
      <c r="F1853" t="s">
        <v>910</v>
      </c>
      <c r="J1853">
        <v>11</v>
      </c>
      <c r="K1853">
        <v>11</v>
      </c>
      <c r="L1853" t="s">
        <v>303</v>
      </c>
      <c r="M1853">
        <v>11</v>
      </c>
      <c r="N1853">
        <v>11</v>
      </c>
      <c r="O1853" t="s">
        <v>303</v>
      </c>
      <c r="P1853">
        <f t="shared" si="28"/>
        <v>0</v>
      </c>
    </row>
    <row r="1854" spans="1:16" x14ac:dyDescent="0.25">
      <c r="A1854" t="s">
        <v>669</v>
      </c>
      <c r="B1854" t="s">
        <v>669</v>
      </c>
      <c r="C1854">
        <v>11</v>
      </c>
      <c r="D1854" t="s">
        <v>303</v>
      </c>
      <c r="E1854" t="s">
        <v>910</v>
      </c>
      <c r="F1854" t="s">
        <v>910</v>
      </c>
      <c r="J1854">
        <v>11</v>
      </c>
      <c r="K1854">
        <v>11</v>
      </c>
      <c r="L1854" t="s">
        <v>303</v>
      </c>
      <c r="M1854">
        <v>11</v>
      </c>
      <c r="N1854">
        <v>11</v>
      </c>
      <c r="O1854" t="s">
        <v>303</v>
      </c>
      <c r="P1854">
        <f t="shared" si="28"/>
        <v>0</v>
      </c>
    </row>
    <row r="1855" spans="1:16" x14ac:dyDescent="0.25">
      <c r="A1855" t="s">
        <v>375</v>
      </c>
      <c r="B1855">
        <v>10.923999999999999</v>
      </c>
      <c r="C1855">
        <v>11.007999999999999</v>
      </c>
      <c r="D1855" t="s">
        <v>860</v>
      </c>
      <c r="E1855">
        <v>17</v>
      </c>
      <c r="F1855">
        <v>17</v>
      </c>
      <c r="G1855" t="s">
        <v>689</v>
      </c>
      <c r="H1855" t="s">
        <v>689</v>
      </c>
      <c r="J1855">
        <v>11.007999999999999</v>
      </c>
      <c r="K1855">
        <v>10.923999999999999</v>
      </c>
      <c r="L1855" t="s">
        <v>303</v>
      </c>
      <c r="M1855">
        <v>11.007999999999999</v>
      </c>
      <c r="N1855">
        <v>10.923999999999999</v>
      </c>
      <c r="O1855" t="s">
        <v>303</v>
      </c>
      <c r="P1855">
        <f t="shared" si="28"/>
        <v>0</v>
      </c>
    </row>
    <row r="1856" spans="1:16" x14ac:dyDescent="0.25">
      <c r="A1856" t="s">
        <v>669</v>
      </c>
      <c r="B1856">
        <v>11.04</v>
      </c>
      <c r="C1856">
        <v>11.04</v>
      </c>
      <c r="D1856" t="s">
        <v>303</v>
      </c>
      <c r="E1856" t="s">
        <v>910</v>
      </c>
      <c r="F1856" t="s">
        <v>910</v>
      </c>
      <c r="J1856">
        <v>11.04</v>
      </c>
      <c r="K1856">
        <v>11.04</v>
      </c>
      <c r="L1856" t="s">
        <v>303</v>
      </c>
      <c r="M1856">
        <v>11.04</v>
      </c>
      <c r="N1856">
        <v>11.04</v>
      </c>
      <c r="O1856" t="s">
        <v>303</v>
      </c>
      <c r="P1856">
        <f t="shared" si="28"/>
        <v>0</v>
      </c>
    </row>
    <row r="1857" spans="1:16" x14ac:dyDescent="0.25">
      <c r="A1857" t="s">
        <v>669</v>
      </c>
      <c r="B1857">
        <v>11.06</v>
      </c>
      <c r="C1857">
        <v>11.06</v>
      </c>
      <c r="D1857" t="s">
        <v>303</v>
      </c>
      <c r="E1857" t="s">
        <v>910</v>
      </c>
      <c r="F1857" t="s">
        <v>910</v>
      </c>
      <c r="J1857">
        <v>11.06</v>
      </c>
      <c r="K1857">
        <v>11.06</v>
      </c>
      <c r="L1857" t="s">
        <v>303</v>
      </c>
      <c r="M1857">
        <v>11.06</v>
      </c>
      <c r="N1857">
        <v>11.06</v>
      </c>
      <c r="O1857" t="s">
        <v>303</v>
      </c>
      <c r="P1857">
        <f t="shared" si="28"/>
        <v>0</v>
      </c>
    </row>
    <row r="1858" spans="1:16" x14ac:dyDescent="0.25">
      <c r="A1858" t="s">
        <v>669</v>
      </c>
      <c r="B1858">
        <v>10.9</v>
      </c>
      <c r="C1858">
        <v>11.1</v>
      </c>
      <c r="D1858" t="s">
        <v>860</v>
      </c>
      <c r="E1858" t="s">
        <v>910</v>
      </c>
      <c r="F1858" t="s">
        <v>910</v>
      </c>
      <c r="J1858">
        <v>11.1</v>
      </c>
      <c r="K1858">
        <v>10.9</v>
      </c>
      <c r="L1858" t="s">
        <v>303</v>
      </c>
      <c r="M1858">
        <v>11.1</v>
      </c>
      <c r="N1858">
        <v>10.9</v>
      </c>
      <c r="O1858" t="s">
        <v>303</v>
      </c>
      <c r="P1858">
        <f t="shared" si="28"/>
        <v>0</v>
      </c>
    </row>
    <row r="1859" spans="1:16" x14ac:dyDescent="0.25">
      <c r="A1859" t="s">
        <v>669</v>
      </c>
      <c r="B1859">
        <v>11.12</v>
      </c>
      <c r="C1859">
        <v>11.13</v>
      </c>
      <c r="D1859" t="s">
        <v>303</v>
      </c>
      <c r="E1859" t="s">
        <v>910</v>
      </c>
      <c r="F1859" t="s">
        <v>910</v>
      </c>
      <c r="J1859">
        <v>11.13</v>
      </c>
      <c r="K1859">
        <v>11.12</v>
      </c>
      <c r="L1859" t="s">
        <v>303</v>
      </c>
      <c r="M1859">
        <v>11.13</v>
      </c>
      <c r="N1859">
        <v>11.12</v>
      </c>
      <c r="O1859" t="s">
        <v>303</v>
      </c>
      <c r="P1859">
        <f t="shared" ref="P1859:P1922" si="29">LEN(I1859)</f>
        <v>0</v>
      </c>
    </row>
    <row r="1860" spans="1:16" x14ac:dyDescent="0.25">
      <c r="A1860">
        <v>9.1</v>
      </c>
      <c r="B1860">
        <v>7.3</v>
      </c>
      <c r="C1860">
        <v>11.3</v>
      </c>
      <c r="D1860" t="s">
        <v>303</v>
      </c>
      <c r="E1860" t="s">
        <v>910</v>
      </c>
      <c r="F1860" t="s">
        <v>910</v>
      </c>
      <c r="J1860">
        <v>11.3</v>
      </c>
      <c r="K1860">
        <v>7.3</v>
      </c>
      <c r="L1860" t="s">
        <v>303</v>
      </c>
      <c r="M1860">
        <v>11.3</v>
      </c>
      <c r="N1860">
        <v>7.3</v>
      </c>
      <c r="O1860" t="s">
        <v>303</v>
      </c>
      <c r="P1860">
        <f t="shared" si="29"/>
        <v>0</v>
      </c>
    </row>
    <row r="1861" spans="1:16" x14ac:dyDescent="0.25">
      <c r="A1861" t="s">
        <v>669</v>
      </c>
      <c r="B1861">
        <v>11.35</v>
      </c>
      <c r="C1861">
        <v>11.35</v>
      </c>
      <c r="D1861" t="s">
        <v>303</v>
      </c>
      <c r="E1861" t="s">
        <v>910</v>
      </c>
      <c r="F1861" t="s">
        <v>910</v>
      </c>
      <c r="J1861">
        <v>11.35</v>
      </c>
      <c r="K1861">
        <v>11.35</v>
      </c>
      <c r="L1861" t="s">
        <v>303</v>
      </c>
      <c r="M1861">
        <v>11.35</v>
      </c>
      <c r="N1861">
        <v>11.35</v>
      </c>
      <c r="O1861" t="s">
        <v>303</v>
      </c>
      <c r="P1861">
        <f t="shared" si="29"/>
        <v>0</v>
      </c>
    </row>
    <row r="1862" spans="1:16" x14ac:dyDescent="0.25">
      <c r="A1862" t="s">
        <v>375</v>
      </c>
      <c r="B1862">
        <v>11.355</v>
      </c>
      <c r="C1862">
        <v>11.411</v>
      </c>
      <c r="D1862" t="s">
        <v>860</v>
      </c>
      <c r="E1862">
        <v>17</v>
      </c>
      <c r="F1862">
        <v>17</v>
      </c>
      <c r="G1862" t="s">
        <v>689</v>
      </c>
      <c r="H1862" t="s">
        <v>689</v>
      </c>
      <c r="J1862">
        <v>11.411</v>
      </c>
      <c r="K1862">
        <v>11.355</v>
      </c>
      <c r="L1862" t="s">
        <v>303</v>
      </c>
      <c r="M1862">
        <v>11.411</v>
      </c>
      <c r="N1862">
        <v>11.355</v>
      </c>
      <c r="O1862" t="s">
        <v>303</v>
      </c>
      <c r="P1862">
        <f t="shared" si="29"/>
        <v>0</v>
      </c>
    </row>
    <row r="1863" spans="1:16" x14ac:dyDescent="0.25">
      <c r="A1863" t="s">
        <v>669</v>
      </c>
      <c r="B1863">
        <v>11.46</v>
      </c>
      <c r="C1863">
        <v>11.46</v>
      </c>
      <c r="D1863" t="s">
        <v>303</v>
      </c>
      <c r="E1863" t="s">
        <v>910</v>
      </c>
      <c r="F1863" t="s">
        <v>910</v>
      </c>
      <c r="J1863">
        <v>11.46</v>
      </c>
      <c r="K1863">
        <v>11.46</v>
      </c>
      <c r="L1863" t="s">
        <v>303</v>
      </c>
      <c r="M1863">
        <v>11.46</v>
      </c>
      <c r="N1863">
        <v>11.46</v>
      </c>
      <c r="O1863" t="s">
        <v>303</v>
      </c>
      <c r="P1863">
        <f t="shared" si="29"/>
        <v>0</v>
      </c>
    </row>
    <row r="1864" spans="1:16" x14ac:dyDescent="0.25">
      <c r="A1864" t="s">
        <v>669</v>
      </c>
      <c r="B1864">
        <v>11.1</v>
      </c>
      <c r="C1864">
        <v>11.5</v>
      </c>
      <c r="D1864" t="s">
        <v>860</v>
      </c>
      <c r="E1864" t="s">
        <v>910</v>
      </c>
      <c r="F1864" t="s">
        <v>910</v>
      </c>
      <c r="J1864">
        <v>11.5</v>
      </c>
      <c r="K1864">
        <v>11.1</v>
      </c>
      <c r="L1864" t="s">
        <v>303</v>
      </c>
      <c r="M1864">
        <v>11.5</v>
      </c>
      <c r="N1864">
        <v>11.1</v>
      </c>
      <c r="O1864" t="s">
        <v>303</v>
      </c>
      <c r="P1864">
        <f t="shared" si="29"/>
        <v>0</v>
      </c>
    </row>
    <row r="1865" spans="1:16" x14ac:dyDescent="0.25">
      <c r="A1865" t="s">
        <v>669</v>
      </c>
      <c r="B1865">
        <v>2.6</v>
      </c>
      <c r="C1865">
        <v>11.6</v>
      </c>
      <c r="D1865" t="s">
        <v>303</v>
      </c>
      <c r="E1865" t="s">
        <v>910</v>
      </c>
      <c r="F1865" t="s">
        <v>910</v>
      </c>
      <c r="J1865">
        <v>11.6</v>
      </c>
      <c r="K1865">
        <v>2.6</v>
      </c>
      <c r="L1865" t="s">
        <v>303</v>
      </c>
      <c r="M1865">
        <v>11.6</v>
      </c>
      <c r="N1865">
        <v>2.6</v>
      </c>
      <c r="O1865" t="s">
        <v>303</v>
      </c>
      <c r="P1865">
        <f t="shared" si="29"/>
        <v>0</v>
      </c>
    </row>
    <row r="1866" spans="1:16" x14ac:dyDescent="0.25">
      <c r="A1866" t="s">
        <v>71</v>
      </c>
      <c r="B1866">
        <v>5.3</v>
      </c>
      <c r="C1866">
        <v>11.6</v>
      </c>
      <c r="D1866" t="s">
        <v>303</v>
      </c>
      <c r="E1866">
        <v>19</v>
      </c>
      <c r="F1866">
        <v>18</v>
      </c>
      <c r="G1866" t="s">
        <v>800</v>
      </c>
      <c r="H1866" t="s">
        <v>693</v>
      </c>
      <c r="J1866">
        <v>11.6</v>
      </c>
      <c r="K1866">
        <v>5.3</v>
      </c>
      <c r="L1866" t="s">
        <v>303</v>
      </c>
      <c r="M1866">
        <v>11.6</v>
      </c>
      <c r="N1866">
        <v>5.3</v>
      </c>
      <c r="O1866" t="s">
        <v>303</v>
      </c>
      <c r="P1866">
        <f t="shared" si="29"/>
        <v>0</v>
      </c>
    </row>
    <row r="1867" spans="1:16" x14ac:dyDescent="0.25">
      <c r="A1867" t="s">
        <v>669</v>
      </c>
      <c r="B1867">
        <v>5.3</v>
      </c>
      <c r="C1867">
        <v>11.6</v>
      </c>
      <c r="D1867" t="s">
        <v>303</v>
      </c>
      <c r="E1867" t="s">
        <v>910</v>
      </c>
      <c r="F1867" t="s">
        <v>910</v>
      </c>
      <c r="J1867">
        <v>11.6</v>
      </c>
      <c r="K1867">
        <v>5.3</v>
      </c>
      <c r="L1867" t="s">
        <v>303</v>
      </c>
      <c r="M1867">
        <v>11.6</v>
      </c>
      <c r="N1867">
        <v>5.3</v>
      </c>
      <c r="O1867" t="s">
        <v>303</v>
      </c>
      <c r="P1867">
        <f t="shared" si="29"/>
        <v>0</v>
      </c>
    </row>
    <row r="1868" spans="1:16" x14ac:dyDescent="0.25">
      <c r="A1868" t="s">
        <v>375</v>
      </c>
      <c r="B1868">
        <v>10.81</v>
      </c>
      <c r="C1868">
        <v>11.67</v>
      </c>
      <c r="D1868" t="s">
        <v>860</v>
      </c>
      <c r="E1868">
        <v>17</v>
      </c>
      <c r="F1868">
        <v>17</v>
      </c>
      <c r="G1868" t="s">
        <v>689</v>
      </c>
      <c r="H1868" t="s">
        <v>689</v>
      </c>
      <c r="J1868">
        <v>11.67</v>
      </c>
      <c r="K1868">
        <v>10.81</v>
      </c>
      <c r="L1868" t="s">
        <v>303</v>
      </c>
      <c r="M1868">
        <v>11.67</v>
      </c>
      <c r="N1868">
        <v>10.81</v>
      </c>
      <c r="O1868" t="s">
        <v>303</v>
      </c>
      <c r="P1868">
        <f t="shared" si="29"/>
        <v>0</v>
      </c>
    </row>
    <row r="1869" spans="1:16" x14ac:dyDescent="0.25">
      <c r="A1869" t="s">
        <v>669</v>
      </c>
      <c r="B1869">
        <v>11.4</v>
      </c>
      <c r="C1869">
        <v>11.7</v>
      </c>
      <c r="D1869" t="s">
        <v>303</v>
      </c>
      <c r="E1869" t="s">
        <v>910</v>
      </c>
      <c r="F1869" t="s">
        <v>910</v>
      </c>
      <c r="J1869">
        <v>11.7</v>
      </c>
      <c r="K1869">
        <v>11.4</v>
      </c>
      <c r="L1869" t="s">
        <v>303</v>
      </c>
      <c r="M1869">
        <v>11.7</v>
      </c>
      <c r="N1869">
        <v>11.4</v>
      </c>
      <c r="O1869" t="s">
        <v>303</v>
      </c>
      <c r="P1869">
        <f t="shared" si="29"/>
        <v>0</v>
      </c>
    </row>
    <row r="1870" spans="1:16" x14ac:dyDescent="0.25">
      <c r="A1870" t="s">
        <v>669</v>
      </c>
      <c r="B1870">
        <v>11.69</v>
      </c>
      <c r="C1870">
        <v>11.71</v>
      </c>
      <c r="D1870" t="s">
        <v>303</v>
      </c>
      <c r="E1870" t="s">
        <v>910</v>
      </c>
      <c r="F1870" t="s">
        <v>910</v>
      </c>
      <c r="J1870">
        <v>11.71</v>
      </c>
      <c r="K1870">
        <v>11.69</v>
      </c>
      <c r="L1870" t="s">
        <v>303</v>
      </c>
      <c r="M1870">
        <v>11.71</v>
      </c>
      <c r="N1870">
        <v>11.69</v>
      </c>
      <c r="O1870" t="s">
        <v>303</v>
      </c>
      <c r="P1870">
        <f t="shared" si="29"/>
        <v>0</v>
      </c>
    </row>
    <row r="1871" spans="1:16" x14ac:dyDescent="0.25">
      <c r="A1871" t="s">
        <v>669</v>
      </c>
      <c r="B1871">
        <v>11.71</v>
      </c>
      <c r="C1871">
        <v>11.72</v>
      </c>
      <c r="D1871" t="s">
        <v>303</v>
      </c>
      <c r="E1871" t="s">
        <v>910</v>
      </c>
      <c r="F1871" t="s">
        <v>910</v>
      </c>
      <c r="J1871">
        <v>11.72</v>
      </c>
      <c r="K1871">
        <v>11.71</v>
      </c>
      <c r="L1871" t="s">
        <v>303</v>
      </c>
      <c r="M1871">
        <v>11.72</v>
      </c>
      <c r="N1871">
        <v>11.71</v>
      </c>
      <c r="O1871" t="s">
        <v>303</v>
      </c>
      <c r="P1871">
        <f t="shared" si="29"/>
        <v>0</v>
      </c>
    </row>
    <row r="1872" spans="1:16" x14ac:dyDescent="0.25">
      <c r="A1872" t="s">
        <v>669</v>
      </c>
      <c r="B1872">
        <v>11.75</v>
      </c>
      <c r="C1872">
        <v>11.76</v>
      </c>
      <c r="D1872" t="s">
        <v>303</v>
      </c>
      <c r="E1872" t="s">
        <v>910</v>
      </c>
      <c r="F1872" t="s">
        <v>910</v>
      </c>
      <c r="J1872">
        <v>11.76</v>
      </c>
      <c r="K1872">
        <v>11.75</v>
      </c>
      <c r="L1872" t="s">
        <v>303</v>
      </c>
      <c r="M1872">
        <v>11.76</v>
      </c>
      <c r="N1872">
        <v>11.75</v>
      </c>
      <c r="O1872" t="s">
        <v>303</v>
      </c>
      <c r="P1872">
        <f t="shared" si="29"/>
        <v>0</v>
      </c>
    </row>
    <row r="1873" spans="1:16" x14ac:dyDescent="0.25">
      <c r="A1873" t="s">
        <v>669</v>
      </c>
      <c r="B1873">
        <v>11.85</v>
      </c>
      <c r="C1873">
        <v>11.86</v>
      </c>
      <c r="D1873" t="s">
        <v>303</v>
      </c>
      <c r="E1873" t="s">
        <v>910</v>
      </c>
      <c r="F1873" t="s">
        <v>910</v>
      </c>
      <c r="J1873">
        <v>11.86</v>
      </c>
      <c r="K1873">
        <v>11.85</v>
      </c>
      <c r="L1873" t="s">
        <v>303</v>
      </c>
      <c r="M1873">
        <v>11.86</v>
      </c>
      <c r="N1873">
        <v>11.85</v>
      </c>
      <c r="O1873" t="s">
        <v>303</v>
      </c>
      <c r="P1873">
        <f t="shared" si="29"/>
        <v>0</v>
      </c>
    </row>
    <row r="1874" spans="1:16" x14ac:dyDescent="0.25">
      <c r="A1874" t="s">
        <v>260</v>
      </c>
      <c r="B1874">
        <v>11.5</v>
      </c>
      <c r="C1874">
        <v>11.9</v>
      </c>
      <c r="D1874" t="s">
        <v>303</v>
      </c>
      <c r="E1874">
        <v>19</v>
      </c>
      <c r="F1874">
        <v>18</v>
      </c>
      <c r="G1874" t="s">
        <v>800</v>
      </c>
      <c r="H1874" t="s">
        <v>693</v>
      </c>
      <c r="J1874">
        <v>11.9</v>
      </c>
      <c r="K1874">
        <v>11.5</v>
      </c>
      <c r="L1874" t="s">
        <v>303</v>
      </c>
      <c r="M1874">
        <v>11.9</v>
      </c>
      <c r="N1874">
        <v>11.5</v>
      </c>
      <c r="O1874" t="s">
        <v>303</v>
      </c>
      <c r="P1874">
        <f t="shared" si="29"/>
        <v>0</v>
      </c>
    </row>
    <row r="1875" spans="1:16" x14ac:dyDescent="0.25">
      <c r="A1875" t="s">
        <v>669</v>
      </c>
      <c r="B1875">
        <v>11.89</v>
      </c>
      <c r="C1875">
        <v>11.9</v>
      </c>
      <c r="D1875" t="s">
        <v>303</v>
      </c>
      <c r="E1875" t="s">
        <v>910</v>
      </c>
      <c r="F1875" t="s">
        <v>910</v>
      </c>
      <c r="J1875">
        <v>11.9</v>
      </c>
      <c r="K1875">
        <v>11.89</v>
      </c>
      <c r="L1875" t="s">
        <v>303</v>
      </c>
      <c r="M1875">
        <v>11.9</v>
      </c>
      <c r="N1875">
        <v>11.89</v>
      </c>
      <c r="O1875" t="s">
        <v>303</v>
      </c>
      <c r="P1875">
        <f t="shared" si="29"/>
        <v>0</v>
      </c>
    </row>
    <row r="1876" spans="1:16" x14ac:dyDescent="0.25">
      <c r="A1876" t="s">
        <v>669</v>
      </c>
      <c r="B1876">
        <v>11.92</v>
      </c>
      <c r="C1876">
        <v>11.93</v>
      </c>
      <c r="D1876" t="s">
        <v>303</v>
      </c>
      <c r="E1876" t="s">
        <v>910</v>
      </c>
      <c r="F1876" t="s">
        <v>910</v>
      </c>
      <c r="J1876">
        <v>11.93</v>
      </c>
      <c r="K1876">
        <v>11.92</v>
      </c>
      <c r="L1876" t="s">
        <v>303</v>
      </c>
      <c r="M1876">
        <v>11.93</v>
      </c>
      <c r="N1876">
        <v>11.92</v>
      </c>
      <c r="O1876" t="s">
        <v>303</v>
      </c>
      <c r="P1876">
        <f t="shared" si="29"/>
        <v>0</v>
      </c>
    </row>
    <row r="1877" spans="1:16" x14ac:dyDescent="0.25">
      <c r="A1877" t="s">
        <v>669</v>
      </c>
      <c r="B1877">
        <v>11.94</v>
      </c>
      <c r="C1877">
        <v>11.94</v>
      </c>
      <c r="D1877" t="s">
        <v>303</v>
      </c>
      <c r="E1877" t="s">
        <v>910</v>
      </c>
      <c r="F1877" t="s">
        <v>910</v>
      </c>
      <c r="J1877">
        <v>11.94</v>
      </c>
      <c r="K1877">
        <v>11.94</v>
      </c>
      <c r="L1877" t="s">
        <v>303</v>
      </c>
      <c r="M1877">
        <v>11.94</v>
      </c>
      <c r="N1877">
        <v>11.94</v>
      </c>
      <c r="O1877" t="s">
        <v>303</v>
      </c>
      <c r="P1877">
        <f t="shared" si="29"/>
        <v>0</v>
      </c>
    </row>
    <row r="1878" spans="1:16" x14ac:dyDescent="0.25">
      <c r="A1878" t="s">
        <v>375</v>
      </c>
      <c r="B1878">
        <v>6.1</v>
      </c>
      <c r="C1878">
        <v>12</v>
      </c>
      <c r="D1878" t="s">
        <v>860</v>
      </c>
      <c r="E1878">
        <v>17</v>
      </c>
      <c r="F1878">
        <v>17</v>
      </c>
      <c r="G1878" t="s">
        <v>689</v>
      </c>
      <c r="H1878" t="s">
        <v>689</v>
      </c>
      <c r="J1878">
        <v>12</v>
      </c>
      <c r="K1878">
        <v>6.1</v>
      </c>
      <c r="L1878" t="s">
        <v>303</v>
      </c>
      <c r="M1878">
        <v>12</v>
      </c>
      <c r="N1878">
        <v>6.1</v>
      </c>
      <c r="O1878" t="s">
        <v>303</v>
      </c>
      <c r="P1878">
        <f t="shared" si="29"/>
        <v>0</v>
      </c>
    </row>
    <row r="1879" spans="1:16" x14ac:dyDescent="0.25">
      <c r="A1879" t="s">
        <v>669</v>
      </c>
      <c r="B1879">
        <v>8</v>
      </c>
      <c r="C1879">
        <v>12</v>
      </c>
      <c r="D1879" t="s">
        <v>303</v>
      </c>
      <c r="E1879" t="s">
        <v>910</v>
      </c>
      <c r="F1879" t="s">
        <v>910</v>
      </c>
      <c r="J1879">
        <v>12</v>
      </c>
      <c r="K1879">
        <v>8</v>
      </c>
      <c r="L1879" t="s">
        <v>303</v>
      </c>
      <c r="M1879">
        <v>12</v>
      </c>
      <c r="N1879">
        <v>8</v>
      </c>
      <c r="O1879" t="s">
        <v>303</v>
      </c>
      <c r="P1879">
        <f t="shared" si="29"/>
        <v>0</v>
      </c>
    </row>
    <row r="1880" spans="1:16" x14ac:dyDescent="0.25">
      <c r="A1880" t="s">
        <v>669</v>
      </c>
      <c r="B1880">
        <v>11</v>
      </c>
      <c r="C1880">
        <v>12</v>
      </c>
      <c r="D1880" t="s">
        <v>303</v>
      </c>
      <c r="E1880" t="s">
        <v>910</v>
      </c>
      <c r="F1880" t="s">
        <v>910</v>
      </c>
      <c r="J1880">
        <v>12</v>
      </c>
      <c r="K1880">
        <v>11</v>
      </c>
      <c r="L1880" t="s">
        <v>303</v>
      </c>
      <c r="M1880">
        <v>12</v>
      </c>
      <c r="N1880">
        <v>11</v>
      </c>
      <c r="O1880" t="s">
        <v>303</v>
      </c>
      <c r="P1880">
        <f t="shared" si="29"/>
        <v>0</v>
      </c>
    </row>
    <row r="1881" spans="1:16" x14ac:dyDescent="0.25">
      <c r="A1881" t="s">
        <v>669</v>
      </c>
      <c r="B1881">
        <v>11</v>
      </c>
      <c r="C1881">
        <v>12</v>
      </c>
      <c r="D1881" t="s">
        <v>669</v>
      </c>
      <c r="E1881" t="s">
        <v>910</v>
      </c>
      <c r="F1881" t="s">
        <v>910</v>
      </c>
      <c r="I1881" t="s">
        <v>927</v>
      </c>
      <c r="J1881">
        <v>12</v>
      </c>
      <c r="K1881">
        <v>11</v>
      </c>
      <c r="L1881" t="s">
        <v>930</v>
      </c>
      <c r="M1881">
        <v>12</v>
      </c>
      <c r="N1881">
        <v>11</v>
      </c>
      <c r="P1881">
        <f t="shared" si="29"/>
        <v>14</v>
      </c>
    </row>
    <row r="1882" spans="1:16" x14ac:dyDescent="0.25">
      <c r="A1882" t="s">
        <v>669</v>
      </c>
      <c r="B1882" s="6">
        <v>12.018045674740399</v>
      </c>
      <c r="C1882" s="6">
        <v>12.018045674740399</v>
      </c>
      <c r="D1882" t="s">
        <v>303</v>
      </c>
      <c r="E1882" t="s">
        <v>910</v>
      </c>
      <c r="F1882" t="s">
        <v>910</v>
      </c>
      <c r="J1882">
        <v>12.018045674740399</v>
      </c>
      <c r="K1882">
        <v>12.018045674740399</v>
      </c>
      <c r="L1882" t="s">
        <v>303</v>
      </c>
      <c r="M1882">
        <v>12.018045674740399</v>
      </c>
      <c r="N1882">
        <v>12.018045674740399</v>
      </c>
      <c r="O1882" t="s">
        <v>303</v>
      </c>
      <c r="P1882">
        <f t="shared" si="29"/>
        <v>0</v>
      </c>
    </row>
    <row r="1883" spans="1:16" x14ac:dyDescent="0.25">
      <c r="A1883" t="s">
        <v>375</v>
      </c>
      <c r="B1883">
        <v>11.79</v>
      </c>
      <c r="C1883">
        <v>12.07</v>
      </c>
      <c r="D1883" t="s">
        <v>860</v>
      </c>
      <c r="E1883">
        <v>17</v>
      </c>
      <c r="F1883">
        <v>17</v>
      </c>
      <c r="G1883" t="s">
        <v>689</v>
      </c>
      <c r="H1883" t="s">
        <v>689</v>
      </c>
      <c r="J1883">
        <v>12.07</v>
      </c>
      <c r="K1883">
        <v>11.79</v>
      </c>
      <c r="L1883" t="s">
        <v>303</v>
      </c>
      <c r="M1883">
        <v>12.07</v>
      </c>
      <c r="N1883">
        <v>11.79</v>
      </c>
      <c r="O1883" t="s">
        <v>303</v>
      </c>
      <c r="P1883">
        <f t="shared" si="29"/>
        <v>0</v>
      </c>
    </row>
    <row r="1884" spans="1:16" x14ac:dyDescent="0.25">
      <c r="A1884" t="s">
        <v>669</v>
      </c>
      <c r="B1884">
        <v>12.17</v>
      </c>
      <c r="C1884">
        <v>12.17</v>
      </c>
      <c r="D1884" t="s">
        <v>303</v>
      </c>
      <c r="E1884" t="s">
        <v>910</v>
      </c>
      <c r="F1884" t="s">
        <v>910</v>
      </c>
      <c r="J1884">
        <v>12.17</v>
      </c>
      <c r="K1884">
        <v>12.17</v>
      </c>
      <c r="L1884" t="s">
        <v>303</v>
      </c>
      <c r="M1884">
        <v>12.17</v>
      </c>
      <c r="N1884">
        <v>12.17</v>
      </c>
      <c r="O1884" t="s">
        <v>303</v>
      </c>
      <c r="P1884">
        <f t="shared" si="29"/>
        <v>0</v>
      </c>
    </row>
    <row r="1885" spans="1:16" x14ac:dyDescent="0.25">
      <c r="A1885">
        <v>10</v>
      </c>
      <c r="B1885">
        <v>8.1</v>
      </c>
      <c r="C1885">
        <v>12.3</v>
      </c>
      <c r="D1885" t="s">
        <v>303</v>
      </c>
      <c r="E1885" t="s">
        <v>910</v>
      </c>
      <c r="F1885" t="s">
        <v>910</v>
      </c>
      <c r="J1885">
        <v>12.3</v>
      </c>
      <c r="K1885">
        <v>8.1</v>
      </c>
      <c r="L1885" t="s">
        <v>303</v>
      </c>
      <c r="M1885">
        <v>12.3</v>
      </c>
      <c r="N1885">
        <v>8.1</v>
      </c>
      <c r="O1885" t="s">
        <v>303</v>
      </c>
      <c r="P1885">
        <f t="shared" si="29"/>
        <v>0</v>
      </c>
    </row>
    <row r="1886" spans="1:16" x14ac:dyDescent="0.25">
      <c r="A1886" t="s">
        <v>669</v>
      </c>
      <c r="B1886">
        <v>12.37</v>
      </c>
      <c r="C1886">
        <v>12.39</v>
      </c>
      <c r="D1886" t="s">
        <v>303</v>
      </c>
      <c r="E1886" t="s">
        <v>910</v>
      </c>
      <c r="F1886" t="s">
        <v>910</v>
      </c>
      <c r="J1886">
        <v>12.39</v>
      </c>
      <c r="K1886">
        <v>12.37</v>
      </c>
      <c r="L1886" t="s">
        <v>303</v>
      </c>
      <c r="M1886">
        <v>12.39</v>
      </c>
      <c r="N1886">
        <v>12.37</v>
      </c>
      <c r="O1886" t="s">
        <v>303</v>
      </c>
      <c r="P1886">
        <f t="shared" si="29"/>
        <v>0</v>
      </c>
    </row>
    <row r="1887" spans="1:16" x14ac:dyDescent="0.25">
      <c r="A1887" t="s">
        <v>375</v>
      </c>
      <c r="B1887">
        <v>12.2</v>
      </c>
      <c r="C1887">
        <v>12.4</v>
      </c>
      <c r="D1887" t="s">
        <v>669</v>
      </c>
      <c r="E1887">
        <v>17</v>
      </c>
      <c r="F1887">
        <v>17</v>
      </c>
      <c r="G1887" t="s">
        <v>689</v>
      </c>
      <c r="H1887" t="s">
        <v>689</v>
      </c>
      <c r="I1887" t="s">
        <v>927</v>
      </c>
      <c r="J1887">
        <v>12.4</v>
      </c>
      <c r="K1887">
        <v>12.2</v>
      </c>
      <c r="L1887" t="s">
        <v>930</v>
      </c>
      <c r="M1887">
        <v>12.4</v>
      </c>
      <c r="N1887">
        <v>12.2</v>
      </c>
      <c r="P1887">
        <f t="shared" si="29"/>
        <v>14</v>
      </c>
    </row>
    <row r="1888" spans="1:16" x14ac:dyDescent="0.25">
      <c r="A1888" t="s">
        <v>669</v>
      </c>
      <c r="B1888">
        <v>12.44</v>
      </c>
      <c r="C1888">
        <v>12.44</v>
      </c>
      <c r="D1888" t="s">
        <v>303</v>
      </c>
      <c r="E1888" t="s">
        <v>910</v>
      </c>
      <c r="F1888" t="s">
        <v>910</v>
      </c>
      <c r="J1888">
        <v>12.44</v>
      </c>
      <c r="K1888">
        <v>12.44</v>
      </c>
      <c r="L1888" t="s">
        <v>303</v>
      </c>
      <c r="M1888">
        <v>12.44</v>
      </c>
      <c r="N1888">
        <v>12.44</v>
      </c>
      <c r="O1888" t="s">
        <v>303</v>
      </c>
      <c r="P1888">
        <f t="shared" si="29"/>
        <v>0</v>
      </c>
    </row>
    <row r="1889" spans="1:16" x14ac:dyDescent="0.25">
      <c r="A1889">
        <v>9.6999999999999993</v>
      </c>
      <c r="B1889">
        <v>7.7</v>
      </c>
      <c r="C1889">
        <v>12.5</v>
      </c>
      <c r="D1889" t="s">
        <v>303</v>
      </c>
      <c r="E1889" t="s">
        <v>910</v>
      </c>
      <c r="F1889" t="s">
        <v>910</v>
      </c>
      <c r="J1889">
        <v>12.5</v>
      </c>
      <c r="K1889">
        <v>7.7</v>
      </c>
      <c r="L1889" t="s">
        <v>303</v>
      </c>
      <c r="M1889">
        <v>12.5</v>
      </c>
      <c r="N1889">
        <v>7.7</v>
      </c>
      <c r="O1889" t="s">
        <v>303</v>
      </c>
      <c r="P1889">
        <f t="shared" si="29"/>
        <v>0</v>
      </c>
    </row>
    <row r="1890" spans="1:16" x14ac:dyDescent="0.25">
      <c r="A1890" t="s">
        <v>669</v>
      </c>
      <c r="B1890">
        <v>11.9</v>
      </c>
      <c r="C1890">
        <v>12.5</v>
      </c>
      <c r="D1890" t="s">
        <v>860</v>
      </c>
      <c r="E1890" t="s">
        <v>910</v>
      </c>
      <c r="F1890" t="s">
        <v>910</v>
      </c>
      <c r="J1890">
        <v>12.5</v>
      </c>
      <c r="K1890">
        <v>11.9</v>
      </c>
      <c r="L1890" t="s">
        <v>303</v>
      </c>
      <c r="M1890">
        <v>12.5</v>
      </c>
      <c r="N1890">
        <v>11.9</v>
      </c>
      <c r="O1890" t="s">
        <v>303</v>
      </c>
      <c r="P1890">
        <f t="shared" si="29"/>
        <v>0</v>
      </c>
    </row>
    <row r="1891" spans="1:16" x14ac:dyDescent="0.25">
      <c r="A1891" t="s">
        <v>669</v>
      </c>
      <c r="B1891">
        <v>12.48</v>
      </c>
      <c r="C1891">
        <v>12.5</v>
      </c>
      <c r="D1891" t="s">
        <v>303</v>
      </c>
      <c r="E1891" t="s">
        <v>910</v>
      </c>
      <c r="F1891" t="s">
        <v>910</v>
      </c>
      <c r="J1891">
        <v>12.5</v>
      </c>
      <c r="K1891">
        <v>12.48</v>
      </c>
      <c r="L1891" t="s">
        <v>303</v>
      </c>
      <c r="M1891">
        <v>12.5</v>
      </c>
      <c r="N1891">
        <v>12.48</v>
      </c>
      <c r="O1891" t="s">
        <v>303</v>
      </c>
      <c r="P1891">
        <f t="shared" si="29"/>
        <v>0</v>
      </c>
    </row>
    <row r="1892" spans="1:16" x14ac:dyDescent="0.25">
      <c r="A1892" t="s">
        <v>669</v>
      </c>
      <c r="B1892">
        <v>12.77</v>
      </c>
      <c r="C1892">
        <v>12.77</v>
      </c>
      <c r="D1892" t="s">
        <v>303</v>
      </c>
      <c r="E1892" t="s">
        <v>910</v>
      </c>
      <c r="F1892" t="s">
        <v>910</v>
      </c>
      <c r="J1892">
        <v>12.77</v>
      </c>
      <c r="K1892">
        <v>12.77</v>
      </c>
      <c r="L1892" t="s">
        <v>303</v>
      </c>
      <c r="M1892">
        <v>12.77</v>
      </c>
      <c r="N1892">
        <v>12.77</v>
      </c>
      <c r="O1892" t="s">
        <v>303</v>
      </c>
      <c r="P1892">
        <f t="shared" si="29"/>
        <v>0</v>
      </c>
    </row>
    <row r="1893" spans="1:16" x14ac:dyDescent="0.25">
      <c r="A1893" t="s">
        <v>669</v>
      </c>
      <c r="B1893">
        <v>12.78</v>
      </c>
      <c r="C1893">
        <v>12.78</v>
      </c>
      <c r="D1893" t="s">
        <v>303</v>
      </c>
      <c r="E1893" t="s">
        <v>910</v>
      </c>
      <c r="F1893" t="s">
        <v>910</v>
      </c>
      <c r="J1893">
        <v>12.78</v>
      </c>
      <c r="K1893">
        <v>12.78</v>
      </c>
      <c r="L1893" t="s">
        <v>303</v>
      </c>
      <c r="M1893">
        <v>12.78</v>
      </c>
      <c r="N1893">
        <v>12.78</v>
      </c>
      <c r="O1893" t="s">
        <v>303</v>
      </c>
      <c r="P1893">
        <f t="shared" si="29"/>
        <v>0</v>
      </c>
    </row>
    <row r="1894" spans="1:16" x14ac:dyDescent="0.25">
      <c r="A1894" t="s">
        <v>375</v>
      </c>
      <c r="B1894">
        <v>12.69</v>
      </c>
      <c r="C1894">
        <v>12.79</v>
      </c>
      <c r="D1894" t="s">
        <v>860</v>
      </c>
      <c r="E1894">
        <v>17</v>
      </c>
      <c r="F1894">
        <v>17</v>
      </c>
      <c r="G1894" t="s">
        <v>689</v>
      </c>
      <c r="H1894" t="s">
        <v>689</v>
      </c>
      <c r="J1894">
        <v>12.79</v>
      </c>
      <c r="K1894">
        <v>12.69</v>
      </c>
      <c r="L1894" t="s">
        <v>303</v>
      </c>
      <c r="M1894">
        <v>12.79</v>
      </c>
      <c r="N1894">
        <v>12.69</v>
      </c>
      <c r="O1894" t="s">
        <v>303</v>
      </c>
      <c r="P1894">
        <f t="shared" si="29"/>
        <v>0</v>
      </c>
    </row>
    <row r="1895" spans="1:16" x14ac:dyDescent="0.25">
      <c r="A1895" t="s">
        <v>669</v>
      </c>
      <c r="B1895">
        <v>6.5</v>
      </c>
      <c r="C1895">
        <v>13</v>
      </c>
      <c r="D1895" t="s">
        <v>860</v>
      </c>
      <c r="E1895" t="s">
        <v>910</v>
      </c>
      <c r="F1895" t="s">
        <v>910</v>
      </c>
      <c r="J1895">
        <v>13</v>
      </c>
      <c r="K1895">
        <v>6.5</v>
      </c>
      <c r="L1895" t="s">
        <v>303</v>
      </c>
      <c r="M1895">
        <v>13</v>
      </c>
      <c r="N1895">
        <v>6.5</v>
      </c>
      <c r="O1895" t="s">
        <v>303</v>
      </c>
      <c r="P1895">
        <f t="shared" si="29"/>
        <v>0</v>
      </c>
    </row>
    <row r="1896" spans="1:16" x14ac:dyDescent="0.25">
      <c r="A1896" t="s">
        <v>669</v>
      </c>
      <c r="B1896">
        <v>6.5</v>
      </c>
      <c r="C1896">
        <v>13</v>
      </c>
      <c r="D1896" t="s">
        <v>669</v>
      </c>
      <c r="E1896" t="s">
        <v>910</v>
      </c>
      <c r="F1896" t="s">
        <v>910</v>
      </c>
      <c r="I1896" t="s">
        <v>927</v>
      </c>
      <c r="J1896">
        <v>13</v>
      </c>
      <c r="K1896">
        <v>6.5</v>
      </c>
      <c r="L1896" t="s">
        <v>930</v>
      </c>
      <c r="M1896">
        <v>13</v>
      </c>
      <c r="N1896">
        <v>6.5</v>
      </c>
      <c r="P1896">
        <f t="shared" si="29"/>
        <v>14</v>
      </c>
    </row>
    <row r="1897" spans="1:16" x14ac:dyDescent="0.25">
      <c r="A1897" t="s">
        <v>669</v>
      </c>
      <c r="B1897">
        <v>10</v>
      </c>
      <c r="C1897">
        <v>13</v>
      </c>
      <c r="D1897" t="s">
        <v>860</v>
      </c>
      <c r="E1897" t="s">
        <v>910</v>
      </c>
      <c r="F1897" t="s">
        <v>910</v>
      </c>
      <c r="J1897">
        <v>13</v>
      </c>
      <c r="K1897">
        <v>10</v>
      </c>
      <c r="L1897" t="s">
        <v>303</v>
      </c>
      <c r="M1897">
        <v>13</v>
      </c>
      <c r="N1897">
        <v>10</v>
      </c>
      <c r="O1897" t="s">
        <v>303</v>
      </c>
      <c r="P1897">
        <f t="shared" si="29"/>
        <v>0</v>
      </c>
    </row>
    <row r="1898" spans="1:16" x14ac:dyDescent="0.25">
      <c r="A1898" t="s">
        <v>669</v>
      </c>
      <c r="B1898">
        <v>13</v>
      </c>
      <c r="C1898">
        <v>13</v>
      </c>
      <c r="D1898" t="s">
        <v>303</v>
      </c>
      <c r="E1898" t="s">
        <v>910</v>
      </c>
      <c r="F1898" t="s">
        <v>910</v>
      </c>
      <c r="J1898">
        <v>13</v>
      </c>
      <c r="K1898">
        <v>13</v>
      </c>
      <c r="L1898" t="s">
        <v>303</v>
      </c>
      <c r="M1898">
        <v>13</v>
      </c>
      <c r="N1898">
        <v>13</v>
      </c>
      <c r="O1898" t="s">
        <v>303</v>
      </c>
      <c r="P1898">
        <f t="shared" si="29"/>
        <v>0</v>
      </c>
    </row>
    <row r="1899" spans="1:16" x14ac:dyDescent="0.25">
      <c r="A1899" t="s">
        <v>669</v>
      </c>
      <c r="B1899">
        <v>13.06</v>
      </c>
      <c r="C1899">
        <v>13.06</v>
      </c>
      <c r="D1899" t="s">
        <v>303</v>
      </c>
      <c r="E1899" t="s">
        <v>910</v>
      </c>
      <c r="F1899" t="s">
        <v>910</v>
      </c>
      <c r="J1899">
        <v>13.06</v>
      </c>
      <c r="K1899">
        <v>13.06</v>
      </c>
      <c r="L1899" t="s">
        <v>303</v>
      </c>
      <c r="M1899">
        <v>13.06</v>
      </c>
      <c r="N1899">
        <v>13.06</v>
      </c>
      <c r="O1899" t="s">
        <v>303</v>
      </c>
      <c r="P1899">
        <f t="shared" si="29"/>
        <v>0</v>
      </c>
    </row>
    <row r="1900" spans="1:16" x14ac:dyDescent="0.25">
      <c r="A1900" t="s">
        <v>375</v>
      </c>
      <c r="B1900">
        <v>12.3</v>
      </c>
      <c r="C1900">
        <v>13.1</v>
      </c>
      <c r="D1900" t="s">
        <v>303</v>
      </c>
      <c r="E1900">
        <v>17</v>
      </c>
      <c r="F1900">
        <v>17</v>
      </c>
      <c r="G1900" t="s">
        <v>689</v>
      </c>
      <c r="H1900" t="s">
        <v>689</v>
      </c>
      <c r="J1900">
        <v>13.1</v>
      </c>
      <c r="K1900">
        <v>12.3</v>
      </c>
      <c r="L1900" t="s">
        <v>303</v>
      </c>
      <c r="M1900">
        <v>13.1</v>
      </c>
      <c r="N1900">
        <v>12.3</v>
      </c>
      <c r="O1900" t="s">
        <v>303</v>
      </c>
      <c r="P1900">
        <f t="shared" si="29"/>
        <v>0</v>
      </c>
    </row>
    <row r="1901" spans="1:16" x14ac:dyDescent="0.25">
      <c r="A1901" t="s">
        <v>669</v>
      </c>
      <c r="B1901">
        <v>12.1</v>
      </c>
      <c r="C1901">
        <v>13.2</v>
      </c>
      <c r="D1901" t="s">
        <v>860</v>
      </c>
      <c r="E1901" t="s">
        <v>910</v>
      </c>
      <c r="F1901" t="s">
        <v>910</v>
      </c>
      <c r="J1901">
        <v>13.2</v>
      </c>
      <c r="K1901">
        <v>12.1</v>
      </c>
      <c r="L1901" t="s">
        <v>303</v>
      </c>
      <c r="M1901">
        <v>13.2</v>
      </c>
      <c r="N1901">
        <v>12.1</v>
      </c>
      <c r="O1901" t="s">
        <v>303</v>
      </c>
      <c r="P1901">
        <f t="shared" si="29"/>
        <v>0</v>
      </c>
    </row>
    <row r="1902" spans="1:16" x14ac:dyDescent="0.25">
      <c r="A1902" t="s">
        <v>379</v>
      </c>
      <c r="B1902">
        <v>13.27</v>
      </c>
      <c r="C1902">
        <v>13.29</v>
      </c>
      <c r="D1902">
        <v>13.28</v>
      </c>
      <c r="E1902">
        <v>20</v>
      </c>
      <c r="F1902">
        <v>20</v>
      </c>
      <c r="G1902" t="s">
        <v>786</v>
      </c>
      <c r="H1902" t="s">
        <v>786</v>
      </c>
      <c r="J1902">
        <v>13.29</v>
      </c>
      <c r="K1902">
        <v>13.27</v>
      </c>
      <c r="L1902" t="s">
        <v>303</v>
      </c>
      <c r="M1902">
        <v>13.29</v>
      </c>
      <c r="N1902">
        <v>13.27</v>
      </c>
      <c r="O1902" t="s">
        <v>303</v>
      </c>
      <c r="P1902">
        <f t="shared" si="29"/>
        <v>0</v>
      </c>
    </row>
    <row r="1903" spans="1:16" x14ac:dyDescent="0.25">
      <c r="A1903" t="s">
        <v>375</v>
      </c>
      <c r="B1903">
        <v>11.1</v>
      </c>
      <c r="C1903">
        <v>13.5</v>
      </c>
      <c r="D1903" t="s">
        <v>860</v>
      </c>
      <c r="E1903">
        <v>17</v>
      </c>
      <c r="F1903">
        <v>17</v>
      </c>
      <c r="G1903" t="s">
        <v>689</v>
      </c>
      <c r="H1903" t="s">
        <v>689</v>
      </c>
      <c r="J1903">
        <v>13.5</v>
      </c>
      <c r="K1903">
        <v>11.1</v>
      </c>
      <c r="L1903" t="s">
        <v>303</v>
      </c>
      <c r="M1903">
        <v>13.5</v>
      </c>
      <c r="N1903">
        <v>11.1</v>
      </c>
      <c r="O1903" t="s">
        <v>303</v>
      </c>
      <c r="P1903">
        <f t="shared" si="29"/>
        <v>0</v>
      </c>
    </row>
    <row r="1904" spans="1:16" x14ac:dyDescent="0.25">
      <c r="A1904" t="s">
        <v>669</v>
      </c>
      <c r="B1904">
        <v>13.01</v>
      </c>
      <c r="C1904">
        <v>13.53</v>
      </c>
      <c r="D1904" t="s">
        <v>303</v>
      </c>
      <c r="E1904" t="s">
        <v>910</v>
      </c>
      <c r="F1904" t="s">
        <v>910</v>
      </c>
      <c r="J1904">
        <v>13.53</v>
      </c>
      <c r="K1904">
        <v>13.01</v>
      </c>
      <c r="L1904" t="s">
        <v>303</v>
      </c>
      <c r="M1904">
        <v>13.53</v>
      </c>
      <c r="N1904">
        <v>13.01</v>
      </c>
      <c r="O1904" t="s">
        <v>303</v>
      </c>
      <c r="P1904">
        <f t="shared" si="29"/>
        <v>0</v>
      </c>
    </row>
    <row r="1905" spans="1:16" x14ac:dyDescent="0.25">
      <c r="A1905">
        <v>5</v>
      </c>
      <c r="B1905">
        <v>1.8</v>
      </c>
      <c r="C1905">
        <v>13.6</v>
      </c>
      <c r="D1905" t="s">
        <v>303</v>
      </c>
      <c r="E1905" t="s">
        <v>910</v>
      </c>
      <c r="F1905" t="s">
        <v>910</v>
      </c>
      <c r="J1905">
        <v>13.6</v>
      </c>
      <c r="K1905">
        <v>1.8</v>
      </c>
      <c r="L1905" t="s">
        <v>303</v>
      </c>
      <c r="M1905">
        <v>13.6</v>
      </c>
      <c r="N1905">
        <v>1.8</v>
      </c>
      <c r="O1905" t="s">
        <v>303</v>
      </c>
      <c r="P1905">
        <f t="shared" si="29"/>
        <v>0</v>
      </c>
    </row>
    <row r="1906" spans="1:16" x14ac:dyDescent="0.25">
      <c r="A1906" t="s">
        <v>669</v>
      </c>
      <c r="B1906">
        <v>12.72</v>
      </c>
      <c r="C1906">
        <v>13.63</v>
      </c>
      <c r="D1906" t="s">
        <v>860</v>
      </c>
      <c r="E1906" t="s">
        <v>910</v>
      </c>
      <c r="F1906" t="s">
        <v>910</v>
      </c>
      <c r="J1906">
        <v>13.63</v>
      </c>
      <c r="K1906">
        <v>12.72</v>
      </c>
      <c r="L1906" t="s">
        <v>303</v>
      </c>
      <c r="M1906">
        <v>13.63</v>
      </c>
      <c r="N1906">
        <v>12.72</v>
      </c>
      <c r="O1906" t="s">
        <v>303</v>
      </c>
      <c r="P1906">
        <f t="shared" si="29"/>
        <v>0</v>
      </c>
    </row>
    <row r="1907" spans="1:16" x14ac:dyDescent="0.25">
      <c r="A1907" t="s">
        <v>669</v>
      </c>
      <c r="B1907">
        <v>13.62</v>
      </c>
      <c r="C1907">
        <v>13.72</v>
      </c>
      <c r="D1907" t="s">
        <v>303</v>
      </c>
      <c r="E1907" t="s">
        <v>910</v>
      </c>
      <c r="F1907" t="s">
        <v>910</v>
      </c>
      <c r="J1907">
        <v>13.72</v>
      </c>
      <c r="K1907">
        <v>13.62</v>
      </c>
      <c r="L1907" t="s">
        <v>303</v>
      </c>
      <c r="M1907">
        <v>13.72</v>
      </c>
      <c r="N1907">
        <v>13.62</v>
      </c>
      <c r="O1907" t="s">
        <v>303</v>
      </c>
      <c r="P1907">
        <f t="shared" si="29"/>
        <v>0</v>
      </c>
    </row>
    <row r="1908" spans="1:16" x14ac:dyDescent="0.25">
      <c r="A1908" t="s">
        <v>669</v>
      </c>
      <c r="B1908">
        <v>13.72</v>
      </c>
      <c r="C1908">
        <v>13.72</v>
      </c>
      <c r="D1908" t="s">
        <v>303</v>
      </c>
      <c r="E1908" t="s">
        <v>910</v>
      </c>
      <c r="F1908" t="s">
        <v>910</v>
      </c>
      <c r="J1908">
        <v>13.72</v>
      </c>
      <c r="K1908">
        <v>13.72</v>
      </c>
      <c r="L1908" t="s">
        <v>303</v>
      </c>
      <c r="M1908">
        <v>13.72</v>
      </c>
      <c r="N1908">
        <v>13.72</v>
      </c>
      <c r="O1908" t="s">
        <v>303</v>
      </c>
      <c r="P1908">
        <f t="shared" si="29"/>
        <v>0</v>
      </c>
    </row>
    <row r="1909" spans="1:16" x14ac:dyDescent="0.25">
      <c r="A1909" t="s">
        <v>669</v>
      </c>
      <c r="B1909">
        <v>13.77</v>
      </c>
      <c r="C1909">
        <v>13.77</v>
      </c>
      <c r="D1909" t="s">
        <v>303</v>
      </c>
      <c r="E1909" t="s">
        <v>910</v>
      </c>
      <c r="F1909" t="s">
        <v>910</v>
      </c>
      <c r="J1909">
        <v>13.77</v>
      </c>
      <c r="K1909">
        <v>13.77</v>
      </c>
      <c r="L1909" t="s">
        <v>303</v>
      </c>
      <c r="M1909">
        <v>13.77</v>
      </c>
      <c r="N1909">
        <v>13.77</v>
      </c>
      <c r="O1909" t="s">
        <v>303</v>
      </c>
      <c r="P1909">
        <f t="shared" si="29"/>
        <v>0</v>
      </c>
    </row>
    <row r="1910" spans="1:16" x14ac:dyDescent="0.25">
      <c r="A1910">
        <v>8.8000000000000007</v>
      </c>
      <c r="B1910">
        <v>5.6</v>
      </c>
      <c r="C1910">
        <v>13.8</v>
      </c>
      <c r="D1910" t="s">
        <v>303</v>
      </c>
      <c r="E1910" t="s">
        <v>910</v>
      </c>
      <c r="F1910" t="s">
        <v>910</v>
      </c>
      <c r="J1910">
        <v>13.8</v>
      </c>
      <c r="K1910">
        <v>5.6</v>
      </c>
      <c r="L1910" t="s">
        <v>303</v>
      </c>
      <c r="M1910">
        <v>13.8</v>
      </c>
      <c r="N1910">
        <v>5.6</v>
      </c>
      <c r="O1910" t="s">
        <v>303</v>
      </c>
      <c r="P1910">
        <f t="shared" si="29"/>
        <v>0</v>
      </c>
    </row>
    <row r="1911" spans="1:16" x14ac:dyDescent="0.25">
      <c r="A1911" t="s">
        <v>669</v>
      </c>
      <c r="B1911">
        <v>8.1999999999999993</v>
      </c>
      <c r="C1911">
        <v>13.8</v>
      </c>
      <c r="D1911" t="s">
        <v>303</v>
      </c>
      <c r="E1911" t="s">
        <v>910</v>
      </c>
      <c r="F1911" t="s">
        <v>910</v>
      </c>
      <c r="J1911">
        <v>13.8</v>
      </c>
      <c r="K1911">
        <v>8.1999999999999993</v>
      </c>
      <c r="L1911" t="s">
        <v>303</v>
      </c>
      <c r="M1911">
        <v>13.8</v>
      </c>
      <c r="N1911">
        <v>8.1999999999999993</v>
      </c>
      <c r="O1911" t="s">
        <v>303</v>
      </c>
      <c r="P1911">
        <f t="shared" si="29"/>
        <v>0</v>
      </c>
    </row>
    <row r="1912" spans="1:16" x14ac:dyDescent="0.25">
      <c r="A1912" t="s">
        <v>375</v>
      </c>
      <c r="B1912">
        <v>12.5</v>
      </c>
      <c r="C1912">
        <v>13.8</v>
      </c>
      <c r="D1912" t="s">
        <v>860</v>
      </c>
      <c r="E1912">
        <v>17</v>
      </c>
      <c r="F1912">
        <v>17</v>
      </c>
      <c r="G1912" t="s">
        <v>689</v>
      </c>
      <c r="H1912" t="s">
        <v>689</v>
      </c>
      <c r="J1912">
        <v>13.8</v>
      </c>
      <c r="K1912">
        <v>12.5</v>
      </c>
      <c r="L1912" t="s">
        <v>303</v>
      </c>
      <c r="M1912">
        <v>13.8</v>
      </c>
      <c r="N1912">
        <v>12.5</v>
      </c>
      <c r="O1912" t="s">
        <v>303</v>
      </c>
      <c r="P1912">
        <f t="shared" si="29"/>
        <v>0</v>
      </c>
    </row>
    <row r="1913" spans="1:16" x14ac:dyDescent="0.25">
      <c r="A1913" t="s">
        <v>669</v>
      </c>
      <c r="B1913">
        <v>13.85</v>
      </c>
      <c r="C1913">
        <v>13.98</v>
      </c>
      <c r="D1913" t="s">
        <v>860</v>
      </c>
      <c r="E1913" t="s">
        <v>910</v>
      </c>
      <c r="F1913" t="s">
        <v>910</v>
      </c>
      <c r="J1913">
        <v>13.98</v>
      </c>
      <c r="K1913">
        <v>13.85</v>
      </c>
      <c r="L1913" t="s">
        <v>303</v>
      </c>
      <c r="M1913">
        <v>13.98</v>
      </c>
      <c r="N1913">
        <v>13.85</v>
      </c>
      <c r="O1913" t="s">
        <v>303</v>
      </c>
      <c r="P1913">
        <f t="shared" si="29"/>
        <v>0</v>
      </c>
    </row>
    <row r="1914" spans="1:16" x14ac:dyDescent="0.25">
      <c r="A1914" t="s">
        <v>669</v>
      </c>
      <c r="B1914">
        <v>13.71</v>
      </c>
      <c r="C1914">
        <v>14.07</v>
      </c>
      <c r="D1914" t="s">
        <v>303</v>
      </c>
      <c r="E1914" t="s">
        <v>910</v>
      </c>
      <c r="F1914" t="s">
        <v>910</v>
      </c>
      <c r="J1914">
        <v>14.07</v>
      </c>
      <c r="K1914">
        <v>13.71</v>
      </c>
      <c r="L1914" t="s">
        <v>303</v>
      </c>
      <c r="M1914">
        <v>14.07</v>
      </c>
      <c r="N1914">
        <v>13.71</v>
      </c>
      <c r="O1914" t="s">
        <v>303</v>
      </c>
      <c r="P1914">
        <f t="shared" si="29"/>
        <v>0</v>
      </c>
    </row>
    <row r="1915" spans="1:16" x14ac:dyDescent="0.25">
      <c r="A1915" t="s">
        <v>669</v>
      </c>
      <c r="B1915">
        <v>14.1</v>
      </c>
      <c r="C1915">
        <v>14.1</v>
      </c>
      <c r="D1915" t="s">
        <v>303</v>
      </c>
      <c r="E1915" t="s">
        <v>910</v>
      </c>
      <c r="F1915" t="s">
        <v>910</v>
      </c>
      <c r="J1915">
        <v>14.1</v>
      </c>
      <c r="K1915">
        <v>14.1</v>
      </c>
      <c r="L1915" t="s">
        <v>303</v>
      </c>
      <c r="M1915">
        <v>14.1</v>
      </c>
      <c r="N1915">
        <v>14.1</v>
      </c>
      <c r="O1915" t="s">
        <v>303</v>
      </c>
      <c r="P1915">
        <f t="shared" si="29"/>
        <v>0</v>
      </c>
    </row>
    <row r="1916" spans="1:16" x14ac:dyDescent="0.25">
      <c r="A1916" t="s">
        <v>375</v>
      </c>
      <c r="B1916">
        <v>9.1</v>
      </c>
      <c r="C1916">
        <v>14.2</v>
      </c>
      <c r="D1916" t="s">
        <v>303</v>
      </c>
      <c r="E1916">
        <v>17</v>
      </c>
      <c r="F1916">
        <v>17</v>
      </c>
      <c r="G1916" t="s">
        <v>689</v>
      </c>
      <c r="H1916" t="s">
        <v>689</v>
      </c>
      <c r="J1916">
        <v>14.2</v>
      </c>
      <c r="K1916">
        <v>9.1</v>
      </c>
      <c r="L1916" t="s">
        <v>303</v>
      </c>
      <c r="M1916">
        <v>14.2</v>
      </c>
      <c r="N1916">
        <v>9.1</v>
      </c>
      <c r="O1916" t="s">
        <v>303</v>
      </c>
      <c r="P1916">
        <f t="shared" si="29"/>
        <v>0</v>
      </c>
    </row>
    <row r="1917" spans="1:16" x14ac:dyDescent="0.25">
      <c r="A1917" t="s">
        <v>669</v>
      </c>
      <c r="B1917">
        <v>14.28</v>
      </c>
      <c r="C1917">
        <v>14.3</v>
      </c>
      <c r="D1917" t="s">
        <v>303</v>
      </c>
      <c r="E1917" t="s">
        <v>910</v>
      </c>
      <c r="F1917" t="s">
        <v>910</v>
      </c>
      <c r="J1917">
        <v>14.3</v>
      </c>
      <c r="K1917">
        <v>14.28</v>
      </c>
      <c r="L1917" t="s">
        <v>303</v>
      </c>
      <c r="M1917">
        <v>14.3</v>
      </c>
      <c r="N1917">
        <v>14.28</v>
      </c>
      <c r="O1917" t="s">
        <v>303</v>
      </c>
      <c r="P1917">
        <f t="shared" si="29"/>
        <v>0</v>
      </c>
    </row>
    <row r="1918" spans="1:16" x14ac:dyDescent="0.25">
      <c r="A1918" t="s">
        <v>669</v>
      </c>
      <c r="B1918">
        <v>14.31</v>
      </c>
      <c r="C1918">
        <v>14.33</v>
      </c>
      <c r="D1918" t="s">
        <v>303</v>
      </c>
      <c r="E1918" t="s">
        <v>910</v>
      </c>
      <c r="F1918" t="s">
        <v>910</v>
      </c>
      <c r="J1918">
        <v>14.33</v>
      </c>
      <c r="K1918">
        <v>14.31</v>
      </c>
      <c r="L1918" t="s">
        <v>303</v>
      </c>
      <c r="M1918">
        <v>14.33</v>
      </c>
      <c r="N1918">
        <v>14.31</v>
      </c>
      <c r="O1918" t="s">
        <v>303</v>
      </c>
      <c r="P1918">
        <f t="shared" si="29"/>
        <v>0</v>
      </c>
    </row>
    <row r="1919" spans="1:16" x14ac:dyDescent="0.25">
      <c r="A1919" t="s">
        <v>669</v>
      </c>
      <c r="B1919">
        <v>14.39</v>
      </c>
      <c r="C1919">
        <v>14.43</v>
      </c>
      <c r="D1919" t="s">
        <v>303</v>
      </c>
      <c r="E1919" t="s">
        <v>910</v>
      </c>
      <c r="F1919" t="s">
        <v>910</v>
      </c>
      <c r="J1919">
        <v>14.43</v>
      </c>
      <c r="K1919">
        <v>14.39</v>
      </c>
      <c r="L1919" t="s">
        <v>303</v>
      </c>
      <c r="M1919">
        <v>14.43</v>
      </c>
      <c r="N1919">
        <v>14.39</v>
      </c>
      <c r="O1919" t="s">
        <v>303</v>
      </c>
      <c r="P1919">
        <f t="shared" si="29"/>
        <v>0</v>
      </c>
    </row>
    <row r="1920" spans="1:16" x14ac:dyDescent="0.25">
      <c r="A1920" t="s">
        <v>669</v>
      </c>
      <c r="B1920">
        <v>14.46</v>
      </c>
      <c r="C1920">
        <v>14.48</v>
      </c>
      <c r="D1920" t="s">
        <v>303</v>
      </c>
      <c r="E1920" t="s">
        <v>910</v>
      </c>
      <c r="F1920" t="s">
        <v>910</v>
      </c>
      <c r="J1920">
        <v>14.48</v>
      </c>
      <c r="K1920">
        <v>14.46</v>
      </c>
      <c r="L1920" t="s">
        <v>303</v>
      </c>
      <c r="M1920">
        <v>14.48</v>
      </c>
      <c r="N1920">
        <v>14.46</v>
      </c>
      <c r="O1920" t="s">
        <v>303</v>
      </c>
      <c r="P1920">
        <f t="shared" si="29"/>
        <v>0</v>
      </c>
    </row>
    <row r="1921" spans="1:16" x14ac:dyDescent="0.25">
      <c r="A1921" t="s">
        <v>669</v>
      </c>
      <c r="B1921">
        <v>14.5</v>
      </c>
      <c r="C1921">
        <v>14.5</v>
      </c>
      <c r="D1921" t="s">
        <v>860</v>
      </c>
      <c r="E1921" t="s">
        <v>910</v>
      </c>
      <c r="F1921" t="s">
        <v>910</v>
      </c>
      <c r="J1921">
        <v>14.5</v>
      </c>
      <c r="K1921">
        <v>14.5</v>
      </c>
      <c r="L1921" t="s">
        <v>303</v>
      </c>
      <c r="M1921">
        <v>14.5</v>
      </c>
      <c r="N1921">
        <v>14.5</v>
      </c>
      <c r="O1921" t="s">
        <v>303</v>
      </c>
      <c r="P1921">
        <f t="shared" si="29"/>
        <v>0</v>
      </c>
    </row>
    <row r="1922" spans="1:16" x14ac:dyDescent="0.25">
      <c r="A1922" t="s">
        <v>669</v>
      </c>
      <c r="B1922">
        <v>14.54</v>
      </c>
      <c r="C1922">
        <v>14.54</v>
      </c>
      <c r="D1922" t="s">
        <v>303</v>
      </c>
      <c r="E1922" t="s">
        <v>910</v>
      </c>
      <c r="F1922" t="s">
        <v>910</v>
      </c>
      <c r="J1922">
        <v>14.54</v>
      </c>
      <c r="K1922">
        <v>14.54</v>
      </c>
      <c r="L1922" t="s">
        <v>303</v>
      </c>
      <c r="M1922">
        <v>14.54</v>
      </c>
      <c r="N1922">
        <v>14.54</v>
      </c>
      <c r="O1922" t="s">
        <v>303</v>
      </c>
      <c r="P1922">
        <f t="shared" si="29"/>
        <v>0</v>
      </c>
    </row>
    <row r="1923" spans="1:16" x14ac:dyDescent="0.25">
      <c r="A1923" t="s">
        <v>669</v>
      </c>
      <c r="B1923">
        <v>14.58</v>
      </c>
      <c r="C1923">
        <v>14.62</v>
      </c>
      <c r="D1923" t="s">
        <v>303</v>
      </c>
      <c r="E1923" t="s">
        <v>910</v>
      </c>
      <c r="F1923" t="s">
        <v>910</v>
      </c>
      <c r="J1923">
        <v>14.62</v>
      </c>
      <c r="K1923">
        <v>14.58</v>
      </c>
      <c r="L1923" t="s">
        <v>303</v>
      </c>
      <c r="M1923">
        <v>14.62</v>
      </c>
      <c r="N1923">
        <v>14.58</v>
      </c>
      <c r="O1923" t="s">
        <v>303</v>
      </c>
      <c r="P1923">
        <f t="shared" ref="P1923:P1986" si="30">LEN(I1923)</f>
        <v>0</v>
      </c>
    </row>
    <row r="1924" spans="1:16" x14ac:dyDescent="0.25">
      <c r="A1924" t="s">
        <v>669</v>
      </c>
      <c r="B1924">
        <v>14.29</v>
      </c>
      <c r="C1924">
        <v>14.63</v>
      </c>
      <c r="D1924" t="s">
        <v>860</v>
      </c>
      <c r="E1924" t="s">
        <v>910</v>
      </c>
      <c r="F1924" t="s">
        <v>910</v>
      </c>
      <c r="J1924">
        <v>14.63</v>
      </c>
      <c r="K1924">
        <v>14.29</v>
      </c>
      <c r="L1924" t="s">
        <v>303</v>
      </c>
      <c r="M1924">
        <v>14.63</v>
      </c>
      <c r="N1924">
        <v>14.29</v>
      </c>
      <c r="O1924" t="s">
        <v>303</v>
      </c>
      <c r="P1924">
        <f t="shared" si="30"/>
        <v>0</v>
      </c>
    </row>
    <row r="1925" spans="1:16" x14ac:dyDescent="0.25">
      <c r="A1925" t="s">
        <v>669</v>
      </c>
      <c r="B1925">
        <v>14.65</v>
      </c>
      <c r="C1925">
        <v>14.65</v>
      </c>
      <c r="D1925" t="s">
        <v>303</v>
      </c>
      <c r="E1925" t="s">
        <v>910</v>
      </c>
      <c r="F1925" t="s">
        <v>910</v>
      </c>
      <c r="J1925">
        <v>14.65</v>
      </c>
      <c r="K1925">
        <v>14.65</v>
      </c>
      <c r="L1925" t="s">
        <v>303</v>
      </c>
      <c r="M1925">
        <v>14.65</v>
      </c>
      <c r="N1925">
        <v>14.65</v>
      </c>
      <c r="O1925" t="s">
        <v>303</v>
      </c>
      <c r="P1925">
        <f t="shared" si="30"/>
        <v>0</v>
      </c>
    </row>
    <row r="1926" spans="1:16" x14ac:dyDescent="0.25">
      <c r="A1926" t="s">
        <v>669</v>
      </c>
      <c r="B1926">
        <v>14.56</v>
      </c>
      <c r="C1926">
        <v>14.71</v>
      </c>
      <c r="D1926" t="s">
        <v>303</v>
      </c>
      <c r="E1926" t="s">
        <v>910</v>
      </c>
      <c r="F1926" t="s">
        <v>910</v>
      </c>
      <c r="J1926">
        <v>14.71</v>
      </c>
      <c r="K1926">
        <v>14.56</v>
      </c>
      <c r="L1926" t="s">
        <v>303</v>
      </c>
      <c r="M1926">
        <v>14.71</v>
      </c>
      <c r="N1926">
        <v>14.56</v>
      </c>
      <c r="O1926" t="s">
        <v>303</v>
      </c>
      <c r="P1926">
        <f t="shared" si="30"/>
        <v>0</v>
      </c>
    </row>
    <row r="1927" spans="1:16" x14ac:dyDescent="0.25">
      <c r="A1927" t="s">
        <v>669</v>
      </c>
      <c r="B1927">
        <v>14.71</v>
      </c>
      <c r="C1927">
        <v>14.71</v>
      </c>
      <c r="D1927" t="s">
        <v>303</v>
      </c>
      <c r="E1927" t="s">
        <v>910</v>
      </c>
      <c r="F1927" t="s">
        <v>910</v>
      </c>
      <c r="J1927">
        <v>14.71</v>
      </c>
      <c r="K1927">
        <v>14.71</v>
      </c>
      <c r="L1927" t="s">
        <v>303</v>
      </c>
      <c r="M1927">
        <v>14.71</v>
      </c>
      <c r="N1927">
        <v>14.71</v>
      </c>
      <c r="O1927" t="s">
        <v>303</v>
      </c>
      <c r="P1927">
        <f t="shared" si="30"/>
        <v>0</v>
      </c>
    </row>
    <row r="1928" spans="1:16" x14ac:dyDescent="0.25">
      <c r="A1928" t="s">
        <v>669</v>
      </c>
      <c r="B1928">
        <v>14.51</v>
      </c>
      <c r="C1928">
        <v>14.82</v>
      </c>
      <c r="D1928" t="s">
        <v>303</v>
      </c>
      <c r="E1928" t="s">
        <v>910</v>
      </c>
      <c r="F1928" t="s">
        <v>910</v>
      </c>
      <c r="J1928">
        <v>14.82</v>
      </c>
      <c r="K1928">
        <v>14.51</v>
      </c>
      <c r="L1928" t="s">
        <v>303</v>
      </c>
      <c r="M1928">
        <v>14.82</v>
      </c>
      <c r="N1928">
        <v>14.51</v>
      </c>
      <c r="O1928" t="s">
        <v>303</v>
      </c>
      <c r="P1928">
        <f t="shared" si="30"/>
        <v>0</v>
      </c>
    </row>
    <row r="1929" spans="1:16" x14ac:dyDescent="0.25">
      <c r="A1929" t="s">
        <v>669</v>
      </c>
      <c r="B1929">
        <v>14.85</v>
      </c>
      <c r="C1929">
        <v>14.87</v>
      </c>
      <c r="D1929" t="s">
        <v>303</v>
      </c>
      <c r="E1929" t="s">
        <v>910</v>
      </c>
      <c r="F1929" t="s">
        <v>910</v>
      </c>
      <c r="J1929">
        <v>14.87</v>
      </c>
      <c r="K1929">
        <v>14.85</v>
      </c>
      <c r="L1929" t="s">
        <v>303</v>
      </c>
      <c r="M1929">
        <v>14.87</v>
      </c>
      <c r="N1929">
        <v>14.85</v>
      </c>
      <c r="O1929" t="s">
        <v>303</v>
      </c>
      <c r="P1929">
        <f t="shared" si="30"/>
        <v>0</v>
      </c>
    </row>
    <row r="1930" spans="1:16" x14ac:dyDescent="0.25">
      <c r="A1930" t="s">
        <v>669</v>
      </c>
      <c r="B1930">
        <v>14.86</v>
      </c>
      <c r="C1930">
        <v>14.88</v>
      </c>
      <c r="D1930" t="s">
        <v>303</v>
      </c>
      <c r="E1930" t="s">
        <v>910</v>
      </c>
      <c r="F1930" t="s">
        <v>910</v>
      </c>
      <c r="J1930">
        <v>14.88</v>
      </c>
      <c r="K1930">
        <v>14.86</v>
      </c>
      <c r="L1930" t="s">
        <v>303</v>
      </c>
      <c r="M1930">
        <v>14.88</v>
      </c>
      <c r="N1930">
        <v>14.86</v>
      </c>
      <c r="O1930" t="s">
        <v>303</v>
      </c>
      <c r="P1930">
        <f t="shared" si="30"/>
        <v>0</v>
      </c>
    </row>
    <row r="1931" spans="1:16" x14ac:dyDescent="0.25">
      <c r="A1931" t="s">
        <v>669</v>
      </c>
      <c r="B1931">
        <v>14.87</v>
      </c>
      <c r="C1931">
        <v>14.92</v>
      </c>
      <c r="D1931" t="s">
        <v>303</v>
      </c>
      <c r="E1931" t="s">
        <v>910</v>
      </c>
      <c r="F1931" t="s">
        <v>910</v>
      </c>
      <c r="J1931">
        <v>14.92</v>
      </c>
      <c r="K1931">
        <v>14.87</v>
      </c>
      <c r="L1931" t="s">
        <v>303</v>
      </c>
      <c r="M1931">
        <v>14.92</v>
      </c>
      <c r="N1931">
        <v>14.87</v>
      </c>
      <c r="O1931" t="s">
        <v>303</v>
      </c>
      <c r="P1931">
        <f t="shared" si="30"/>
        <v>0</v>
      </c>
    </row>
    <row r="1932" spans="1:16" x14ac:dyDescent="0.25">
      <c r="A1932" t="s">
        <v>669</v>
      </c>
      <c r="B1932">
        <v>14.92</v>
      </c>
      <c r="C1932">
        <v>14.96</v>
      </c>
      <c r="D1932" t="s">
        <v>303</v>
      </c>
      <c r="E1932" t="s">
        <v>910</v>
      </c>
      <c r="F1932" t="s">
        <v>910</v>
      </c>
      <c r="J1932">
        <v>14.96</v>
      </c>
      <c r="K1932">
        <v>14.92</v>
      </c>
      <c r="L1932" t="s">
        <v>303</v>
      </c>
      <c r="M1932">
        <v>14.96</v>
      </c>
      <c r="N1932">
        <v>14.92</v>
      </c>
      <c r="O1932" t="s">
        <v>303</v>
      </c>
      <c r="P1932">
        <f t="shared" si="30"/>
        <v>0</v>
      </c>
    </row>
    <row r="1933" spans="1:16" x14ac:dyDescent="0.25">
      <c r="A1933" t="s">
        <v>669</v>
      </c>
      <c r="B1933">
        <v>14.98</v>
      </c>
      <c r="C1933">
        <v>14.98</v>
      </c>
      <c r="D1933" t="s">
        <v>303</v>
      </c>
      <c r="E1933" t="s">
        <v>910</v>
      </c>
      <c r="F1933" t="s">
        <v>910</v>
      </c>
      <c r="J1933">
        <v>14.98</v>
      </c>
      <c r="K1933">
        <v>14.98</v>
      </c>
      <c r="L1933" t="s">
        <v>303</v>
      </c>
      <c r="M1933">
        <v>14.98</v>
      </c>
      <c r="N1933">
        <v>14.98</v>
      </c>
      <c r="O1933" t="s">
        <v>303</v>
      </c>
      <c r="P1933">
        <f t="shared" si="30"/>
        <v>0</v>
      </c>
    </row>
    <row r="1934" spans="1:16" x14ac:dyDescent="0.25">
      <c r="A1934" t="s">
        <v>669</v>
      </c>
      <c r="B1934">
        <v>2.77</v>
      </c>
      <c r="C1934">
        <v>14.99</v>
      </c>
      <c r="D1934" t="s">
        <v>303</v>
      </c>
      <c r="E1934" t="s">
        <v>910</v>
      </c>
      <c r="F1934" t="s">
        <v>910</v>
      </c>
      <c r="J1934">
        <v>14.99</v>
      </c>
      <c r="K1934">
        <v>2.77</v>
      </c>
      <c r="L1934" t="s">
        <v>303</v>
      </c>
      <c r="M1934">
        <v>14.99</v>
      </c>
      <c r="N1934">
        <v>2.77</v>
      </c>
      <c r="O1934" t="s">
        <v>303</v>
      </c>
      <c r="P1934">
        <f t="shared" si="30"/>
        <v>0</v>
      </c>
    </row>
    <row r="1935" spans="1:16" x14ac:dyDescent="0.25">
      <c r="A1935" t="s">
        <v>669</v>
      </c>
      <c r="B1935">
        <v>14.97</v>
      </c>
      <c r="C1935">
        <v>14.99</v>
      </c>
      <c r="D1935" t="s">
        <v>303</v>
      </c>
      <c r="E1935" t="s">
        <v>910</v>
      </c>
      <c r="F1935" t="s">
        <v>910</v>
      </c>
      <c r="J1935">
        <v>14.99</v>
      </c>
      <c r="K1935">
        <v>14.97</v>
      </c>
      <c r="L1935" t="s">
        <v>303</v>
      </c>
      <c r="M1935">
        <v>14.99</v>
      </c>
      <c r="N1935">
        <v>14.97</v>
      </c>
      <c r="O1935" t="s">
        <v>303</v>
      </c>
      <c r="P1935">
        <f t="shared" si="30"/>
        <v>0</v>
      </c>
    </row>
    <row r="1936" spans="1:16" x14ac:dyDescent="0.25">
      <c r="A1936" t="s">
        <v>578</v>
      </c>
      <c r="B1936" s="11">
        <v>10</v>
      </c>
      <c r="C1936" s="11">
        <v>15</v>
      </c>
      <c r="D1936" t="s">
        <v>860</v>
      </c>
      <c r="E1936">
        <v>3</v>
      </c>
      <c r="F1936">
        <v>3</v>
      </c>
      <c r="J1936">
        <v>15</v>
      </c>
      <c r="K1936">
        <v>10</v>
      </c>
      <c r="L1936" t="s">
        <v>303</v>
      </c>
      <c r="M1936">
        <v>15</v>
      </c>
      <c r="N1936">
        <v>10</v>
      </c>
      <c r="O1936" t="s">
        <v>303</v>
      </c>
      <c r="P1936">
        <f t="shared" si="30"/>
        <v>0</v>
      </c>
    </row>
    <row r="1937" spans="1:16" x14ac:dyDescent="0.25">
      <c r="A1937" t="s">
        <v>669</v>
      </c>
      <c r="B1937">
        <v>10</v>
      </c>
      <c r="C1937">
        <v>15</v>
      </c>
      <c r="D1937" t="s">
        <v>860</v>
      </c>
      <c r="E1937" t="s">
        <v>910</v>
      </c>
      <c r="F1937" t="s">
        <v>910</v>
      </c>
      <c r="J1937">
        <v>15</v>
      </c>
      <c r="K1937">
        <v>10</v>
      </c>
      <c r="L1937" t="s">
        <v>303</v>
      </c>
      <c r="M1937">
        <v>15</v>
      </c>
      <c r="N1937">
        <v>10</v>
      </c>
      <c r="O1937" t="s">
        <v>303</v>
      </c>
      <c r="P1937">
        <f t="shared" si="30"/>
        <v>0</v>
      </c>
    </row>
    <row r="1938" spans="1:16" x14ac:dyDescent="0.25">
      <c r="A1938" t="s">
        <v>669</v>
      </c>
      <c r="B1938">
        <v>1.4999999999999999E-4</v>
      </c>
      <c r="C1938" t="s">
        <v>669</v>
      </c>
      <c r="D1938" t="s">
        <v>860</v>
      </c>
      <c r="E1938" t="s">
        <v>910</v>
      </c>
      <c r="F1938">
        <v>5</v>
      </c>
      <c r="H1938" t="s">
        <v>684</v>
      </c>
      <c r="K1938">
        <v>150</v>
      </c>
      <c r="L1938" t="s">
        <v>921</v>
      </c>
      <c r="N1938">
        <v>1.4999999999999999E-4</v>
      </c>
      <c r="O1938" t="s">
        <v>303</v>
      </c>
      <c r="P1938">
        <f t="shared" si="30"/>
        <v>0</v>
      </c>
    </row>
    <row r="1939" spans="1:16" x14ac:dyDescent="0.25">
      <c r="A1939" t="s">
        <v>669</v>
      </c>
      <c r="B1939">
        <v>10</v>
      </c>
      <c r="C1939">
        <v>15</v>
      </c>
      <c r="D1939" t="s">
        <v>669</v>
      </c>
      <c r="E1939" t="s">
        <v>910</v>
      </c>
      <c r="F1939" t="s">
        <v>910</v>
      </c>
      <c r="I1939" t="s">
        <v>927</v>
      </c>
      <c r="J1939">
        <v>15</v>
      </c>
      <c r="K1939">
        <v>10</v>
      </c>
      <c r="L1939" t="s">
        <v>930</v>
      </c>
      <c r="M1939">
        <v>15</v>
      </c>
      <c r="N1939">
        <v>10</v>
      </c>
      <c r="P1939">
        <f t="shared" si="30"/>
        <v>14</v>
      </c>
    </row>
    <row r="1940" spans="1:16" x14ac:dyDescent="0.25">
      <c r="A1940" t="s">
        <v>669</v>
      </c>
      <c r="B1940">
        <v>12</v>
      </c>
      <c r="C1940">
        <v>15</v>
      </c>
      <c r="D1940" t="s">
        <v>669</v>
      </c>
      <c r="E1940" t="s">
        <v>910</v>
      </c>
      <c r="F1940" t="s">
        <v>910</v>
      </c>
      <c r="I1940" t="s">
        <v>927</v>
      </c>
      <c r="J1940">
        <v>15</v>
      </c>
      <c r="K1940">
        <v>12</v>
      </c>
      <c r="L1940" t="s">
        <v>930</v>
      </c>
      <c r="M1940">
        <v>15</v>
      </c>
      <c r="N1940">
        <v>12</v>
      </c>
      <c r="P1940">
        <f t="shared" si="30"/>
        <v>14</v>
      </c>
    </row>
    <row r="1941" spans="1:16" x14ac:dyDescent="0.25">
      <c r="A1941" t="s">
        <v>669</v>
      </c>
      <c r="B1941">
        <v>15.06</v>
      </c>
      <c r="C1941">
        <v>15.08</v>
      </c>
      <c r="D1941" t="s">
        <v>303</v>
      </c>
      <c r="E1941" t="s">
        <v>910</v>
      </c>
      <c r="F1941" t="s">
        <v>910</v>
      </c>
      <c r="J1941">
        <v>15.08</v>
      </c>
      <c r="K1941">
        <v>15.06</v>
      </c>
      <c r="L1941" t="s">
        <v>303</v>
      </c>
      <c r="M1941">
        <v>15.08</v>
      </c>
      <c r="N1941">
        <v>15.06</v>
      </c>
      <c r="O1941" t="s">
        <v>303</v>
      </c>
      <c r="P1941">
        <f t="shared" si="30"/>
        <v>0</v>
      </c>
    </row>
    <row r="1942" spans="1:16" x14ac:dyDescent="0.25">
      <c r="A1942">
        <v>9.9</v>
      </c>
      <c r="B1942">
        <v>6.5</v>
      </c>
      <c r="C1942">
        <v>15.1</v>
      </c>
      <c r="D1942" t="s">
        <v>303</v>
      </c>
      <c r="E1942" t="s">
        <v>910</v>
      </c>
      <c r="F1942" t="s">
        <v>910</v>
      </c>
      <c r="J1942">
        <v>15.1</v>
      </c>
      <c r="K1942">
        <v>6.5</v>
      </c>
      <c r="L1942" t="s">
        <v>303</v>
      </c>
      <c r="M1942">
        <v>15.1</v>
      </c>
      <c r="N1942">
        <v>6.5</v>
      </c>
      <c r="O1942" t="s">
        <v>303</v>
      </c>
      <c r="P1942">
        <f t="shared" si="30"/>
        <v>0</v>
      </c>
    </row>
    <row r="1943" spans="1:16" x14ac:dyDescent="0.25">
      <c r="A1943" t="s">
        <v>669</v>
      </c>
      <c r="B1943">
        <v>15.09</v>
      </c>
      <c r="C1943">
        <v>15.1</v>
      </c>
      <c r="D1943" t="s">
        <v>303</v>
      </c>
      <c r="E1943" t="s">
        <v>910</v>
      </c>
      <c r="F1943" t="s">
        <v>910</v>
      </c>
      <c r="J1943">
        <v>15.1</v>
      </c>
      <c r="K1943">
        <v>15.09</v>
      </c>
      <c r="L1943" t="s">
        <v>303</v>
      </c>
      <c r="M1943">
        <v>15.1</v>
      </c>
      <c r="N1943">
        <v>15.09</v>
      </c>
      <c r="O1943" t="s">
        <v>303</v>
      </c>
      <c r="P1943">
        <f t="shared" si="30"/>
        <v>0</v>
      </c>
    </row>
    <row r="1944" spans="1:16" x14ac:dyDescent="0.25">
      <c r="A1944" t="s">
        <v>669</v>
      </c>
      <c r="B1944">
        <v>15.17</v>
      </c>
      <c r="C1944">
        <v>15.17</v>
      </c>
      <c r="D1944" t="s">
        <v>303</v>
      </c>
      <c r="E1944" t="s">
        <v>910</v>
      </c>
      <c r="F1944" t="s">
        <v>910</v>
      </c>
      <c r="J1944">
        <v>15.17</v>
      </c>
      <c r="K1944">
        <v>15.17</v>
      </c>
      <c r="L1944" t="s">
        <v>303</v>
      </c>
      <c r="M1944">
        <v>15.17</v>
      </c>
      <c r="N1944">
        <v>15.17</v>
      </c>
      <c r="O1944" t="s">
        <v>303</v>
      </c>
      <c r="P1944">
        <f t="shared" si="30"/>
        <v>0</v>
      </c>
    </row>
    <row r="1945" spans="1:16" x14ac:dyDescent="0.25">
      <c r="A1945" t="s">
        <v>669</v>
      </c>
      <c r="B1945">
        <v>15.19</v>
      </c>
      <c r="C1945">
        <v>15.21</v>
      </c>
      <c r="D1945" t="s">
        <v>303</v>
      </c>
      <c r="E1945" t="s">
        <v>910</v>
      </c>
      <c r="F1945" t="s">
        <v>910</v>
      </c>
      <c r="J1945">
        <v>15.21</v>
      </c>
      <c r="K1945">
        <v>15.19</v>
      </c>
      <c r="L1945" t="s">
        <v>303</v>
      </c>
      <c r="M1945">
        <v>15.21</v>
      </c>
      <c r="N1945">
        <v>15.19</v>
      </c>
      <c r="O1945" t="s">
        <v>303</v>
      </c>
      <c r="P1945">
        <f t="shared" si="30"/>
        <v>0</v>
      </c>
    </row>
    <row r="1946" spans="1:16" x14ac:dyDescent="0.25">
      <c r="A1946" t="s">
        <v>669</v>
      </c>
      <c r="B1946">
        <v>15.242100000000001</v>
      </c>
      <c r="C1946">
        <v>15.242100000000001</v>
      </c>
      <c r="D1946" t="s">
        <v>303</v>
      </c>
      <c r="E1946" t="s">
        <v>910</v>
      </c>
      <c r="F1946" t="s">
        <v>910</v>
      </c>
      <c r="J1946">
        <v>15.242100000000001</v>
      </c>
      <c r="K1946">
        <v>15.242100000000001</v>
      </c>
      <c r="L1946" t="s">
        <v>303</v>
      </c>
      <c r="M1946">
        <v>15.242100000000001</v>
      </c>
      <c r="N1946">
        <v>15.242100000000001</v>
      </c>
      <c r="O1946" t="s">
        <v>303</v>
      </c>
      <c r="P1946">
        <f t="shared" si="30"/>
        <v>0</v>
      </c>
    </row>
    <row r="1947" spans="1:16" x14ac:dyDescent="0.25">
      <c r="A1947" t="s">
        <v>669</v>
      </c>
      <c r="B1947">
        <v>15.35</v>
      </c>
      <c r="C1947">
        <v>15.4</v>
      </c>
      <c r="D1947" t="s">
        <v>303</v>
      </c>
      <c r="E1947" t="s">
        <v>910</v>
      </c>
      <c r="F1947" t="s">
        <v>910</v>
      </c>
      <c r="J1947">
        <v>15.4</v>
      </c>
      <c r="K1947">
        <v>15.35</v>
      </c>
      <c r="L1947" t="s">
        <v>303</v>
      </c>
      <c r="M1947">
        <v>15.4</v>
      </c>
      <c r="N1947">
        <v>15.35</v>
      </c>
      <c r="O1947" t="s">
        <v>303</v>
      </c>
      <c r="P1947">
        <f t="shared" si="30"/>
        <v>0</v>
      </c>
    </row>
    <row r="1948" spans="1:16" x14ac:dyDescent="0.25">
      <c r="A1948" t="s">
        <v>669</v>
      </c>
      <c r="B1948">
        <v>15.41</v>
      </c>
      <c r="C1948">
        <v>15.41</v>
      </c>
      <c r="D1948" t="s">
        <v>303</v>
      </c>
      <c r="E1948" t="s">
        <v>910</v>
      </c>
      <c r="F1948" t="s">
        <v>910</v>
      </c>
      <c r="J1948">
        <v>15.41</v>
      </c>
      <c r="K1948">
        <v>15.41</v>
      </c>
      <c r="L1948" t="s">
        <v>303</v>
      </c>
      <c r="M1948">
        <v>15.41</v>
      </c>
      <c r="N1948">
        <v>15.41</v>
      </c>
      <c r="O1948" t="s">
        <v>303</v>
      </c>
      <c r="P1948">
        <f t="shared" si="30"/>
        <v>0</v>
      </c>
    </row>
    <row r="1949" spans="1:16" x14ac:dyDescent="0.25">
      <c r="A1949" t="s">
        <v>669</v>
      </c>
      <c r="B1949">
        <v>15.3</v>
      </c>
      <c r="C1949">
        <v>15.43</v>
      </c>
      <c r="D1949" t="s">
        <v>860</v>
      </c>
      <c r="E1949" t="s">
        <v>910</v>
      </c>
      <c r="F1949" t="s">
        <v>910</v>
      </c>
      <c r="J1949">
        <v>15.43</v>
      </c>
      <c r="K1949">
        <v>15.3</v>
      </c>
      <c r="L1949" t="s">
        <v>303</v>
      </c>
      <c r="M1949">
        <v>15.43</v>
      </c>
      <c r="N1949">
        <v>15.3</v>
      </c>
      <c r="O1949" t="s">
        <v>303</v>
      </c>
      <c r="P1949">
        <f t="shared" si="30"/>
        <v>0</v>
      </c>
    </row>
    <row r="1950" spans="1:16" x14ac:dyDescent="0.25">
      <c r="A1950" t="s">
        <v>669</v>
      </c>
      <c r="B1950">
        <v>15.4</v>
      </c>
      <c r="C1950">
        <v>15.48</v>
      </c>
      <c r="D1950" t="s">
        <v>303</v>
      </c>
      <c r="E1950" t="s">
        <v>910</v>
      </c>
      <c r="F1950" t="s">
        <v>910</v>
      </c>
      <c r="J1950">
        <v>15.48</v>
      </c>
      <c r="K1950">
        <v>15.4</v>
      </c>
      <c r="L1950" t="s">
        <v>303</v>
      </c>
      <c r="M1950">
        <v>15.48</v>
      </c>
      <c r="N1950">
        <v>15.4</v>
      </c>
      <c r="O1950" t="s">
        <v>303</v>
      </c>
      <c r="P1950">
        <f t="shared" si="30"/>
        <v>0</v>
      </c>
    </row>
    <row r="1951" spans="1:16" x14ac:dyDescent="0.25">
      <c r="A1951" t="s">
        <v>669</v>
      </c>
      <c r="B1951">
        <v>15.51</v>
      </c>
      <c r="C1951">
        <v>15.52</v>
      </c>
      <c r="D1951" t="s">
        <v>303</v>
      </c>
      <c r="E1951" t="s">
        <v>910</v>
      </c>
      <c r="F1951" t="s">
        <v>910</v>
      </c>
      <c r="J1951">
        <v>15.52</v>
      </c>
      <c r="K1951">
        <v>15.51</v>
      </c>
      <c r="L1951" t="s">
        <v>303</v>
      </c>
      <c r="M1951">
        <v>15.52</v>
      </c>
      <c r="N1951">
        <v>15.51</v>
      </c>
      <c r="O1951" t="s">
        <v>303</v>
      </c>
      <c r="P1951">
        <f t="shared" si="30"/>
        <v>0</v>
      </c>
    </row>
    <row r="1952" spans="1:16" x14ac:dyDescent="0.25">
      <c r="A1952" t="s">
        <v>669</v>
      </c>
      <c r="B1952">
        <v>15.42</v>
      </c>
      <c r="C1952">
        <v>15.53</v>
      </c>
      <c r="D1952" t="s">
        <v>303</v>
      </c>
      <c r="E1952" t="s">
        <v>910</v>
      </c>
      <c r="F1952" t="s">
        <v>910</v>
      </c>
      <c r="J1952">
        <v>15.53</v>
      </c>
      <c r="K1952">
        <v>15.42</v>
      </c>
      <c r="L1952" t="s">
        <v>303</v>
      </c>
      <c r="M1952">
        <v>15.53</v>
      </c>
      <c r="N1952">
        <v>15.42</v>
      </c>
      <c r="O1952" t="s">
        <v>303</v>
      </c>
      <c r="P1952">
        <f t="shared" si="30"/>
        <v>0</v>
      </c>
    </row>
    <row r="1953" spans="1:16" x14ac:dyDescent="0.25">
      <c r="A1953" t="s">
        <v>669</v>
      </c>
      <c r="B1953">
        <v>15.52</v>
      </c>
      <c r="C1953">
        <v>15.54</v>
      </c>
      <c r="D1953" t="s">
        <v>303</v>
      </c>
      <c r="E1953" t="s">
        <v>910</v>
      </c>
      <c r="F1953" t="s">
        <v>910</v>
      </c>
      <c r="J1953">
        <v>15.54</v>
      </c>
      <c r="K1953">
        <v>15.52</v>
      </c>
      <c r="L1953" t="s">
        <v>303</v>
      </c>
      <c r="M1953">
        <v>15.54</v>
      </c>
      <c r="N1953">
        <v>15.52</v>
      </c>
      <c r="O1953" t="s">
        <v>303</v>
      </c>
      <c r="P1953">
        <f t="shared" si="30"/>
        <v>0</v>
      </c>
    </row>
    <row r="1954" spans="1:16" x14ac:dyDescent="0.25">
      <c r="A1954" t="s">
        <v>669</v>
      </c>
      <c r="B1954">
        <v>15.6267</v>
      </c>
      <c r="C1954">
        <v>15.6267</v>
      </c>
      <c r="D1954" t="s">
        <v>303</v>
      </c>
      <c r="E1954" t="s">
        <v>910</v>
      </c>
      <c r="F1954" t="s">
        <v>910</v>
      </c>
      <c r="J1954">
        <v>15.6267</v>
      </c>
      <c r="K1954">
        <v>15.6267</v>
      </c>
      <c r="L1954" t="s">
        <v>303</v>
      </c>
      <c r="M1954">
        <v>15.6267</v>
      </c>
      <c r="N1954">
        <v>15.6267</v>
      </c>
      <c r="O1954" t="s">
        <v>303</v>
      </c>
      <c r="P1954">
        <f t="shared" si="30"/>
        <v>0</v>
      </c>
    </row>
    <row r="1955" spans="1:16" x14ac:dyDescent="0.25">
      <c r="A1955" t="s">
        <v>669</v>
      </c>
      <c r="B1955">
        <v>15.53</v>
      </c>
      <c r="C1955">
        <v>15.64</v>
      </c>
      <c r="D1955" t="s">
        <v>303</v>
      </c>
      <c r="E1955" t="s">
        <v>910</v>
      </c>
      <c r="F1955" t="s">
        <v>910</v>
      </c>
      <c r="J1955">
        <v>15.64</v>
      </c>
      <c r="K1955">
        <v>15.53</v>
      </c>
      <c r="L1955" t="s">
        <v>303</v>
      </c>
      <c r="M1955">
        <v>15.64</v>
      </c>
      <c r="N1955">
        <v>15.53</v>
      </c>
      <c r="O1955" t="s">
        <v>303</v>
      </c>
      <c r="P1955">
        <f t="shared" si="30"/>
        <v>0</v>
      </c>
    </row>
    <row r="1956" spans="1:16" x14ac:dyDescent="0.25">
      <c r="A1956" t="s">
        <v>669</v>
      </c>
      <c r="B1956">
        <v>15.62</v>
      </c>
      <c r="C1956">
        <v>15.66</v>
      </c>
      <c r="D1956" t="s">
        <v>303</v>
      </c>
      <c r="E1956" t="s">
        <v>910</v>
      </c>
      <c r="F1956" t="s">
        <v>910</v>
      </c>
      <c r="J1956">
        <v>15.66</v>
      </c>
      <c r="K1956">
        <v>15.62</v>
      </c>
      <c r="L1956" t="s">
        <v>303</v>
      </c>
      <c r="M1956">
        <v>15.66</v>
      </c>
      <c r="N1956">
        <v>15.62</v>
      </c>
      <c r="O1956" t="s">
        <v>303</v>
      </c>
      <c r="P1956">
        <f t="shared" si="30"/>
        <v>0</v>
      </c>
    </row>
    <row r="1957" spans="1:16" x14ac:dyDescent="0.25">
      <c r="A1957" t="s">
        <v>669</v>
      </c>
      <c r="B1957">
        <v>15.57</v>
      </c>
      <c r="C1957">
        <v>15.68</v>
      </c>
      <c r="D1957" t="s">
        <v>303</v>
      </c>
      <c r="E1957" t="s">
        <v>910</v>
      </c>
      <c r="F1957" t="s">
        <v>910</v>
      </c>
      <c r="J1957">
        <v>15.68</v>
      </c>
      <c r="K1957">
        <v>15.57</v>
      </c>
      <c r="L1957" t="s">
        <v>303</v>
      </c>
      <c r="M1957">
        <v>15.68</v>
      </c>
      <c r="N1957">
        <v>15.57</v>
      </c>
      <c r="O1957" t="s">
        <v>303</v>
      </c>
      <c r="P1957">
        <f t="shared" si="30"/>
        <v>0</v>
      </c>
    </row>
    <row r="1958" spans="1:16" x14ac:dyDescent="0.25">
      <c r="A1958" t="s">
        <v>669</v>
      </c>
      <c r="B1958">
        <v>15.64</v>
      </c>
      <c r="C1958">
        <v>15.73</v>
      </c>
      <c r="D1958" t="s">
        <v>303</v>
      </c>
      <c r="E1958" t="s">
        <v>910</v>
      </c>
      <c r="F1958" t="s">
        <v>910</v>
      </c>
      <c r="J1958">
        <v>15.73</v>
      </c>
      <c r="K1958">
        <v>15.64</v>
      </c>
      <c r="L1958" t="s">
        <v>303</v>
      </c>
      <c r="M1958">
        <v>15.73</v>
      </c>
      <c r="N1958">
        <v>15.64</v>
      </c>
      <c r="O1958" t="s">
        <v>303</v>
      </c>
      <c r="P1958">
        <f t="shared" si="30"/>
        <v>0</v>
      </c>
    </row>
    <row r="1959" spans="1:16" x14ac:dyDescent="0.25">
      <c r="A1959" t="s">
        <v>669</v>
      </c>
      <c r="B1959">
        <v>15.54</v>
      </c>
      <c r="C1959">
        <v>15.74</v>
      </c>
      <c r="D1959" t="s">
        <v>303</v>
      </c>
      <c r="E1959" t="s">
        <v>910</v>
      </c>
      <c r="F1959" t="s">
        <v>910</v>
      </c>
      <c r="J1959">
        <v>15.74</v>
      </c>
      <c r="K1959">
        <v>15.54</v>
      </c>
      <c r="L1959" t="s">
        <v>303</v>
      </c>
      <c r="M1959">
        <v>15.74</v>
      </c>
      <c r="N1959">
        <v>15.54</v>
      </c>
      <c r="O1959" t="s">
        <v>303</v>
      </c>
      <c r="P1959">
        <f t="shared" si="30"/>
        <v>0</v>
      </c>
    </row>
    <row r="1960" spans="1:16" x14ac:dyDescent="0.25">
      <c r="A1960" t="s">
        <v>669</v>
      </c>
      <c r="B1960">
        <v>15.74</v>
      </c>
      <c r="C1960">
        <v>15.74</v>
      </c>
      <c r="D1960" t="s">
        <v>303</v>
      </c>
      <c r="E1960" t="s">
        <v>910</v>
      </c>
      <c r="F1960" t="s">
        <v>910</v>
      </c>
      <c r="J1960">
        <v>15.74</v>
      </c>
      <c r="K1960">
        <v>15.74</v>
      </c>
      <c r="L1960" t="s">
        <v>303</v>
      </c>
      <c r="M1960">
        <v>15.74</v>
      </c>
      <c r="N1960">
        <v>15.74</v>
      </c>
      <c r="O1960" t="s">
        <v>303</v>
      </c>
      <c r="P1960">
        <f t="shared" si="30"/>
        <v>0</v>
      </c>
    </row>
    <row r="1961" spans="1:16" x14ac:dyDescent="0.25">
      <c r="A1961" t="s">
        <v>669</v>
      </c>
      <c r="B1961">
        <v>164</v>
      </c>
      <c r="C1961" t="s">
        <v>669</v>
      </c>
      <c r="D1961" t="s">
        <v>857</v>
      </c>
      <c r="E1961" t="s">
        <v>910</v>
      </c>
      <c r="F1961">
        <v>5</v>
      </c>
      <c r="H1961" t="s">
        <v>684</v>
      </c>
      <c r="I1961" t="s">
        <v>932</v>
      </c>
      <c r="K1961">
        <v>164</v>
      </c>
      <c r="L1961" t="s">
        <v>920</v>
      </c>
      <c r="N1961">
        <v>164</v>
      </c>
      <c r="O1961" t="s">
        <v>857</v>
      </c>
      <c r="P1961">
        <f t="shared" si="30"/>
        <v>27</v>
      </c>
    </row>
    <row r="1962" spans="1:16" x14ac:dyDescent="0.25">
      <c r="A1962" t="s">
        <v>669</v>
      </c>
      <c r="B1962">
        <v>15.75</v>
      </c>
      <c r="C1962">
        <v>15.8</v>
      </c>
      <c r="D1962" t="s">
        <v>303</v>
      </c>
      <c r="E1962" t="s">
        <v>910</v>
      </c>
      <c r="F1962" t="s">
        <v>910</v>
      </c>
      <c r="J1962">
        <v>15.8</v>
      </c>
      <c r="K1962">
        <v>15.75</v>
      </c>
      <c r="L1962" t="s">
        <v>303</v>
      </c>
      <c r="M1962">
        <v>15.8</v>
      </c>
      <c r="N1962">
        <v>15.75</v>
      </c>
      <c r="O1962" t="s">
        <v>303</v>
      </c>
      <c r="P1962">
        <f t="shared" si="30"/>
        <v>0</v>
      </c>
    </row>
    <row r="1963" spans="1:16" x14ac:dyDescent="0.25">
      <c r="A1963" t="s">
        <v>73</v>
      </c>
      <c r="B1963">
        <v>11.6</v>
      </c>
      <c r="C1963">
        <v>16</v>
      </c>
      <c r="D1963" t="s">
        <v>303</v>
      </c>
      <c r="E1963">
        <v>21</v>
      </c>
      <c r="F1963">
        <v>20</v>
      </c>
      <c r="G1963" t="s">
        <v>694</v>
      </c>
      <c r="H1963" t="s">
        <v>786</v>
      </c>
      <c r="J1963">
        <v>16</v>
      </c>
      <c r="K1963">
        <v>11.6</v>
      </c>
      <c r="L1963" t="s">
        <v>303</v>
      </c>
      <c r="M1963">
        <v>16</v>
      </c>
      <c r="N1963">
        <v>11.6</v>
      </c>
      <c r="O1963" t="s">
        <v>303</v>
      </c>
      <c r="P1963">
        <f t="shared" si="30"/>
        <v>0</v>
      </c>
    </row>
    <row r="1964" spans="1:16" x14ac:dyDescent="0.25">
      <c r="A1964" t="s">
        <v>74</v>
      </c>
      <c r="B1964">
        <v>13.8</v>
      </c>
      <c r="C1964">
        <v>16</v>
      </c>
      <c r="D1964" t="s">
        <v>303</v>
      </c>
      <c r="E1964">
        <v>21</v>
      </c>
      <c r="F1964">
        <v>21</v>
      </c>
      <c r="G1964" t="s">
        <v>694</v>
      </c>
      <c r="H1964" t="s">
        <v>694</v>
      </c>
      <c r="J1964">
        <v>16</v>
      </c>
      <c r="K1964">
        <v>13.8</v>
      </c>
      <c r="L1964" t="s">
        <v>303</v>
      </c>
      <c r="M1964">
        <v>16</v>
      </c>
      <c r="N1964">
        <v>13.8</v>
      </c>
      <c r="O1964" t="s">
        <v>303</v>
      </c>
      <c r="P1964">
        <f t="shared" si="30"/>
        <v>0</v>
      </c>
    </row>
    <row r="1965" spans="1:16" x14ac:dyDescent="0.25">
      <c r="A1965" t="s">
        <v>375</v>
      </c>
      <c r="B1965">
        <v>15.85</v>
      </c>
      <c r="C1965">
        <v>16</v>
      </c>
      <c r="D1965" t="s">
        <v>860</v>
      </c>
      <c r="E1965">
        <v>17</v>
      </c>
      <c r="F1965">
        <v>17</v>
      </c>
      <c r="G1965" t="s">
        <v>689</v>
      </c>
      <c r="H1965" t="s">
        <v>689</v>
      </c>
      <c r="J1965">
        <v>16</v>
      </c>
      <c r="K1965">
        <v>15.85</v>
      </c>
      <c r="L1965" t="s">
        <v>303</v>
      </c>
      <c r="M1965">
        <v>16</v>
      </c>
      <c r="N1965">
        <v>15.85</v>
      </c>
      <c r="O1965" t="s">
        <v>303</v>
      </c>
      <c r="P1965">
        <f t="shared" si="30"/>
        <v>0</v>
      </c>
    </row>
    <row r="1966" spans="1:16" x14ac:dyDescent="0.25">
      <c r="A1966" t="s">
        <v>375</v>
      </c>
      <c r="B1966">
        <v>15.9</v>
      </c>
      <c r="C1966">
        <v>16</v>
      </c>
      <c r="D1966" t="s">
        <v>860</v>
      </c>
      <c r="E1966">
        <v>17</v>
      </c>
      <c r="F1966">
        <v>17</v>
      </c>
      <c r="G1966" t="s">
        <v>689</v>
      </c>
      <c r="H1966" t="s">
        <v>689</v>
      </c>
      <c r="J1966">
        <v>16</v>
      </c>
      <c r="K1966">
        <v>15.9</v>
      </c>
      <c r="L1966" t="s">
        <v>303</v>
      </c>
      <c r="M1966">
        <v>16</v>
      </c>
      <c r="N1966">
        <v>15.9</v>
      </c>
      <c r="O1966" t="s">
        <v>303</v>
      </c>
      <c r="P1966">
        <f t="shared" si="30"/>
        <v>0</v>
      </c>
    </row>
    <row r="1967" spans="1:16" x14ac:dyDescent="0.25">
      <c r="A1967" t="s">
        <v>375</v>
      </c>
      <c r="B1967">
        <v>15.9</v>
      </c>
      <c r="C1967">
        <v>16</v>
      </c>
      <c r="D1967" t="s">
        <v>669</v>
      </c>
      <c r="E1967">
        <v>17</v>
      </c>
      <c r="F1967">
        <v>17</v>
      </c>
      <c r="G1967" t="s">
        <v>689</v>
      </c>
      <c r="H1967" t="s">
        <v>689</v>
      </c>
      <c r="I1967" t="s">
        <v>927</v>
      </c>
      <c r="J1967">
        <v>16</v>
      </c>
      <c r="K1967">
        <v>15.9</v>
      </c>
      <c r="L1967" t="s">
        <v>930</v>
      </c>
      <c r="M1967">
        <v>16</v>
      </c>
      <c r="N1967">
        <v>15.9</v>
      </c>
      <c r="P1967">
        <f t="shared" si="30"/>
        <v>14</v>
      </c>
    </row>
    <row r="1968" spans="1:16" x14ac:dyDescent="0.25">
      <c r="A1968" t="s">
        <v>669</v>
      </c>
      <c r="B1968">
        <v>15.9</v>
      </c>
      <c r="C1968">
        <v>16</v>
      </c>
      <c r="D1968" t="s">
        <v>669</v>
      </c>
      <c r="E1968" t="s">
        <v>910</v>
      </c>
      <c r="F1968" t="s">
        <v>910</v>
      </c>
      <c r="I1968" t="s">
        <v>927</v>
      </c>
      <c r="J1968">
        <v>16</v>
      </c>
      <c r="K1968">
        <v>15.9</v>
      </c>
      <c r="L1968" t="s">
        <v>930</v>
      </c>
      <c r="M1968">
        <v>16</v>
      </c>
      <c r="N1968">
        <v>15.9</v>
      </c>
      <c r="P1968">
        <f t="shared" si="30"/>
        <v>14</v>
      </c>
    </row>
    <row r="1969" spans="1:16" x14ac:dyDescent="0.25">
      <c r="A1969" t="s">
        <v>669</v>
      </c>
      <c r="B1969">
        <v>16.02</v>
      </c>
      <c r="C1969">
        <v>16.02</v>
      </c>
      <c r="D1969" t="s">
        <v>303</v>
      </c>
      <c r="E1969" t="s">
        <v>910</v>
      </c>
      <c r="F1969" t="s">
        <v>910</v>
      </c>
      <c r="J1969">
        <v>16.02</v>
      </c>
      <c r="K1969">
        <v>16.02</v>
      </c>
      <c r="L1969" t="s">
        <v>303</v>
      </c>
      <c r="M1969">
        <v>16.02</v>
      </c>
      <c r="N1969">
        <v>16.02</v>
      </c>
      <c r="O1969" t="s">
        <v>303</v>
      </c>
      <c r="P1969">
        <f t="shared" si="30"/>
        <v>0</v>
      </c>
    </row>
    <row r="1970" spans="1:16" x14ac:dyDescent="0.25">
      <c r="A1970" t="s">
        <v>669</v>
      </c>
      <c r="B1970">
        <v>15.92</v>
      </c>
      <c r="C1970">
        <v>16.03</v>
      </c>
      <c r="D1970" t="s">
        <v>303</v>
      </c>
      <c r="E1970" t="s">
        <v>910</v>
      </c>
      <c r="F1970" t="s">
        <v>910</v>
      </c>
      <c r="J1970">
        <v>16.03</v>
      </c>
      <c r="K1970">
        <v>15.92</v>
      </c>
      <c r="L1970" t="s">
        <v>303</v>
      </c>
      <c r="M1970">
        <v>16.03</v>
      </c>
      <c r="N1970">
        <v>15.92</v>
      </c>
      <c r="O1970" t="s">
        <v>303</v>
      </c>
      <c r="P1970">
        <f t="shared" si="30"/>
        <v>0</v>
      </c>
    </row>
    <row r="1971" spans="1:16" x14ac:dyDescent="0.25">
      <c r="A1971" t="s">
        <v>669</v>
      </c>
      <c r="B1971">
        <v>16.18</v>
      </c>
      <c r="C1971">
        <v>16.18</v>
      </c>
      <c r="D1971" t="s">
        <v>303</v>
      </c>
      <c r="E1971" t="s">
        <v>910</v>
      </c>
      <c r="F1971" t="s">
        <v>910</v>
      </c>
      <c r="J1971">
        <v>16.18</v>
      </c>
      <c r="K1971">
        <v>16.18</v>
      </c>
      <c r="L1971" t="s">
        <v>303</v>
      </c>
      <c r="M1971">
        <v>16.18</v>
      </c>
      <c r="N1971">
        <v>16.18</v>
      </c>
      <c r="O1971" t="s">
        <v>303</v>
      </c>
      <c r="P1971">
        <f t="shared" si="30"/>
        <v>0</v>
      </c>
    </row>
    <row r="1972" spans="1:16" x14ac:dyDescent="0.25">
      <c r="A1972" t="s">
        <v>669</v>
      </c>
      <c r="B1972">
        <v>16.12</v>
      </c>
      <c r="C1972">
        <v>16.22</v>
      </c>
      <c r="D1972" t="s">
        <v>303</v>
      </c>
      <c r="E1972" t="s">
        <v>910</v>
      </c>
      <c r="F1972" t="s">
        <v>910</v>
      </c>
      <c r="J1972">
        <v>16.22</v>
      </c>
      <c r="K1972">
        <v>16.12</v>
      </c>
      <c r="L1972" t="s">
        <v>303</v>
      </c>
      <c r="M1972">
        <v>16.22</v>
      </c>
      <c r="N1972">
        <v>16.12</v>
      </c>
      <c r="O1972" t="s">
        <v>303</v>
      </c>
      <c r="P1972">
        <f t="shared" si="30"/>
        <v>0</v>
      </c>
    </row>
    <row r="1973" spans="1:16" x14ac:dyDescent="0.25">
      <c r="A1973" t="s">
        <v>365</v>
      </c>
      <c r="B1973">
        <v>16</v>
      </c>
      <c r="C1973">
        <v>16.25</v>
      </c>
      <c r="D1973" t="s">
        <v>860</v>
      </c>
      <c r="E1973">
        <v>21</v>
      </c>
      <c r="F1973">
        <v>20</v>
      </c>
      <c r="G1973" t="s">
        <v>694</v>
      </c>
      <c r="H1973" t="s">
        <v>786</v>
      </c>
      <c r="J1973">
        <v>16.25</v>
      </c>
      <c r="K1973">
        <v>16</v>
      </c>
      <c r="L1973" t="s">
        <v>303</v>
      </c>
      <c r="M1973">
        <v>16.25</v>
      </c>
      <c r="N1973">
        <v>16</v>
      </c>
      <c r="O1973" t="s">
        <v>303</v>
      </c>
      <c r="P1973">
        <f t="shared" si="30"/>
        <v>0</v>
      </c>
    </row>
    <row r="1974" spans="1:16" x14ac:dyDescent="0.25">
      <c r="A1974" t="s">
        <v>669</v>
      </c>
      <c r="B1974">
        <v>0.16900000000000001</v>
      </c>
      <c r="C1974">
        <v>0.17</v>
      </c>
      <c r="D1974" t="s">
        <v>864</v>
      </c>
      <c r="E1974">
        <v>5</v>
      </c>
      <c r="F1974">
        <v>5</v>
      </c>
      <c r="G1974" t="s">
        <v>684</v>
      </c>
      <c r="H1974" t="s">
        <v>684</v>
      </c>
      <c r="J1974">
        <v>170</v>
      </c>
      <c r="K1974">
        <v>169</v>
      </c>
      <c r="L1974" t="s">
        <v>931</v>
      </c>
      <c r="M1974">
        <v>0.17</v>
      </c>
      <c r="N1974">
        <v>0.16900000000000001</v>
      </c>
      <c r="O1974" t="s">
        <v>862</v>
      </c>
      <c r="P1974">
        <f t="shared" si="30"/>
        <v>0</v>
      </c>
    </row>
    <row r="1975" spans="1:16" x14ac:dyDescent="0.25">
      <c r="A1975" t="s">
        <v>375</v>
      </c>
      <c r="B1975">
        <v>16</v>
      </c>
      <c r="C1975">
        <v>16.25</v>
      </c>
      <c r="D1975" t="s">
        <v>860</v>
      </c>
      <c r="E1975">
        <v>17</v>
      </c>
      <c r="F1975">
        <v>17</v>
      </c>
      <c r="G1975" t="s">
        <v>689</v>
      </c>
      <c r="H1975" t="s">
        <v>689</v>
      </c>
      <c r="J1975">
        <v>16.25</v>
      </c>
      <c r="K1975">
        <v>16</v>
      </c>
      <c r="L1975" t="s">
        <v>303</v>
      </c>
      <c r="M1975">
        <v>16.25</v>
      </c>
      <c r="N1975">
        <v>16</v>
      </c>
      <c r="O1975" t="s">
        <v>303</v>
      </c>
      <c r="P1975">
        <f t="shared" si="30"/>
        <v>0</v>
      </c>
    </row>
    <row r="1976" spans="1:16" x14ac:dyDescent="0.25">
      <c r="A1976" t="s">
        <v>669</v>
      </c>
      <c r="B1976">
        <v>16</v>
      </c>
      <c r="C1976">
        <v>16.25</v>
      </c>
      <c r="D1976" t="s">
        <v>669</v>
      </c>
      <c r="E1976" t="s">
        <v>910</v>
      </c>
      <c r="F1976" t="s">
        <v>910</v>
      </c>
      <c r="I1976" t="s">
        <v>927</v>
      </c>
      <c r="J1976">
        <v>16.25</v>
      </c>
      <c r="K1976">
        <v>16</v>
      </c>
      <c r="L1976" t="s">
        <v>930</v>
      </c>
      <c r="M1976">
        <v>16.25</v>
      </c>
      <c r="N1976">
        <v>16</v>
      </c>
      <c r="P1976">
        <f t="shared" si="30"/>
        <v>14</v>
      </c>
    </row>
    <row r="1977" spans="1:16" x14ac:dyDescent="0.25">
      <c r="A1977" t="s">
        <v>669</v>
      </c>
      <c r="B1977">
        <v>16.04</v>
      </c>
      <c r="C1977">
        <v>16.25</v>
      </c>
      <c r="D1977" t="s">
        <v>303</v>
      </c>
      <c r="E1977" t="s">
        <v>910</v>
      </c>
      <c r="F1977" t="s">
        <v>910</v>
      </c>
      <c r="J1977">
        <v>16.25</v>
      </c>
      <c r="K1977">
        <v>16.04</v>
      </c>
      <c r="L1977" t="s">
        <v>303</v>
      </c>
      <c r="M1977">
        <v>16.25</v>
      </c>
      <c r="N1977">
        <v>16.04</v>
      </c>
      <c r="O1977" t="s">
        <v>303</v>
      </c>
      <c r="P1977">
        <f t="shared" si="30"/>
        <v>0</v>
      </c>
    </row>
    <row r="1978" spans="1:16" x14ac:dyDescent="0.25">
      <c r="A1978" t="s">
        <v>669</v>
      </c>
      <c r="B1978">
        <v>176</v>
      </c>
      <c r="C1978" t="s">
        <v>669</v>
      </c>
      <c r="D1978" t="s">
        <v>857</v>
      </c>
      <c r="E1978" t="s">
        <v>910</v>
      </c>
      <c r="F1978">
        <v>5</v>
      </c>
      <c r="H1978" t="s">
        <v>684</v>
      </c>
      <c r="I1978" t="s">
        <v>932</v>
      </c>
      <c r="K1978">
        <v>176</v>
      </c>
      <c r="L1978" t="s">
        <v>920</v>
      </c>
      <c r="N1978">
        <v>176</v>
      </c>
      <c r="O1978" t="s">
        <v>857</v>
      </c>
      <c r="P1978">
        <f t="shared" si="30"/>
        <v>27</v>
      </c>
    </row>
    <row r="1979" spans="1:16" x14ac:dyDescent="0.25">
      <c r="A1979" t="s">
        <v>669</v>
      </c>
      <c r="B1979">
        <v>16.45</v>
      </c>
      <c r="C1979">
        <v>16.45</v>
      </c>
      <c r="D1979" t="s">
        <v>303</v>
      </c>
      <c r="E1979" t="s">
        <v>910</v>
      </c>
      <c r="F1979" t="s">
        <v>910</v>
      </c>
      <c r="J1979">
        <v>16.45</v>
      </c>
      <c r="K1979">
        <v>16.45</v>
      </c>
      <c r="L1979" t="s">
        <v>303</v>
      </c>
      <c r="M1979">
        <v>16.45</v>
      </c>
      <c r="N1979">
        <v>16.45</v>
      </c>
      <c r="O1979" t="s">
        <v>303</v>
      </c>
      <c r="P1979">
        <f t="shared" si="30"/>
        <v>0</v>
      </c>
    </row>
    <row r="1980" spans="1:16" x14ac:dyDescent="0.25">
      <c r="A1980" t="s">
        <v>375</v>
      </c>
      <c r="B1980">
        <v>16.100000000000001</v>
      </c>
      <c r="C1980">
        <v>16.5</v>
      </c>
      <c r="D1980" t="s">
        <v>303</v>
      </c>
      <c r="E1980">
        <v>17</v>
      </c>
      <c r="F1980">
        <v>17</v>
      </c>
      <c r="G1980" t="s">
        <v>689</v>
      </c>
      <c r="H1980" t="s">
        <v>689</v>
      </c>
      <c r="J1980">
        <v>16.5</v>
      </c>
      <c r="K1980">
        <v>16.100000000000001</v>
      </c>
      <c r="L1980" t="s">
        <v>303</v>
      </c>
      <c r="M1980">
        <v>16.5</v>
      </c>
      <c r="N1980">
        <v>16.100000000000001</v>
      </c>
      <c r="O1980" t="s">
        <v>303</v>
      </c>
      <c r="P1980">
        <f t="shared" si="30"/>
        <v>0</v>
      </c>
    </row>
    <row r="1981" spans="1:16" x14ac:dyDescent="0.25">
      <c r="A1981" t="s">
        <v>669</v>
      </c>
      <c r="B1981">
        <v>16.100000000000001</v>
      </c>
      <c r="C1981">
        <v>16.7</v>
      </c>
      <c r="D1981" t="s">
        <v>860</v>
      </c>
      <c r="E1981" t="s">
        <v>910</v>
      </c>
      <c r="F1981" t="s">
        <v>910</v>
      </c>
      <c r="J1981">
        <v>16.7</v>
      </c>
      <c r="K1981">
        <v>16.100000000000001</v>
      </c>
      <c r="L1981" t="s">
        <v>303</v>
      </c>
      <c r="M1981">
        <v>16.7</v>
      </c>
      <c r="N1981">
        <v>16.100000000000001</v>
      </c>
      <c r="O1981" t="s">
        <v>303</v>
      </c>
      <c r="P1981">
        <f t="shared" si="30"/>
        <v>0</v>
      </c>
    </row>
    <row r="1982" spans="1:16" x14ac:dyDescent="0.25">
      <c r="A1982" t="s">
        <v>669</v>
      </c>
      <c r="B1982">
        <v>16.71</v>
      </c>
      <c r="C1982">
        <v>16.71</v>
      </c>
      <c r="D1982" t="s">
        <v>303</v>
      </c>
      <c r="E1982" t="s">
        <v>910</v>
      </c>
      <c r="F1982" t="s">
        <v>910</v>
      </c>
      <c r="J1982">
        <v>16.71</v>
      </c>
      <c r="K1982">
        <v>16.71</v>
      </c>
      <c r="L1982" t="s">
        <v>303</v>
      </c>
      <c r="M1982">
        <v>16.71</v>
      </c>
      <c r="N1982">
        <v>16.71</v>
      </c>
      <c r="O1982" t="s">
        <v>303</v>
      </c>
      <c r="P1982">
        <f t="shared" si="30"/>
        <v>0</v>
      </c>
    </row>
    <row r="1983" spans="1:16" x14ac:dyDescent="0.25">
      <c r="A1983" t="s">
        <v>669</v>
      </c>
      <c r="B1983">
        <v>15.28</v>
      </c>
      <c r="C1983">
        <v>16.920000000000002</v>
      </c>
      <c r="D1983" t="s">
        <v>303</v>
      </c>
      <c r="E1983" t="s">
        <v>910</v>
      </c>
      <c r="F1983" t="s">
        <v>910</v>
      </c>
      <c r="J1983">
        <v>16.920000000000002</v>
      </c>
      <c r="K1983">
        <v>15.28</v>
      </c>
      <c r="L1983" t="s">
        <v>303</v>
      </c>
      <c r="M1983">
        <v>16.920000000000002</v>
      </c>
      <c r="N1983">
        <v>15.28</v>
      </c>
      <c r="O1983" t="s">
        <v>303</v>
      </c>
      <c r="P1983">
        <f t="shared" si="30"/>
        <v>0</v>
      </c>
    </row>
    <row r="1984" spans="1:16" x14ac:dyDescent="0.25">
      <c r="A1984" t="s">
        <v>669</v>
      </c>
      <c r="B1984">
        <v>16.34</v>
      </c>
      <c r="C1984">
        <v>16.920000000000002</v>
      </c>
      <c r="D1984" t="s">
        <v>303</v>
      </c>
      <c r="E1984" t="s">
        <v>910</v>
      </c>
      <c r="F1984" t="s">
        <v>910</v>
      </c>
      <c r="J1984">
        <v>16.920000000000002</v>
      </c>
      <c r="K1984">
        <v>16.34</v>
      </c>
      <c r="L1984" t="s">
        <v>303</v>
      </c>
      <c r="M1984">
        <v>16.920000000000002</v>
      </c>
      <c r="N1984">
        <v>16.34</v>
      </c>
      <c r="O1984" t="s">
        <v>303</v>
      </c>
      <c r="P1984">
        <f t="shared" si="30"/>
        <v>0</v>
      </c>
    </row>
    <row r="1985" spans="1:16" x14ac:dyDescent="0.25">
      <c r="A1985" t="s">
        <v>669</v>
      </c>
      <c r="B1985">
        <v>16.86</v>
      </c>
      <c r="C1985">
        <v>16.95</v>
      </c>
      <c r="D1985" t="s">
        <v>303</v>
      </c>
      <c r="E1985" t="s">
        <v>910</v>
      </c>
      <c r="F1985" t="s">
        <v>910</v>
      </c>
      <c r="J1985">
        <v>16.95</v>
      </c>
      <c r="K1985">
        <v>16.86</v>
      </c>
      <c r="L1985" t="s">
        <v>303</v>
      </c>
      <c r="M1985">
        <v>16.95</v>
      </c>
      <c r="N1985">
        <v>16.86</v>
      </c>
      <c r="O1985" t="s">
        <v>303</v>
      </c>
      <c r="P1985">
        <f t="shared" si="30"/>
        <v>0</v>
      </c>
    </row>
    <row r="1986" spans="1:16" x14ac:dyDescent="0.25">
      <c r="A1986" t="s">
        <v>669</v>
      </c>
      <c r="B1986">
        <v>16.25</v>
      </c>
      <c r="C1986">
        <v>17.12</v>
      </c>
      <c r="D1986" t="s">
        <v>303</v>
      </c>
      <c r="E1986" t="s">
        <v>910</v>
      </c>
      <c r="F1986" t="s">
        <v>910</v>
      </c>
      <c r="J1986">
        <v>17.12</v>
      </c>
      <c r="K1986">
        <v>16.25</v>
      </c>
      <c r="L1986" t="s">
        <v>303</v>
      </c>
      <c r="M1986">
        <v>17.12</v>
      </c>
      <c r="N1986">
        <v>16.25</v>
      </c>
      <c r="O1986" t="s">
        <v>303</v>
      </c>
      <c r="P1986">
        <f t="shared" si="30"/>
        <v>0</v>
      </c>
    </row>
    <row r="1987" spans="1:16" x14ac:dyDescent="0.25">
      <c r="A1987" t="s">
        <v>669</v>
      </c>
      <c r="B1987">
        <v>17.133199999999999</v>
      </c>
      <c r="C1987">
        <v>17.133199999999999</v>
      </c>
      <c r="D1987" t="s">
        <v>303</v>
      </c>
      <c r="E1987" t="s">
        <v>910</v>
      </c>
      <c r="F1987" t="s">
        <v>910</v>
      </c>
      <c r="J1987">
        <v>17.133199999999999</v>
      </c>
      <c r="K1987">
        <v>17.133199999999999</v>
      </c>
      <c r="L1987" t="s">
        <v>303</v>
      </c>
      <c r="M1987">
        <v>17.133199999999999</v>
      </c>
      <c r="N1987">
        <v>17.133199999999999</v>
      </c>
      <c r="O1987" t="s">
        <v>303</v>
      </c>
      <c r="P1987">
        <f t="shared" ref="P1987:P2050" si="31">LEN(I1987)</f>
        <v>0</v>
      </c>
    </row>
    <row r="1988" spans="1:16" x14ac:dyDescent="0.25">
      <c r="A1988" t="s">
        <v>669</v>
      </c>
      <c r="B1988">
        <v>17.174299999999999</v>
      </c>
      <c r="C1988">
        <v>17.174299999999999</v>
      </c>
      <c r="D1988" t="s">
        <v>303</v>
      </c>
      <c r="E1988" t="s">
        <v>910</v>
      </c>
      <c r="F1988" t="s">
        <v>910</v>
      </c>
      <c r="J1988">
        <v>17.174299999999999</v>
      </c>
      <c r="K1988">
        <v>17.174299999999999</v>
      </c>
      <c r="L1988" t="s">
        <v>303</v>
      </c>
      <c r="M1988">
        <v>17.174299999999999</v>
      </c>
      <c r="N1988">
        <v>17.174299999999999</v>
      </c>
      <c r="O1988" t="s">
        <v>303</v>
      </c>
      <c r="P1988">
        <f t="shared" si="31"/>
        <v>0</v>
      </c>
    </row>
    <row r="1989" spans="1:16" x14ac:dyDescent="0.25">
      <c r="A1989" t="s">
        <v>669</v>
      </c>
      <c r="B1989">
        <v>17.29</v>
      </c>
      <c r="C1989">
        <v>17.29</v>
      </c>
      <c r="D1989" t="s">
        <v>303</v>
      </c>
      <c r="E1989" t="s">
        <v>910</v>
      </c>
      <c r="F1989" t="s">
        <v>910</v>
      </c>
      <c r="J1989">
        <v>17.29</v>
      </c>
      <c r="K1989">
        <v>17.29</v>
      </c>
      <c r="L1989" t="s">
        <v>303</v>
      </c>
      <c r="M1989">
        <v>17.29</v>
      </c>
      <c r="N1989">
        <v>17.29</v>
      </c>
      <c r="O1989" t="s">
        <v>303</v>
      </c>
      <c r="P1989">
        <f t="shared" si="31"/>
        <v>0</v>
      </c>
    </row>
    <row r="1990" spans="1:16" x14ac:dyDescent="0.25">
      <c r="A1990" t="s">
        <v>669</v>
      </c>
      <c r="B1990">
        <v>17.37</v>
      </c>
      <c r="C1990">
        <v>17.37</v>
      </c>
      <c r="D1990" t="s">
        <v>303</v>
      </c>
      <c r="E1990" t="s">
        <v>910</v>
      </c>
      <c r="F1990" t="s">
        <v>910</v>
      </c>
      <c r="J1990">
        <v>17.37</v>
      </c>
      <c r="K1990">
        <v>17.37</v>
      </c>
      <c r="L1990" t="s">
        <v>303</v>
      </c>
      <c r="M1990">
        <v>17.37</v>
      </c>
      <c r="N1990">
        <v>17.37</v>
      </c>
      <c r="O1990" t="s">
        <v>303</v>
      </c>
      <c r="P1990">
        <f t="shared" si="31"/>
        <v>0</v>
      </c>
    </row>
    <row r="1991" spans="1:16" x14ac:dyDescent="0.25">
      <c r="A1991" t="s">
        <v>669</v>
      </c>
      <c r="B1991">
        <v>17.41</v>
      </c>
      <c r="C1991">
        <v>17.41</v>
      </c>
      <c r="D1991" t="s">
        <v>303</v>
      </c>
      <c r="E1991" t="s">
        <v>910</v>
      </c>
      <c r="F1991" t="s">
        <v>910</v>
      </c>
      <c r="J1991">
        <v>17.41</v>
      </c>
      <c r="K1991">
        <v>17.41</v>
      </c>
      <c r="L1991" t="s">
        <v>303</v>
      </c>
      <c r="M1991">
        <v>17.41</v>
      </c>
      <c r="N1991">
        <v>17.41</v>
      </c>
      <c r="O1991" t="s">
        <v>303</v>
      </c>
      <c r="P1991">
        <f t="shared" si="31"/>
        <v>0</v>
      </c>
    </row>
    <row r="1992" spans="1:16" x14ac:dyDescent="0.25">
      <c r="A1992" t="s">
        <v>669</v>
      </c>
      <c r="B1992">
        <v>17.5</v>
      </c>
      <c r="C1992">
        <v>17.53</v>
      </c>
      <c r="D1992" t="s">
        <v>303</v>
      </c>
      <c r="E1992" t="s">
        <v>910</v>
      </c>
      <c r="F1992" t="s">
        <v>910</v>
      </c>
      <c r="J1992">
        <v>17.53</v>
      </c>
      <c r="K1992">
        <v>17.5</v>
      </c>
      <c r="L1992" t="s">
        <v>303</v>
      </c>
      <c r="M1992">
        <v>17.53</v>
      </c>
      <c r="N1992">
        <v>17.5</v>
      </c>
      <c r="O1992" t="s">
        <v>303</v>
      </c>
      <c r="P1992">
        <f t="shared" si="31"/>
        <v>0</v>
      </c>
    </row>
    <row r="1993" spans="1:16" x14ac:dyDescent="0.25">
      <c r="A1993" t="s">
        <v>669</v>
      </c>
      <c r="B1993">
        <v>17.59</v>
      </c>
      <c r="C1993">
        <v>17.649999999999999</v>
      </c>
      <c r="D1993" t="s">
        <v>303</v>
      </c>
      <c r="E1993" t="s">
        <v>910</v>
      </c>
      <c r="F1993" t="s">
        <v>910</v>
      </c>
      <c r="J1993">
        <v>17.649999999999999</v>
      </c>
      <c r="K1993">
        <v>17.59</v>
      </c>
      <c r="L1993" t="s">
        <v>303</v>
      </c>
      <c r="M1993">
        <v>17.649999999999999</v>
      </c>
      <c r="N1993">
        <v>17.59</v>
      </c>
      <c r="O1993" t="s">
        <v>303</v>
      </c>
      <c r="P1993">
        <f t="shared" si="31"/>
        <v>0</v>
      </c>
    </row>
    <row r="1994" spans="1:16" x14ac:dyDescent="0.25">
      <c r="A1994" t="s">
        <v>669</v>
      </c>
      <c r="B1994">
        <v>17.63</v>
      </c>
      <c r="C1994">
        <v>17.670000000000002</v>
      </c>
      <c r="D1994" t="s">
        <v>303</v>
      </c>
      <c r="E1994" t="s">
        <v>910</v>
      </c>
      <c r="F1994" t="s">
        <v>910</v>
      </c>
      <c r="J1994">
        <v>17.670000000000002</v>
      </c>
      <c r="K1994">
        <v>17.63</v>
      </c>
      <c r="L1994" t="s">
        <v>303</v>
      </c>
      <c r="M1994">
        <v>17.670000000000002</v>
      </c>
      <c r="N1994">
        <v>17.63</v>
      </c>
      <c r="O1994" t="s">
        <v>303</v>
      </c>
      <c r="P1994">
        <f t="shared" si="31"/>
        <v>0</v>
      </c>
    </row>
    <row r="1995" spans="1:16" x14ac:dyDescent="0.25">
      <c r="A1995" t="s">
        <v>173</v>
      </c>
      <c r="B1995">
        <v>17.5</v>
      </c>
      <c r="C1995">
        <v>17.899999999999999</v>
      </c>
      <c r="D1995" t="s">
        <v>303</v>
      </c>
      <c r="E1995">
        <v>23</v>
      </c>
      <c r="F1995">
        <v>22</v>
      </c>
      <c r="G1995" t="s">
        <v>676</v>
      </c>
      <c r="H1995" t="s">
        <v>755</v>
      </c>
      <c r="J1995">
        <v>17.899999999999999</v>
      </c>
      <c r="K1995">
        <v>17.5</v>
      </c>
      <c r="L1995" t="s">
        <v>303</v>
      </c>
      <c r="M1995">
        <v>17.899999999999999</v>
      </c>
      <c r="N1995">
        <v>17.5</v>
      </c>
      <c r="O1995" t="s">
        <v>303</v>
      </c>
      <c r="P1995">
        <f t="shared" si="31"/>
        <v>0</v>
      </c>
    </row>
    <row r="1996" spans="1:16" x14ac:dyDescent="0.25">
      <c r="A1996" t="s">
        <v>669</v>
      </c>
      <c r="B1996">
        <v>6.5</v>
      </c>
      <c r="C1996">
        <v>18</v>
      </c>
      <c r="D1996" t="s">
        <v>860</v>
      </c>
      <c r="E1996" t="s">
        <v>910</v>
      </c>
      <c r="F1996" t="s">
        <v>910</v>
      </c>
      <c r="J1996">
        <v>18</v>
      </c>
      <c r="K1996">
        <v>6.5</v>
      </c>
      <c r="L1996" t="s">
        <v>303</v>
      </c>
      <c r="M1996">
        <v>18</v>
      </c>
      <c r="N1996">
        <v>6.5</v>
      </c>
      <c r="O1996" t="s">
        <v>303</v>
      </c>
      <c r="P1996">
        <f t="shared" si="31"/>
        <v>0</v>
      </c>
    </row>
    <row r="1997" spans="1:16" x14ac:dyDescent="0.25">
      <c r="A1997" t="s">
        <v>669</v>
      </c>
      <c r="B1997">
        <v>10</v>
      </c>
      <c r="C1997">
        <v>18</v>
      </c>
      <c r="D1997" t="s">
        <v>860</v>
      </c>
      <c r="E1997" t="s">
        <v>910</v>
      </c>
      <c r="F1997" t="s">
        <v>910</v>
      </c>
      <c r="J1997">
        <v>18</v>
      </c>
      <c r="K1997">
        <v>10</v>
      </c>
      <c r="L1997" t="s">
        <v>303</v>
      </c>
      <c r="M1997">
        <v>18</v>
      </c>
      <c r="N1997">
        <v>10</v>
      </c>
      <c r="O1997" t="s">
        <v>303</v>
      </c>
      <c r="P1997">
        <f t="shared" si="31"/>
        <v>0</v>
      </c>
    </row>
    <row r="1998" spans="1:16" x14ac:dyDescent="0.25">
      <c r="A1998" t="s">
        <v>375</v>
      </c>
      <c r="B1998">
        <v>16</v>
      </c>
      <c r="C1998">
        <v>18</v>
      </c>
      <c r="D1998" t="s">
        <v>860</v>
      </c>
      <c r="E1998">
        <v>17</v>
      </c>
      <c r="F1998">
        <v>17</v>
      </c>
      <c r="G1998" t="s">
        <v>689</v>
      </c>
      <c r="H1998" t="s">
        <v>689</v>
      </c>
      <c r="J1998">
        <v>18</v>
      </c>
      <c r="K1998">
        <v>16</v>
      </c>
      <c r="L1998" t="s">
        <v>303</v>
      </c>
      <c r="M1998">
        <v>18</v>
      </c>
      <c r="N1998">
        <v>16</v>
      </c>
      <c r="O1998" t="s">
        <v>303</v>
      </c>
      <c r="P1998">
        <f t="shared" si="31"/>
        <v>0</v>
      </c>
    </row>
    <row r="1999" spans="1:16" x14ac:dyDescent="0.25">
      <c r="A1999" t="s">
        <v>669</v>
      </c>
      <c r="B1999" t="s">
        <v>669</v>
      </c>
      <c r="C1999">
        <v>18</v>
      </c>
      <c r="D1999" t="s">
        <v>303</v>
      </c>
      <c r="E1999" t="s">
        <v>910</v>
      </c>
      <c r="F1999" t="s">
        <v>910</v>
      </c>
      <c r="J1999">
        <v>18</v>
      </c>
      <c r="K1999">
        <v>18</v>
      </c>
      <c r="L1999" t="s">
        <v>303</v>
      </c>
      <c r="M1999">
        <v>18</v>
      </c>
      <c r="N1999">
        <v>18</v>
      </c>
      <c r="O1999" t="s">
        <v>303</v>
      </c>
      <c r="P1999">
        <f t="shared" si="31"/>
        <v>0</v>
      </c>
    </row>
    <row r="2000" spans="1:16" x14ac:dyDescent="0.25">
      <c r="A2000" t="s">
        <v>669</v>
      </c>
      <c r="B2000">
        <v>18.059999999999999</v>
      </c>
      <c r="C2000">
        <v>18.059999999999999</v>
      </c>
      <c r="D2000" t="s">
        <v>303</v>
      </c>
      <c r="E2000" t="s">
        <v>910</v>
      </c>
      <c r="F2000" t="s">
        <v>910</v>
      </c>
      <c r="J2000">
        <v>18.059999999999999</v>
      </c>
      <c r="K2000">
        <v>18.059999999999999</v>
      </c>
      <c r="L2000" t="s">
        <v>303</v>
      </c>
      <c r="M2000">
        <v>18.059999999999999</v>
      </c>
      <c r="N2000">
        <v>18.059999999999999</v>
      </c>
      <c r="O2000" t="s">
        <v>303</v>
      </c>
      <c r="P2000">
        <f t="shared" si="31"/>
        <v>0</v>
      </c>
    </row>
    <row r="2001" spans="1:16" x14ac:dyDescent="0.25">
      <c r="A2001" t="s">
        <v>669</v>
      </c>
      <c r="B2001">
        <v>18.12</v>
      </c>
      <c r="C2001">
        <v>18.12</v>
      </c>
      <c r="D2001" t="s">
        <v>303</v>
      </c>
      <c r="E2001" t="s">
        <v>910</v>
      </c>
      <c r="F2001" t="s">
        <v>910</v>
      </c>
      <c r="J2001">
        <v>18.12</v>
      </c>
      <c r="K2001">
        <v>18.12</v>
      </c>
      <c r="L2001" t="s">
        <v>303</v>
      </c>
      <c r="M2001">
        <v>18.12</v>
      </c>
      <c r="N2001">
        <v>18.12</v>
      </c>
      <c r="O2001" t="s">
        <v>303</v>
      </c>
      <c r="P2001">
        <f t="shared" si="31"/>
        <v>0</v>
      </c>
    </row>
    <row r="2002" spans="1:16" x14ac:dyDescent="0.25">
      <c r="A2002" t="s">
        <v>669</v>
      </c>
      <c r="B2002">
        <v>18.45</v>
      </c>
      <c r="C2002">
        <v>18.45</v>
      </c>
      <c r="D2002" t="s">
        <v>303</v>
      </c>
      <c r="E2002" t="s">
        <v>910</v>
      </c>
      <c r="F2002" t="s">
        <v>910</v>
      </c>
      <c r="J2002">
        <v>18.45</v>
      </c>
      <c r="K2002">
        <v>18.45</v>
      </c>
      <c r="L2002" t="s">
        <v>303</v>
      </c>
      <c r="M2002">
        <v>18.45</v>
      </c>
      <c r="N2002">
        <v>18.45</v>
      </c>
      <c r="O2002" t="s">
        <v>303</v>
      </c>
      <c r="P2002">
        <f t="shared" si="31"/>
        <v>0</v>
      </c>
    </row>
    <row r="2003" spans="1:16" x14ac:dyDescent="0.25">
      <c r="A2003" t="s">
        <v>669</v>
      </c>
      <c r="B2003">
        <v>18.59</v>
      </c>
      <c r="C2003">
        <v>18.59</v>
      </c>
      <c r="D2003" t="s">
        <v>303</v>
      </c>
      <c r="E2003" t="s">
        <v>910</v>
      </c>
      <c r="F2003" t="s">
        <v>910</v>
      </c>
      <c r="J2003">
        <v>18.59</v>
      </c>
      <c r="K2003">
        <v>18.59</v>
      </c>
      <c r="L2003" t="s">
        <v>303</v>
      </c>
      <c r="M2003">
        <v>18.59</v>
      </c>
      <c r="N2003">
        <v>18.59</v>
      </c>
      <c r="O2003" t="s">
        <v>303</v>
      </c>
      <c r="P2003">
        <f t="shared" si="31"/>
        <v>0</v>
      </c>
    </row>
    <row r="2004" spans="1:16" x14ac:dyDescent="0.25">
      <c r="A2004" t="s">
        <v>669</v>
      </c>
      <c r="B2004">
        <v>19</v>
      </c>
      <c r="C2004">
        <v>19</v>
      </c>
      <c r="D2004" t="s">
        <v>303</v>
      </c>
      <c r="E2004" t="s">
        <v>910</v>
      </c>
      <c r="F2004" t="s">
        <v>910</v>
      </c>
      <c r="J2004">
        <v>19</v>
      </c>
      <c r="K2004">
        <v>19</v>
      </c>
      <c r="L2004" t="s">
        <v>303</v>
      </c>
      <c r="M2004">
        <v>19</v>
      </c>
      <c r="N2004">
        <v>19</v>
      </c>
      <c r="O2004" t="s">
        <v>303</v>
      </c>
      <c r="P2004">
        <f t="shared" si="31"/>
        <v>0</v>
      </c>
    </row>
    <row r="2005" spans="1:16" x14ac:dyDescent="0.25">
      <c r="A2005" t="s">
        <v>375</v>
      </c>
      <c r="B2005">
        <v>18.899999999999999</v>
      </c>
      <c r="C2005">
        <v>19.3</v>
      </c>
      <c r="D2005" t="s">
        <v>303</v>
      </c>
      <c r="E2005">
        <v>17</v>
      </c>
      <c r="F2005">
        <v>17</v>
      </c>
      <c r="G2005" t="s">
        <v>689</v>
      </c>
      <c r="H2005" t="s">
        <v>689</v>
      </c>
      <c r="J2005">
        <v>19.3</v>
      </c>
      <c r="K2005">
        <v>18.899999999999999</v>
      </c>
      <c r="L2005" t="s">
        <v>303</v>
      </c>
      <c r="M2005">
        <v>19.3</v>
      </c>
      <c r="N2005">
        <v>18.899999999999999</v>
      </c>
      <c r="O2005" t="s">
        <v>303</v>
      </c>
      <c r="P2005">
        <f t="shared" si="31"/>
        <v>0</v>
      </c>
    </row>
    <row r="2006" spans="1:16" x14ac:dyDescent="0.25">
      <c r="A2006" t="s">
        <v>669</v>
      </c>
      <c r="B2006">
        <v>19.36</v>
      </c>
      <c r="C2006">
        <v>19.36</v>
      </c>
      <c r="D2006" t="s">
        <v>303</v>
      </c>
      <c r="E2006" t="s">
        <v>910</v>
      </c>
      <c r="F2006" t="s">
        <v>910</v>
      </c>
      <c r="J2006">
        <v>19.36</v>
      </c>
      <c r="K2006">
        <v>19.36</v>
      </c>
      <c r="L2006" t="s">
        <v>303</v>
      </c>
      <c r="M2006">
        <v>19.36</v>
      </c>
      <c r="N2006">
        <v>19.36</v>
      </c>
      <c r="O2006" t="s">
        <v>303</v>
      </c>
      <c r="P2006">
        <f t="shared" si="31"/>
        <v>0</v>
      </c>
    </row>
    <row r="2007" spans="1:16" x14ac:dyDescent="0.25">
      <c r="A2007" t="s">
        <v>669</v>
      </c>
      <c r="B2007">
        <v>19.38</v>
      </c>
      <c r="C2007">
        <v>19.38</v>
      </c>
      <c r="D2007" t="s">
        <v>303</v>
      </c>
      <c r="E2007" t="s">
        <v>910</v>
      </c>
      <c r="F2007" t="s">
        <v>910</v>
      </c>
      <c r="J2007">
        <v>19.38</v>
      </c>
      <c r="K2007">
        <v>19.38</v>
      </c>
      <c r="L2007" t="s">
        <v>303</v>
      </c>
      <c r="M2007">
        <v>19.38</v>
      </c>
      <c r="N2007">
        <v>19.38</v>
      </c>
      <c r="O2007" t="s">
        <v>303</v>
      </c>
      <c r="P2007">
        <f t="shared" si="31"/>
        <v>0</v>
      </c>
    </row>
    <row r="2008" spans="1:16" x14ac:dyDescent="0.25">
      <c r="A2008" t="s">
        <v>669</v>
      </c>
      <c r="B2008">
        <v>19.510000000000002</v>
      </c>
      <c r="C2008">
        <v>19.510000000000002</v>
      </c>
      <c r="D2008" t="s">
        <v>303</v>
      </c>
      <c r="E2008" t="s">
        <v>910</v>
      </c>
      <c r="F2008" t="s">
        <v>910</v>
      </c>
      <c r="J2008">
        <v>19.510000000000002</v>
      </c>
      <c r="K2008">
        <v>19.510000000000002</v>
      </c>
      <c r="L2008" t="s">
        <v>303</v>
      </c>
      <c r="M2008">
        <v>19.510000000000002</v>
      </c>
      <c r="N2008">
        <v>19.510000000000002</v>
      </c>
      <c r="O2008" t="s">
        <v>303</v>
      </c>
      <c r="P2008">
        <f t="shared" si="31"/>
        <v>0</v>
      </c>
    </row>
    <row r="2009" spans="1:16" x14ac:dyDescent="0.25">
      <c r="A2009" t="s">
        <v>669</v>
      </c>
      <c r="B2009">
        <v>19.54</v>
      </c>
      <c r="C2009">
        <v>19.54</v>
      </c>
      <c r="D2009" t="s">
        <v>303</v>
      </c>
      <c r="E2009" t="s">
        <v>910</v>
      </c>
      <c r="F2009" t="s">
        <v>910</v>
      </c>
      <c r="J2009">
        <v>19.54</v>
      </c>
      <c r="K2009">
        <v>19.54</v>
      </c>
      <c r="L2009" t="s">
        <v>303</v>
      </c>
      <c r="M2009">
        <v>19.54</v>
      </c>
      <c r="N2009">
        <v>19.54</v>
      </c>
      <c r="O2009" t="s">
        <v>303</v>
      </c>
      <c r="P2009">
        <f t="shared" si="31"/>
        <v>0</v>
      </c>
    </row>
    <row r="2010" spans="1:16" x14ac:dyDescent="0.25">
      <c r="A2010" t="s">
        <v>669</v>
      </c>
      <c r="B2010">
        <v>19.09</v>
      </c>
      <c r="C2010">
        <v>19.579999999999998</v>
      </c>
      <c r="D2010" t="s">
        <v>303</v>
      </c>
      <c r="E2010" t="s">
        <v>910</v>
      </c>
      <c r="F2010" t="s">
        <v>910</v>
      </c>
      <c r="J2010">
        <v>19.579999999999998</v>
      </c>
      <c r="K2010">
        <v>19.09</v>
      </c>
      <c r="L2010" t="s">
        <v>303</v>
      </c>
      <c r="M2010">
        <v>19.579999999999998</v>
      </c>
      <c r="N2010">
        <v>19.09</v>
      </c>
      <c r="O2010" t="s">
        <v>303</v>
      </c>
      <c r="P2010">
        <f t="shared" si="31"/>
        <v>0</v>
      </c>
    </row>
    <row r="2011" spans="1:16" x14ac:dyDescent="0.25">
      <c r="A2011" t="s">
        <v>669</v>
      </c>
      <c r="B2011">
        <v>19.22</v>
      </c>
      <c r="C2011">
        <v>19.66</v>
      </c>
      <c r="D2011" t="s">
        <v>303</v>
      </c>
      <c r="E2011" t="s">
        <v>910</v>
      </c>
      <c r="F2011" t="s">
        <v>910</v>
      </c>
      <c r="J2011">
        <v>19.66</v>
      </c>
      <c r="K2011">
        <v>19.22</v>
      </c>
      <c r="L2011" t="s">
        <v>303</v>
      </c>
      <c r="M2011">
        <v>19.66</v>
      </c>
      <c r="N2011">
        <v>19.22</v>
      </c>
      <c r="O2011" t="s">
        <v>303</v>
      </c>
      <c r="P2011">
        <f t="shared" si="31"/>
        <v>0</v>
      </c>
    </row>
    <row r="2012" spans="1:16" x14ac:dyDescent="0.25">
      <c r="A2012" t="s">
        <v>669</v>
      </c>
      <c r="B2012">
        <v>19.72</v>
      </c>
      <c r="C2012">
        <v>19.75</v>
      </c>
      <c r="D2012" t="s">
        <v>303</v>
      </c>
      <c r="E2012" t="s">
        <v>910</v>
      </c>
      <c r="F2012" t="s">
        <v>910</v>
      </c>
      <c r="J2012">
        <v>19.75</v>
      </c>
      <c r="K2012">
        <v>19.72</v>
      </c>
      <c r="L2012" t="s">
        <v>303</v>
      </c>
      <c r="M2012">
        <v>19.75</v>
      </c>
      <c r="N2012">
        <v>19.72</v>
      </c>
      <c r="O2012" t="s">
        <v>303</v>
      </c>
      <c r="P2012">
        <f t="shared" si="31"/>
        <v>0</v>
      </c>
    </row>
    <row r="2013" spans="1:16" x14ac:dyDescent="0.25">
      <c r="A2013" t="s">
        <v>669</v>
      </c>
      <c r="B2013">
        <v>19.8</v>
      </c>
      <c r="C2013">
        <v>19.82</v>
      </c>
      <c r="D2013" t="s">
        <v>303</v>
      </c>
      <c r="E2013" t="s">
        <v>910</v>
      </c>
      <c r="F2013" t="s">
        <v>910</v>
      </c>
      <c r="J2013">
        <v>19.82</v>
      </c>
      <c r="K2013">
        <v>19.8</v>
      </c>
      <c r="L2013" t="s">
        <v>303</v>
      </c>
      <c r="M2013">
        <v>19.82</v>
      </c>
      <c r="N2013">
        <v>19.8</v>
      </c>
      <c r="O2013" t="s">
        <v>303</v>
      </c>
      <c r="P2013">
        <f t="shared" si="31"/>
        <v>0</v>
      </c>
    </row>
    <row r="2014" spans="1:16" x14ac:dyDescent="0.25">
      <c r="A2014" t="s">
        <v>669</v>
      </c>
      <c r="B2014">
        <v>19.93</v>
      </c>
      <c r="C2014">
        <v>19.940000000000001</v>
      </c>
      <c r="D2014" t="s">
        <v>303</v>
      </c>
      <c r="E2014" t="s">
        <v>910</v>
      </c>
      <c r="F2014" t="s">
        <v>910</v>
      </c>
      <c r="J2014">
        <v>19.940000000000001</v>
      </c>
      <c r="K2014">
        <v>19.93</v>
      </c>
      <c r="L2014" t="s">
        <v>303</v>
      </c>
      <c r="M2014">
        <v>19.940000000000001</v>
      </c>
      <c r="N2014">
        <v>19.93</v>
      </c>
      <c r="O2014" t="s">
        <v>303</v>
      </c>
      <c r="P2014">
        <f t="shared" si="31"/>
        <v>0</v>
      </c>
    </row>
    <row r="2015" spans="1:16" x14ac:dyDescent="0.25">
      <c r="A2015" t="s">
        <v>669</v>
      </c>
      <c r="B2015" s="6">
        <v>19.959795155709301</v>
      </c>
      <c r="C2015" s="6">
        <v>19.959795155709301</v>
      </c>
      <c r="D2015" t="s">
        <v>303</v>
      </c>
      <c r="E2015" t="s">
        <v>910</v>
      </c>
      <c r="F2015" t="s">
        <v>910</v>
      </c>
      <c r="J2015">
        <v>19.959795155709301</v>
      </c>
      <c r="K2015">
        <v>19.959795155709301</v>
      </c>
      <c r="L2015" t="s">
        <v>303</v>
      </c>
      <c r="M2015">
        <v>19.959795155709301</v>
      </c>
      <c r="N2015">
        <v>19.959795155709301</v>
      </c>
      <c r="O2015" t="s">
        <v>303</v>
      </c>
      <c r="P2015">
        <f t="shared" si="31"/>
        <v>0</v>
      </c>
    </row>
    <row r="2016" spans="1:16" x14ac:dyDescent="0.25">
      <c r="A2016" t="s">
        <v>669</v>
      </c>
      <c r="B2016">
        <v>19.96</v>
      </c>
      <c r="C2016">
        <v>19.96</v>
      </c>
      <c r="D2016" t="s">
        <v>303</v>
      </c>
      <c r="E2016" t="s">
        <v>910</v>
      </c>
      <c r="F2016" t="s">
        <v>910</v>
      </c>
      <c r="J2016">
        <v>19.96</v>
      </c>
      <c r="K2016">
        <v>19.96</v>
      </c>
      <c r="L2016" t="s">
        <v>303</v>
      </c>
      <c r="M2016">
        <v>19.96</v>
      </c>
      <c r="N2016">
        <v>19.96</v>
      </c>
      <c r="O2016" t="s">
        <v>303</v>
      </c>
      <c r="P2016">
        <f t="shared" si="31"/>
        <v>0</v>
      </c>
    </row>
    <row r="2017" spans="1:16" x14ac:dyDescent="0.25">
      <c r="A2017" t="s">
        <v>669</v>
      </c>
      <c r="B2017">
        <v>10</v>
      </c>
      <c r="C2017">
        <v>20</v>
      </c>
      <c r="D2017" t="s">
        <v>669</v>
      </c>
      <c r="E2017" t="s">
        <v>910</v>
      </c>
      <c r="F2017" t="s">
        <v>910</v>
      </c>
      <c r="I2017" t="s">
        <v>927</v>
      </c>
      <c r="J2017">
        <v>20</v>
      </c>
      <c r="K2017">
        <v>10</v>
      </c>
      <c r="L2017" t="s">
        <v>930</v>
      </c>
      <c r="M2017">
        <v>20</v>
      </c>
      <c r="N2017">
        <v>10</v>
      </c>
      <c r="P2017">
        <f t="shared" si="31"/>
        <v>14</v>
      </c>
    </row>
    <row r="2018" spans="1:16" x14ac:dyDescent="0.25">
      <c r="A2018" t="s">
        <v>669</v>
      </c>
      <c r="B2018">
        <v>20</v>
      </c>
      <c r="C2018">
        <v>20</v>
      </c>
      <c r="D2018" t="s">
        <v>669</v>
      </c>
      <c r="E2018" t="s">
        <v>910</v>
      </c>
      <c r="F2018" t="s">
        <v>910</v>
      </c>
      <c r="I2018" t="s">
        <v>927</v>
      </c>
      <c r="J2018">
        <v>20</v>
      </c>
      <c r="K2018">
        <v>20</v>
      </c>
      <c r="L2018" t="s">
        <v>930</v>
      </c>
      <c r="M2018">
        <v>20</v>
      </c>
      <c r="N2018">
        <v>20</v>
      </c>
      <c r="P2018">
        <f t="shared" si="31"/>
        <v>14</v>
      </c>
    </row>
    <row r="2019" spans="1:16" x14ac:dyDescent="0.25">
      <c r="A2019" t="s">
        <v>669</v>
      </c>
      <c r="B2019">
        <v>20.07</v>
      </c>
      <c r="C2019">
        <v>20.07</v>
      </c>
      <c r="D2019" t="s">
        <v>303</v>
      </c>
      <c r="E2019" t="s">
        <v>910</v>
      </c>
      <c r="F2019" t="s">
        <v>910</v>
      </c>
      <c r="J2019">
        <v>20.07</v>
      </c>
      <c r="K2019">
        <v>20.07</v>
      </c>
      <c r="L2019" t="s">
        <v>303</v>
      </c>
      <c r="M2019">
        <v>20.07</v>
      </c>
      <c r="N2019">
        <v>20.07</v>
      </c>
      <c r="O2019" t="s">
        <v>303</v>
      </c>
      <c r="P2019">
        <f t="shared" si="31"/>
        <v>0</v>
      </c>
    </row>
    <row r="2020" spans="1:16" x14ac:dyDescent="0.25">
      <c r="A2020" t="s">
        <v>669</v>
      </c>
      <c r="B2020">
        <v>19.93</v>
      </c>
      <c r="C2020">
        <v>20.239999999999998</v>
      </c>
      <c r="D2020" t="s">
        <v>303</v>
      </c>
      <c r="E2020" t="s">
        <v>910</v>
      </c>
      <c r="F2020" t="s">
        <v>910</v>
      </c>
      <c r="J2020">
        <v>20.239999999999998</v>
      </c>
      <c r="K2020">
        <v>19.93</v>
      </c>
      <c r="L2020" t="s">
        <v>303</v>
      </c>
      <c r="M2020">
        <v>20.239999999999998</v>
      </c>
      <c r="N2020">
        <v>19.93</v>
      </c>
      <c r="O2020" t="s">
        <v>303</v>
      </c>
      <c r="P2020">
        <f t="shared" si="31"/>
        <v>0</v>
      </c>
    </row>
    <row r="2021" spans="1:16" x14ac:dyDescent="0.25">
      <c r="A2021" t="s">
        <v>669</v>
      </c>
      <c r="B2021">
        <v>20.3</v>
      </c>
      <c r="C2021">
        <v>20.3</v>
      </c>
      <c r="D2021" t="s">
        <v>303</v>
      </c>
      <c r="E2021" t="s">
        <v>910</v>
      </c>
      <c r="F2021" t="s">
        <v>910</v>
      </c>
      <c r="J2021">
        <v>20.3</v>
      </c>
      <c r="K2021">
        <v>20.3</v>
      </c>
      <c r="L2021" t="s">
        <v>303</v>
      </c>
      <c r="M2021">
        <v>20.3</v>
      </c>
      <c r="N2021">
        <v>20.3</v>
      </c>
      <c r="O2021" t="s">
        <v>303</v>
      </c>
      <c r="P2021">
        <f t="shared" si="31"/>
        <v>0</v>
      </c>
    </row>
    <row r="2022" spans="1:16" x14ac:dyDescent="0.25">
      <c r="A2022" t="s">
        <v>669</v>
      </c>
      <c r="B2022">
        <v>20.170000000000002</v>
      </c>
      <c r="C2022">
        <v>20.38</v>
      </c>
      <c r="D2022" t="s">
        <v>303</v>
      </c>
      <c r="E2022" t="s">
        <v>910</v>
      </c>
      <c r="F2022" t="s">
        <v>910</v>
      </c>
      <c r="J2022">
        <v>20.38</v>
      </c>
      <c r="K2022">
        <v>20.170000000000002</v>
      </c>
      <c r="L2022" t="s">
        <v>303</v>
      </c>
      <c r="M2022">
        <v>20.38</v>
      </c>
      <c r="N2022">
        <v>20.170000000000002</v>
      </c>
      <c r="O2022" t="s">
        <v>303</v>
      </c>
      <c r="P2022">
        <f t="shared" si="31"/>
        <v>0</v>
      </c>
    </row>
    <row r="2023" spans="1:16" x14ac:dyDescent="0.25">
      <c r="A2023" t="s">
        <v>669</v>
      </c>
      <c r="B2023">
        <v>11.6</v>
      </c>
      <c r="C2023">
        <v>20.399999999999999</v>
      </c>
      <c r="D2023" t="s">
        <v>303</v>
      </c>
      <c r="E2023" t="s">
        <v>910</v>
      </c>
      <c r="F2023" t="s">
        <v>910</v>
      </c>
      <c r="J2023">
        <v>20.399999999999999</v>
      </c>
      <c r="K2023">
        <v>11.6</v>
      </c>
      <c r="L2023" t="s">
        <v>303</v>
      </c>
      <c r="M2023">
        <v>20.399999999999999</v>
      </c>
      <c r="N2023">
        <v>11.6</v>
      </c>
      <c r="O2023" t="s">
        <v>303</v>
      </c>
      <c r="P2023">
        <f t="shared" si="31"/>
        <v>0</v>
      </c>
    </row>
    <row r="2024" spans="1:16" x14ac:dyDescent="0.25">
      <c r="A2024" t="s">
        <v>669</v>
      </c>
      <c r="B2024">
        <v>20.5</v>
      </c>
      <c r="C2024">
        <v>20.5</v>
      </c>
      <c r="D2024" t="s">
        <v>303</v>
      </c>
      <c r="E2024" t="s">
        <v>910</v>
      </c>
      <c r="F2024" t="s">
        <v>910</v>
      </c>
      <c r="J2024">
        <v>20.5</v>
      </c>
      <c r="K2024">
        <v>20.5</v>
      </c>
      <c r="L2024" t="s">
        <v>303</v>
      </c>
      <c r="M2024">
        <v>20.5</v>
      </c>
      <c r="N2024">
        <v>20.5</v>
      </c>
      <c r="O2024" t="s">
        <v>303</v>
      </c>
      <c r="P2024">
        <f t="shared" si="31"/>
        <v>0</v>
      </c>
    </row>
    <row r="2025" spans="1:16" x14ac:dyDescent="0.25">
      <c r="A2025" t="s">
        <v>669</v>
      </c>
      <c r="B2025">
        <v>19.2</v>
      </c>
      <c r="C2025">
        <v>20.6</v>
      </c>
      <c r="D2025" t="s">
        <v>303</v>
      </c>
      <c r="E2025" t="s">
        <v>910</v>
      </c>
      <c r="F2025" t="s">
        <v>910</v>
      </c>
      <c r="J2025">
        <v>20.6</v>
      </c>
      <c r="K2025">
        <v>19.2</v>
      </c>
      <c r="L2025" t="s">
        <v>303</v>
      </c>
      <c r="M2025">
        <v>20.6</v>
      </c>
      <c r="N2025">
        <v>19.2</v>
      </c>
      <c r="O2025" t="s">
        <v>303</v>
      </c>
      <c r="P2025">
        <f t="shared" si="31"/>
        <v>0</v>
      </c>
    </row>
    <row r="2026" spans="1:16" x14ac:dyDescent="0.25">
      <c r="A2026" t="s">
        <v>669</v>
      </c>
      <c r="B2026">
        <v>20.52</v>
      </c>
      <c r="C2026">
        <v>20.61</v>
      </c>
      <c r="D2026" t="s">
        <v>303</v>
      </c>
      <c r="E2026" t="s">
        <v>910</v>
      </c>
      <c r="F2026" t="s">
        <v>910</v>
      </c>
      <c r="J2026">
        <v>20.61</v>
      </c>
      <c r="K2026">
        <v>20.52</v>
      </c>
      <c r="L2026" t="s">
        <v>303</v>
      </c>
      <c r="M2026">
        <v>20.61</v>
      </c>
      <c r="N2026">
        <v>20.52</v>
      </c>
      <c r="O2026" t="s">
        <v>303</v>
      </c>
      <c r="P2026">
        <f t="shared" si="31"/>
        <v>0</v>
      </c>
    </row>
    <row r="2027" spans="1:16" x14ac:dyDescent="0.25">
      <c r="A2027" t="s">
        <v>669</v>
      </c>
      <c r="B2027">
        <v>20.68</v>
      </c>
      <c r="C2027">
        <v>20.68</v>
      </c>
      <c r="D2027" t="s">
        <v>303</v>
      </c>
      <c r="E2027" t="s">
        <v>910</v>
      </c>
      <c r="F2027" t="s">
        <v>910</v>
      </c>
      <c r="J2027">
        <v>20.68</v>
      </c>
      <c r="K2027">
        <v>20.68</v>
      </c>
      <c r="L2027" t="s">
        <v>303</v>
      </c>
      <c r="M2027">
        <v>20.68</v>
      </c>
      <c r="N2027">
        <v>20.68</v>
      </c>
      <c r="O2027" t="s">
        <v>303</v>
      </c>
      <c r="P2027">
        <f t="shared" si="31"/>
        <v>0</v>
      </c>
    </row>
    <row r="2028" spans="1:16" x14ac:dyDescent="0.25">
      <c r="A2028" t="s">
        <v>669</v>
      </c>
      <c r="B2028">
        <v>20.83</v>
      </c>
      <c r="C2028">
        <v>20.83</v>
      </c>
      <c r="D2028" t="s">
        <v>303</v>
      </c>
      <c r="E2028" t="s">
        <v>910</v>
      </c>
      <c r="F2028" t="s">
        <v>910</v>
      </c>
      <c r="J2028">
        <v>20.83</v>
      </c>
      <c r="K2028">
        <v>20.83</v>
      </c>
      <c r="L2028" t="s">
        <v>303</v>
      </c>
      <c r="M2028">
        <v>20.83</v>
      </c>
      <c r="N2028">
        <v>20.83</v>
      </c>
      <c r="O2028" t="s">
        <v>303</v>
      </c>
      <c r="P2028">
        <f t="shared" si="31"/>
        <v>0</v>
      </c>
    </row>
    <row r="2029" spans="1:16" x14ac:dyDescent="0.25">
      <c r="A2029" t="s">
        <v>669</v>
      </c>
      <c r="B2029">
        <v>21.36</v>
      </c>
      <c r="C2029">
        <v>21.36</v>
      </c>
      <c r="D2029" t="s">
        <v>303</v>
      </c>
      <c r="E2029" t="s">
        <v>910</v>
      </c>
      <c r="F2029" t="s">
        <v>910</v>
      </c>
      <c r="J2029">
        <v>21.36</v>
      </c>
      <c r="K2029">
        <v>21.36</v>
      </c>
      <c r="L2029" t="s">
        <v>303</v>
      </c>
      <c r="M2029">
        <v>21.36</v>
      </c>
      <c r="N2029">
        <v>21.36</v>
      </c>
      <c r="O2029" t="s">
        <v>303</v>
      </c>
      <c r="P2029">
        <f t="shared" si="31"/>
        <v>0</v>
      </c>
    </row>
    <row r="2030" spans="1:16" x14ac:dyDescent="0.25">
      <c r="A2030" t="s">
        <v>669</v>
      </c>
      <c r="B2030">
        <v>21.48</v>
      </c>
      <c r="C2030">
        <v>21.48</v>
      </c>
      <c r="D2030" t="s">
        <v>303</v>
      </c>
      <c r="E2030" t="s">
        <v>910</v>
      </c>
      <c r="F2030" t="s">
        <v>910</v>
      </c>
      <c r="J2030">
        <v>21.48</v>
      </c>
      <c r="K2030">
        <v>21.48</v>
      </c>
      <c r="L2030" t="s">
        <v>303</v>
      </c>
      <c r="M2030">
        <v>21.48</v>
      </c>
      <c r="N2030">
        <v>21.48</v>
      </c>
      <c r="O2030" t="s">
        <v>303</v>
      </c>
      <c r="P2030">
        <f t="shared" si="31"/>
        <v>0</v>
      </c>
    </row>
    <row r="2031" spans="1:16" x14ac:dyDescent="0.25">
      <c r="A2031" t="s">
        <v>669</v>
      </c>
      <c r="B2031" t="s">
        <v>669</v>
      </c>
      <c r="C2031">
        <v>21.6</v>
      </c>
      <c r="D2031" t="s">
        <v>860</v>
      </c>
      <c r="E2031" t="s">
        <v>910</v>
      </c>
      <c r="F2031" t="s">
        <v>910</v>
      </c>
      <c r="J2031">
        <v>21.6</v>
      </c>
      <c r="L2031" t="s">
        <v>303</v>
      </c>
      <c r="M2031">
        <v>21.6</v>
      </c>
      <c r="O2031" t="s">
        <v>303</v>
      </c>
      <c r="P2031">
        <f t="shared" si="31"/>
        <v>0</v>
      </c>
    </row>
    <row r="2032" spans="1:16" x14ac:dyDescent="0.25">
      <c r="A2032" t="s">
        <v>669</v>
      </c>
      <c r="B2032">
        <v>21.57</v>
      </c>
      <c r="C2032">
        <v>21.62</v>
      </c>
      <c r="D2032" t="s">
        <v>303</v>
      </c>
      <c r="E2032" t="s">
        <v>910</v>
      </c>
      <c r="F2032" t="s">
        <v>910</v>
      </c>
      <c r="J2032">
        <v>21.62</v>
      </c>
      <c r="K2032">
        <v>21.57</v>
      </c>
      <c r="L2032" t="s">
        <v>303</v>
      </c>
      <c r="M2032">
        <v>21.62</v>
      </c>
      <c r="N2032">
        <v>21.57</v>
      </c>
      <c r="O2032" t="s">
        <v>303</v>
      </c>
      <c r="P2032">
        <f t="shared" si="31"/>
        <v>0</v>
      </c>
    </row>
    <row r="2033" spans="1:16" x14ac:dyDescent="0.25">
      <c r="A2033" t="s">
        <v>669</v>
      </c>
      <c r="B2033">
        <v>21.58</v>
      </c>
      <c r="C2033">
        <v>21.62</v>
      </c>
      <c r="D2033" t="s">
        <v>303</v>
      </c>
      <c r="E2033" t="s">
        <v>910</v>
      </c>
      <c r="F2033" t="s">
        <v>910</v>
      </c>
      <c r="J2033">
        <v>21.62</v>
      </c>
      <c r="K2033">
        <v>21.58</v>
      </c>
      <c r="L2033" t="s">
        <v>303</v>
      </c>
      <c r="M2033">
        <v>21.62</v>
      </c>
      <c r="N2033">
        <v>21.58</v>
      </c>
      <c r="O2033" t="s">
        <v>303</v>
      </c>
      <c r="P2033">
        <f t="shared" si="31"/>
        <v>0</v>
      </c>
    </row>
    <row r="2034" spans="1:16" x14ac:dyDescent="0.25">
      <c r="A2034" t="s">
        <v>669</v>
      </c>
      <c r="B2034">
        <v>21.68</v>
      </c>
      <c r="C2034">
        <v>21.71</v>
      </c>
      <c r="D2034" t="s">
        <v>303</v>
      </c>
      <c r="E2034" t="s">
        <v>910</v>
      </c>
      <c r="F2034" t="s">
        <v>910</v>
      </c>
      <c r="J2034">
        <v>21.71</v>
      </c>
      <c r="K2034">
        <v>21.68</v>
      </c>
      <c r="L2034" t="s">
        <v>303</v>
      </c>
      <c r="M2034">
        <v>21.71</v>
      </c>
      <c r="N2034">
        <v>21.68</v>
      </c>
      <c r="O2034" t="s">
        <v>303</v>
      </c>
      <c r="P2034">
        <f t="shared" si="31"/>
        <v>0</v>
      </c>
    </row>
    <row r="2035" spans="1:16" x14ac:dyDescent="0.25">
      <c r="A2035" t="s">
        <v>669</v>
      </c>
      <c r="B2035">
        <v>21.92</v>
      </c>
      <c r="C2035">
        <v>21.92</v>
      </c>
      <c r="D2035" t="s">
        <v>303</v>
      </c>
      <c r="E2035" t="s">
        <v>910</v>
      </c>
      <c r="F2035" t="s">
        <v>910</v>
      </c>
      <c r="J2035">
        <v>21.92</v>
      </c>
      <c r="K2035">
        <v>21.92</v>
      </c>
      <c r="L2035" t="s">
        <v>303</v>
      </c>
      <c r="M2035">
        <v>21.92</v>
      </c>
      <c r="N2035">
        <v>21.92</v>
      </c>
      <c r="O2035" t="s">
        <v>303</v>
      </c>
      <c r="P2035">
        <f t="shared" si="31"/>
        <v>0</v>
      </c>
    </row>
    <row r="2036" spans="1:16" x14ac:dyDescent="0.25">
      <c r="A2036" t="s">
        <v>669</v>
      </c>
      <c r="B2036">
        <v>21.93</v>
      </c>
      <c r="C2036">
        <v>21.96</v>
      </c>
      <c r="D2036" t="s">
        <v>303</v>
      </c>
      <c r="E2036" t="s">
        <v>910</v>
      </c>
      <c r="F2036" t="s">
        <v>910</v>
      </c>
      <c r="J2036">
        <v>21.96</v>
      </c>
      <c r="K2036">
        <v>21.93</v>
      </c>
      <c r="L2036" t="s">
        <v>303</v>
      </c>
      <c r="M2036">
        <v>21.96</v>
      </c>
      <c r="N2036">
        <v>21.93</v>
      </c>
      <c r="O2036" t="s">
        <v>303</v>
      </c>
      <c r="P2036">
        <f t="shared" si="31"/>
        <v>0</v>
      </c>
    </row>
    <row r="2037" spans="1:16" x14ac:dyDescent="0.25">
      <c r="A2037" t="s">
        <v>669</v>
      </c>
      <c r="B2037">
        <v>21.96</v>
      </c>
      <c r="C2037">
        <v>21.96</v>
      </c>
      <c r="D2037" t="s">
        <v>303</v>
      </c>
      <c r="E2037" t="s">
        <v>910</v>
      </c>
      <c r="F2037" t="s">
        <v>910</v>
      </c>
      <c r="J2037">
        <v>21.96</v>
      </c>
      <c r="K2037">
        <v>21.96</v>
      </c>
      <c r="L2037" t="s">
        <v>303</v>
      </c>
      <c r="M2037">
        <v>21.96</v>
      </c>
      <c r="N2037">
        <v>21.96</v>
      </c>
      <c r="O2037" t="s">
        <v>303</v>
      </c>
      <c r="P2037">
        <f t="shared" si="31"/>
        <v>0</v>
      </c>
    </row>
    <row r="2038" spans="1:16" x14ac:dyDescent="0.25">
      <c r="A2038" t="s">
        <v>669</v>
      </c>
      <c r="B2038" t="s">
        <v>669</v>
      </c>
      <c r="C2038">
        <v>22</v>
      </c>
      <c r="D2038" t="s">
        <v>303</v>
      </c>
      <c r="E2038" t="s">
        <v>910</v>
      </c>
      <c r="F2038" t="s">
        <v>910</v>
      </c>
      <c r="J2038">
        <v>22</v>
      </c>
      <c r="K2038">
        <v>22</v>
      </c>
      <c r="L2038" t="s">
        <v>303</v>
      </c>
      <c r="M2038">
        <v>22</v>
      </c>
      <c r="N2038">
        <v>22</v>
      </c>
      <c r="O2038" t="s">
        <v>303</v>
      </c>
      <c r="P2038">
        <f t="shared" si="31"/>
        <v>0</v>
      </c>
    </row>
    <row r="2039" spans="1:16" x14ac:dyDescent="0.25">
      <c r="A2039" t="s">
        <v>669</v>
      </c>
      <c r="B2039">
        <v>22.26</v>
      </c>
      <c r="C2039">
        <v>22.26</v>
      </c>
      <c r="D2039" t="s">
        <v>303</v>
      </c>
      <c r="E2039" t="s">
        <v>910</v>
      </c>
      <c r="F2039" t="s">
        <v>910</v>
      </c>
      <c r="J2039">
        <v>22.26</v>
      </c>
      <c r="K2039">
        <v>22.26</v>
      </c>
      <c r="L2039" t="s">
        <v>303</v>
      </c>
      <c r="M2039">
        <v>22.26</v>
      </c>
      <c r="N2039">
        <v>22.26</v>
      </c>
      <c r="O2039" t="s">
        <v>303</v>
      </c>
      <c r="P2039">
        <f t="shared" si="31"/>
        <v>0</v>
      </c>
    </row>
    <row r="2040" spans="1:16" x14ac:dyDescent="0.25">
      <c r="A2040" t="s">
        <v>375</v>
      </c>
      <c r="B2040">
        <v>22.6</v>
      </c>
      <c r="C2040">
        <v>22.6</v>
      </c>
      <c r="D2040" t="s">
        <v>303</v>
      </c>
      <c r="E2040">
        <v>17</v>
      </c>
      <c r="F2040">
        <v>17</v>
      </c>
      <c r="G2040" t="s">
        <v>689</v>
      </c>
      <c r="H2040" t="s">
        <v>689</v>
      </c>
      <c r="J2040">
        <v>22.6</v>
      </c>
      <c r="K2040">
        <v>22.6</v>
      </c>
      <c r="L2040" t="s">
        <v>303</v>
      </c>
      <c r="M2040">
        <v>22.6</v>
      </c>
      <c r="N2040">
        <v>22.6</v>
      </c>
      <c r="O2040" t="s">
        <v>303</v>
      </c>
      <c r="P2040">
        <f t="shared" si="31"/>
        <v>0</v>
      </c>
    </row>
    <row r="2041" spans="1:16" x14ac:dyDescent="0.25">
      <c r="A2041" t="s">
        <v>669</v>
      </c>
      <c r="B2041">
        <v>22.51</v>
      </c>
      <c r="C2041">
        <v>22.61</v>
      </c>
      <c r="D2041" t="s">
        <v>303</v>
      </c>
      <c r="E2041" t="s">
        <v>910</v>
      </c>
      <c r="F2041" t="s">
        <v>910</v>
      </c>
      <c r="J2041">
        <v>22.61</v>
      </c>
      <c r="K2041">
        <v>22.51</v>
      </c>
      <c r="L2041" t="s">
        <v>303</v>
      </c>
      <c r="M2041">
        <v>22.61</v>
      </c>
      <c r="N2041">
        <v>22.51</v>
      </c>
      <c r="O2041" t="s">
        <v>303</v>
      </c>
      <c r="P2041">
        <f t="shared" si="31"/>
        <v>0</v>
      </c>
    </row>
    <row r="2042" spans="1:16" x14ac:dyDescent="0.25">
      <c r="A2042" t="s">
        <v>669</v>
      </c>
      <c r="B2042">
        <v>179</v>
      </c>
      <c r="C2042" t="s">
        <v>669</v>
      </c>
      <c r="D2042" t="s">
        <v>857</v>
      </c>
      <c r="E2042" t="s">
        <v>910</v>
      </c>
      <c r="F2042">
        <v>5</v>
      </c>
      <c r="H2042" t="s">
        <v>684</v>
      </c>
      <c r="I2042" t="s">
        <v>932</v>
      </c>
      <c r="K2042">
        <v>179</v>
      </c>
      <c r="L2042" t="s">
        <v>920</v>
      </c>
      <c r="N2042">
        <v>179</v>
      </c>
      <c r="O2042" t="s">
        <v>857</v>
      </c>
      <c r="P2042">
        <f t="shared" si="31"/>
        <v>27</v>
      </c>
    </row>
    <row r="2043" spans="1:16" x14ac:dyDescent="0.25">
      <c r="A2043" t="s">
        <v>669</v>
      </c>
      <c r="B2043">
        <v>192</v>
      </c>
      <c r="C2043" t="s">
        <v>669</v>
      </c>
      <c r="D2043" t="s">
        <v>865</v>
      </c>
      <c r="E2043" t="s">
        <v>910</v>
      </c>
      <c r="F2043">
        <v>5</v>
      </c>
      <c r="H2043" t="s">
        <v>684</v>
      </c>
      <c r="K2043">
        <v>192</v>
      </c>
      <c r="L2043" t="s">
        <v>920</v>
      </c>
      <c r="N2043">
        <v>192</v>
      </c>
      <c r="O2043" t="s">
        <v>931</v>
      </c>
      <c r="P2043">
        <f t="shared" si="31"/>
        <v>0</v>
      </c>
    </row>
    <row r="2044" spans="1:16" x14ac:dyDescent="0.25">
      <c r="A2044" t="s">
        <v>669</v>
      </c>
      <c r="B2044">
        <v>22.57</v>
      </c>
      <c r="C2044">
        <v>22.67</v>
      </c>
      <c r="D2044" t="s">
        <v>303</v>
      </c>
      <c r="E2044" t="s">
        <v>910</v>
      </c>
      <c r="F2044" t="s">
        <v>910</v>
      </c>
      <c r="J2044">
        <v>22.67</v>
      </c>
      <c r="K2044">
        <v>22.57</v>
      </c>
      <c r="L2044" t="s">
        <v>303</v>
      </c>
      <c r="M2044">
        <v>22.67</v>
      </c>
      <c r="N2044">
        <v>22.57</v>
      </c>
      <c r="O2044" t="s">
        <v>303</v>
      </c>
      <c r="P2044">
        <f t="shared" si="31"/>
        <v>0</v>
      </c>
    </row>
    <row r="2045" spans="1:16" x14ac:dyDescent="0.25">
      <c r="A2045" t="s">
        <v>669</v>
      </c>
      <c r="B2045">
        <v>22.66</v>
      </c>
      <c r="C2045">
        <v>22.7</v>
      </c>
      <c r="D2045" t="s">
        <v>303</v>
      </c>
      <c r="E2045" t="s">
        <v>910</v>
      </c>
      <c r="F2045" t="s">
        <v>910</v>
      </c>
      <c r="J2045">
        <v>22.7</v>
      </c>
      <c r="K2045">
        <v>22.66</v>
      </c>
      <c r="L2045" t="s">
        <v>303</v>
      </c>
      <c r="M2045">
        <v>22.7</v>
      </c>
      <c r="N2045">
        <v>22.66</v>
      </c>
      <c r="O2045" t="s">
        <v>303</v>
      </c>
      <c r="P2045">
        <f t="shared" si="31"/>
        <v>0</v>
      </c>
    </row>
    <row r="2046" spans="1:16" x14ac:dyDescent="0.25">
      <c r="A2046" t="s">
        <v>669</v>
      </c>
      <c r="B2046">
        <v>22.73</v>
      </c>
      <c r="C2046">
        <v>22.73</v>
      </c>
      <c r="D2046" t="s">
        <v>303</v>
      </c>
      <c r="E2046" t="s">
        <v>910</v>
      </c>
      <c r="F2046" t="s">
        <v>910</v>
      </c>
      <c r="J2046">
        <v>22.73</v>
      </c>
      <c r="K2046">
        <v>22.73</v>
      </c>
      <c r="L2046" t="s">
        <v>303</v>
      </c>
      <c r="M2046">
        <v>22.73</v>
      </c>
      <c r="N2046">
        <v>22.73</v>
      </c>
      <c r="O2046" t="s">
        <v>303</v>
      </c>
      <c r="P2046">
        <f t="shared" si="31"/>
        <v>0</v>
      </c>
    </row>
    <row r="2047" spans="1:16" x14ac:dyDescent="0.25">
      <c r="A2047" t="s">
        <v>669</v>
      </c>
      <c r="B2047">
        <v>22.85</v>
      </c>
      <c r="C2047">
        <v>22.85</v>
      </c>
      <c r="D2047" t="s">
        <v>303</v>
      </c>
      <c r="E2047" t="s">
        <v>910</v>
      </c>
      <c r="F2047" t="s">
        <v>910</v>
      </c>
      <c r="J2047">
        <v>22.85</v>
      </c>
      <c r="K2047">
        <v>22.85</v>
      </c>
      <c r="L2047" t="s">
        <v>303</v>
      </c>
      <c r="M2047">
        <v>22.85</v>
      </c>
      <c r="N2047">
        <v>22.85</v>
      </c>
      <c r="O2047" t="s">
        <v>303</v>
      </c>
      <c r="P2047">
        <f t="shared" si="31"/>
        <v>0</v>
      </c>
    </row>
    <row r="2048" spans="1:16" x14ac:dyDescent="0.25">
      <c r="A2048" t="s">
        <v>382</v>
      </c>
      <c r="B2048">
        <v>0</v>
      </c>
      <c r="C2048">
        <v>23</v>
      </c>
      <c r="D2048" t="s">
        <v>303</v>
      </c>
      <c r="E2048">
        <v>17</v>
      </c>
      <c r="F2048">
        <v>17</v>
      </c>
      <c r="G2048" t="s">
        <v>689</v>
      </c>
      <c r="H2048" t="s">
        <v>689</v>
      </c>
      <c r="J2048">
        <v>23</v>
      </c>
      <c r="K2048">
        <v>0</v>
      </c>
      <c r="L2048" t="s">
        <v>303</v>
      </c>
      <c r="M2048">
        <v>23</v>
      </c>
      <c r="N2048">
        <v>0</v>
      </c>
      <c r="O2048" t="s">
        <v>303</v>
      </c>
      <c r="P2048">
        <f t="shared" si="31"/>
        <v>0</v>
      </c>
    </row>
    <row r="2049" spans="1:16" x14ac:dyDescent="0.25">
      <c r="A2049" t="s">
        <v>669</v>
      </c>
      <c r="B2049">
        <v>0.02</v>
      </c>
      <c r="C2049">
        <v>23</v>
      </c>
      <c r="D2049" t="s">
        <v>303</v>
      </c>
      <c r="E2049" t="s">
        <v>910</v>
      </c>
      <c r="F2049" t="s">
        <v>910</v>
      </c>
      <c r="J2049">
        <v>23</v>
      </c>
      <c r="K2049">
        <v>0.02</v>
      </c>
      <c r="L2049" t="s">
        <v>303</v>
      </c>
      <c r="M2049">
        <v>23</v>
      </c>
      <c r="N2049">
        <v>0.02</v>
      </c>
      <c r="O2049" t="s">
        <v>303</v>
      </c>
      <c r="P2049">
        <f t="shared" si="31"/>
        <v>0</v>
      </c>
    </row>
    <row r="2050" spans="1:16" x14ac:dyDescent="0.25">
      <c r="A2050" t="s">
        <v>68</v>
      </c>
      <c r="B2050">
        <v>2.6</v>
      </c>
      <c r="C2050">
        <v>23</v>
      </c>
      <c r="D2050" t="s">
        <v>303</v>
      </c>
      <c r="E2050">
        <v>13</v>
      </c>
      <c r="F2050">
        <v>13</v>
      </c>
      <c r="G2050" t="s">
        <v>686</v>
      </c>
      <c r="H2050" t="s">
        <v>686</v>
      </c>
      <c r="J2050">
        <v>23</v>
      </c>
      <c r="K2050">
        <v>2.6</v>
      </c>
      <c r="L2050" t="s">
        <v>303</v>
      </c>
      <c r="M2050">
        <v>23</v>
      </c>
      <c r="N2050">
        <v>2.6</v>
      </c>
      <c r="O2050" t="s">
        <v>303</v>
      </c>
      <c r="P2050">
        <f t="shared" si="31"/>
        <v>0</v>
      </c>
    </row>
    <row r="2051" spans="1:16" x14ac:dyDescent="0.25">
      <c r="A2051" t="s">
        <v>69</v>
      </c>
      <c r="B2051">
        <v>5.3</v>
      </c>
      <c r="C2051">
        <v>23</v>
      </c>
      <c r="D2051" t="s">
        <v>303</v>
      </c>
      <c r="E2051">
        <v>17</v>
      </c>
      <c r="F2051">
        <v>17</v>
      </c>
      <c r="G2051" t="s">
        <v>689</v>
      </c>
      <c r="H2051" t="s">
        <v>689</v>
      </c>
      <c r="J2051">
        <v>23</v>
      </c>
      <c r="K2051">
        <v>5.3</v>
      </c>
      <c r="L2051" t="s">
        <v>303</v>
      </c>
      <c r="M2051">
        <v>23</v>
      </c>
      <c r="N2051">
        <v>5.3</v>
      </c>
      <c r="O2051" t="s">
        <v>303</v>
      </c>
      <c r="P2051">
        <f t="shared" ref="P2051:P2114" si="32">LEN(I2051)</f>
        <v>0</v>
      </c>
    </row>
    <row r="2052" spans="1:16" x14ac:dyDescent="0.25">
      <c r="A2052" t="s">
        <v>375</v>
      </c>
      <c r="B2052">
        <v>5.3</v>
      </c>
      <c r="C2052">
        <v>23</v>
      </c>
      <c r="D2052" t="s">
        <v>303</v>
      </c>
      <c r="E2052">
        <v>17</v>
      </c>
      <c r="F2052">
        <v>17</v>
      </c>
      <c r="G2052" t="s">
        <v>689</v>
      </c>
      <c r="H2052" t="s">
        <v>689</v>
      </c>
      <c r="J2052">
        <v>23</v>
      </c>
      <c r="K2052">
        <v>5.3</v>
      </c>
      <c r="L2052" t="s">
        <v>303</v>
      </c>
      <c r="M2052">
        <v>23</v>
      </c>
      <c r="N2052">
        <v>5.3</v>
      </c>
      <c r="O2052" t="s">
        <v>303</v>
      </c>
      <c r="P2052">
        <f t="shared" si="32"/>
        <v>0</v>
      </c>
    </row>
    <row r="2053" spans="1:16" x14ac:dyDescent="0.25">
      <c r="A2053" t="s">
        <v>669</v>
      </c>
      <c r="B2053">
        <v>5.3</v>
      </c>
      <c r="C2053">
        <v>23</v>
      </c>
      <c r="D2053" t="s">
        <v>303</v>
      </c>
      <c r="E2053" t="s">
        <v>910</v>
      </c>
      <c r="F2053" t="s">
        <v>910</v>
      </c>
      <c r="J2053">
        <v>23</v>
      </c>
      <c r="K2053">
        <v>5.3</v>
      </c>
      <c r="L2053" t="s">
        <v>303</v>
      </c>
      <c r="M2053">
        <v>23</v>
      </c>
      <c r="N2053">
        <v>5.3</v>
      </c>
      <c r="O2053" t="s">
        <v>303</v>
      </c>
      <c r="P2053">
        <f t="shared" si="32"/>
        <v>0</v>
      </c>
    </row>
    <row r="2054" spans="1:16" x14ac:dyDescent="0.25">
      <c r="A2054" t="s">
        <v>70</v>
      </c>
      <c r="B2054">
        <v>16</v>
      </c>
      <c r="C2054">
        <v>23</v>
      </c>
      <c r="D2054" t="s">
        <v>303</v>
      </c>
      <c r="E2054">
        <v>23</v>
      </c>
      <c r="F2054">
        <v>22</v>
      </c>
      <c r="G2054" t="s">
        <v>676</v>
      </c>
      <c r="H2054" t="s">
        <v>755</v>
      </c>
      <c r="J2054">
        <v>23</v>
      </c>
      <c r="K2054">
        <v>16</v>
      </c>
      <c r="L2054" t="s">
        <v>303</v>
      </c>
      <c r="M2054">
        <v>23</v>
      </c>
      <c r="N2054">
        <v>16</v>
      </c>
      <c r="O2054" t="s">
        <v>303</v>
      </c>
      <c r="P2054">
        <f t="shared" si="32"/>
        <v>0</v>
      </c>
    </row>
    <row r="2055" spans="1:16" x14ac:dyDescent="0.25">
      <c r="A2055" t="s">
        <v>669</v>
      </c>
      <c r="B2055">
        <v>16</v>
      </c>
      <c r="C2055">
        <v>23</v>
      </c>
      <c r="D2055" t="s">
        <v>303</v>
      </c>
      <c r="E2055" t="s">
        <v>910</v>
      </c>
      <c r="F2055" t="s">
        <v>910</v>
      </c>
      <c r="J2055">
        <v>23</v>
      </c>
      <c r="K2055">
        <v>16</v>
      </c>
      <c r="L2055" t="s">
        <v>303</v>
      </c>
      <c r="M2055">
        <v>23</v>
      </c>
      <c r="N2055">
        <v>16</v>
      </c>
      <c r="O2055" t="s">
        <v>303</v>
      </c>
      <c r="P2055">
        <f t="shared" si="32"/>
        <v>0</v>
      </c>
    </row>
    <row r="2056" spans="1:16" x14ac:dyDescent="0.25">
      <c r="A2056" t="s">
        <v>669</v>
      </c>
      <c r="B2056">
        <v>22.25</v>
      </c>
      <c r="C2056">
        <v>23</v>
      </c>
      <c r="D2056" t="s">
        <v>860</v>
      </c>
      <c r="E2056" t="s">
        <v>910</v>
      </c>
      <c r="F2056" t="s">
        <v>910</v>
      </c>
      <c r="J2056">
        <v>23</v>
      </c>
      <c r="K2056">
        <v>22.25</v>
      </c>
      <c r="L2056" t="s">
        <v>303</v>
      </c>
      <c r="M2056">
        <v>23</v>
      </c>
      <c r="N2056">
        <v>22.25</v>
      </c>
      <c r="O2056" t="s">
        <v>303</v>
      </c>
      <c r="P2056">
        <f t="shared" si="32"/>
        <v>0</v>
      </c>
    </row>
    <row r="2057" spans="1:16" x14ac:dyDescent="0.25">
      <c r="A2057" t="s">
        <v>669</v>
      </c>
      <c r="B2057">
        <v>23.180399999999999</v>
      </c>
      <c r="C2057">
        <v>23.180399999999999</v>
      </c>
      <c r="D2057" t="s">
        <v>303</v>
      </c>
      <c r="E2057" t="s">
        <v>910</v>
      </c>
      <c r="F2057" t="s">
        <v>910</v>
      </c>
      <c r="J2057">
        <v>23.180399999999999</v>
      </c>
      <c r="K2057">
        <v>23.180399999999999</v>
      </c>
      <c r="L2057" t="s">
        <v>303</v>
      </c>
      <c r="M2057">
        <v>23.180399999999999</v>
      </c>
      <c r="N2057">
        <v>23.180399999999999</v>
      </c>
      <c r="O2057" t="s">
        <v>303</v>
      </c>
      <c r="P2057">
        <f t="shared" si="32"/>
        <v>0</v>
      </c>
    </row>
    <row r="2058" spans="1:16" x14ac:dyDescent="0.25">
      <c r="A2058" t="s">
        <v>669</v>
      </c>
      <c r="B2058">
        <v>23.2806</v>
      </c>
      <c r="C2058">
        <v>23.2806</v>
      </c>
      <c r="D2058" t="s">
        <v>303</v>
      </c>
      <c r="E2058" t="s">
        <v>910</v>
      </c>
      <c r="F2058" t="s">
        <v>910</v>
      </c>
      <c r="J2058">
        <v>23.2806</v>
      </c>
      <c r="K2058">
        <v>23.2806</v>
      </c>
      <c r="L2058" t="s">
        <v>303</v>
      </c>
      <c r="M2058">
        <v>23.2806</v>
      </c>
      <c r="N2058">
        <v>23.2806</v>
      </c>
      <c r="O2058" t="s">
        <v>303</v>
      </c>
      <c r="P2058">
        <f t="shared" si="32"/>
        <v>0</v>
      </c>
    </row>
    <row r="2059" spans="1:16" x14ac:dyDescent="0.25">
      <c r="A2059" t="s">
        <v>366</v>
      </c>
      <c r="B2059">
        <v>5.2</v>
      </c>
      <c r="C2059">
        <v>23.3</v>
      </c>
      <c r="D2059" t="s">
        <v>860</v>
      </c>
      <c r="E2059">
        <v>21</v>
      </c>
      <c r="F2059">
        <v>20</v>
      </c>
      <c r="G2059" t="s">
        <v>694</v>
      </c>
      <c r="H2059" t="s">
        <v>786</v>
      </c>
      <c r="J2059">
        <v>23.3</v>
      </c>
      <c r="K2059">
        <v>5.2</v>
      </c>
      <c r="L2059" t="s">
        <v>303</v>
      </c>
      <c r="M2059">
        <v>23.3</v>
      </c>
      <c r="N2059">
        <v>5.2</v>
      </c>
      <c r="O2059" t="s">
        <v>303</v>
      </c>
      <c r="P2059">
        <f t="shared" si="32"/>
        <v>0</v>
      </c>
    </row>
    <row r="2060" spans="1:16" x14ac:dyDescent="0.25">
      <c r="A2060" t="s">
        <v>375</v>
      </c>
      <c r="B2060">
        <v>5.2</v>
      </c>
      <c r="C2060">
        <v>23.3</v>
      </c>
      <c r="D2060" t="s">
        <v>860</v>
      </c>
      <c r="E2060">
        <v>17</v>
      </c>
      <c r="F2060">
        <v>17</v>
      </c>
      <c r="G2060" t="s">
        <v>689</v>
      </c>
      <c r="H2060" t="s">
        <v>689</v>
      </c>
      <c r="J2060">
        <v>23.3</v>
      </c>
      <c r="K2060">
        <v>5.2</v>
      </c>
      <c r="L2060" t="s">
        <v>303</v>
      </c>
      <c r="M2060">
        <v>23.3</v>
      </c>
      <c r="N2060">
        <v>5.2</v>
      </c>
      <c r="O2060" t="s">
        <v>303</v>
      </c>
      <c r="P2060">
        <f t="shared" si="32"/>
        <v>0</v>
      </c>
    </row>
    <row r="2061" spans="1:16" x14ac:dyDescent="0.25">
      <c r="A2061" t="s">
        <v>669</v>
      </c>
      <c r="B2061">
        <v>23.33</v>
      </c>
      <c r="C2061">
        <v>23.33</v>
      </c>
      <c r="D2061" t="s">
        <v>303</v>
      </c>
      <c r="E2061" t="s">
        <v>910</v>
      </c>
      <c r="F2061" t="s">
        <v>910</v>
      </c>
      <c r="J2061">
        <v>23.33</v>
      </c>
      <c r="K2061">
        <v>23.33</v>
      </c>
      <c r="L2061" t="s">
        <v>303</v>
      </c>
      <c r="M2061">
        <v>23.33</v>
      </c>
      <c r="N2061">
        <v>23.33</v>
      </c>
      <c r="O2061" t="s">
        <v>303</v>
      </c>
      <c r="P2061">
        <f t="shared" si="32"/>
        <v>0</v>
      </c>
    </row>
    <row r="2062" spans="1:16" x14ac:dyDescent="0.25">
      <c r="A2062" t="s">
        <v>669</v>
      </c>
      <c r="B2062">
        <v>23.38</v>
      </c>
      <c r="C2062">
        <v>23.38</v>
      </c>
      <c r="D2062" t="s">
        <v>303</v>
      </c>
      <c r="E2062" t="s">
        <v>910</v>
      </c>
      <c r="F2062" t="s">
        <v>910</v>
      </c>
      <c r="J2062">
        <v>23.38</v>
      </c>
      <c r="K2062">
        <v>23.38</v>
      </c>
      <c r="L2062" t="s">
        <v>303</v>
      </c>
      <c r="M2062">
        <v>23.38</v>
      </c>
      <c r="N2062">
        <v>23.38</v>
      </c>
      <c r="O2062" t="s">
        <v>303</v>
      </c>
      <c r="P2062">
        <f t="shared" si="32"/>
        <v>0</v>
      </c>
    </row>
    <row r="2063" spans="1:16" x14ac:dyDescent="0.25">
      <c r="A2063" t="s">
        <v>669</v>
      </c>
      <c r="B2063">
        <v>23.93</v>
      </c>
      <c r="C2063">
        <v>23.93</v>
      </c>
      <c r="D2063" t="s">
        <v>303</v>
      </c>
      <c r="E2063" t="s">
        <v>910</v>
      </c>
      <c r="F2063" t="s">
        <v>910</v>
      </c>
      <c r="J2063">
        <v>23.93</v>
      </c>
      <c r="K2063">
        <v>23.93</v>
      </c>
      <c r="L2063" t="s">
        <v>303</v>
      </c>
      <c r="M2063">
        <v>23.93</v>
      </c>
      <c r="N2063">
        <v>23.93</v>
      </c>
      <c r="O2063" t="s">
        <v>303</v>
      </c>
      <c r="P2063">
        <f t="shared" si="32"/>
        <v>0</v>
      </c>
    </row>
    <row r="2064" spans="1:16" x14ac:dyDescent="0.25">
      <c r="A2064" t="s">
        <v>420</v>
      </c>
      <c r="B2064">
        <v>24</v>
      </c>
      <c r="C2064">
        <v>24</v>
      </c>
      <c r="D2064" t="s">
        <v>303</v>
      </c>
      <c r="E2064">
        <v>25</v>
      </c>
      <c r="F2064">
        <v>25</v>
      </c>
      <c r="G2064" t="s">
        <v>691</v>
      </c>
      <c r="H2064" t="s">
        <v>691</v>
      </c>
      <c r="J2064">
        <v>24</v>
      </c>
      <c r="K2064">
        <v>24</v>
      </c>
      <c r="L2064" t="s">
        <v>303</v>
      </c>
      <c r="M2064">
        <v>24</v>
      </c>
      <c r="N2064">
        <v>24</v>
      </c>
      <c r="O2064" t="s">
        <v>303</v>
      </c>
      <c r="P2064">
        <f t="shared" si="32"/>
        <v>0</v>
      </c>
    </row>
    <row r="2065" spans="1:16" x14ac:dyDescent="0.25">
      <c r="A2065" t="s">
        <v>669</v>
      </c>
      <c r="B2065">
        <v>24.08</v>
      </c>
      <c r="C2065">
        <v>24.18</v>
      </c>
      <c r="D2065" t="s">
        <v>303</v>
      </c>
      <c r="E2065" t="s">
        <v>910</v>
      </c>
      <c r="F2065" t="s">
        <v>910</v>
      </c>
      <c r="J2065">
        <v>24.18</v>
      </c>
      <c r="K2065">
        <v>24.08</v>
      </c>
      <c r="L2065" t="s">
        <v>303</v>
      </c>
      <c r="M2065">
        <v>24.18</v>
      </c>
      <c r="N2065">
        <v>24.08</v>
      </c>
      <c r="O2065" t="s">
        <v>303</v>
      </c>
      <c r="P2065">
        <f t="shared" si="32"/>
        <v>0</v>
      </c>
    </row>
    <row r="2066" spans="1:16" x14ac:dyDescent="0.25">
      <c r="A2066" t="s">
        <v>420</v>
      </c>
      <c r="B2066">
        <v>24.2</v>
      </c>
      <c r="C2066">
        <v>24.2</v>
      </c>
      <c r="D2066" t="s">
        <v>303</v>
      </c>
      <c r="E2066">
        <v>25</v>
      </c>
      <c r="F2066">
        <v>25</v>
      </c>
      <c r="G2066" t="s">
        <v>691</v>
      </c>
      <c r="H2066" t="s">
        <v>691</v>
      </c>
      <c r="J2066">
        <v>24.2</v>
      </c>
      <c r="K2066">
        <v>24.2</v>
      </c>
      <c r="L2066" t="s">
        <v>303</v>
      </c>
      <c r="M2066">
        <v>24.2</v>
      </c>
      <c r="N2066">
        <v>24.2</v>
      </c>
      <c r="O2066" t="s">
        <v>303</v>
      </c>
      <c r="P2066">
        <f t="shared" si="32"/>
        <v>0</v>
      </c>
    </row>
    <row r="2067" spans="1:16" x14ac:dyDescent="0.25">
      <c r="A2067" t="s">
        <v>669</v>
      </c>
      <c r="B2067">
        <v>24.27</v>
      </c>
      <c r="C2067">
        <v>24.27</v>
      </c>
      <c r="D2067" t="s">
        <v>303</v>
      </c>
      <c r="E2067" t="s">
        <v>910</v>
      </c>
      <c r="F2067" t="s">
        <v>910</v>
      </c>
      <c r="J2067">
        <v>24.27</v>
      </c>
      <c r="K2067">
        <v>24.27</v>
      </c>
      <c r="L2067" t="s">
        <v>303</v>
      </c>
      <c r="M2067">
        <v>24.27</v>
      </c>
      <c r="N2067">
        <v>24.27</v>
      </c>
      <c r="O2067" t="s">
        <v>303</v>
      </c>
      <c r="P2067">
        <f t="shared" si="32"/>
        <v>0</v>
      </c>
    </row>
    <row r="2068" spans="1:16" x14ac:dyDescent="0.25">
      <c r="A2068" t="s">
        <v>420</v>
      </c>
      <c r="B2068">
        <v>24.5</v>
      </c>
      <c r="C2068">
        <v>24.5</v>
      </c>
      <c r="D2068" t="s">
        <v>303</v>
      </c>
      <c r="E2068">
        <v>25</v>
      </c>
      <c r="F2068">
        <v>25</v>
      </c>
      <c r="G2068" t="s">
        <v>691</v>
      </c>
      <c r="H2068" t="s">
        <v>691</v>
      </c>
      <c r="J2068">
        <v>24.5</v>
      </c>
      <c r="K2068">
        <v>24.5</v>
      </c>
      <c r="L2068" t="s">
        <v>303</v>
      </c>
      <c r="M2068">
        <v>24.5</v>
      </c>
      <c r="N2068">
        <v>24.5</v>
      </c>
      <c r="O2068" t="s">
        <v>303</v>
      </c>
      <c r="P2068">
        <f t="shared" si="32"/>
        <v>0</v>
      </c>
    </row>
    <row r="2069" spans="1:16" x14ac:dyDescent="0.25">
      <c r="A2069">
        <v>21.7</v>
      </c>
      <c r="B2069">
        <v>19.2</v>
      </c>
      <c r="C2069">
        <v>24.6</v>
      </c>
      <c r="D2069" t="s">
        <v>303</v>
      </c>
      <c r="E2069" t="s">
        <v>910</v>
      </c>
      <c r="F2069" t="s">
        <v>910</v>
      </c>
      <c r="J2069">
        <v>24.6</v>
      </c>
      <c r="K2069">
        <v>19.2</v>
      </c>
      <c r="L2069" t="s">
        <v>303</v>
      </c>
      <c r="M2069">
        <v>24.6</v>
      </c>
      <c r="N2069">
        <v>19.2</v>
      </c>
      <c r="O2069" t="s">
        <v>303</v>
      </c>
      <c r="P2069">
        <f t="shared" si="32"/>
        <v>0</v>
      </c>
    </row>
    <row r="2070" spans="1:16" x14ac:dyDescent="0.25">
      <c r="A2070" t="s">
        <v>420</v>
      </c>
      <c r="B2070">
        <v>24.6</v>
      </c>
      <c r="C2070">
        <v>24.6</v>
      </c>
      <c r="D2070" t="s">
        <v>303</v>
      </c>
      <c r="E2070">
        <v>25</v>
      </c>
      <c r="F2070">
        <v>25</v>
      </c>
      <c r="G2070" t="s">
        <v>691</v>
      </c>
      <c r="H2070" t="s">
        <v>691</v>
      </c>
      <c r="J2070">
        <v>24.6</v>
      </c>
      <c r="K2070">
        <v>24.6</v>
      </c>
      <c r="L2070" t="s">
        <v>303</v>
      </c>
      <c r="M2070">
        <v>24.6</v>
      </c>
      <c r="N2070">
        <v>24.6</v>
      </c>
      <c r="O2070" t="s">
        <v>303</v>
      </c>
      <c r="P2070">
        <f t="shared" si="32"/>
        <v>0</v>
      </c>
    </row>
    <row r="2071" spans="1:16" x14ac:dyDescent="0.25">
      <c r="A2071" t="s">
        <v>669</v>
      </c>
      <c r="B2071">
        <v>24.65</v>
      </c>
      <c r="C2071">
        <v>24.65</v>
      </c>
      <c r="D2071" t="s">
        <v>303</v>
      </c>
      <c r="E2071" t="s">
        <v>910</v>
      </c>
      <c r="F2071" t="s">
        <v>910</v>
      </c>
      <c r="J2071">
        <v>24.65</v>
      </c>
      <c r="K2071">
        <v>24.65</v>
      </c>
      <c r="L2071" t="s">
        <v>303</v>
      </c>
      <c r="M2071">
        <v>24.65</v>
      </c>
      <c r="N2071">
        <v>24.65</v>
      </c>
      <c r="O2071" t="s">
        <v>303</v>
      </c>
      <c r="P2071">
        <f t="shared" si="32"/>
        <v>0</v>
      </c>
    </row>
    <row r="2072" spans="1:16" x14ac:dyDescent="0.25">
      <c r="A2072" t="s">
        <v>420</v>
      </c>
      <c r="B2072">
        <v>24.7</v>
      </c>
      <c r="C2072">
        <v>24.7</v>
      </c>
      <c r="D2072" t="s">
        <v>303</v>
      </c>
      <c r="E2072">
        <v>25</v>
      </c>
      <c r="F2072">
        <v>25</v>
      </c>
      <c r="G2072" t="s">
        <v>691</v>
      </c>
      <c r="H2072" t="s">
        <v>691</v>
      </c>
      <c r="J2072">
        <v>24.7</v>
      </c>
      <c r="K2072">
        <v>24.7</v>
      </c>
      <c r="L2072" t="s">
        <v>303</v>
      </c>
      <c r="M2072">
        <v>24.7</v>
      </c>
      <c r="N2072">
        <v>24.7</v>
      </c>
      <c r="O2072" t="s">
        <v>303</v>
      </c>
      <c r="P2072">
        <f t="shared" si="32"/>
        <v>0</v>
      </c>
    </row>
    <row r="2073" spans="1:16" x14ac:dyDescent="0.25">
      <c r="A2073" t="s">
        <v>420</v>
      </c>
      <c r="B2073">
        <v>24.8</v>
      </c>
      <c r="C2073">
        <v>24.8</v>
      </c>
      <c r="D2073" t="s">
        <v>303</v>
      </c>
      <c r="E2073">
        <v>25</v>
      </c>
      <c r="F2073">
        <v>25</v>
      </c>
      <c r="G2073" t="s">
        <v>691</v>
      </c>
      <c r="H2073" t="s">
        <v>691</v>
      </c>
      <c r="J2073">
        <v>24.8</v>
      </c>
      <c r="K2073">
        <v>24.8</v>
      </c>
      <c r="L2073" t="s">
        <v>303</v>
      </c>
      <c r="M2073">
        <v>24.8</v>
      </c>
      <c r="N2073">
        <v>24.8</v>
      </c>
      <c r="O2073" t="s">
        <v>303</v>
      </c>
      <c r="P2073">
        <f t="shared" si="32"/>
        <v>0</v>
      </c>
    </row>
    <row r="2074" spans="1:16" x14ac:dyDescent="0.25">
      <c r="A2074" t="s">
        <v>420</v>
      </c>
      <c r="B2074">
        <v>24.9</v>
      </c>
      <c r="C2074">
        <v>24.9</v>
      </c>
      <c r="D2074" t="s">
        <v>303</v>
      </c>
      <c r="E2074">
        <v>25</v>
      </c>
      <c r="F2074">
        <v>25</v>
      </c>
      <c r="G2074" t="s">
        <v>691</v>
      </c>
      <c r="H2074" t="s">
        <v>691</v>
      </c>
      <c r="J2074">
        <v>24.9</v>
      </c>
      <c r="K2074">
        <v>24.9</v>
      </c>
      <c r="L2074" t="s">
        <v>303</v>
      </c>
      <c r="M2074">
        <v>24.9</v>
      </c>
      <c r="N2074">
        <v>24.9</v>
      </c>
      <c r="O2074" t="s">
        <v>303</v>
      </c>
      <c r="P2074">
        <f t="shared" si="32"/>
        <v>0</v>
      </c>
    </row>
    <row r="2075" spans="1:16" x14ac:dyDescent="0.25">
      <c r="A2075" t="s">
        <v>420</v>
      </c>
      <c r="B2075">
        <v>24</v>
      </c>
      <c r="C2075">
        <v>25</v>
      </c>
      <c r="D2075" t="s">
        <v>669</v>
      </c>
      <c r="E2075">
        <v>25</v>
      </c>
      <c r="F2075">
        <v>25</v>
      </c>
      <c r="G2075" t="s">
        <v>691</v>
      </c>
      <c r="H2075" t="s">
        <v>691</v>
      </c>
      <c r="I2075" t="s">
        <v>927</v>
      </c>
      <c r="J2075">
        <v>25</v>
      </c>
      <c r="K2075">
        <v>24</v>
      </c>
      <c r="L2075" t="s">
        <v>930</v>
      </c>
      <c r="M2075">
        <v>25</v>
      </c>
      <c r="N2075">
        <v>24</v>
      </c>
      <c r="P2075">
        <f t="shared" si="32"/>
        <v>14</v>
      </c>
    </row>
    <row r="2076" spans="1:16" x14ac:dyDescent="0.25">
      <c r="A2076" t="s">
        <v>420</v>
      </c>
      <c r="B2076">
        <v>25</v>
      </c>
      <c r="C2076">
        <v>25</v>
      </c>
      <c r="D2076" t="s">
        <v>303</v>
      </c>
      <c r="E2076">
        <v>25</v>
      </c>
      <c r="F2076">
        <v>25</v>
      </c>
      <c r="G2076" t="s">
        <v>691</v>
      </c>
      <c r="H2076" t="s">
        <v>691</v>
      </c>
      <c r="J2076">
        <v>25</v>
      </c>
      <c r="K2076">
        <v>25</v>
      </c>
      <c r="L2076" t="s">
        <v>303</v>
      </c>
      <c r="M2076">
        <v>25</v>
      </c>
      <c r="N2076">
        <v>25</v>
      </c>
      <c r="O2076" t="s">
        <v>303</v>
      </c>
      <c r="P2076">
        <f t="shared" si="32"/>
        <v>0</v>
      </c>
    </row>
    <row r="2077" spans="1:16" x14ac:dyDescent="0.25">
      <c r="A2077" t="s">
        <v>420</v>
      </c>
      <c r="B2077">
        <v>25.2</v>
      </c>
      <c r="C2077">
        <v>25.2</v>
      </c>
      <c r="D2077" t="s">
        <v>303</v>
      </c>
      <c r="E2077">
        <v>25</v>
      </c>
      <c r="F2077">
        <v>25</v>
      </c>
      <c r="G2077" t="s">
        <v>691</v>
      </c>
      <c r="H2077" t="s">
        <v>691</v>
      </c>
      <c r="J2077">
        <v>25.2</v>
      </c>
      <c r="K2077">
        <v>25.2</v>
      </c>
      <c r="L2077" t="s">
        <v>303</v>
      </c>
      <c r="M2077">
        <v>25.2</v>
      </c>
      <c r="N2077">
        <v>25.2</v>
      </c>
      <c r="O2077" t="s">
        <v>303</v>
      </c>
      <c r="P2077">
        <f t="shared" si="32"/>
        <v>0</v>
      </c>
    </row>
    <row r="2078" spans="1:16" x14ac:dyDescent="0.25">
      <c r="A2078" t="s">
        <v>669</v>
      </c>
      <c r="B2078">
        <v>25.27</v>
      </c>
      <c r="C2078">
        <v>25.27</v>
      </c>
      <c r="D2078" t="s">
        <v>303</v>
      </c>
      <c r="E2078" t="s">
        <v>910</v>
      </c>
      <c r="F2078" t="s">
        <v>910</v>
      </c>
      <c r="J2078">
        <v>25.27</v>
      </c>
      <c r="K2078">
        <v>25.27</v>
      </c>
      <c r="L2078" t="s">
        <v>303</v>
      </c>
      <c r="M2078">
        <v>25.27</v>
      </c>
      <c r="N2078">
        <v>25.27</v>
      </c>
      <c r="O2078" t="s">
        <v>303</v>
      </c>
      <c r="P2078">
        <f t="shared" si="32"/>
        <v>0</v>
      </c>
    </row>
    <row r="2079" spans="1:16" x14ac:dyDescent="0.25">
      <c r="A2079" t="s">
        <v>420</v>
      </c>
      <c r="B2079">
        <v>25.3</v>
      </c>
      <c r="C2079">
        <v>25.3</v>
      </c>
      <c r="D2079" t="s">
        <v>303</v>
      </c>
      <c r="E2079">
        <v>25</v>
      </c>
      <c r="F2079">
        <v>25</v>
      </c>
      <c r="G2079" t="s">
        <v>691</v>
      </c>
      <c r="H2079" t="s">
        <v>691</v>
      </c>
      <c r="J2079">
        <v>25.3</v>
      </c>
      <c r="K2079">
        <v>25.3</v>
      </c>
      <c r="L2079" t="s">
        <v>303</v>
      </c>
      <c r="M2079">
        <v>25.3</v>
      </c>
      <c r="N2079">
        <v>25.3</v>
      </c>
      <c r="O2079" t="s">
        <v>303</v>
      </c>
      <c r="P2079">
        <f t="shared" si="32"/>
        <v>0</v>
      </c>
    </row>
    <row r="2080" spans="1:16" x14ac:dyDescent="0.25">
      <c r="A2080" t="s">
        <v>669</v>
      </c>
      <c r="B2080">
        <v>23.7</v>
      </c>
      <c r="C2080">
        <v>25.5</v>
      </c>
      <c r="D2080" t="s">
        <v>860</v>
      </c>
      <c r="E2080" t="s">
        <v>910</v>
      </c>
      <c r="F2080" t="s">
        <v>910</v>
      </c>
      <c r="J2080">
        <v>25.5</v>
      </c>
      <c r="K2080">
        <v>23.7</v>
      </c>
      <c r="L2080" t="s">
        <v>303</v>
      </c>
      <c r="M2080">
        <v>25.5</v>
      </c>
      <c r="N2080">
        <v>23.7</v>
      </c>
      <c r="O2080" t="s">
        <v>303</v>
      </c>
      <c r="P2080">
        <f t="shared" si="32"/>
        <v>0</v>
      </c>
    </row>
    <row r="2081" spans="1:16" x14ac:dyDescent="0.25">
      <c r="A2081" t="s">
        <v>578</v>
      </c>
      <c r="B2081">
        <v>200</v>
      </c>
      <c r="C2081">
        <v>1000</v>
      </c>
      <c r="D2081" t="s">
        <v>857</v>
      </c>
      <c r="E2081">
        <v>5</v>
      </c>
      <c r="F2081">
        <v>5</v>
      </c>
      <c r="G2081" t="s">
        <v>684</v>
      </c>
      <c r="H2081" t="s">
        <v>684</v>
      </c>
      <c r="J2081">
        <v>1000</v>
      </c>
      <c r="K2081">
        <v>200</v>
      </c>
      <c r="L2081" t="s">
        <v>921</v>
      </c>
      <c r="M2081">
        <v>1000</v>
      </c>
      <c r="N2081">
        <v>200</v>
      </c>
      <c r="O2081" t="s">
        <v>921</v>
      </c>
      <c r="P2081">
        <f t="shared" si="32"/>
        <v>0</v>
      </c>
    </row>
    <row r="2082" spans="1:16" x14ac:dyDescent="0.25">
      <c r="A2082" t="s">
        <v>669</v>
      </c>
      <c r="B2082">
        <v>25.87</v>
      </c>
      <c r="C2082">
        <v>25.87</v>
      </c>
      <c r="D2082" t="s">
        <v>303</v>
      </c>
      <c r="E2082" t="s">
        <v>910</v>
      </c>
      <c r="F2082" t="s">
        <v>910</v>
      </c>
      <c r="J2082">
        <v>25.87</v>
      </c>
      <c r="K2082">
        <v>25.87</v>
      </c>
      <c r="L2082" t="s">
        <v>303</v>
      </c>
      <c r="M2082">
        <v>25.87</v>
      </c>
      <c r="N2082">
        <v>25.87</v>
      </c>
      <c r="O2082" t="s">
        <v>303</v>
      </c>
      <c r="P2082">
        <f t="shared" si="32"/>
        <v>0</v>
      </c>
    </row>
    <row r="2083" spans="1:16" x14ac:dyDescent="0.25">
      <c r="A2083" t="s">
        <v>669</v>
      </c>
      <c r="B2083">
        <v>26</v>
      </c>
      <c r="C2083">
        <v>26</v>
      </c>
      <c r="D2083" t="s">
        <v>303</v>
      </c>
      <c r="E2083" t="s">
        <v>910</v>
      </c>
      <c r="F2083" t="s">
        <v>910</v>
      </c>
      <c r="J2083">
        <v>26</v>
      </c>
      <c r="K2083">
        <v>26</v>
      </c>
      <c r="L2083" t="s">
        <v>303</v>
      </c>
      <c r="M2083">
        <v>26</v>
      </c>
      <c r="N2083">
        <v>26</v>
      </c>
      <c r="O2083" t="s">
        <v>303</v>
      </c>
      <c r="P2083">
        <f t="shared" si="32"/>
        <v>0</v>
      </c>
    </row>
    <row r="2084" spans="1:16" x14ac:dyDescent="0.25">
      <c r="A2084" t="s">
        <v>669</v>
      </c>
      <c r="B2084">
        <v>26.18</v>
      </c>
      <c r="C2084">
        <v>26.18</v>
      </c>
      <c r="D2084" t="s">
        <v>303</v>
      </c>
      <c r="E2084" t="s">
        <v>910</v>
      </c>
      <c r="F2084" t="s">
        <v>910</v>
      </c>
      <c r="J2084">
        <v>26.18</v>
      </c>
      <c r="K2084">
        <v>26.18</v>
      </c>
      <c r="L2084" t="s">
        <v>303</v>
      </c>
      <c r="M2084">
        <v>26.18</v>
      </c>
      <c r="N2084">
        <v>26.18</v>
      </c>
      <c r="O2084" t="s">
        <v>303</v>
      </c>
      <c r="P2084">
        <f t="shared" si="32"/>
        <v>0</v>
      </c>
    </row>
    <row r="2085" spans="1:16" x14ac:dyDescent="0.25">
      <c r="A2085" t="s">
        <v>669</v>
      </c>
      <c r="B2085">
        <v>26.87</v>
      </c>
      <c r="C2085">
        <v>26.87</v>
      </c>
      <c r="D2085" t="s">
        <v>303</v>
      </c>
      <c r="E2085" t="s">
        <v>910</v>
      </c>
      <c r="F2085" t="s">
        <v>910</v>
      </c>
      <c r="J2085">
        <v>26.87</v>
      </c>
      <c r="K2085">
        <v>26.87</v>
      </c>
      <c r="L2085" t="s">
        <v>303</v>
      </c>
      <c r="M2085">
        <v>26.87</v>
      </c>
      <c r="N2085">
        <v>26.87</v>
      </c>
      <c r="O2085" t="s">
        <v>303</v>
      </c>
      <c r="P2085">
        <f t="shared" si="32"/>
        <v>0</v>
      </c>
    </row>
    <row r="2086" spans="1:16" x14ac:dyDescent="0.25">
      <c r="A2086" t="s">
        <v>420</v>
      </c>
      <c r="B2086">
        <v>27.1</v>
      </c>
      <c r="C2086">
        <v>27.1</v>
      </c>
      <c r="D2086" t="s">
        <v>860</v>
      </c>
      <c r="E2086">
        <v>25</v>
      </c>
      <c r="F2086">
        <v>25</v>
      </c>
      <c r="G2086" t="s">
        <v>691</v>
      </c>
      <c r="H2086" t="s">
        <v>691</v>
      </c>
      <c r="J2086">
        <v>27.1</v>
      </c>
      <c r="K2086">
        <v>27.1</v>
      </c>
      <c r="L2086" t="s">
        <v>303</v>
      </c>
      <c r="M2086">
        <v>27.1</v>
      </c>
      <c r="N2086">
        <v>27.1</v>
      </c>
      <c r="O2086" t="s">
        <v>303</v>
      </c>
      <c r="P2086">
        <f t="shared" si="32"/>
        <v>0</v>
      </c>
    </row>
    <row r="2087" spans="1:16" x14ac:dyDescent="0.25">
      <c r="A2087" t="s">
        <v>669</v>
      </c>
      <c r="B2087">
        <v>24.5</v>
      </c>
      <c r="C2087">
        <v>27.5</v>
      </c>
      <c r="D2087" t="s">
        <v>860</v>
      </c>
      <c r="E2087" t="s">
        <v>910</v>
      </c>
      <c r="F2087" t="s">
        <v>910</v>
      </c>
      <c r="J2087">
        <v>27.5</v>
      </c>
      <c r="K2087">
        <v>24.5</v>
      </c>
      <c r="L2087" t="s">
        <v>303</v>
      </c>
      <c r="M2087">
        <v>27.5</v>
      </c>
      <c r="N2087">
        <v>24.5</v>
      </c>
      <c r="O2087" t="s">
        <v>303</v>
      </c>
      <c r="P2087">
        <f t="shared" si="32"/>
        <v>0</v>
      </c>
    </row>
    <row r="2088" spans="1:16" x14ac:dyDescent="0.25">
      <c r="A2088" t="s">
        <v>669</v>
      </c>
      <c r="B2088">
        <v>25.7</v>
      </c>
      <c r="C2088">
        <v>27.7</v>
      </c>
      <c r="D2088" t="s">
        <v>303</v>
      </c>
      <c r="E2088" t="s">
        <v>910</v>
      </c>
      <c r="F2088" t="s">
        <v>910</v>
      </c>
      <c r="J2088">
        <v>27.7</v>
      </c>
      <c r="K2088">
        <v>25.7</v>
      </c>
      <c r="L2088" t="s">
        <v>303</v>
      </c>
      <c r="M2088">
        <v>27.7</v>
      </c>
      <c r="N2088">
        <v>25.7</v>
      </c>
      <c r="O2088" t="s">
        <v>303</v>
      </c>
      <c r="P2088">
        <f t="shared" si="32"/>
        <v>0</v>
      </c>
    </row>
    <row r="2089" spans="1:16" x14ac:dyDescent="0.25">
      <c r="A2089" t="s">
        <v>669</v>
      </c>
      <c r="B2089">
        <v>23</v>
      </c>
      <c r="C2089">
        <v>28</v>
      </c>
      <c r="D2089" t="s">
        <v>303</v>
      </c>
      <c r="E2089" t="s">
        <v>910</v>
      </c>
      <c r="F2089" t="s">
        <v>910</v>
      </c>
      <c r="J2089">
        <v>28</v>
      </c>
      <c r="K2089">
        <v>23</v>
      </c>
      <c r="L2089" t="s">
        <v>303</v>
      </c>
      <c r="M2089">
        <v>28</v>
      </c>
      <c r="N2089">
        <v>23</v>
      </c>
      <c r="O2089" t="s">
        <v>303</v>
      </c>
      <c r="P2089">
        <f t="shared" si="32"/>
        <v>0</v>
      </c>
    </row>
    <row r="2090" spans="1:16" x14ac:dyDescent="0.25">
      <c r="A2090" t="s">
        <v>420</v>
      </c>
      <c r="B2090">
        <v>26</v>
      </c>
      <c r="C2090">
        <v>28</v>
      </c>
      <c r="D2090" t="s">
        <v>860</v>
      </c>
      <c r="E2090">
        <v>25</v>
      </c>
      <c r="F2090">
        <v>25</v>
      </c>
      <c r="G2090" t="s">
        <v>691</v>
      </c>
      <c r="H2090" t="s">
        <v>691</v>
      </c>
      <c r="J2090">
        <v>28</v>
      </c>
      <c r="K2090">
        <v>26</v>
      </c>
      <c r="L2090" t="s">
        <v>303</v>
      </c>
      <c r="M2090">
        <v>28</v>
      </c>
      <c r="N2090">
        <v>26</v>
      </c>
      <c r="O2090" t="s">
        <v>303</v>
      </c>
      <c r="P2090">
        <f t="shared" si="32"/>
        <v>0</v>
      </c>
    </row>
    <row r="2091" spans="1:16" x14ac:dyDescent="0.25">
      <c r="A2091" t="s">
        <v>669</v>
      </c>
      <c r="B2091">
        <v>28</v>
      </c>
      <c r="C2091">
        <v>28</v>
      </c>
      <c r="D2091" t="s">
        <v>860</v>
      </c>
      <c r="E2091" t="s">
        <v>910</v>
      </c>
      <c r="F2091" t="s">
        <v>910</v>
      </c>
      <c r="J2091">
        <v>28</v>
      </c>
      <c r="K2091">
        <v>28</v>
      </c>
      <c r="L2091" t="s">
        <v>303</v>
      </c>
      <c r="M2091">
        <v>28</v>
      </c>
      <c r="N2091">
        <v>28</v>
      </c>
      <c r="O2091" t="s">
        <v>303</v>
      </c>
      <c r="P2091">
        <f t="shared" si="32"/>
        <v>0</v>
      </c>
    </row>
    <row r="2092" spans="1:16" x14ac:dyDescent="0.25">
      <c r="A2092" t="s">
        <v>669</v>
      </c>
      <c r="B2092">
        <v>28.1</v>
      </c>
      <c r="C2092">
        <v>28.1</v>
      </c>
      <c r="D2092" t="s">
        <v>860</v>
      </c>
      <c r="E2092" t="s">
        <v>910</v>
      </c>
      <c r="F2092" t="s">
        <v>910</v>
      </c>
      <c r="J2092">
        <v>28.1</v>
      </c>
      <c r="K2092">
        <v>28.1</v>
      </c>
      <c r="L2092" t="s">
        <v>303</v>
      </c>
      <c r="M2092">
        <v>28.1</v>
      </c>
      <c r="N2092">
        <v>28.1</v>
      </c>
      <c r="O2092" t="s">
        <v>303</v>
      </c>
      <c r="P2092">
        <f t="shared" si="32"/>
        <v>0</v>
      </c>
    </row>
    <row r="2093" spans="1:16" x14ac:dyDescent="0.25">
      <c r="A2093" t="s">
        <v>669</v>
      </c>
      <c r="B2093">
        <v>28.2</v>
      </c>
      <c r="C2093">
        <v>28.2</v>
      </c>
      <c r="D2093" t="s">
        <v>303</v>
      </c>
      <c r="E2093" t="s">
        <v>910</v>
      </c>
      <c r="F2093" t="s">
        <v>910</v>
      </c>
      <c r="J2093">
        <v>28.2</v>
      </c>
      <c r="K2093">
        <v>28.2</v>
      </c>
      <c r="L2093" t="s">
        <v>303</v>
      </c>
      <c r="M2093">
        <v>28.2</v>
      </c>
      <c r="N2093">
        <v>28.2</v>
      </c>
      <c r="O2093" t="s">
        <v>303</v>
      </c>
      <c r="P2093">
        <f t="shared" si="32"/>
        <v>0</v>
      </c>
    </row>
    <row r="2094" spans="1:16" x14ac:dyDescent="0.25">
      <c r="A2094" t="s">
        <v>669</v>
      </c>
      <c r="B2094">
        <v>28.3</v>
      </c>
      <c r="C2094">
        <v>28.3</v>
      </c>
      <c r="D2094" t="s">
        <v>860</v>
      </c>
      <c r="E2094" t="s">
        <v>910</v>
      </c>
      <c r="F2094" t="s">
        <v>910</v>
      </c>
      <c r="J2094">
        <v>28.3</v>
      </c>
      <c r="K2094">
        <v>28.3</v>
      </c>
      <c r="L2094" t="s">
        <v>303</v>
      </c>
      <c r="M2094">
        <v>28.3</v>
      </c>
      <c r="N2094">
        <v>28.3</v>
      </c>
      <c r="O2094" t="s">
        <v>303</v>
      </c>
      <c r="P2094">
        <f t="shared" si="32"/>
        <v>0</v>
      </c>
    </row>
    <row r="2095" spans="1:16" x14ac:dyDescent="0.25">
      <c r="A2095" t="s">
        <v>420</v>
      </c>
      <c r="B2095">
        <v>23</v>
      </c>
      <c r="C2095">
        <v>28.4</v>
      </c>
      <c r="D2095" t="s">
        <v>860</v>
      </c>
      <c r="E2095">
        <v>25</v>
      </c>
      <c r="F2095">
        <v>25</v>
      </c>
      <c r="G2095" t="s">
        <v>691</v>
      </c>
      <c r="H2095" t="s">
        <v>691</v>
      </c>
      <c r="J2095">
        <v>28.4</v>
      </c>
      <c r="K2095">
        <v>23</v>
      </c>
      <c r="L2095" t="s">
        <v>303</v>
      </c>
      <c r="M2095">
        <v>28.4</v>
      </c>
      <c r="N2095">
        <v>23</v>
      </c>
      <c r="O2095" t="s">
        <v>303</v>
      </c>
      <c r="P2095">
        <f t="shared" si="32"/>
        <v>0</v>
      </c>
    </row>
    <row r="2096" spans="1:16" x14ac:dyDescent="0.25">
      <c r="A2096" t="s">
        <v>669</v>
      </c>
      <c r="B2096">
        <v>23</v>
      </c>
      <c r="C2096">
        <v>28.4</v>
      </c>
      <c r="D2096" t="s">
        <v>303</v>
      </c>
      <c r="E2096" t="s">
        <v>910</v>
      </c>
      <c r="F2096" t="s">
        <v>910</v>
      </c>
      <c r="J2096">
        <v>28.4</v>
      </c>
      <c r="K2096">
        <v>23</v>
      </c>
      <c r="L2096" t="s">
        <v>303</v>
      </c>
      <c r="M2096">
        <v>28.4</v>
      </c>
      <c r="N2096">
        <v>23</v>
      </c>
      <c r="O2096" t="s">
        <v>303</v>
      </c>
      <c r="P2096">
        <f t="shared" si="32"/>
        <v>0</v>
      </c>
    </row>
    <row r="2097" spans="1:16" x14ac:dyDescent="0.25">
      <c r="A2097" t="s">
        <v>669</v>
      </c>
      <c r="B2097">
        <v>27.2</v>
      </c>
      <c r="C2097">
        <v>28.4</v>
      </c>
      <c r="D2097" t="s">
        <v>860</v>
      </c>
      <c r="E2097" t="s">
        <v>910</v>
      </c>
      <c r="F2097" t="s">
        <v>910</v>
      </c>
      <c r="J2097">
        <v>28.4</v>
      </c>
      <c r="K2097">
        <v>27.2</v>
      </c>
      <c r="L2097" t="s">
        <v>303</v>
      </c>
      <c r="M2097">
        <v>28.4</v>
      </c>
      <c r="N2097">
        <v>27.2</v>
      </c>
      <c r="O2097" t="s">
        <v>303</v>
      </c>
      <c r="P2097">
        <f t="shared" si="32"/>
        <v>0</v>
      </c>
    </row>
    <row r="2098" spans="1:16" x14ac:dyDescent="0.25">
      <c r="A2098" t="s">
        <v>669</v>
      </c>
      <c r="B2098">
        <v>27.4</v>
      </c>
      <c r="C2098">
        <v>28.4</v>
      </c>
      <c r="D2098" t="s">
        <v>860</v>
      </c>
      <c r="E2098" t="s">
        <v>910</v>
      </c>
      <c r="F2098" t="s">
        <v>910</v>
      </c>
      <c r="J2098">
        <v>28.4</v>
      </c>
      <c r="K2098">
        <v>27.4</v>
      </c>
      <c r="L2098" t="s">
        <v>303</v>
      </c>
      <c r="M2098">
        <v>28.4</v>
      </c>
      <c r="N2098">
        <v>27.4</v>
      </c>
      <c r="O2098" t="s">
        <v>303</v>
      </c>
      <c r="P2098">
        <f t="shared" si="32"/>
        <v>0</v>
      </c>
    </row>
    <row r="2099" spans="1:16" x14ac:dyDescent="0.25">
      <c r="A2099" t="s">
        <v>669</v>
      </c>
      <c r="B2099">
        <v>27.5</v>
      </c>
      <c r="C2099">
        <v>28.5</v>
      </c>
      <c r="D2099" t="s">
        <v>860</v>
      </c>
      <c r="E2099" t="s">
        <v>910</v>
      </c>
      <c r="F2099" t="s">
        <v>910</v>
      </c>
      <c r="J2099">
        <v>28.5</v>
      </c>
      <c r="K2099">
        <v>27.5</v>
      </c>
      <c r="L2099" t="s">
        <v>303</v>
      </c>
      <c r="M2099">
        <v>28.5</v>
      </c>
      <c r="N2099">
        <v>27.5</v>
      </c>
      <c r="O2099" t="s">
        <v>303</v>
      </c>
      <c r="P2099">
        <f t="shared" si="32"/>
        <v>0</v>
      </c>
    </row>
    <row r="2100" spans="1:16" x14ac:dyDescent="0.25">
      <c r="A2100" t="s">
        <v>669</v>
      </c>
      <c r="B2100">
        <v>28.6</v>
      </c>
      <c r="C2100">
        <v>28.6</v>
      </c>
      <c r="D2100" t="s">
        <v>303</v>
      </c>
      <c r="E2100" t="s">
        <v>910</v>
      </c>
      <c r="F2100" t="s">
        <v>910</v>
      </c>
      <c r="J2100">
        <v>28.6</v>
      </c>
      <c r="K2100">
        <v>28.6</v>
      </c>
      <c r="L2100" t="s">
        <v>303</v>
      </c>
      <c r="M2100">
        <v>28.6</v>
      </c>
      <c r="N2100">
        <v>28.6</v>
      </c>
      <c r="O2100" t="s">
        <v>303</v>
      </c>
      <c r="P2100">
        <f t="shared" si="32"/>
        <v>0</v>
      </c>
    </row>
    <row r="2101" spans="1:16" x14ac:dyDescent="0.25">
      <c r="A2101" t="s">
        <v>669</v>
      </c>
      <c r="B2101">
        <v>28.64</v>
      </c>
      <c r="C2101">
        <v>28.64</v>
      </c>
      <c r="D2101" t="s">
        <v>303</v>
      </c>
      <c r="E2101" t="s">
        <v>910</v>
      </c>
      <c r="F2101" t="s">
        <v>910</v>
      </c>
      <c r="J2101">
        <v>28.64</v>
      </c>
      <c r="K2101">
        <v>28.64</v>
      </c>
      <c r="L2101" t="s">
        <v>303</v>
      </c>
      <c r="M2101">
        <v>28.64</v>
      </c>
      <c r="N2101">
        <v>28.64</v>
      </c>
      <c r="O2101" t="s">
        <v>303</v>
      </c>
      <c r="P2101">
        <f t="shared" si="32"/>
        <v>0</v>
      </c>
    </row>
    <row r="2102" spans="1:16" x14ac:dyDescent="0.25">
      <c r="A2102" t="s">
        <v>669</v>
      </c>
      <c r="B2102">
        <v>27.8</v>
      </c>
      <c r="C2102">
        <v>28.8</v>
      </c>
      <c r="D2102" t="s">
        <v>860</v>
      </c>
      <c r="E2102" t="s">
        <v>910</v>
      </c>
      <c r="F2102" t="s">
        <v>910</v>
      </c>
      <c r="J2102">
        <v>28.8</v>
      </c>
      <c r="K2102">
        <v>27.8</v>
      </c>
      <c r="L2102" t="s">
        <v>303</v>
      </c>
      <c r="M2102">
        <v>28.8</v>
      </c>
      <c r="N2102">
        <v>27.8</v>
      </c>
      <c r="O2102" t="s">
        <v>303</v>
      </c>
      <c r="P2102">
        <f t="shared" si="32"/>
        <v>0</v>
      </c>
    </row>
    <row r="2103" spans="1:16" x14ac:dyDescent="0.25">
      <c r="A2103" t="s">
        <v>669</v>
      </c>
      <c r="B2103">
        <v>28.74</v>
      </c>
      <c r="C2103">
        <v>28.8</v>
      </c>
      <c r="D2103" t="s">
        <v>860</v>
      </c>
      <c r="E2103" t="s">
        <v>910</v>
      </c>
      <c r="F2103" t="s">
        <v>910</v>
      </c>
      <c r="J2103">
        <v>28.8</v>
      </c>
      <c r="K2103">
        <v>28.74</v>
      </c>
      <c r="L2103" t="s">
        <v>303</v>
      </c>
      <c r="M2103">
        <v>28.8</v>
      </c>
      <c r="N2103">
        <v>28.74</v>
      </c>
      <c r="O2103" t="s">
        <v>303</v>
      </c>
      <c r="P2103">
        <f t="shared" si="32"/>
        <v>0</v>
      </c>
    </row>
    <row r="2104" spans="1:16" x14ac:dyDescent="0.25">
      <c r="A2104" t="s">
        <v>420</v>
      </c>
      <c r="B2104">
        <v>26</v>
      </c>
      <c r="C2104">
        <v>29</v>
      </c>
      <c r="D2104" t="s">
        <v>860</v>
      </c>
      <c r="E2104">
        <v>25</v>
      </c>
      <c r="F2104">
        <v>25</v>
      </c>
      <c r="G2104" t="s">
        <v>691</v>
      </c>
      <c r="H2104" t="s">
        <v>691</v>
      </c>
      <c r="J2104">
        <v>29</v>
      </c>
      <c r="K2104">
        <v>26</v>
      </c>
      <c r="L2104" t="s">
        <v>303</v>
      </c>
      <c r="M2104">
        <v>29</v>
      </c>
      <c r="N2104">
        <v>26</v>
      </c>
      <c r="O2104" t="s">
        <v>303</v>
      </c>
      <c r="P2104">
        <f t="shared" si="32"/>
        <v>0</v>
      </c>
    </row>
    <row r="2105" spans="1:16" x14ac:dyDescent="0.25">
      <c r="A2105" t="s">
        <v>669</v>
      </c>
      <c r="B2105">
        <v>29</v>
      </c>
      <c r="C2105">
        <v>29</v>
      </c>
      <c r="D2105" t="s">
        <v>860</v>
      </c>
      <c r="E2105" t="s">
        <v>910</v>
      </c>
      <c r="F2105" t="s">
        <v>910</v>
      </c>
      <c r="J2105">
        <v>29</v>
      </c>
      <c r="K2105">
        <v>29</v>
      </c>
      <c r="L2105" t="s">
        <v>303</v>
      </c>
      <c r="M2105">
        <v>29</v>
      </c>
      <c r="N2105">
        <v>29</v>
      </c>
      <c r="O2105" t="s">
        <v>303</v>
      </c>
      <c r="P2105">
        <f t="shared" si="32"/>
        <v>0</v>
      </c>
    </row>
    <row r="2106" spans="1:16" x14ac:dyDescent="0.25">
      <c r="A2106" t="s">
        <v>669</v>
      </c>
      <c r="B2106">
        <v>29.38</v>
      </c>
      <c r="C2106">
        <v>29.38</v>
      </c>
      <c r="D2106" t="s">
        <v>303</v>
      </c>
      <c r="E2106" t="s">
        <v>910</v>
      </c>
      <c r="F2106" t="s">
        <v>910</v>
      </c>
      <c r="J2106">
        <v>29.38</v>
      </c>
      <c r="K2106">
        <v>29.38</v>
      </c>
      <c r="L2106" t="s">
        <v>303</v>
      </c>
      <c r="M2106">
        <v>29.38</v>
      </c>
      <c r="N2106">
        <v>29.38</v>
      </c>
      <c r="O2106" t="s">
        <v>303</v>
      </c>
      <c r="P2106">
        <f t="shared" si="32"/>
        <v>0</v>
      </c>
    </row>
    <row r="2107" spans="1:16" x14ac:dyDescent="0.25">
      <c r="A2107">
        <v>25.9</v>
      </c>
      <c r="B2107">
        <v>22.7</v>
      </c>
      <c r="C2107">
        <v>29.6</v>
      </c>
      <c r="D2107" t="s">
        <v>303</v>
      </c>
      <c r="E2107" t="s">
        <v>910</v>
      </c>
      <c r="F2107" t="s">
        <v>910</v>
      </c>
      <c r="J2107">
        <v>29.6</v>
      </c>
      <c r="K2107">
        <v>22.7</v>
      </c>
      <c r="L2107" t="s">
        <v>303</v>
      </c>
      <c r="M2107">
        <v>29.6</v>
      </c>
      <c r="N2107">
        <v>22.7</v>
      </c>
      <c r="O2107" t="s">
        <v>303</v>
      </c>
      <c r="P2107">
        <f t="shared" si="32"/>
        <v>0</v>
      </c>
    </row>
    <row r="2108" spans="1:16" x14ac:dyDescent="0.25">
      <c r="A2108" t="s">
        <v>420</v>
      </c>
      <c r="B2108">
        <v>19.2</v>
      </c>
      <c r="C2108">
        <v>29.8</v>
      </c>
      <c r="D2108" t="s">
        <v>860</v>
      </c>
      <c r="E2108">
        <v>25</v>
      </c>
      <c r="F2108">
        <v>25</v>
      </c>
      <c r="G2108" t="s">
        <v>691</v>
      </c>
      <c r="H2108" t="s">
        <v>691</v>
      </c>
      <c r="J2108">
        <v>29.8</v>
      </c>
      <c r="K2108">
        <v>19.2</v>
      </c>
      <c r="L2108" t="s">
        <v>303</v>
      </c>
      <c r="M2108">
        <v>29.8</v>
      </c>
      <c r="N2108">
        <v>19.2</v>
      </c>
      <c r="O2108" t="s">
        <v>303</v>
      </c>
      <c r="P2108">
        <f t="shared" si="32"/>
        <v>0</v>
      </c>
    </row>
    <row r="2109" spans="1:16" x14ac:dyDescent="0.25">
      <c r="A2109" t="s">
        <v>669</v>
      </c>
      <c r="B2109">
        <v>29.86</v>
      </c>
      <c r="C2109">
        <v>29.86</v>
      </c>
      <c r="D2109" t="s">
        <v>303</v>
      </c>
      <c r="E2109" t="s">
        <v>910</v>
      </c>
      <c r="F2109" t="s">
        <v>910</v>
      </c>
      <c r="J2109">
        <v>29.86</v>
      </c>
      <c r="K2109">
        <v>29.86</v>
      </c>
      <c r="L2109" t="s">
        <v>303</v>
      </c>
      <c r="M2109">
        <v>29.86</v>
      </c>
      <c r="N2109">
        <v>29.86</v>
      </c>
      <c r="O2109" t="s">
        <v>303</v>
      </c>
      <c r="P2109">
        <f t="shared" si="32"/>
        <v>0</v>
      </c>
    </row>
    <row r="2110" spans="1:16" x14ac:dyDescent="0.25">
      <c r="A2110" t="s">
        <v>669</v>
      </c>
      <c r="B2110">
        <v>28.5</v>
      </c>
      <c r="C2110">
        <v>30</v>
      </c>
      <c r="D2110" t="s">
        <v>860</v>
      </c>
      <c r="E2110" t="s">
        <v>910</v>
      </c>
      <c r="F2110" t="s">
        <v>910</v>
      </c>
      <c r="J2110">
        <v>30</v>
      </c>
      <c r="K2110">
        <v>28.5</v>
      </c>
      <c r="L2110" t="s">
        <v>303</v>
      </c>
      <c r="M2110">
        <v>30</v>
      </c>
      <c r="N2110">
        <v>28.5</v>
      </c>
      <c r="O2110" t="s">
        <v>303</v>
      </c>
      <c r="P2110">
        <f t="shared" si="32"/>
        <v>0</v>
      </c>
    </row>
    <row r="2111" spans="1:16" x14ac:dyDescent="0.25">
      <c r="A2111" t="s">
        <v>595</v>
      </c>
      <c r="B2111">
        <v>29</v>
      </c>
      <c r="C2111">
        <v>30</v>
      </c>
      <c r="D2111" t="s">
        <v>860</v>
      </c>
      <c r="E2111">
        <v>27</v>
      </c>
      <c r="F2111">
        <v>27</v>
      </c>
      <c r="G2111" t="s">
        <v>778</v>
      </c>
      <c r="H2111" t="s">
        <v>778</v>
      </c>
      <c r="J2111">
        <v>30</v>
      </c>
      <c r="K2111">
        <v>29</v>
      </c>
      <c r="L2111" t="s">
        <v>303</v>
      </c>
      <c r="M2111">
        <v>30</v>
      </c>
      <c r="N2111">
        <v>29</v>
      </c>
      <c r="O2111" t="s">
        <v>303</v>
      </c>
      <c r="P2111">
        <f t="shared" si="32"/>
        <v>0</v>
      </c>
    </row>
    <row r="2112" spans="1:16" x14ac:dyDescent="0.25">
      <c r="A2112" t="s">
        <v>669</v>
      </c>
      <c r="B2112">
        <v>30</v>
      </c>
      <c r="C2112">
        <v>30</v>
      </c>
      <c r="D2112" t="s">
        <v>303</v>
      </c>
      <c r="E2112" t="s">
        <v>910</v>
      </c>
      <c r="F2112" t="s">
        <v>910</v>
      </c>
      <c r="J2112">
        <v>30</v>
      </c>
      <c r="K2112">
        <v>30</v>
      </c>
      <c r="L2112" t="s">
        <v>303</v>
      </c>
      <c r="M2112">
        <v>30</v>
      </c>
      <c r="N2112">
        <v>30</v>
      </c>
      <c r="O2112" t="s">
        <v>303</v>
      </c>
      <c r="P2112">
        <f t="shared" si="32"/>
        <v>0</v>
      </c>
    </row>
    <row r="2113" spans="1:16" x14ac:dyDescent="0.25">
      <c r="A2113" t="s">
        <v>669</v>
      </c>
      <c r="B2113">
        <v>30</v>
      </c>
      <c r="C2113">
        <v>30</v>
      </c>
      <c r="D2113" t="s">
        <v>860</v>
      </c>
      <c r="E2113" t="s">
        <v>910</v>
      </c>
      <c r="F2113" t="s">
        <v>910</v>
      </c>
      <c r="J2113">
        <v>30</v>
      </c>
      <c r="K2113">
        <v>30</v>
      </c>
      <c r="L2113" t="s">
        <v>303</v>
      </c>
      <c r="M2113">
        <v>30</v>
      </c>
      <c r="N2113">
        <v>30</v>
      </c>
      <c r="O2113" t="s">
        <v>303</v>
      </c>
      <c r="P2113">
        <f t="shared" si="32"/>
        <v>0</v>
      </c>
    </row>
    <row r="2114" spans="1:16" x14ac:dyDescent="0.25">
      <c r="A2114" t="s">
        <v>669</v>
      </c>
      <c r="B2114">
        <v>30.1</v>
      </c>
      <c r="C2114">
        <v>30.1</v>
      </c>
      <c r="D2114" t="s">
        <v>303</v>
      </c>
      <c r="E2114" t="s">
        <v>910</v>
      </c>
      <c r="F2114" t="s">
        <v>910</v>
      </c>
      <c r="J2114">
        <v>30.1</v>
      </c>
      <c r="K2114">
        <v>30.1</v>
      </c>
      <c r="L2114" t="s">
        <v>303</v>
      </c>
      <c r="M2114">
        <v>30.1</v>
      </c>
      <c r="N2114">
        <v>30.1</v>
      </c>
      <c r="O2114" t="s">
        <v>303</v>
      </c>
      <c r="P2114">
        <f t="shared" si="32"/>
        <v>0</v>
      </c>
    </row>
    <row r="2115" spans="1:16" x14ac:dyDescent="0.25">
      <c r="A2115" t="s">
        <v>420</v>
      </c>
      <c r="B2115">
        <v>28</v>
      </c>
      <c r="C2115">
        <v>30.5</v>
      </c>
      <c r="D2115" t="s">
        <v>860</v>
      </c>
      <c r="E2115">
        <v>25</v>
      </c>
      <c r="F2115">
        <v>25</v>
      </c>
      <c r="G2115" t="s">
        <v>691</v>
      </c>
      <c r="H2115" t="s">
        <v>691</v>
      </c>
      <c r="J2115">
        <v>30.5</v>
      </c>
      <c r="K2115">
        <v>28</v>
      </c>
      <c r="L2115" t="s">
        <v>303</v>
      </c>
      <c r="M2115">
        <v>30.5</v>
      </c>
      <c r="N2115">
        <v>28</v>
      </c>
      <c r="O2115" t="s">
        <v>303</v>
      </c>
      <c r="P2115">
        <f t="shared" ref="P2115:P2178" si="33">LEN(I2115)</f>
        <v>0</v>
      </c>
    </row>
    <row r="2116" spans="1:16" x14ac:dyDescent="0.25">
      <c r="A2116" t="s">
        <v>669</v>
      </c>
      <c r="B2116">
        <v>30.56</v>
      </c>
      <c r="C2116">
        <v>30.56</v>
      </c>
      <c r="D2116" t="s">
        <v>303</v>
      </c>
      <c r="E2116" t="s">
        <v>910</v>
      </c>
      <c r="F2116" t="s">
        <v>910</v>
      </c>
      <c r="J2116">
        <v>30.56</v>
      </c>
      <c r="K2116">
        <v>30.56</v>
      </c>
      <c r="L2116" t="s">
        <v>303</v>
      </c>
      <c r="M2116">
        <v>30.56</v>
      </c>
      <c r="N2116">
        <v>30.56</v>
      </c>
      <c r="O2116" t="s">
        <v>303</v>
      </c>
      <c r="P2116">
        <f t="shared" si="33"/>
        <v>0</v>
      </c>
    </row>
    <row r="2117" spans="1:16" x14ac:dyDescent="0.25">
      <c r="A2117" t="s">
        <v>669</v>
      </c>
      <c r="B2117">
        <v>30.62</v>
      </c>
      <c r="C2117">
        <v>30.62</v>
      </c>
      <c r="D2117" t="s">
        <v>303</v>
      </c>
      <c r="E2117" t="s">
        <v>910</v>
      </c>
      <c r="F2117" t="s">
        <v>910</v>
      </c>
      <c r="J2117">
        <v>30.62</v>
      </c>
      <c r="K2117">
        <v>30.62</v>
      </c>
      <c r="L2117" t="s">
        <v>303</v>
      </c>
      <c r="M2117">
        <v>30.62</v>
      </c>
      <c r="N2117">
        <v>30.62</v>
      </c>
      <c r="O2117" t="s">
        <v>303</v>
      </c>
      <c r="P2117">
        <f t="shared" si="33"/>
        <v>0</v>
      </c>
    </row>
    <row r="2118" spans="1:16" x14ac:dyDescent="0.25">
      <c r="A2118" t="s">
        <v>669</v>
      </c>
      <c r="B2118">
        <v>19.600000000000001</v>
      </c>
      <c r="C2118">
        <v>31</v>
      </c>
      <c r="D2118" t="s">
        <v>669</v>
      </c>
      <c r="E2118" t="s">
        <v>910</v>
      </c>
      <c r="F2118" t="s">
        <v>910</v>
      </c>
      <c r="I2118" t="s">
        <v>927</v>
      </c>
      <c r="J2118">
        <v>31</v>
      </c>
      <c r="K2118">
        <v>19.600000000000001</v>
      </c>
      <c r="L2118" t="s">
        <v>930</v>
      </c>
      <c r="M2118">
        <v>31</v>
      </c>
      <c r="N2118">
        <v>19.600000000000001</v>
      </c>
      <c r="P2118">
        <f t="shared" si="33"/>
        <v>14</v>
      </c>
    </row>
    <row r="2119" spans="1:16" x14ac:dyDescent="0.25">
      <c r="A2119" t="s">
        <v>669</v>
      </c>
      <c r="B2119">
        <v>29.6</v>
      </c>
      <c r="C2119">
        <v>31</v>
      </c>
      <c r="D2119" t="s">
        <v>669</v>
      </c>
      <c r="E2119" t="s">
        <v>910</v>
      </c>
      <c r="F2119" t="s">
        <v>910</v>
      </c>
      <c r="I2119" t="s">
        <v>927</v>
      </c>
      <c r="J2119">
        <v>31</v>
      </c>
      <c r="K2119">
        <v>29.6</v>
      </c>
      <c r="L2119" t="s">
        <v>930</v>
      </c>
      <c r="M2119">
        <v>31</v>
      </c>
      <c r="N2119">
        <v>29.6</v>
      </c>
      <c r="P2119">
        <f t="shared" si="33"/>
        <v>14</v>
      </c>
    </row>
    <row r="2120" spans="1:16" x14ac:dyDescent="0.25">
      <c r="A2120" t="s">
        <v>669</v>
      </c>
      <c r="B2120">
        <v>31.24</v>
      </c>
      <c r="C2120">
        <v>31.24</v>
      </c>
      <c r="D2120" t="s">
        <v>303</v>
      </c>
      <c r="E2120" t="s">
        <v>910</v>
      </c>
      <c r="F2120" t="s">
        <v>910</v>
      </c>
      <c r="J2120">
        <v>31.24</v>
      </c>
      <c r="K2120">
        <v>31.24</v>
      </c>
      <c r="L2120" t="s">
        <v>303</v>
      </c>
      <c r="M2120">
        <v>31.24</v>
      </c>
      <c r="N2120">
        <v>31.24</v>
      </c>
      <c r="O2120" t="s">
        <v>303</v>
      </c>
      <c r="P2120">
        <f t="shared" si="33"/>
        <v>0</v>
      </c>
    </row>
    <row r="2121" spans="1:16" x14ac:dyDescent="0.25">
      <c r="A2121" t="s">
        <v>669</v>
      </c>
      <c r="B2121">
        <v>229</v>
      </c>
      <c r="C2121">
        <v>229</v>
      </c>
      <c r="D2121" t="s">
        <v>857</v>
      </c>
      <c r="E2121">
        <v>5</v>
      </c>
      <c r="F2121">
        <v>5</v>
      </c>
      <c r="G2121" t="s">
        <v>684</v>
      </c>
      <c r="H2121" t="s">
        <v>684</v>
      </c>
      <c r="J2121">
        <v>229</v>
      </c>
      <c r="K2121">
        <v>229</v>
      </c>
      <c r="L2121" t="s">
        <v>921</v>
      </c>
      <c r="M2121">
        <v>229</v>
      </c>
      <c r="N2121">
        <v>229</v>
      </c>
      <c r="O2121" t="s">
        <v>921</v>
      </c>
      <c r="P2121">
        <f t="shared" si="33"/>
        <v>0</v>
      </c>
    </row>
    <row r="2122" spans="1:16" x14ac:dyDescent="0.25">
      <c r="A2122" t="s">
        <v>669</v>
      </c>
      <c r="B2122">
        <v>31.35</v>
      </c>
      <c r="C2122">
        <v>31.35</v>
      </c>
      <c r="D2122" t="s">
        <v>303</v>
      </c>
      <c r="E2122" t="s">
        <v>910</v>
      </c>
      <c r="F2122" t="s">
        <v>910</v>
      </c>
      <c r="J2122">
        <v>31.35</v>
      </c>
      <c r="K2122">
        <v>31.35</v>
      </c>
      <c r="L2122" t="s">
        <v>303</v>
      </c>
      <c r="M2122">
        <v>31.35</v>
      </c>
      <c r="N2122">
        <v>31.35</v>
      </c>
      <c r="O2122" t="s">
        <v>303</v>
      </c>
      <c r="P2122">
        <f t="shared" si="33"/>
        <v>0</v>
      </c>
    </row>
    <row r="2123" spans="1:16" x14ac:dyDescent="0.25">
      <c r="A2123" t="s">
        <v>669</v>
      </c>
      <c r="B2123">
        <v>31.89</v>
      </c>
      <c r="C2123">
        <v>31.89</v>
      </c>
      <c r="D2123" t="s">
        <v>303</v>
      </c>
      <c r="E2123" t="s">
        <v>910</v>
      </c>
      <c r="F2123" t="s">
        <v>910</v>
      </c>
      <c r="J2123">
        <v>31.89</v>
      </c>
      <c r="K2123">
        <v>31.89</v>
      </c>
      <c r="L2123" t="s">
        <v>303</v>
      </c>
      <c r="M2123">
        <v>31.89</v>
      </c>
      <c r="N2123">
        <v>31.89</v>
      </c>
      <c r="O2123" t="s">
        <v>303</v>
      </c>
      <c r="P2123">
        <f t="shared" si="33"/>
        <v>0</v>
      </c>
    </row>
    <row r="2124" spans="1:16" x14ac:dyDescent="0.25">
      <c r="A2124" t="s">
        <v>669</v>
      </c>
      <c r="B2124">
        <v>33</v>
      </c>
      <c r="C2124">
        <v>256</v>
      </c>
      <c r="D2124" t="s">
        <v>861</v>
      </c>
      <c r="E2124" t="s">
        <v>910</v>
      </c>
      <c r="F2124" t="s">
        <v>910</v>
      </c>
      <c r="J2124">
        <v>256</v>
      </c>
      <c r="K2124">
        <v>33</v>
      </c>
      <c r="L2124" t="s">
        <v>920</v>
      </c>
      <c r="M2124">
        <v>256</v>
      </c>
      <c r="N2124">
        <v>33</v>
      </c>
      <c r="O2124" t="s">
        <v>931</v>
      </c>
      <c r="P2124">
        <f t="shared" si="33"/>
        <v>0</v>
      </c>
    </row>
    <row r="2125" spans="1:16" x14ac:dyDescent="0.25">
      <c r="A2125" t="s">
        <v>669</v>
      </c>
      <c r="B2125">
        <v>229</v>
      </c>
      <c r="C2125" t="s">
        <v>669</v>
      </c>
      <c r="D2125" t="s">
        <v>857</v>
      </c>
      <c r="E2125" t="s">
        <v>910</v>
      </c>
      <c r="F2125">
        <v>5</v>
      </c>
      <c r="H2125" t="s">
        <v>684</v>
      </c>
      <c r="I2125" t="s">
        <v>932</v>
      </c>
      <c r="K2125">
        <v>229</v>
      </c>
      <c r="L2125" t="s">
        <v>920</v>
      </c>
      <c r="N2125">
        <v>229</v>
      </c>
      <c r="O2125" t="s">
        <v>857</v>
      </c>
      <c r="P2125">
        <f t="shared" si="33"/>
        <v>27</v>
      </c>
    </row>
    <row r="2126" spans="1:16" x14ac:dyDescent="0.25">
      <c r="A2126" t="s">
        <v>669</v>
      </c>
      <c r="B2126">
        <v>32</v>
      </c>
      <c r="C2126">
        <v>32.5</v>
      </c>
      <c r="D2126" t="s">
        <v>860</v>
      </c>
      <c r="E2126" t="s">
        <v>910</v>
      </c>
      <c r="F2126" t="s">
        <v>910</v>
      </c>
      <c r="J2126">
        <v>32.5</v>
      </c>
      <c r="K2126">
        <v>32</v>
      </c>
      <c r="L2126" t="s">
        <v>303</v>
      </c>
      <c r="M2126">
        <v>32.5</v>
      </c>
      <c r="N2126">
        <v>32</v>
      </c>
      <c r="O2126" t="s">
        <v>303</v>
      </c>
      <c r="P2126">
        <f t="shared" si="33"/>
        <v>0</v>
      </c>
    </row>
    <row r="2127" spans="1:16" x14ac:dyDescent="0.25">
      <c r="A2127" t="s">
        <v>669</v>
      </c>
      <c r="B2127">
        <v>24</v>
      </c>
      <c r="C2127">
        <v>264</v>
      </c>
      <c r="D2127" t="s">
        <v>861</v>
      </c>
      <c r="E2127" t="s">
        <v>910</v>
      </c>
      <c r="F2127" t="s">
        <v>910</v>
      </c>
      <c r="J2127">
        <v>264</v>
      </c>
      <c r="K2127">
        <v>24</v>
      </c>
      <c r="L2127" t="s">
        <v>920</v>
      </c>
      <c r="M2127">
        <v>264</v>
      </c>
      <c r="N2127">
        <v>24</v>
      </c>
      <c r="O2127" t="s">
        <v>931</v>
      </c>
      <c r="P2127">
        <f t="shared" si="33"/>
        <v>0</v>
      </c>
    </row>
    <row r="2128" spans="1:16" x14ac:dyDescent="0.25">
      <c r="A2128" t="s">
        <v>669</v>
      </c>
      <c r="B2128">
        <v>32.85</v>
      </c>
      <c r="C2128">
        <v>32.85</v>
      </c>
      <c r="D2128" t="s">
        <v>303</v>
      </c>
      <c r="E2128" t="s">
        <v>910</v>
      </c>
      <c r="F2128" t="s">
        <v>910</v>
      </c>
      <c r="J2128">
        <v>32.85</v>
      </c>
      <c r="K2128">
        <v>32.85</v>
      </c>
      <c r="L2128" t="s">
        <v>303</v>
      </c>
      <c r="M2128">
        <v>32.85</v>
      </c>
      <c r="N2128">
        <v>32.85</v>
      </c>
      <c r="O2128" t="s">
        <v>303</v>
      </c>
      <c r="P2128">
        <f t="shared" si="33"/>
        <v>0</v>
      </c>
    </row>
    <row r="2129" spans="1:16" x14ac:dyDescent="0.25">
      <c r="A2129" t="s">
        <v>669</v>
      </c>
      <c r="B2129">
        <v>14</v>
      </c>
      <c r="C2129">
        <v>268</v>
      </c>
      <c r="D2129" t="s">
        <v>861</v>
      </c>
      <c r="E2129" t="s">
        <v>910</v>
      </c>
      <c r="F2129" t="s">
        <v>910</v>
      </c>
      <c r="J2129">
        <v>268</v>
      </c>
      <c r="K2129">
        <v>14</v>
      </c>
      <c r="L2129" t="s">
        <v>920</v>
      </c>
      <c r="M2129">
        <v>268</v>
      </c>
      <c r="N2129">
        <v>14</v>
      </c>
      <c r="O2129" t="s">
        <v>931</v>
      </c>
      <c r="P2129">
        <f t="shared" si="33"/>
        <v>0</v>
      </c>
    </row>
    <row r="2130" spans="1:16" x14ac:dyDescent="0.25">
      <c r="A2130" t="s">
        <v>669</v>
      </c>
      <c r="B2130">
        <v>23</v>
      </c>
      <c r="C2130">
        <v>33</v>
      </c>
      <c r="D2130" t="s">
        <v>303</v>
      </c>
      <c r="E2130" t="s">
        <v>910</v>
      </c>
      <c r="F2130" t="s">
        <v>910</v>
      </c>
      <c r="J2130">
        <v>33</v>
      </c>
      <c r="K2130">
        <v>23</v>
      </c>
      <c r="L2130" t="s">
        <v>303</v>
      </c>
      <c r="M2130">
        <v>33</v>
      </c>
      <c r="N2130">
        <v>23</v>
      </c>
      <c r="O2130" t="s">
        <v>303</v>
      </c>
      <c r="P2130">
        <f t="shared" si="33"/>
        <v>0</v>
      </c>
    </row>
    <row r="2131" spans="1:16" x14ac:dyDescent="0.25">
      <c r="A2131" t="s">
        <v>669</v>
      </c>
      <c r="B2131">
        <v>9</v>
      </c>
      <c r="C2131">
        <v>271</v>
      </c>
      <c r="D2131" t="s">
        <v>861</v>
      </c>
      <c r="E2131" t="s">
        <v>910</v>
      </c>
      <c r="F2131" t="s">
        <v>910</v>
      </c>
      <c r="J2131">
        <v>271</v>
      </c>
      <c r="K2131">
        <v>9</v>
      </c>
      <c r="L2131" t="s">
        <v>920</v>
      </c>
      <c r="M2131">
        <v>271</v>
      </c>
      <c r="N2131">
        <v>9</v>
      </c>
      <c r="O2131" t="s">
        <v>931</v>
      </c>
      <c r="P2131">
        <f t="shared" si="33"/>
        <v>0</v>
      </c>
    </row>
    <row r="2132" spans="1:16" x14ac:dyDescent="0.25">
      <c r="A2132" t="s">
        <v>669</v>
      </c>
      <c r="B2132">
        <v>33</v>
      </c>
      <c r="C2132">
        <v>23</v>
      </c>
      <c r="D2132" t="s">
        <v>303</v>
      </c>
      <c r="E2132" t="s">
        <v>910</v>
      </c>
      <c r="F2132" t="s">
        <v>910</v>
      </c>
      <c r="J2132">
        <v>33</v>
      </c>
      <c r="K2132">
        <v>23</v>
      </c>
      <c r="L2132" t="s">
        <v>303</v>
      </c>
      <c r="M2132">
        <v>33</v>
      </c>
      <c r="N2132">
        <v>23</v>
      </c>
      <c r="O2132" t="s">
        <v>303</v>
      </c>
      <c r="P2132">
        <f t="shared" si="33"/>
        <v>0</v>
      </c>
    </row>
    <row r="2133" spans="1:16" x14ac:dyDescent="0.25">
      <c r="A2133" t="s">
        <v>448</v>
      </c>
      <c r="B2133">
        <v>25</v>
      </c>
      <c r="C2133">
        <v>33</v>
      </c>
      <c r="D2133" t="s">
        <v>860</v>
      </c>
      <c r="E2133">
        <v>24</v>
      </c>
      <c r="F2133">
        <v>24</v>
      </c>
      <c r="G2133" t="s">
        <v>692</v>
      </c>
      <c r="H2133" t="s">
        <v>692</v>
      </c>
      <c r="J2133">
        <v>33</v>
      </c>
      <c r="K2133">
        <v>25</v>
      </c>
      <c r="L2133" t="s">
        <v>303</v>
      </c>
      <c r="M2133">
        <v>33</v>
      </c>
      <c r="N2133">
        <v>25</v>
      </c>
      <c r="O2133" t="s">
        <v>303</v>
      </c>
      <c r="P2133">
        <f t="shared" si="33"/>
        <v>0</v>
      </c>
    </row>
    <row r="2134" spans="1:16" x14ac:dyDescent="0.25">
      <c r="A2134" t="s">
        <v>669</v>
      </c>
      <c r="B2134">
        <v>33</v>
      </c>
      <c r="C2134">
        <v>28</v>
      </c>
      <c r="D2134" t="s">
        <v>303</v>
      </c>
      <c r="E2134" t="s">
        <v>910</v>
      </c>
      <c r="F2134" t="s">
        <v>910</v>
      </c>
      <c r="J2134">
        <v>33</v>
      </c>
      <c r="K2134">
        <v>28</v>
      </c>
      <c r="L2134" t="s">
        <v>303</v>
      </c>
      <c r="M2134">
        <v>33</v>
      </c>
      <c r="N2134">
        <v>28</v>
      </c>
      <c r="O2134" t="s">
        <v>303</v>
      </c>
      <c r="P2134">
        <f t="shared" si="33"/>
        <v>0</v>
      </c>
    </row>
    <row r="2135" spans="1:16" x14ac:dyDescent="0.25">
      <c r="A2135" t="s">
        <v>669</v>
      </c>
      <c r="B2135">
        <v>30.7</v>
      </c>
      <c r="C2135">
        <v>33.1</v>
      </c>
      <c r="D2135" t="s">
        <v>669</v>
      </c>
      <c r="E2135" t="s">
        <v>910</v>
      </c>
      <c r="F2135" t="s">
        <v>910</v>
      </c>
      <c r="I2135" t="s">
        <v>927</v>
      </c>
      <c r="J2135">
        <v>33.1</v>
      </c>
      <c r="K2135">
        <v>30.7</v>
      </c>
      <c r="L2135" t="s">
        <v>930</v>
      </c>
      <c r="M2135">
        <v>33.1</v>
      </c>
      <c r="N2135">
        <v>30.7</v>
      </c>
      <c r="P2135">
        <f t="shared" si="33"/>
        <v>14</v>
      </c>
    </row>
    <row r="2136" spans="1:16" x14ac:dyDescent="0.25">
      <c r="A2136" t="s">
        <v>669</v>
      </c>
      <c r="B2136">
        <v>33.29</v>
      </c>
      <c r="C2136">
        <v>33.340000000000003</v>
      </c>
      <c r="D2136" t="s">
        <v>669</v>
      </c>
      <c r="E2136" t="s">
        <v>910</v>
      </c>
      <c r="F2136" t="s">
        <v>910</v>
      </c>
      <c r="I2136" t="s">
        <v>927</v>
      </c>
      <c r="J2136">
        <v>33.340000000000003</v>
      </c>
      <c r="K2136">
        <v>33.29</v>
      </c>
      <c r="L2136" t="s">
        <v>930</v>
      </c>
      <c r="M2136">
        <v>33.340000000000003</v>
      </c>
      <c r="N2136">
        <v>33.29</v>
      </c>
      <c r="P2136">
        <f t="shared" si="33"/>
        <v>14</v>
      </c>
    </row>
    <row r="2137" spans="1:16" x14ac:dyDescent="0.25">
      <c r="A2137" t="s">
        <v>669</v>
      </c>
      <c r="B2137">
        <v>33.5</v>
      </c>
      <c r="C2137">
        <v>33.5</v>
      </c>
      <c r="D2137" t="s">
        <v>303</v>
      </c>
      <c r="E2137" t="s">
        <v>910</v>
      </c>
      <c r="F2137" t="s">
        <v>910</v>
      </c>
      <c r="J2137">
        <v>33.5</v>
      </c>
      <c r="K2137">
        <v>33.5</v>
      </c>
      <c r="L2137" t="s">
        <v>303</v>
      </c>
      <c r="M2137">
        <v>33.5</v>
      </c>
      <c r="N2137">
        <v>33.5</v>
      </c>
      <c r="O2137" t="s">
        <v>303</v>
      </c>
      <c r="P2137">
        <f t="shared" si="33"/>
        <v>0</v>
      </c>
    </row>
    <row r="2138" spans="1:16" x14ac:dyDescent="0.25">
      <c r="A2138" t="s">
        <v>669</v>
      </c>
      <c r="B2138">
        <v>32.5</v>
      </c>
      <c r="C2138">
        <v>33.75</v>
      </c>
      <c r="D2138" t="s">
        <v>860</v>
      </c>
      <c r="E2138" t="s">
        <v>910</v>
      </c>
      <c r="F2138" t="s">
        <v>910</v>
      </c>
      <c r="J2138">
        <v>33.75</v>
      </c>
      <c r="K2138">
        <v>32.5</v>
      </c>
      <c r="L2138" t="s">
        <v>303</v>
      </c>
      <c r="M2138">
        <v>33.75</v>
      </c>
      <c r="N2138">
        <v>32.5</v>
      </c>
      <c r="O2138" t="s">
        <v>303</v>
      </c>
      <c r="P2138">
        <f t="shared" si="33"/>
        <v>0</v>
      </c>
    </row>
    <row r="2139" spans="1:16" x14ac:dyDescent="0.25">
      <c r="A2139" t="s">
        <v>669</v>
      </c>
      <c r="B2139">
        <v>33.76</v>
      </c>
      <c r="C2139">
        <v>33.76</v>
      </c>
      <c r="D2139" t="s">
        <v>303</v>
      </c>
      <c r="E2139" t="s">
        <v>910</v>
      </c>
      <c r="F2139" t="s">
        <v>910</v>
      </c>
      <c r="J2139">
        <v>33.76</v>
      </c>
      <c r="K2139">
        <v>33.76</v>
      </c>
      <c r="L2139" t="s">
        <v>303</v>
      </c>
      <c r="M2139">
        <v>33.76</v>
      </c>
      <c r="N2139">
        <v>33.76</v>
      </c>
      <c r="O2139" t="s">
        <v>303</v>
      </c>
      <c r="P2139">
        <f t="shared" si="33"/>
        <v>0</v>
      </c>
    </row>
    <row r="2140" spans="1:16" x14ac:dyDescent="0.25">
      <c r="A2140" t="s">
        <v>669</v>
      </c>
      <c r="B2140">
        <v>0</v>
      </c>
      <c r="C2140">
        <v>285</v>
      </c>
      <c r="D2140" t="s">
        <v>866</v>
      </c>
      <c r="E2140" t="s">
        <v>910</v>
      </c>
      <c r="F2140" t="s">
        <v>910</v>
      </c>
      <c r="J2140">
        <v>285</v>
      </c>
      <c r="K2140">
        <v>0</v>
      </c>
      <c r="L2140" t="s">
        <v>920</v>
      </c>
      <c r="M2140">
        <v>285</v>
      </c>
      <c r="N2140">
        <v>0</v>
      </c>
      <c r="O2140" t="s">
        <v>931</v>
      </c>
      <c r="P2140">
        <f t="shared" si="33"/>
        <v>0</v>
      </c>
    </row>
    <row r="2141" spans="1:16" x14ac:dyDescent="0.25">
      <c r="A2141" t="s">
        <v>191</v>
      </c>
      <c r="B2141">
        <v>5.3</v>
      </c>
      <c r="C2141">
        <v>33.9</v>
      </c>
      <c r="D2141" t="s">
        <v>303</v>
      </c>
      <c r="E2141">
        <v>28</v>
      </c>
      <c r="F2141">
        <v>25</v>
      </c>
      <c r="G2141" t="s">
        <v>688</v>
      </c>
      <c r="H2141" t="s">
        <v>691</v>
      </c>
      <c r="J2141">
        <v>33.9</v>
      </c>
      <c r="K2141">
        <v>5.3</v>
      </c>
      <c r="L2141" t="s">
        <v>303</v>
      </c>
      <c r="M2141">
        <v>33.9</v>
      </c>
      <c r="N2141">
        <v>5.3</v>
      </c>
      <c r="O2141" t="s">
        <v>303</v>
      </c>
      <c r="P2141">
        <f t="shared" si="33"/>
        <v>0</v>
      </c>
    </row>
    <row r="2142" spans="1:16" x14ac:dyDescent="0.25">
      <c r="A2142" t="s">
        <v>420</v>
      </c>
      <c r="B2142">
        <v>5.3</v>
      </c>
      <c r="C2142">
        <v>33.9</v>
      </c>
      <c r="D2142" t="s">
        <v>303</v>
      </c>
      <c r="E2142">
        <v>25</v>
      </c>
      <c r="F2142">
        <v>25</v>
      </c>
      <c r="G2142" t="s">
        <v>691</v>
      </c>
      <c r="H2142" t="s">
        <v>691</v>
      </c>
      <c r="J2142">
        <v>33.9</v>
      </c>
      <c r="K2142">
        <v>5.3</v>
      </c>
      <c r="L2142" t="s">
        <v>303</v>
      </c>
      <c r="M2142">
        <v>33.9</v>
      </c>
      <c r="N2142">
        <v>5.3</v>
      </c>
      <c r="O2142" t="s">
        <v>303</v>
      </c>
      <c r="P2142">
        <f t="shared" si="33"/>
        <v>0</v>
      </c>
    </row>
    <row r="2143" spans="1:16" x14ac:dyDescent="0.25">
      <c r="A2143" t="s">
        <v>422</v>
      </c>
      <c r="B2143">
        <v>5.3</v>
      </c>
      <c r="C2143">
        <v>33.9</v>
      </c>
      <c r="D2143" t="s">
        <v>303</v>
      </c>
      <c r="E2143">
        <v>25</v>
      </c>
      <c r="F2143">
        <v>17</v>
      </c>
      <c r="G2143" t="s">
        <v>691</v>
      </c>
      <c r="H2143" t="s">
        <v>689</v>
      </c>
      <c r="J2143">
        <v>33.9</v>
      </c>
      <c r="K2143">
        <v>5.3</v>
      </c>
      <c r="L2143" t="s">
        <v>303</v>
      </c>
      <c r="M2143">
        <v>33.9</v>
      </c>
      <c r="N2143">
        <v>5.3</v>
      </c>
      <c r="O2143" t="s">
        <v>303</v>
      </c>
      <c r="P2143">
        <f t="shared" si="33"/>
        <v>0</v>
      </c>
    </row>
    <row r="2144" spans="1:16" x14ac:dyDescent="0.25">
      <c r="A2144" t="s">
        <v>84</v>
      </c>
      <c r="B2144">
        <v>23</v>
      </c>
      <c r="C2144">
        <v>33.9</v>
      </c>
      <c r="D2144" t="s">
        <v>303</v>
      </c>
      <c r="E2144">
        <v>25</v>
      </c>
      <c r="F2144">
        <v>25</v>
      </c>
      <c r="G2144" t="s">
        <v>691</v>
      </c>
      <c r="H2144" t="s">
        <v>691</v>
      </c>
      <c r="J2144">
        <v>33.9</v>
      </c>
      <c r="K2144">
        <v>23</v>
      </c>
      <c r="L2144" t="s">
        <v>303</v>
      </c>
      <c r="M2144">
        <v>33.9</v>
      </c>
      <c r="N2144">
        <v>23</v>
      </c>
      <c r="O2144" t="s">
        <v>303</v>
      </c>
      <c r="P2144">
        <f t="shared" si="33"/>
        <v>0</v>
      </c>
    </row>
    <row r="2145" spans="1:16" x14ac:dyDescent="0.25">
      <c r="A2145" t="s">
        <v>420</v>
      </c>
      <c r="B2145">
        <v>23</v>
      </c>
      <c r="C2145">
        <v>33.9</v>
      </c>
      <c r="D2145" t="s">
        <v>303</v>
      </c>
      <c r="E2145">
        <v>25</v>
      </c>
      <c r="F2145">
        <v>25</v>
      </c>
      <c r="G2145" t="s">
        <v>691</v>
      </c>
      <c r="H2145" t="s">
        <v>691</v>
      </c>
      <c r="J2145">
        <v>33.9</v>
      </c>
      <c r="K2145">
        <v>23</v>
      </c>
      <c r="L2145" t="s">
        <v>303</v>
      </c>
      <c r="M2145">
        <v>33.9</v>
      </c>
      <c r="N2145">
        <v>23</v>
      </c>
      <c r="O2145" t="s">
        <v>303</v>
      </c>
      <c r="P2145">
        <f t="shared" si="33"/>
        <v>0</v>
      </c>
    </row>
    <row r="2146" spans="1:16" x14ac:dyDescent="0.25">
      <c r="A2146" t="s">
        <v>669</v>
      </c>
      <c r="B2146">
        <v>23</v>
      </c>
      <c r="C2146">
        <v>33.9</v>
      </c>
      <c r="D2146" t="s">
        <v>303</v>
      </c>
      <c r="E2146" t="s">
        <v>910</v>
      </c>
      <c r="F2146" t="s">
        <v>910</v>
      </c>
      <c r="J2146">
        <v>33.9</v>
      </c>
      <c r="K2146">
        <v>23</v>
      </c>
      <c r="L2146" t="s">
        <v>303</v>
      </c>
      <c r="M2146">
        <v>33.9</v>
      </c>
      <c r="N2146">
        <v>23</v>
      </c>
      <c r="O2146" t="s">
        <v>303</v>
      </c>
      <c r="P2146">
        <f t="shared" si="33"/>
        <v>0</v>
      </c>
    </row>
    <row r="2147" spans="1:16" x14ac:dyDescent="0.25">
      <c r="A2147" t="s">
        <v>669</v>
      </c>
      <c r="B2147">
        <v>236</v>
      </c>
      <c r="C2147" t="s">
        <v>669</v>
      </c>
      <c r="D2147" t="s">
        <v>865</v>
      </c>
      <c r="E2147" t="s">
        <v>910</v>
      </c>
      <c r="F2147">
        <v>5</v>
      </c>
      <c r="H2147" t="s">
        <v>684</v>
      </c>
      <c r="K2147">
        <v>236</v>
      </c>
      <c r="L2147" t="s">
        <v>920</v>
      </c>
      <c r="N2147">
        <v>236</v>
      </c>
      <c r="O2147" t="s">
        <v>931</v>
      </c>
      <c r="P2147">
        <f t="shared" si="33"/>
        <v>0</v>
      </c>
    </row>
    <row r="2148" spans="1:16" x14ac:dyDescent="0.25">
      <c r="A2148" t="s">
        <v>669</v>
      </c>
      <c r="B2148">
        <v>28.4</v>
      </c>
      <c r="C2148">
        <v>33.9</v>
      </c>
      <c r="D2148" t="s">
        <v>303</v>
      </c>
      <c r="E2148" t="s">
        <v>910</v>
      </c>
      <c r="F2148" t="s">
        <v>910</v>
      </c>
      <c r="J2148">
        <v>33.9</v>
      </c>
      <c r="K2148">
        <v>28.4</v>
      </c>
      <c r="L2148" t="s">
        <v>303</v>
      </c>
      <c r="M2148">
        <v>33.9</v>
      </c>
      <c r="N2148">
        <v>28.4</v>
      </c>
      <c r="O2148" t="s">
        <v>303</v>
      </c>
      <c r="P2148">
        <f t="shared" si="33"/>
        <v>0</v>
      </c>
    </row>
    <row r="2149" spans="1:16" x14ac:dyDescent="0.25">
      <c r="A2149" t="s">
        <v>669</v>
      </c>
      <c r="B2149">
        <v>33.909999999999997</v>
      </c>
      <c r="C2149">
        <v>33.909999999999997</v>
      </c>
      <c r="D2149" t="s">
        <v>303</v>
      </c>
      <c r="E2149" t="s">
        <v>910</v>
      </c>
      <c r="F2149" t="s">
        <v>910</v>
      </c>
      <c r="J2149">
        <v>33.909999999999997</v>
      </c>
      <c r="K2149">
        <v>33.909999999999997</v>
      </c>
      <c r="L2149" t="s">
        <v>303</v>
      </c>
      <c r="M2149">
        <v>33.909999999999997</v>
      </c>
      <c r="N2149">
        <v>33.909999999999997</v>
      </c>
      <c r="O2149" t="s">
        <v>303</v>
      </c>
      <c r="P2149">
        <f t="shared" si="33"/>
        <v>0</v>
      </c>
    </row>
    <row r="2150" spans="1:16" x14ac:dyDescent="0.25">
      <c r="A2150" t="s">
        <v>669</v>
      </c>
      <c r="B2150">
        <v>12</v>
      </c>
      <c r="C2150">
        <v>34</v>
      </c>
      <c r="D2150" t="s">
        <v>669</v>
      </c>
      <c r="E2150" t="s">
        <v>910</v>
      </c>
      <c r="F2150" t="s">
        <v>910</v>
      </c>
      <c r="I2150" t="s">
        <v>927</v>
      </c>
      <c r="J2150">
        <v>34</v>
      </c>
      <c r="K2150">
        <v>12</v>
      </c>
      <c r="L2150" t="s">
        <v>930</v>
      </c>
      <c r="M2150">
        <v>34</v>
      </c>
      <c r="N2150">
        <v>12</v>
      </c>
      <c r="P2150">
        <f t="shared" si="33"/>
        <v>14</v>
      </c>
    </row>
    <row r="2151" spans="1:16" x14ac:dyDescent="0.25">
      <c r="A2151" t="s">
        <v>420</v>
      </c>
      <c r="B2151">
        <v>23</v>
      </c>
      <c r="C2151">
        <v>34</v>
      </c>
      <c r="D2151" t="s">
        <v>860</v>
      </c>
      <c r="E2151">
        <v>25</v>
      </c>
      <c r="F2151">
        <v>25</v>
      </c>
      <c r="G2151" t="s">
        <v>691</v>
      </c>
      <c r="H2151" t="s">
        <v>691</v>
      </c>
      <c r="J2151">
        <v>34</v>
      </c>
      <c r="K2151">
        <v>23</v>
      </c>
      <c r="L2151" t="s">
        <v>303</v>
      </c>
      <c r="M2151">
        <v>34</v>
      </c>
      <c r="N2151">
        <v>23</v>
      </c>
      <c r="O2151" t="s">
        <v>303</v>
      </c>
      <c r="P2151">
        <f t="shared" si="33"/>
        <v>0</v>
      </c>
    </row>
    <row r="2152" spans="1:16" x14ac:dyDescent="0.25">
      <c r="A2152" t="s">
        <v>669</v>
      </c>
      <c r="B2152">
        <v>29</v>
      </c>
      <c r="C2152">
        <v>34</v>
      </c>
      <c r="D2152" t="s">
        <v>303</v>
      </c>
      <c r="E2152" t="s">
        <v>910</v>
      </c>
      <c r="F2152" t="s">
        <v>910</v>
      </c>
      <c r="J2152">
        <v>34</v>
      </c>
      <c r="K2152">
        <v>29</v>
      </c>
      <c r="L2152" t="s">
        <v>303</v>
      </c>
      <c r="M2152">
        <v>34</v>
      </c>
      <c r="N2152">
        <v>29</v>
      </c>
      <c r="O2152" t="s">
        <v>303</v>
      </c>
      <c r="P2152">
        <f t="shared" si="33"/>
        <v>0</v>
      </c>
    </row>
    <row r="2153" spans="1:16" x14ac:dyDescent="0.25">
      <c r="A2153" t="s">
        <v>669</v>
      </c>
      <c r="B2153">
        <v>34.17</v>
      </c>
      <c r="C2153">
        <v>34.17</v>
      </c>
      <c r="D2153" t="s">
        <v>303</v>
      </c>
      <c r="E2153" t="s">
        <v>910</v>
      </c>
      <c r="F2153" t="s">
        <v>910</v>
      </c>
      <c r="J2153">
        <v>34.17</v>
      </c>
      <c r="K2153">
        <v>34.17</v>
      </c>
      <c r="L2153" t="s">
        <v>303</v>
      </c>
      <c r="M2153">
        <v>34.17</v>
      </c>
      <c r="N2153">
        <v>34.17</v>
      </c>
      <c r="O2153" t="s">
        <v>303</v>
      </c>
      <c r="P2153">
        <f t="shared" si="33"/>
        <v>0</v>
      </c>
    </row>
    <row r="2154" spans="1:16" x14ac:dyDescent="0.25">
      <c r="A2154" t="s">
        <v>669</v>
      </c>
      <c r="B2154">
        <v>34.54</v>
      </c>
      <c r="C2154">
        <v>34.54</v>
      </c>
      <c r="D2154" t="s">
        <v>303</v>
      </c>
      <c r="E2154" t="s">
        <v>910</v>
      </c>
      <c r="F2154" t="s">
        <v>910</v>
      </c>
      <c r="J2154">
        <v>34.54</v>
      </c>
      <c r="K2154">
        <v>34.54</v>
      </c>
      <c r="L2154" t="s">
        <v>303</v>
      </c>
      <c r="M2154">
        <v>34.54</v>
      </c>
      <c r="N2154">
        <v>34.54</v>
      </c>
      <c r="O2154" t="s">
        <v>303</v>
      </c>
      <c r="P2154">
        <f t="shared" si="33"/>
        <v>0</v>
      </c>
    </row>
    <row r="2155" spans="1:16" x14ac:dyDescent="0.25">
      <c r="A2155" t="s">
        <v>669</v>
      </c>
      <c r="B2155">
        <v>34.64</v>
      </c>
      <c r="C2155">
        <v>34.64</v>
      </c>
      <c r="D2155" t="s">
        <v>303</v>
      </c>
      <c r="E2155" t="s">
        <v>910</v>
      </c>
      <c r="F2155" t="s">
        <v>910</v>
      </c>
      <c r="J2155">
        <v>34.64</v>
      </c>
      <c r="K2155">
        <v>34.64</v>
      </c>
      <c r="L2155" t="s">
        <v>303</v>
      </c>
      <c r="M2155">
        <v>34.64</v>
      </c>
      <c r="N2155">
        <v>34.64</v>
      </c>
      <c r="O2155" t="s">
        <v>303</v>
      </c>
      <c r="P2155">
        <f t="shared" si="33"/>
        <v>0</v>
      </c>
    </row>
    <row r="2156" spans="1:16" x14ac:dyDescent="0.25">
      <c r="A2156" t="s">
        <v>188</v>
      </c>
      <c r="B2156">
        <v>34</v>
      </c>
      <c r="C2156">
        <v>34.75</v>
      </c>
      <c r="D2156" t="s">
        <v>669</v>
      </c>
      <c r="E2156">
        <v>28</v>
      </c>
      <c r="F2156">
        <v>28</v>
      </c>
      <c r="G2156" t="s">
        <v>688</v>
      </c>
      <c r="H2156" t="s">
        <v>688</v>
      </c>
      <c r="I2156" t="s">
        <v>927</v>
      </c>
      <c r="J2156">
        <v>34.75</v>
      </c>
      <c r="K2156">
        <v>34</v>
      </c>
      <c r="L2156" t="s">
        <v>930</v>
      </c>
      <c r="M2156">
        <v>34.75</v>
      </c>
      <c r="N2156">
        <v>34</v>
      </c>
      <c r="P2156">
        <f t="shared" si="33"/>
        <v>14</v>
      </c>
    </row>
    <row r="2157" spans="1:16" x14ac:dyDescent="0.25">
      <c r="A2157" t="s">
        <v>669</v>
      </c>
      <c r="B2157">
        <v>30</v>
      </c>
      <c r="C2157">
        <v>35</v>
      </c>
      <c r="D2157" t="s">
        <v>303</v>
      </c>
      <c r="E2157" t="s">
        <v>910</v>
      </c>
      <c r="F2157" t="s">
        <v>910</v>
      </c>
      <c r="J2157">
        <v>35</v>
      </c>
      <c r="K2157">
        <v>30</v>
      </c>
      <c r="L2157" t="s">
        <v>303</v>
      </c>
      <c r="M2157">
        <v>35</v>
      </c>
      <c r="N2157">
        <v>30</v>
      </c>
      <c r="O2157" t="s">
        <v>303</v>
      </c>
      <c r="P2157">
        <f t="shared" si="33"/>
        <v>0</v>
      </c>
    </row>
    <row r="2158" spans="1:16" x14ac:dyDescent="0.25">
      <c r="A2158" t="s">
        <v>188</v>
      </c>
      <c r="B2158">
        <v>34.75</v>
      </c>
      <c r="C2158">
        <v>35</v>
      </c>
      <c r="D2158" t="s">
        <v>669</v>
      </c>
      <c r="E2158">
        <v>28</v>
      </c>
      <c r="F2158">
        <v>28</v>
      </c>
      <c r="G2158" t="s">
        <v>688</v>
      </c>
      <c r="H2158" t="s">
        <v>688</v>
      </c>
      <c r="I2158" t="s">
        <v>927</v>
      </c>
      <c r="J2158">
        <v>35</v>
      </c>
      <c r="K2158">
        <v>34.75</v>
      </c>
      <c r="L2158" t="s">
        <v>930</v>
      </c>
      <c r="M2158">
        <v>35</v>
      </c>
      <c r="N2158">
        <v>34.75</v>
      </c>
      <c r="P2158">
        <f t="shared" si="33"/>
        <v>14</v>
      </c>
    </row>
    <row r="2159" spans="1:16" x14ac:dyDescent="0.25">
      <c r="A2159" t="s">
        <v>669</v>
      </c>
      <c r="B2159">
        <v>155</v>
      </c>
      <c r="C2159">
        <v>306</v>
      </c>
      <c r="D2159" t="s">
        <v>861</v>
      </c>
      <c r="E2159" t="s">
        <v>910</v>
      </c>
      <c r="F2159" t="s">
        <v>910</v>
      </c>
      <c r="J2159">
        <v>306</v>
      </c>
      <c r="K2159">
        <v>155</v>
      </c>
      <c r="L2159" t="s">
        <v>920</v>
      </c>
      <c r="M2159">
        <v>306</v>
      </c>
      <c r="N2159">
        <v>155</v>
      </c>
      <c r="O2159" t="s">
        <v>931</v>
      </c>
      <c r="P2159">
        <f t="shared" si="33"/>
        <v>0</v>
      </c>
    </row>
    <row r="2160" spans="1:16" x14ac:dyDescent="0.25">
      <c r="A2160" t="s">
        <v>669</v>
      </c>
      <c r="B2160">
        <v>35.14</v>
      </c>
      <c r="C2160">
        <v>35.14</v>
      </c>
      <c r="D2160" t="s">
        <v>303</v>
      </c>
      <c r="E2160" t="s">
        <v>910</v>
      </c>
      <c r="F2160" t="s">
        <v>910</v>
      </c>
      <c r="J2160">
        <v>35.14</v>
      </c>
      <c r="K2160">
        <v>35.14</v>
      </c>
      <c r="L2160" t="s">
        <v>303</v>
      </c>
      <c r="M2160">
        <v>35.14</v>
      </c>
      <c r="N2160">
        <v>35.14</v>
      </c>
      <c r="O2160" t="s">
        <v>303</v>
      </c>
      <c r="P2160">
        <f t="shared" si="33"/>
        <v>0</v>
      </c>
    </row>
    <row r="2161" spans="1:16" x14ac:dyDescent="0.25">
      <c r="A2161" t="s">
        <v>669</v>
      </c>
      <c r="B2161">
        <v>35.35</v>
      </c>
      <c r="C2161">
        <v>35.35</v>
      </c>
      <c r="D2161" t="s">
        <v>303</v>
      </c>
      <c r="E2161" t="s">
        <v>910</v>
      </c>
      <c r="F2161" t="s">
        <v>910</v>
      </c>
      <c r="J2161">
        <v>35.35</v>
      </c>
      <c r="K2161">
        <v>35.35</v>
      </c>
      <c r="L2161" t="s">
        <v>303</v>
      </c>
      <c r="M2161">
        <v>35.35</v>
      </c>
      <c r="N2161">
        <v>35.35</v>
      </c>
      <c r="O2161" t="s">
        <v>303</v>
      </c>
      <c r="P2161">
        <f t="shared" si="33"/>
        <v>0</v>
      </c>
    </row>
    <row r="2162" spans="1:16" x14ac:dyDescent="0.25">
      <c r="A2162" t="s">
        <v>669</v>
      </c>
      <c r="B2162">
        <v>241</v>
      </c>
      <c r="C2162" t="s">
        <v>669</v>
      </c>
      <c r="D2162" t="s">
        <v>865</v>
      </c>
      <c r="E2162" t="s">
        <v>910</v>
      </c>
      <c r="F2162">
        <v>5</v>
      </c>
      <c r="H2162" t="s">
        <v>684</v>
      </c>
      <c r="K2162">
        <v>241</v>
      </c>
      <c r="L2162" t="s">
        <v>920</v>
      </c>
      <c r="N2162">
        <v>241</v>
      </c>
      <c r="O2162" t="s">
        <v>931</v>
      </c>
      <c r="P2162">
        <f t="shared" si="33"/>
        <v>0</v>
      </c>
    </row>
    <row r="2163" spans="1:16" x14ac:dyDescent="0.25">
      <c r="A2163" t="s">
        <v>303</v>
      </c>
      <c r="B2163">
        <v>33.5</v>
      </c>
      <c r="C2163">
        <v>35.5</v>
      </c>
      <c r="D2163" t="s">
        <v>669</v>
      </c>
      <c r="E2163" t="s">
        <v>910</v>
      </c>
      <c r="F2163" t="s">
        <v>910</v>
      </c>
      <c r="I2163" t="s">
        <v>927</v>
      </c>
      <c r="J2163">
        <v>35.5</v>
      </c>
      <c r="K2163">
        <v>33.5</v>
      </c>
      <c r="L2163" t="s">
        <v>930</v>
      </c>
      <c r="M2163">
        <v>35.5</v>
      </c>
      <c r="N2163">
        <v>33.5</v>
      </c>
      <c r="P2163">
        <f t="shared" si="33"/>
        <v>14</v>
      </c>
    </row>
    <row r="2164" spans="1:16" x14ac:dyDescent="0.25">
      <c r="A2164" t="s">
        <v>669</v>
      </c>
      <c r="B2164">
        <v>33.5</v>
      </c>
      <c r="C2164">
        <v>35.5</v>
      </c>
      <c r="D2164" t="s">
        <v>860</v>
      </c>
      <c r="E2164" t="s">
        <v>910</v>
      </c>
      <c r="F2164" t="s">
        <v>910</v>
      </c>
      <c r="J2164">
        <v>35.5</v>
      </c>
      <c r="K2164">
        <v>33.5</v>
      </c>
      <c r="L2164" t="s">
        <v>303</v>
      </c>
      <c r="M2164">
        <v>35.5</v>
      </c>
      <c r="N2164">
        <v>33.5</v>
      </c>
      <c r="O2164" t="s">
        <v>303</v>
      </c>
      <c r="P2164">
        <f t="shared" si="33"/>
        <v>0</v>
      </c>
    </row>
    <row r="2165" spans="1:16" x14ac:dyDescent="0.25">
      <c r="A2165" t="s">
        <v>669</v>
      </c>
      <c r="B2165">
        <v>31</v>
      </c>
      <c r="C2165">
        <v>36</v>
      </c>
      <c r="D2165" t="s">
        <v>303</v>
      </c>
      <c r="E2165" t="s">
        <v>910</v>
      </c>
      <c r="F2165" t="s">
        <v>910</v>
      </c>
      <c r="J2165">
        <v>36</v>
      </c>
      <c r="K2165">
        <v>31</v>
      </c>
      <c r="L2165" t="s">
        <v>303</v>
      </c>
      <c r="M2165">
        <v>36</v>
      </c>
      <c r="N2165">
        <v>31</v>
      </c>
      <c r="O2165" t="s">
        <v>303</v>
      </c>
      <c r="P2165">
        <f t="shared" si="33"/>
        <v>0</v>
      </c>
    </row>
    <row r="2166" spans="1:16" x14ac:dyDescent="0.25">
      <c r="A2166" t="s">
        <v>669</v>
      </c>
      <c r="B2166">
        <v>36</v>
      </c>
      <c r="C2166">
        <v>36</v>
      </c>
      <c r="D2166" t="s">
        <v>669</v>
      </c>
      <c r="E2166" t="s">
        <v>910</v>
      </c>
      <c r="F2166" t="s">
        <v>910</v>
      </c>
      <c r="I2166" t="s">
        <v>927</v>
      </c>
      <c r="J2166">
        <v>36</v>
      </c>
      <c r="K2166">
        <v>36</v>
      </c>
      <c r="L2166" t="s">
        <v>930</v>
      </c>
      <c r="M2166">
        <v>36</v>
      </c>
      <c r="N2166">
        <v>36</v>
      </c>
      <c r="P2166">
        <f t="shared" si="33"/>
        <v>14</v>
      </c>
    </row>
    <row r="2167" spans="1:16" x14ac:dyDescent="0.25">
      <c r="A2167" t="s">
        <v>669</v>
      </c>
      <c r="B2167">
        <v>36.049999999999997</v>
      </c>
      <c r="C2167">
        <v>36.049999999999997</v>
      </c>
      <c r="D2167" t="s">
        <v>303</v>
      </c>
      <c r="E2167" t="s">
        <v>910</v>
      </c>
      <c r="F2167" t="s">
        <v>910</v>
      </c>
      <c r="J2167">
        <v>36.049999999999997</v>
      </c>
      <c r="K2167">
        <v>36.049999999999997</v>
      </c>
      <c r="L2167" t="s">
        <v>303</v>
      </c>
      <c r="M2167">
        <v>36.049999999999997</v>
      </c>
      <c r="N2167">
        <v>36.049999999999997</v>
      </c>
      <c r="O2167" t="s">
        <v>303</v>
      </c>
      <c r="P2167">
        <f t="shared" si="33"/>
        <v>0</v>
      </c>
    </row>
    <row r="2168" spans="1:16" x14ac:dyDescent="0.25">
      <c r="A2168" t="s">
        <v>420</v>
      </c>
      <c r="B2168">
        <v>26.8</v>
      </c>
      <c r="C2168">
        <v>36.4</v>
      </c>
      <c r="D2168" t="s">
        <v>860</v>
      </c>
      <c r="E2168">
        <v>25</v>
      </c>
      <c r="F2168">
        <v>25</v>
      </c>
      <c r="G2168" t="s">
        <v>691</v>
      </c>
      <c r="H2168" t="s">
        <v>691</v>
      </c>
      <c r="J2168">
        <v>36.4</v>
      </c>
      <c r="K2168">
        <v>26.8</v>
      </c>
      <c r="L2168" t="s">
        <v>303</v>
      </c>
      <c r="M2168">
        <v>36.4</v>
      </c>
      <c r="N2168">
        <v>26.8</v>
      </c>
      <c r="O2168" t="s">
        <v>303</v>
      </c>
      <c r="P2168">
        <f t="shared" si="33"/>
        <v>0</v>
      </c>
    </row>
    <row r="2169" spans="1:16" x14ac:dyDescent="0.25">
      <c r="A2169" t="s">
        <v>188</v>
      </c>
      <c r="B2169">
        <v>35.6</v>
      </c>
      <c r="C2169">
        <v>36.4</v>
      </c>
      <c r="D2169" t="s">
        <v>669</v>
      </c>
      <c r="E2169">
        <v>28</v>
      </c>
      <c r="F2169">
        <v>28</v>
      </c>
      <c r="G2169" t="s">
        <v>688</v>
      </c>
      <c r="H2169" t="s">
        <v>688</v>
      </c>
      <c r="I2169" t="s">
        <v>927</v>
      </c>
      <c r="J2169">
        <v>36.4</v>
      </c>
      <c r="K2169">
        <v>35.6</v>
      </c>
      <c r="L2169" t="s">
        <v>930</v>
      </c>
      <c r="M2169">
        <v>36.4</v>
      </c>
      <c r="N2169">
        <v>35.6</v>
      </c>
      <c r="P2169">
        <f t="shared" si="33"/>
        <v>14</v>
      </c>
    </row>
    <row r="2170" spans="1:16" x14ac:dyDescent="0.25">
      <c r="A2170" t="s">
        <v>669</v>
      </c>
      <c r="B2170">
        <v>36.51</v>
      </c>
      <c r="C2170">
        <v>36.51</v>
      </c>
      <c r="D2170" t="s">
        <v>303</v>
      </c>
      <c r="E2170" t="s">
        <v>910</v>
      </c>
      <c r="F2170" t="s">
        <v>910</v>
      </c>
      <c r="J2170">
        <v>36.51</v>
      </c>
      <c r="K2170">
        <v>36.51</v>
      </c>
      <c r="L2170" t="s">
        <v>303</v>
      </c>
      <c r="M2170">
        <v>36.51</v>
      </c>
      <c r="N2170">
        <v>36.51</v>
      </c>
      <c r="O2170" t="s">
        <v>303</v>
      </c>
      <c r="P2170">
        <f t="shared" si="33"/>
        <v>0</v>
      </c>
    </row>
    <row r="2171" spans="1:16" x14ac:dyDescent="0.25">
      <c r="A2171" t="s">
        <v>669</v>
      </c>
      <c r="B2171">
        <v>36.97</v>
      </c>
      <c r="C2171">
        <v>36.97</v>
      </c>
      <c r="D2171" t="s">
        <v>303</v>
      </c>
      <c r="E2171" t="s">
        <v>910</v>
      </c>
      <c r="F2171" t="s">
        <v>910</v>
      </c>
      <c r="J2171">
        <v>36.97</v>
      </c>
      <c r="K2171">
        <v>36.97</v>
      </c>
      <c r="L2171" t="s">
        <v>303</v>
      </c>
      <c r="M2171">
        <v>36.97</v>
      </c>
      <c r="N2171">
        <v>36.97</v>
      </c>
      <c r="O2171" t="s">
        <v>303</v>
      </c>
      <c r="P2171">
        <f t="shared" si="33"/>
        <v>0</v>
      </c>
    </row>
    <row r="2172" spans="1:16" x14ac:dyDescent="0.25">
      <c r="A2172" t="s">
        <v>669</v>
      </c>
      <c r="B2172">
        <v>37</v>
      </c>
      <c r="C2172">
        <v>37</v>
      </c>
      <c r="D2172" t="s">
        <v>669</v>
      </c>
      <c r="E2172" t="s">
        <v>910</v>
      </c>
      <c r="F2172" t="s">
        <v>910</v>
      </c>
      <c r="I2172" t="s">
        <v>927</v>
      </c>
      <c r="J2172">
        <v>37</v>
      </c>
      <c r="K2172">
        <v>37</v>
      </c>
      <c r="L2172" t="s">
        <v>930</v>
      </c>
      <c r="M2172">
        <v>37</v>
      </c>
      <c r="N2172">
        <v>37</v>
      </c>
      <c r="P2172">
        <f t="shared" si="33"/>
        <v>14</v>
      </c>
    </row>
    <row r="2173" spans="1:16" x14ac:dyDescent="0.25">
      <c r="A2173" t="s">
        <v>81</v>
      </c>
      <c r="B2173">
        <v>33.9</v>
      </c>
      <c r="C2173">
        <v>37.200000000000003</v>
      </c>
      <c r="D2173" t="s">
        <v>303</v>
      </c>
      <c r="E2173">
        <v>29</v>
      </c>
      <c r="F2173">
        <v>29</v>
      </c>
      <c r="G2173" t="s">
        <v>697</v>
      </c>
      <c r="H2173" t="s">
        <v>697</v>
      </c>
      <c r="J2173">
        <v>37.200000000000003</v>
      </c>
      <c r="K2173">
        <v>33.9</v>
      </c>
      <c r="L2173" t="s">
        <v>303</v>
      </c>
      <c r="M2173">
        <v>37.200000000000003</v>
      </c>
      <c r="N2173">
        <v>33.9</v>
      </c>
      <c r="O2173" t="s">
        <v>303</v>
      </c>
      <c r="P2173">
        <f t="shared" si="33"/>
        <v>0</v>
      </c>
    </row>
    <row r="2174" spans="1:16" x14ac:dyDescent="0.25">
      <c r="A2174" t="s">
        <v>82</v>
      </c>
      <c r="B2174">
        <v>33.9</v>
      </c>
      <c r="C2174">
        <v>37.200000000000003</v>
      </c>
      <c r="D2174" t="s">
        <v>303</v>
      </c>
      <c r="E2174">
        <v>29</v>
      </c>
      <c r="F2174">
        <v>29</v>
      </c>
      <c r="G2174" t="s">
        <v>697</v>
      </c>
      <c r="H2174" t="s">
        <v>697</v>
      </c>
      <c r="J2174">
        <v>37.200000000000003</v>
      </c>
      <c r="K2174">
        <v>33.9</v>
      </c>
      <c r="L2174" t="s">
        <v>303</v>
      </c>
      <c r="M2174">
        <v>37.200000000000003</v>
      </c>
      <c r="N2174">
        <v>33.9</v>
      </c>
      <c r="O2174" t="s">
        <v>303</v>
      </c>
      <c r="P2174">
        <f t="shared" si="33"/>
        <v>0</v>
      </c>
    </row>
    <row r="2175" spans="1:16" x14ac:dyDescent="0.25">
      <c r="A2175" t="s">
        <v>669</v>
      </c>
      <c r="B2175">
        <v>33.9</v>
      </c>
      <c r="C2175">
        <v>37.200000000000003</v>
      </c>
      <c r="D2175" t="s">
        <v>303</v>
      </c>
      <c r="E2175" t="s">
        <v>910</v>
      </c>
      <c r="F2175" t="s">
        <v>910</v>
      </c>
      <c r="J2175">
        <v>37.200000000000003</v>
      </c>
      <c r="K2175">
        <v>33.9</v>
      </c>
      <c r="L2175" t="s">
        <v>303</v>
      </c>
      <c r="M2175">
        <v>37.200000000000003</v>
      </c>
      <c r="N2175">
        <v>33.9</v>
      </c>
      <c r="O2175" t="s">
        <v>303</v>
      </c>
      <c r="P2175">
        <f t="shared" si="33"/>
        <v>0</v>
      </c>
    </row>
    <row r="2176" spans="1:16" x14ac:dyDescent="0.25">
      <c r="A2176" t="s">
        <v>669</v>
      </c>
      <c r="B2176">
        <v>37.340000000000003</v>
      </c>
      <c r="C2176">
        <v>37.340000000000003</v>
      </c>
      <c r="D2176" t="s">
        <v>303</v>
      </c>
      <c r="E2176" t="s">
        <v>910</v>
      </c>
      <c r="F2176" t="s">
        <v>910</v>
      </c>
      <c r="J2176">
        <v>37.340000000000003</v>
      </c>
      <c r="K2176">
        <v>37.340000000000003</v>
      </c>
      <c r="L2176" t="s">
        <v>303</v>
      </c>
      <c r="M2176">
        <v>37.340000000000003</v>
      </c>
      <c r="N2176">
        <v>37.340000000000003</v>
      </c>
      <c r="O2176" t="s">
        <v>303</v>
      </c>
      <c r="P2176">
        <f t="shared" si="33"/>
        <v>0</v>
      </c>
    </row>
    <row r="2177" spans="1:16" x14ac:dyDescent="0.25">
      <c r="A2177" t="s">
        <v>669</v>
      </c>
      <c r="B2177">
        <v>36.74</v>
      </c>
      <c r="C2177">
        <v>37.479999999999997</v>
      </c>
      <c r="D2177" t="s">
        <v>860</v>
      </c>
      <c r="E2177" t="s">
        <v>910</v>
      </c>
      <c r="F2177" t="s">
        <v>910</v>
      </c>
      <c r="J2177">
        <v>37.479999999999997</v>
      </c>
      <c r="K2177">
        <v>36.74</v>
      </c>
      <c r="L2177" t="s">
        <v>303</v>
      </c>
      <c r="M2177">
        <v>37.479999999999997</v>
      </c>
      <c r="N2177">
        <v>36.74</v>
      </c>
      <c r="O2177" t="s">
        <v>303</v>
      </c>
      <c r="P2177">
        <f t="shared" si="33"/>
        <v>0</v>
      </c>
    </row>
    <row r="2178" spans="1:16" x14ac:dyDescent="0.25">
      <c r="A2178" t="s">
        <v>669</v>
      </c>
      <c r="B2178">
        <v>36.75</v>
      </c>
      <c r="C2178">
        <v>37.630000000000003</v>
      </c>
      <c r="D2178" t="s">
        <v>860</v>
      </c>
      <c r="E2178" t="s">
        <v>910</v>
      </c>
      <c r="F2178" t="s">
        <v>910</v>
      </c>
      <c r="J2178">
        <v>37.630000000000003</v>
      </c>
      <c r="K2178">
        <v>36.75</v>
      </c>
      <c r="L2178" t="s">
        <v>303</v>
      </c>
      <c r="M2178">
        <v>37.630000000000003</v>
      </c>
      <c r="N2178">
        <v>36.75</v>
      </c>
      <c r="O2178" t="s">
        <v>303</v>
      </c>
      <c r="P2178">
        <f t="shared" si="33"/>
        <v>0</v>
      </c>
    </row>
    <row r="2179" spans="1:16" x14ac:dyDescent="0.25">
      <c r="A2179" t="s">
        <v>669</v>
      </c>
      <c r="B2179">
        <v>36.44</v>
      </c>
      <c r="C2179">
        <v>37.700000000000003</v>
      </c>
      <c r="D2179" t="s">
        <v>860</v>
      </c>
      <c r="E2179" t="s">
        <v>910</v>
      </c>
      <c r="F2179" t="s">
        <v>910</v>
      </c>
      <c r="J2179">
        <v>37.700000000000003</v>
      </c>
      <c r="K2179">
        <v>36.44</v>
      </c>
      <c r="L2179" t="s">
        <v>303</v>
      </c>
      <c r="M2179">
        <v>37.700000000000003</v>
      </c>
      <c r="N2179">
        <v>36.44</v>
      </c>
      <c r="O2179" t="s">
        <v>303</v>
      </c>
      <c r="P2179">
        <f t="shared" ref="P2179:P2242" si="34">LEN(I2179)</f>
        <v>0</v>
      </c>
    </row>
    <row r="2180" spans="1:16" x14ac:dyDescent="0.25">
      <c r="A2180" t="s">
        <v>188</v>
      </c>
      <c r="B2180">
        <v>33.9</v>
      </c>
      <c r="C2180">
        <v>37.799999999999997</v>
      </c>
      <c r="D2180" t="s">
        <v>860</v>
      </c>
      <c r="E2180">
        <v>28</v>
      </c>
      <c r="F2180">
        <v>28</v>
      </c>
      <c r="G2180" t="s">
        <v>688</v>
      </c>
      <c r="H2180" t="s">
        <v>688</v>
      </c>
      <c r="J2180">
        <v>37.799999999999997</v>
      </c>
      <c r="K2180">
        <v>33.9</v>
      </c>
      <c r="L2180" t="s">
        <v>303</v>
      </c>
      <c r="M2180">
        <v>37.799999999999997</v>
      </c>
      <c r="N2180">
        <v>33.9</v>
      </c>
      <c r="O2180" t="s">
        <v>303</v>
      </c>
      <c r="P2180">
        <f t="shared" si="34"/>
        <v>0</v>
      </c>
    </row>
    <row r="2181" spans="1:16" x14ac:dyDescent="0.25">
      <c r="A2181" t="s">
        <v>669</v>
      </c>
      <c r="B2181">
        <v>37.26</v>
      </c>
      <c r="C2181">
        <v>37.92</v>
      </c>
      <c r="D2181" t="s">
        <v>860</v>
      </c>
      <c r="E2181" t="s">
        <v>910</v>
      </c>
      <c r="F2181" t="s">
        <v>910</v>
      </c>
      <c r="J2181">
        <v>37.92</v>
      </c>
      <c r="K2181">
        <v>37.26</v>
      </c>
      <c r="L2181" t="s">
        <v>303</v>
      </c>
      <c r="M2181">
        <v>37.92</v>
      </c>
      <c r="N2181">
        <v>37.26</v>
      </c>
      <c r="O2181" t="s">
        <v>303</v>
      </c>
      <c r="P2181">
        <f t="shared" si="34"/>
        <v>0</v>
      </c>
    </row>
    <row r="2182" spans="1:16" x14ac:dyDescent="0.25">
      <c r="A2182" t="s">
        <v>669</v>
      </c>
      <c r="B2182">
        <v>33</v>
      </c>
      <c r="C2182">
        <v>38</v>
      </c>
      <c r="D2182" t="s">
        <v>303</v>
      </c>
      <c r="E2182" t="s">
        <v>910</v>
      </c>
      <c r="F2182" t="s">
        <v>910</v>
      </c>
      <c r="J2182">
        <v>38</v>
      </c>
      <c r="K2182">
        <v>33</v>
      </c>
      <c r="L2182" t="s">
        <v>303</v>
      </c>
      <c r="M2182">
        <v>38</v>
      </c>
      <c r="N2182">
        <v>33</v>
      </c>
      <c r="O2182" t="s">
        <v>303</v>
      </c>
      <c r="P2182">
        <f t="shared" si="34"/>
        <v>0</v>
      </c>
    </row>
    <row r="2183" spans="1:16" x14ac:dyDescent="0.25">
      <c r="A2183" t="s">
        <v>188</v>
      </c>
      <c r="B2183">
        <v>37</v>
      </c>
      <c r="C2183">
        <v>38</v>
      </c>
      <c r="D2183" t="s">
        <v>669</v>
      </c>
      <c r="E2183">
        <v>28</v>
      </c>
      <c r="F2183">
        <v>28</v>
      </c>
      <c r="G2183" t="s">
        <v>688</v>
      </c>
      <c r="H2183" t="s">
        <v>688</v>
      </c>
      <c r="I2183" t="s">
        <v>927</v>
      </c>
      <c r="J2183">
        <v>38</v>
      </c>
      <c r="K2183">
        <v>37</v>
      </c>
      <c r="L2183" t="s">
        <v>930</v>
      </c>
      <c r="M2183">
        <v>38</v>
      </c>
      <c r="N2183">
        <v>37</v>
      </c>
      <c r="P2183">
        <f t="shared" si="34"/>
        <v>14</v>
      </c>
    </row>
    <row r="2184" spans="1:16" x14ac:dyDescent="0.25">
      <c r="A2184" t="s">
        <v>669</v>
      </c>
      <c r="B2184">
        <v>37.479999999999997</v>
      </c>
      <c r="C2184">
        <v>38.36</v>
      </c>
      <c r="D2184" t="s">
        <v>860</v>
      </c>
      <c r="E2184" t="s">
        <v>910</v>
      </c>
      <c r="F2184" t="s">
        <v>910</v>
      </c>
      <c r="J2184">
        <v>38.36</v>
      </c>
      <c r="K2184">
        <v>37.479999999999997</v>
      </c>
      <c r="L2184" t="s">
        <v>303</v>
      </c>
      <c r="M2184">
        <v>38.36</v>
      </c>
      <c r="N2184">
        <v>37.479999999999997</v>
      </c>
      <c r="O2184" t="s">
        <v>303</v>
      </c>
      <c r="P2184">
        <f t="shared" si="34"/>
        <v>0</v>
      </c>
    </row>
    <row r="2185" spans="1:16" x14ac:dyDescent="0.25">
      <c r="A2185" t="s">
        <v>669</v>
      </c>
      <c r="B2185">
        <v>37.54</v>
      </c>
      <c r="C2185">
        <v>38.58</v>
      </c>
      <c r="D2185" t="s">
        <v>860</v>
      </c>
      <c r="E2185" t="s">
        <v>910</v>
      </c>
      <c r="F2185" t="s">
        <v>910</v>
      </c>
      <c r="J2185">
        <v>38.58</v>
      </c>
      <c r="K2185">
        <v>37.54</v>
      </c>
      <c r="L2185" t="s">
        <v>303</v>
      </c>
      <c r="M2185">
        <v>38.58</v>
      </c>
      <c r="N2185">
        <v>37.54</v>
      </c>
      <c r="O2185" t="s">
        <v>303</v>
      </c>
      <c r="P2185">
        <f t="shared" si="34"/>
        <v>0</v>
      </c>
    </row>
    <row r="2186" spans="1:16" x14ac:dyDescent="0.25">
      <c r="A2186" t="s">
        <v>669</v>
      </c>
      <c r="B2186">
        <v>39.15</v>
      </c>
      <c r="C2186">
        <v>39.15</v>
      </c>
      <c r="D2186" t="s">
        <v>303</v>
      </c>
      <c r="E2186" t="s">
        <v>910</v>
      </c>
      <c r="F2186" t="s">
        <v>910</v>
      </c>
      <c r="J2186">
        <v>39.15</v>
      </c>
      <c r="K2186">
        <v>39.15</v>
      </c>
      <c r="L2186" t="s">
        <v>303</v>
      </c>
      <c r="M2186">
        <v>39.15</v>
      </c>
      <c r="N2186">
        <v>39.15</v>
      </c>
      <c r="O2186" t="s">
        <v>303</v>
      </c>
      <c r="P2186">
        <f t="shared" si="34"/>
        <v>0</v>
      </c>
    </row>
    <row r="2187" spans="1:16" x14ac:dyDescent="0.25">
      <c r="A2187" t="s">
        <v>669</v>
      </c>
      <c r="B2187">
        <v>38.22</v>
      </c>
      <c r="C2187">
        <v>39.22</v>
      </c>
      <c r="D2187" t="s">
        <v>860</v>
      </c>
      <c r="E2187" t="s">
        <v>910</v>
      </c>
      <c r="F2187" t="s">
        <v>910</v>
      </c>
      <c r="J2187">
        <v>39.22</v>
      </c>
      <c r="K2187">
        <v>38.22</v>
      </c>
      <c r="L2187" t="s">
        <v>303</v>
      </c>
      <c r="M2187">
        <v>39.22</v>
      </c>
      <c r="N2187">
        <v>38.22</v>
      </c>
      <c r="O2187" t="s">
        <v>303</v>
      </c>
      <c r="P2187">
        <f t="shared" si="34"/>
        <v>0</v>
      </c>
    </row>
    <row r="2188" spans="1:16" x14ac:dyDescent="0.25">
      <c r="A2188" t="s">
        <v>669</v>
      </c>
      <c r="B2188">
        <v>39.25</v>
      </c>
      <c r="C2188">
        <v>39.25</v>
      </c>
      <c r="D2188" t="s">
        <v>303</v>
      </c>
      <c r="E2188" t="s">
        <v>910</v>
      </c>
      <c r="F2188" t="s">
        <v>910</v>
      </c>
      <c r="J2188">
        <v>39.25</v>
      </c>
      <c r="K2188">
        <v>39.25</v>
      </c>
      <c r="L2188" t="s">
        <v>303</v>
      </c>
      <c r="M2188">
        <v>39.25</v>
      </c>
      <c r="N2188">
        <v>39.25</v>
      </c>
      <c r="O2188" t="s">
        <v>303</v>
      </c>
      <c r="P2188">
        <f t="shared" si="34"/>
        <v>0</v>
      </c>
    </row>
    <row r="2189" spans="1:16" x14ac:dyDescent="0.25">
      <c r="A2189" t="s">
        <v>669</v>
      </c>
      <c r="B2189">
        <v>38.94</v>
      </c>
      <c r="C2189">
        <v>39.840000000000003</v>
      </c>
      <c r="D2189" t="s">
        <v>860</v>
      </c>
      <c r="E2189" t="s">
        <v>910</v>
      </c>
      <c r="F2189" t="s">
        <v>910</v>
      </c>
      <c r="J2189">
        <v>39.840000000000003</v>
      </c>
      <c r="K2189">
        <v>38.94</v>
      </c>
      <c r="L2189" t="s">
        <v>303</v>
      </c>
      <c r="M2189">
        <v>39.840000000000003</v>
      </c>
      <c r="N2189">
        <v>38.94</v>
      </c>
      <c r="O2189" t="s">
        <v>303</v>
      </c>
      <c r="P2189">
        <f t="shared" si="34"/>
        <v>0</v>
      </c>
    </row>
    <row r="2190" spans="1:16" x14ac:dyDescent="0.25">
      <c r="A2190" t="s">
        <v>448</v>
      </c>
      <c r="B2190">
        <v>26</v>
      </c>
      <c r="C2190">
        <v>40</v>
      </c>
      <c r="D2190" t="s">
        <v>860</v>
      </c>
      <c r="E2190">
        <v>24</v>
      </c>
      <c r="F2190">
        <v>24</v>
      </c>
      <c r="G2190" t="s">
        <v>692</v>
      </c>
      <c r="H2190" t="s">
        <v>692</v>
      </c>
      <c r="J2190">
        <v>40</v>
      </c>
      <c r="K2190">
        <v>26</v>
      </c>
      <c r="L2190" t="s">
        <v>303</v>
      </c>
      <c r="M2190">
        <v>40</v>
      </c>
      <c r="N2190">
        <v>26</v>
      </c>
      <c r="O2190" t="s">
        <v>303</v>
      </c>
      <c r="P2190">
        <f t="shared" si="34"/>
        <v>0</v>
      </c>
    </row>
    <row r="2191" spans="1:16" x14ac:dyDescent="0.25">
      <c r="A2191" t="s">
        <v>669</v>
      </c>
      <c r="B2191">
        <v>40</v>
      </c>
      <c r="C2191">
        <v>33</v>
      </c>
      <c r="D2191" t="s">
        <v>303</v>
      </c>
      <c r="E2191" t="s">
        <v>910</v>
      </c>
      <c r="F2191" t="s">
        <v>910</v>
      </c>
      <c r="J2191">
        <v>40</v>
      </c>
      <c r="K2191">
        <v>33</v>
      </c>
      <c r="L2191" t="s">
        <v>303</v>
      </c>
      <c r="M2191">
        <v>40</v>
      </c>
      <c r="N2191">
        <v>33</v>
      </c>
      <c r="O2191" t="s">
        <v>303</v>
      </c>
      <c r="P2191">
        <f t="shared" si="34"/>
        <v>0</v>
      </c>
    </row>
    <row r="2192" spans="1:16" x14ac:dyDescent="0.25">
      <c r="A2192" t="s">
        <v>669</v>
      </c>
      <c r="B2192">
        <v>39.19</v>
      </c>
      <c r="C2192">
        <v>40.049999999999997</v>
      </c>
      <c r="D2192" t="s">
        <v>860</v>
      </c>
      <c r="E2192" t="s">
        <v>910</v>
      </c>
      <c r="F2192" t="s">
        <v>910</v>
      </c>
      <c r="J2192">
        <v>40.049999999999997</v>
      </c>
      <c r="K2192">
        <v>39.19</v>
      </c>
      <c r="L2192" t="s">
        <v>303</v>
      </c>
      <c r="M2192">
        <v>40.049999999999997</v>
      </c>
      <c r="N2192">
        <v>39.19</v>
      </c>
      <c r="O2192" t="s">
        <v>303</v>
      </c>
      <c r="P2192">
        <f t="shared" si="34"/>
        <v>0</v>
      </c>
    </row>
    <row r="2193" spans="1:16" x14ac:dyDescent="0.25">
      <c r="A2193" t="s">
        <v>669</v>
      </c>
      <c r="B2193">
        <v>40.57</v>
      </c>
      <c r="C2193">
        <v>40.57</v>
      </c>
      <c r="D2193" t="s">
        <v>303</v>
      </c>
      <c r="E2193" t="s">
        <v>910</v>
      </c>
      <c r="F2193" t="s">
        <v>910</v>
      </c>
      <c r="J2193">
        <v>40.57</v>
      </c>
      <c r="K2193">
        <v>40.57</v>
      </c>
      <c r="L2193" t="s">
        <v>303</v>
      </c>
      <c r="M2193">
        <v>40.57</v>
      </c>
      <c r="N2193">
        <v>40.57</v>
      </c>
      <c r="O2193" t="s">
        <v>303</v>
      </c>
      <c r="P2193">
        <f t="shared" si="34"/>
        <v>0</v>
      </c>
    </row>
    <row r="2194" spans="1:16" x14ac:dyDescent="0.25">
      <c r="A2194" s="3" t="s">
        <v>188</v>
      </c>
      <c r="B2194">
        <v>34.37227</v>
      </c>
      <c r="C2194">
        <v>41.15428</v>
      </c>
      <c r="D2194">
        <v>38.5</v>
      </c>
      <c r="E2194">
        <v>28</v>
      </c>
      <c r="F2194">
        <v>28</v>
      </c>
      <c r="G2194" t="s">
        <v>688</v>
      </c>
      <c r="H2194" t="s">
        <v>688</v>
      </c>
      <c r="J2194">
        <v>41.15428</v>
      </c>
      <c r="K2194">
        <v>34.37227</v>
      </c>
      <c r="L2194" t="s">
        <v>303</v>
      </c>
      <c r="M2194">
        <v>41.15428</v>
      </c>
      <c r="N2194">
        <v>34.37227</v>
      </c>
      <c r="O2194" t="s">
        <v>303</v>
      </c>
      <c r="P2194">
        <f t="shared" si="34"/>
        <v>0</v>
      </c>
    </row>
    <row r="2195" spans="1:16" x14ac:dyDescent="0.25">
      <c r="A2195" t="s">
        <v>188</v>
      </c>
      <c r="B2195">
        <v>37.799999999999997</v>
      </c>
      <c r="C2195">
        <v>41.2</v>
      </c>
      <c r="D2195" t="s">
        <v>860</v>
      </c>
      <c r="E2195">
        <v>28</v>
      </c>
      <c r="F2195">
        <v>28</v>
      </c>
      <c r="G2195" t="s">
        <v>688</v>
      </c>
      <c r="H2195" t="s">
        <v>688</v>
      </c>
      <c r="J2195">
        <v>41.2</v>
      </c>
      <c r="K2195">
        <v>37.799999999999997</v>
      </c>
      <c r="L2195" t="s">
        <v>303</v>
      </c>
      <c r="M2195">
        <v>41.2</v>
      </c>
      <c r="N2195">
        <v>37.799999999999997</v>
      </c>
      <c r="O2195" t="s">
        <v>303</v>
      </c>
      <c r="P2195">
        <f t="shared" si="34"/>
        <v>0</v>
      </c>
    </row>
    <row r="2196" spans="1:16" x14ac:dyDescent="0.25">
      <c r="A2196" t="s">
        <v>669</v>
      </c>
      <c r="B2196">
        <v>175</v>
      </c>
      <c r="C2196">
        <v>345</v>
      </c>
      <c r="D2196" t="s">
        <v>863</v>
      </c>
      <c r="E2196">
        <v>5</v>
      </c>
      <c r="F2196">
        <v>5</v>
      </c>
      <c r="G2196" t="s">
        <v>684</v>
      </c>
      <c r="H2196" t="s">
        <v>684</v>
      </c>
      <c r="J2196">
        <v>175</v>
      </c>
      <c r="K2196">
        <v>345</v>
      </c>
      <c r="L2196" t="s">
        <v>919</v>
      </c>
      <c r="M2196">
        <v>345</v>
      </c>
      <c r="N2196">
        <v>175</v>
      </c>
      <c r="O2196" t="s">
        <v>919</v>
      </c>
      <c r="P2196">
        <f t="shared" si="34"/>
        <v>0</v>
      </c>
    </row>
    <row r="2197" spans="1:16" x14ac:dyDescent="0.25">
      <c r="A2197" t="s">
        <v>669</v>
      </c>
      <c r="B2197">
        <v>41.26</v>
      </c>
      <c r="C2197">
        <v>41.26</v>
      </c>
      <c r="D2197" t="s">
        <v>303</v>
      </c>
      <c r="E2197" t="s">
        <v>910</v>
      </c>
      <c r="F2197" t="s">
        <v>910</v>
      </c>
      <c r="J2197">
        <v>41.26</v>
      </c>
      <c r="K2197">
        <v>41.26</v>
      </c>
      <c r="L2197" t="s">
        <v>303</v>
      </c>
      <c r="M2197">
        <v>41.26</v>
      </c>
      <c r="N2197">
        <v>41.26</v>
      </c>
      <c r="O2197" t="s">
        <v>303</v>
      </c>
      <c r="P2197">
        <f t="shared" si="34"/>
        <v>0</v>
      </c>
    </row>
    <row r="2198" spans="1:16" x14ac:dyDescent="0.25">
      <c r="A2198" t="s">
        <v>669</v>
      </c>
      <c r="B2198">
        <v>42.29</v>
      </c>
      <c r="C2198">
        <v>42.29</v>
      </c>
      <c r="D2198" t="s">
        <v>303</v>
      </c>
      <c r="E2198" t="s">
        <v>910</v>
      </c>
      <c r="F2198" t="s">
        <v>910</v>
      </c>
      <c r="J2198">
        <v>42.29</v>
      </c>
      <c r="K2198">
        <v>42.29</v>
      </c>
      <c r="L2198" t="s">
        <v>303</v>
      </c>
      <c r="M2198">
        <v>42.29</v>
      </c>
      <c r="N2198">
        <v>42.29</v>
      </c>
      <c r="O2198" t="s">
        <v>303</v>
      </c>
      <c r="P2198">
        <f t="shared" si="34"/>
        <v>0</v>
      </c>
    </row>
    <row r="2199" spans="1:16" x14ac:dyDescent="0.25">
      <c r="A2199" t="s">
        <v>669</v>
      </c>
      <c r="B2199">
        <v>42.77</v>
      </c>
      <c r="C2199">
        <v>42.77</v>
      </c>
      <c r="D2199" t="s">
        <v>303</v>
      </c>
      <c r="E2199" t="s">
        <v>910</v>
      </c>
      <c r="F2199" t="s">
        <v>910</v>
      </c>
      <c r="J2199">
        <v>42.77</v>
      </c>
      <c r="K2199">
        <v>42.77</v>
      </c>
      <c r="L2199" t="s">
        <v>303</v>
      </c>
      <c r="M2199">
        <v>42.77</v>
      </c>
      <c r="N2199">
        <v>42.77</v>
      </c>
      <c r="O2199" t="s">
        <v>303</v>
      </c>
      <c r="P2199">
        <f t="shared" si="34"/>
        <v>0</v>
      </c>
    </row>
    <row r="2200" spans="1:16" x14ac:dyDescent="0.25">
      <c r="A2200" s="3" t="s">
        <v>188</v>
      </c>
      <c r="B2200">
        <v>34.386200000000002</v>
      </c>
      <c r="C2200">
        <v>42.952030000000001</v>
      </c>
      <c r="D2200">
        <v>37.4</v>
      </c>
      <c r="E2200">
        <v>28</v>
      </c>
      <c r="F2200">
        <v>28</v>
      </c>
      <c r="G2200" t="s">
        <v>688</v>
      </c>
      <c r="H2200" t="s">
        <v>688</v>
      </c>
      <c r="J2200">
        <v>42.952030000000001</v>
      </c>
      <c r="K2200">
        <v>34.386200000000002</v>
      </c>
      <c r="L2200" t="s">
        <v>303</v>
      </c>
      <c r="M2200">
        <v>42.952030000000001</v>
      </c>
      <c r="N2200">
        <v>34.386200000000002</v>
      </c>
      <c r="O2200" t="s">
        <v>303</v>
      </c>
      <c r="P2200">
        <f t="shared" si="34"/>
        <v>0</v>
      </c>
    </row>
    <row r="2201" spans="1:16" x14ac:dyDescent="0.25">
      <c r="A2201" t="s">
        <v>669</v>
      </c>
      <c r="B2201">
        <v>43</v>
      </c>
      <c r="C2201">
        <v>40</v>
      </c>
      <c r="D2201" t="s">
        <v>303</v>
      </c>
      <c r="E2201" t="s">
        <v>910</v>
      </c>
      <c r="F2201" t="s">
        <v>910</v>
      </c>
      <c r="J2201">
        <v>43</v>
      </c>
      <c r="K2201">
        <v>40</v>
      </c>
      <c r="L2201" t="s">
        <v>303</v>
      </c>
      <c r="M2201">
        <v>43</v>
      </c>
      <c r="N2201">
        <v>40</v>
      </c>
      <c r="O2201" t="s">
        <v>303</v>
      </c>
      <c r="P2201">
        <f t="shared" si="34"/>
        <v>0</v>
      </c>
    </row>
    <row r="2202" spans="1:16" x14ac:dyDescent="0.25">
      <c r="A2202" s="3" t="s">
        <v>188</v>
      </c>
      <c r="B2202">
        <v>32.1556</v>
      </c>
      <c r="C2202">
        <v>43.577719999999999</v>
      </c>
      <c r="D2202">
        <v>35.337000000000003</v>
      </c>
      <c r="E2202">
        <v>28</v>
      </c>
      <c r="F2202">
        <v>28</v>
      </c>
      <c r="G2202" t="s">
        <v>688</v>
      </c>
      <c r="H2202" t="s">
        <v>688</v>
      </c>
      <c r="J2202">
        <v>43.577719999999999</v>
      </c>
      <c r="K2202">
        <v>32.1556</v>
      </c>
      <c r="L2202" t="s">
        <v>303</v>
      </c>
      <c r="M2202">
        <v>43.577719999999999</v>
      </c>
      <c r="N2202">
        <v>32.1556</v>
      </c>
      <c r="O2202" t="s">
        <v>303</v>
      </c>
      <c r="P2202">
        <f t="shared" si="34"/>
        <v>0</v>
      </c>
    </row>
    <row r="2203" spans="1:16" x14ac:dyDescent="0.25">
      <c r="A2203" t="s">
        <v>669</v>
      </c>
      <c r="B2203">
        <v>43.68</v>
      </c>
      <c r="C2203">
        <v>43.68</v>
      </c>
      <c r="D2203" t="s">
        <v>303</v>
      </c>
      <c r="E2203" t="s">
        <v>910</v>
      </c>
      <c r="F2203" t="s">
        <v>910</v>
      </c>
      <c r="J2203">
        <v>43.68</v>
      </c>
      <c r="K2203">
        <v>43.68</v>
      </c>
      <c r="L2203" t="s">
        <v>303</v>
      </c>
      <c r="M2203">
        <v>43.68</v>
      </c>
      <c r="N2203">
        <v>43.68</v>
      </c>
      <c r="O2203" t="s">
        <v>303</v>
      </c>
      <c r="P2203">
        <f t="shared" si="34"/>
        <v>0</v>
      </c>
    </row>
    <row r="2204" spans="1:16" x14ac:dyDescent="0.25">
      <c r="A2204" t="s">
        <v>669</v>
      </c>
      <c r="B2204">
        <v>43.94</v>
      </c>
      <c r="C2204">
        <v>43.94</v>
      </c>
      <c r="D2204" t="s">
        <v>303</v>
      </c>
      <c r="E2204" t="s">
        <v>910</v>
      </c>
      <c r="F2204" t="s">
        <v>910</v>
      </c>
      <c r="J2204">
        <v>43.94</v>
      </c>
      <c r="K2204">
        <v>43.94</v>
      </c>
      <c r="L2204" t="s">
        <v>303</v>
      </c>
      <c r="M2204">
        <v>43.94</v>
      </c>
      <c r="N2204">
        <v>43.94</v>
      </c>
      <c r="O2204" t="s">
        <v>303</v>
      </c>
      <c r="P2204">
        <f t="shared" si="34"/>
        <v>0</v>
      </c>
    </row>
    <row r="2205" spans="1:16" x14ac:dyDescent="0.25">
      <c r="A2205" t="s">
        <v>256</v>
      </c>
      <c r="B2205">
        <v>40</v>
      </c>
      <c r="C2205">
        <v>44</v>
      </c>
      <c r="D2205" t="s">
        <v>303</v>
      </c>
      <c r="E2205">
        <v>29</v>
      </c>
      <c r="F2205">
        <v>29</v>
      </c>
      <c r="G2205" t="s">
        <v>697</v>
      </c>
      <c r="H2205" t="s">
        <v>697</v>
      </c>
      <c r="J2205">
        <v>44</v>
      </c>
      <c r="K2205">
        <v>40</v>
      </c>
      <c r="L2205" t="s">
        <v>303</v>
      </c>
      <c r="M2205">
        <v>44</v>
      </c>
      <c r="N2205">
        <v>40</v>
      </c>
      <c r="O2205" t="s">
        <v>303</v>
      </c>
      <c r="P2205">
        <f t="shared" si="34"/>
        <v>0</v>
      </c>
    </row>
    <row r="2206" spans="1:16" x14ac:dyDescent="0.25">
      <c r="A2206" t="s">
        <v>448</v>
      </c>
      <c r="B2206">
        <v>41</v>
      </c>
      <c r="C2206">
        <v>44</v>
      </c>
      <c r="D2206" t="s">
        <v>669</v>
      </c>
      <c r="E2206">
        <v>24</v>
      </c>
      <c r="F2206">
        <v>24</v>
      </c>
      <c r="G2206" t="s">
        <v>692</v>
      </c>
      <c r="H2206" t="s">
        <v>692</v>
      </c>
      <c r="I2206" t="s">
        <v>927</v>
      </c>
      <c r="J2206">
        <v>44</v>
      </c>
      <c r="K2206">
        <v>41</v>
      </c>
      <c r="L2206" t="s">
        <v>930</v>
      </c>
      <c r="M2206">
        <v>44</v>
      </c>
      <c r="N2206">
        <v>41</v>
      </c>
      <c r="P2206">
        <f t="shared" si="34"/>
        <v>14</v>
      </c>
    </row>
    <row r="2207" spans="1:16" x14ac:dyDescent="0.25">
      <c r="A2207" t="s">
        <v>669</v>
      </c>
      <c r="B2207">
        <v>44.02</v>
      </c>
      <c r="C2207">
        <v>44.02</v>
      </c>
      <c r="D2207" t="s">
        <v>303</v>
      </c>
      <c r="E2207" t="s">
        <v>910</v>
      </c>
      <c r="F2207" t="s">
        <v>910</v>
      </c>
      <c r="J2207">
        <v>44.02</v>
      </c>
      <c r="K2207">
        <v>44.02</v>
      </c>
      <c r="L2207" t="s">
        <v>303</v>
      </c>
      <c r="M2207">
        <v>44.02</v>
      </c>
      <c r="N2207">
        <v>44.02</v>
      </c>
      <c r="O2207" t="s">
        <v>303</v>
      </c>
      <c r="P2207">
        <f t="shared" si="34"/>
        <v>0</v>
      </c>
    </row>
    <row r="2208" spans="1:16" x14ac:dyDescent="0.25">
      <c r="A2208" s="3" t="s">
        <v>188</v>
      </c>
      <c r="B2208">
        <v>31.350570000000001</v>
      </c>
      <c r="C2208">
        <v>44.671169999999996</v>
      </c>
      <c r="D2208">
        <v>38.28</v>
      </c>
      <c r="E2208">
        <v>28</v>
      </c>
      <c r="F2208">
        <v>28</v>
      </c>
      <c r="G2208" t="s">
        <v>688</v>
      </c>
      <c r="H2208" t="s">
        <v>688</v>
      </c>
      <c r="J2208">
        <v>44.671169999999996</v>
      </c>
      <c r="K2208">
        <v>31.350570000000001</v>
      </c>
      <c r="L2208" t="s">
        <v>303</v>
      </c>
      <c r="M2208">
        <v>44.671169999999996</v>
      </c>
      <c r="N2208">
        <v>31.350570000000001</v>
      </c>
      <c r="O2208" t="s">
        <v>303</v>
      </c>
      <c r="P2208">
        <f t="shared" si="34"/>
        <v>0</v>
      </c>
    </row>
    <row r="2209" spans="1:16" x14ac:dyDescent="0.25">
      <c r="A2209" t="s">
        <v>669</v>
      </c>
      <c r="B2209">
        <v>45</v>
      </c>
      <c r="C2209">
        <v>45</v>
      </c>
      <c r="D2209" t="s">
        <v>669</v>
      </c>
      <c r="E2209" t="s">
        <v>910</v>
      </c>
      <c r="F2209" t="s">
        <v>910</v>
      </c>
      <c r="I2209" t="s">
        <v>927</v>
      </c>
      <c r="J2209">
        <v>45</v>
      </c>
      <c r="K2209">
        <v>45</v>
      </c>
      <c r="L2209" t="s">
        <v>930</v>
      </c>
      <c r="M2209">
        <v>45</v>
      </c>
      <c r="N2209">
        <v>45</v>
      </c>
      <c r="P2209">
        <f t="shared" si="34"/>
        <v>14</v>
      </c>
    </row>
    <row r="2210" spans="1:16" x14ac:dyDescent="0.25">
      <c r="A2210" t="s">
        <v>669</v>
      </c>
      <c r="B2210">
        <v>45.5</v>
      </c>
      <c r="C2210">
        <v>45.5</v>
      </c>
      <c r="D2210" t="s">
        <v>303</v>
      </c>
      <c r="E2210" t="s">
        <v>910</v>
      </c>
      <c r="F2210" t="s">
        <v>910</v>
      </c>
      <c r="J2210">
        <v>45.5</v>
      </c>
      <c r="K2210">
        <v>45.5</v>
      </c>
      <c r="L2210" t="s">
        <v>303</v>
      </c>
      <c r="M2210">
        <v>45.5</v>
      </c>
      <c r="N2210">
        <v>45.5</v>
      </c>
      <c r="O2210" t="s">
        <v>303</v>
      </c>
      <c r="P2210">
        <f t="shared" si="34"/>
        <v>0</v>
      </c>
    </row>
    <row r="2211" spans="1:16" x14ac:dyDescent="0.25">
      <c r="A2211" t="s">
        <v>448</v>
      </c>
      <c r="B2211">
        <v>44</v>
      </c>
      <c r="C2211">
        <v>46</v>
      </c>
      <c r="D2211" t="s">
        <v>303</v>
      </c>
      <c r="E2211">
        <v>24</v>
      </c>
      <c r="F2211">
        <v>24</v>
      </c>
      <c r="G2211" t="s">
        <v>692</v>
      </c>
      <c r="H2211" t="s">
        <v>692</v>
      </c>
      <c r="J2211">
        <v>46</v>
      </c>
      <c r="K2211">
        <v>44</v>
      </c>
      <c r="L2211" t="s">
        <v>303</v>
      </c>
      <c r="M2211">
        <v>46</v>
      </c>
      <c r="N2211">
        <v>44</v>
      </c>
      <c r="O2211" t="s">
        <v>303</v>
      </c>
      <c r="P2211">
        <f t="shared" si="34"/>
        <v>0</v>
      </c>
    </row>
    <row r="2212" spans="1:16" x14ac:dyDescent="0.25">
      <c r="A2212" t="s">
        <v>669</v>
      </c>
      <c r="B2212">
        <v>46.17</v>
      </c>
      <c r="C2212">
        <v>46.17</v>
      </c>
      <c r="D2212" t="s">
        <v>303</v>
      </c>
      <c r="E2212" t="s">
        <v>910</v>
      </c>
      <c r="F2212" t="s">
        <v>910</v>
      </c>
      <c r="J2212">
        <v>46.17</v>
      </c>
      <c r="K2212">
        <v>46.17</v>
      </c>
      <c r="L2212" t="s">
        <v>303</v>
      </c>
      <c r="M2212">
        <v>46.17</v>
      </c>
      <c r="N2212">
        <v>46.17</v>
      </c>
      <c r="O2212" t="s">
        <v>303</v>
      </c>
      <c r="P2212">
        <f t="shared" si="34"/>
        <v>0</v>
      </c>
    </row>
    <row r="2213" spans="1:16" x14ac:dyDescent="0.25">
      <c r="A2213" t="s">
        <v>669</v>
      </c>
      <c r="B2213">
        <v>46.32</v>
      </c>
      <c r="C2213">
        <v>46.32</v>
      </c>
      <c r="D2213" t="s">
        <v>303</v>
      </c>
      <c r="E2213" t="s">
        <v>910</v>
      </c>
      <c r="F2213" t="s">
        <v>910</v>
      </c>
      <c r="J2213">
        <v>46.32</v>
      </c>
      <c r="K2213">
        <v>46.32</v>
      </c>
      <c r="L2213" t="s">
        <v>303</v>
      </c>
      <c r="M2213">
        <v>46.32</v>
      </c>
      <c r="N2213">
        <v>46.32</v>
      </c>
      <c r="O2213" t="s">
        <v>303</v>
      </c>
      <c r="P2213">
        <f t="shared" si="34"/>
        <v>0</v>
      </c>
    </row>
    <row r="2214" spans="1:16" x14ac:dyDescent="0.25">
      <c r="A2214" s="3" t="s">
        <v>188</v>
      </c>
      <c r="B2214">
        <v>32.73686</v>
      </c>
      <c r="C2214">
        <v>46.668950000000002</v>
      </c>
      <c r="D2214">
        <v>39.32</v>
      </c>
      <c r="E2214">
        <v>28</v>
      </c>
      <c r="F2214">
        <v>28</v>
      </c>
      <c r="G2214" t="s">
        <v>688</v>
      </c>
      <c r="H2214" t="s">
        <v>688</v>
      </c>
      <c r="J2214">
        <v>46.668950000000002</v>
      </c>
      <c r="K2214">
        <v>32.73686</v>
      </c>
      <c r="L2214" t="s">
        <v>303</v>
      </c>
      <c r="M2214">
        <v>46.668950000000002</v>
      </c>
      <c r="N2214">
        <v>32.73686</v>
      </c>
      <c r="O2214" t="s">
        <v>303</v>
      </c>
      <c r="P2214">
        <f t="shared" si="34"/>
        <v>0</v>
      </c>
    </row>
    <row r="2215" spans="1:16" x14ac:dyDescent="0.25">
      <c r="A2215" t="s">
        <v>669</v>
      </c>
      <c r="B2215">
        <v>46.92</v>
      </c>
      <c r="C2215">
        <v>46.92</v>
      </c>
      <c r="D2215" t="s">
        <v>303</v>
      </c>
      <c r="E2215" t="s">
        <v>910</v>
      </c>
      <c r="F2215" t="s">
        <v>910</v>
      </c>
      <c r="J2215">
        <v>46.92</v>
      </c>
      <c r="K2215">
        <v>46.92</v>
      </c>
      <c r="L2215" t="s">
        <v>303</v>
      </c>
      <c r="M2215">
        <v>46.92</v>
      </c>
      <c r="N2215">
        <v>46.92</v>
      </c>
      <c r="O2215" t="s">
        <v>303</v>
      </c>
      <c r="P2215">
        <f t="shared" si="34"/>
        <v>0</v>
      </c>
    </row>
    <row r="2216" spans="1:16" x14ac:dyDescent="0.25">
      <c r="A2216" t="s">
        <v>669</v>
      </c>
      <c r="B2216">
        <v>47.09</v>
      </c>
      <c r="C2216">
        <v>47.09</v>
      </c>
      <c r="D2216" t="s">
        <v>303</v>
      </c>
      <c r="E2216" t="s">
        <v>910</v>
      </c>
      <c r="F2216" t="s">
        <v>910</v>
      </c>
      <c r="J2216">
        <v>47.09</v>
      </c>
      <c r="K2216">
        <v>47.09</v>
      </c>
      <c r="L2216" t="s">
        <v>303</v>
      </c>
      <c r="M2216">
        <v>47.09</v>
      </c>
      <c r="N2216">
        <v>47.09</v>
      </c>
      <c r="O2216" t="s">
        <v>303</v>
      </c>
      <c r="P2216">
        <f t="shared" si="34"/>
        <v>0</v>
      </c>
    </row>
    <row r="2217" spans="1:16" x14ac:dyDescent="0.25">
      <c r="A2217" t="s">
        <v>669</v>
      </c>
      <c r="B2217">
        <v>47.4</v>
      </c>
      <c r="C2217">
        <v>47.4</v>
      </c>
      <c r="D2217" t="s">
        <v>303</v>
      </c>
      <c r="E2217" t="s">
        <v>910</v>
      </c>
      <c r="F2217" t="s">
        <v>910</v>
      </c>
      <c r="J2217">
        <v>47.4</v>
      </c>
      <c r="K2217">
        <v>47.4</v>
      </c>
      <c r="L2217" t="s">
        <v>303</v>
      </c>
      <c r="M2217">
        <v>47.4</v>
      </c>
      <c r="N2217">
        <v>47.4</v>
      </c>
      <c r="O2217" t="s">
        <v>303</v>
      </c>
      <c r="P2217">
        <f t="shared" si="34"/>
        <v>0</v>
      </c>
    </row>
    <row r="2218" spans="1:16" x14ac:dyDescent="0.25">
      <c r="A2218" s="3" t="s">
        <v>188</v>
      </c>
      <c r="B2218">
        <v>28.92784</v>
      </c>
      <c r="C2218">
        <v>47.426250000000003</v>
      </c>
      <c r="D2218">
        <v>38.58</v>
      </c>
      <c r="E2218">
        <v>28</v>
      </c>
      <c r="F2218">
        <v>28</v>
      </c>
      <c r="G2218" t="s">
        <v>688</v>
      </c>
      <c r="H2218" t="s">
        <v>688</v>
      </c>
      <c r="J2218">
        <v>47.426250000000003</v>
      </c>
      <c r="K2218">
        <v>28.92784</v>
      </c>
      <c r="L2218" t="s">
        <v>303</v>
      </c>
      <c r="M2218">
        <v>47.426250000000003</v>
      </c>
      <c r="N2218">
        <v>28.92784</v>
      </c>
      <c r="O2218" t="s">
        <v>303</v>
      </c>
      <c r="P2218">
        <f t="shared" si="34"/>
        <v>0</v>
      </c>
    </row>
    <row r="2219" spans="1:16" x14ac:dyDescent="0.25">
      <c r="A2219" t="s">
        <v>669</v>
      </c>
      <c r="B2219">
        <v>47.72</v>
      </c>
      <c r="C2219">
        <v>47.72</v>
      </c>
      <c r="D2219" t="s">
        <v>303</v>
      </c>
      <c r="E2219" t="s">
        <v>910</v>
      </c>
      <c r="F2219" t="s">
        <v>910</v>
      </c>
      <c r="J2219">
        <v>47.72</v>
      </c>
      <c r="K2219">
        <v>47.72</v>
      </c>
      <c r="L2219" t="s">
        <v>303</v>
      </c>
      <c r="M2219">
        <v>47.72</v>
      </c>
      <c r="N2219">
        <v>47.72</v>
      </c>
      <c r="O2219" t="s">
        <v>303</v>
      </c>
      <c r="P2219">
        <f t="shared" si="34"/>
        <v>0</v>
      </c>
    </row>
    <row r="2220" spans="1:16" x14ac:dyDescent="0.25">
      <c r="A2220" t="s">
        <v>669</v>
      </c>
      <c r="B2220">
        <v>33</v>
      </c>
      <c r="C2220">
        <v>48</v>
      </c>
      <c r="D2220" t="s">
        <v>303</v>
      </c>
      <c r="E2220" t="s">
        <v>910</v>
      </c>
      <c r="F2220" t="s">
        <v>910</v>
      </c>
      <c r="J2220">
        <v>48</v>
      </c>
      <c r="K2220">
        <v>33</v>
      </c>
      <c r="L2220" t="s">
        <v>303</v>
      </c>
      <c r="M2220">
        <v>48</v>
      </c>
      <c r="N2220">
        <v>33</v>
      </c>
      <c r="O2220" t="s">
        <v>303</v>
      </c>
      <c r="P2220">
        <f t="shared" si="34"/>
        <v>0</v>
      </c>
    </row>
    <row r="2221" spans="1:16" x14ac:dyDescent="0.25">
      <c r="A2221" t="s">
        <v>669</v>
      </c>
      <c r="B2221">
        <v>0.25</v>
      </c>
      <c r="C2221" t="s">
        <v>669</v>
      </c>
      <c r="D2221" t="s">
        <v>862</v>
      </c>
      <c r="E2221">
        <v>5</v>
      </c>
      <c r="F2221">
        <v>5</v>
      </c>
      <c r="G2221" t="s">
        <v>684</v>
      </c>
      <c r="H2221" t="s">
        <v>684</v>
      </c>
      <c r="K2221">
        <v>250</v>
      </c>
      <c r="L2221" t="s">
        <v>921</v>
      </c>
      <c r="N2221">
        <v>0.25</v>
      </c>
      <c r="O2221" t="s">
        <v>862</v>
      </c>
      <c r="P2221">
        <f t="shared" si="34"/>
        <v>0</v>
      </c>
    </row>
    <row r="2222" spans="1:16" x14ac:dyDescent="0.25">
      <c r="A2222" t="s">
        <v>669</v>
      </c>
      <c r="B2222">
        <v>48</v>
      </c>
      <c r="C2222">
        <v>40</v>
      </c>
      <c r="D2222" t="s">
        <v>303</v>
      </c>
      <c r="E2222" t="s">
        <v>910</v>
      </c>
      <c r="F2222" t="s">
        <v>910</v>
      </c>
      <c r="J2222">
        <v>48</v>
      </c>
      <c r="K2222">
        <v>40</v>
      </c>
      <c r="L2222" t="s">
        <v>303</v>
      </c>
      <c r="M2222">
        <v>48</v>
      </c>
      <c r="N2222">
        <v>40</v>
      </c>
      <c r="O2222" t="s">
        <v>303</v>
      </c>
      <c r="P2222">
        <f t="shared" si="34"/>
        <v>0</v>
      </c>
    </row>
    <row r="2223" spans="1:16" x14ac:dyDescent="0.25">
      <c r="A2223" t="s">
        <v>83</v>
      </c>
      <c r="B2223">
        <v>37.200000000000003</v>
      </c>
      <c r="C2223">
        <v>48.6</v>
      </c>
      <c r="D2223" t="s">
        <v>303</v>
      </c>
      <c r="E2223">
        <v>31</v>
      </c>
      <c r="F2223">
        <v>31</v>
      </c>
      <c r="G2223" t="s">
        <v>742</v>
      </c>
      <c r="H2223" t="s">
        <v>742</v>
      </c>
      <c r="J2223">
        <v>48.6</v>
      </c>
      <c r="K2223">
        <v>37.200000000000003</v>
      </c>
      <c r="L2223" t="s">
        <v>303</v>
      </c>
      <c r="M2223">
        <v>48.6</v>
      </c>
      <c r="N2223">
        <v>37.200000000000003</v>
      </c>
      <c r="O2223" t="s">
        <v>303</v>
      </c>
      <c r="P2223">
        <f t="shared" si="34"/>
        <v>0</v>
      </c>
    </row>
    <row r="2224" spans="1:16" x14ac:dyDescent="0.25">
      <c r="A2224" t="s">
        <v>669</v>
      </c>
      <c r="B2224">
        <v>40.4</v>
      </c>
      <c r="C2224">
        <v>48.6</v>
      </c>
      <c r="D2224" t="s">
        <v>303</v>
      </c>
      <c r="E2224" t="s">
        <v>910</v>
      </c>
      <c r="F2224" t="s">
        <v>910</v>
      </c>
      <c r="J2224">
        <v>48.6</v>
      </c>
      <c r="K2224">
        <v>40.4</v>
      </c>
      <c r="L2224" t="s">
        <v>303</v>
      </c>
      <c r="M2224">
        <v>48.6</v>
      </c>
      <c r="N2224">
        <v>40.4</v>
      </c>
      <c r="O2224" t="s">
        <v>303</v>
      </c>
      <c r="P2224">
        <f t="shared" si="34"/>
        <v>0</v>
      </c>
    </row>
    <row r="2225" spans="1:16" x14ac:dyDescent="0.25">
      <c r="A2225" t="s">
        <v>669</v>
      </c>
      <c r="B2225">
        <v>48.88</v>
      </c>
      <c r="C2225">
        <v>48.88</v>
      </c>
      <c r="D2225" t="s">
        <v>303</v>
      </c>
      <c r="E2225" t="s">
        <v>910</v>
      </c>
      <c r="F2225" t="s">
        <v>910</v>
      </c>
      <c r="J2225">
        <v>48.88</v>
      </c>
      <c r="K2225">
        <v>48.88</v>
      </c>
      <c r="L2225" t="s">
        <v>303</v>
      </c>
      <c r="M2225">
        <v>48.88</v>
      </c>
      <c r="N2225">
        <v>48.88</v>
      </c>
      <c r="O2225" t="s">
        <v>303</v>
      </c>
      <c r="P2225">
        <f t="shared" si="34"/>
        <v>0</v>
      </c>
    </row>
    <row r="2226" spans="1:16" x14ac:dyDescent="0.25">
      <c r="A2226" t="s">
        <v>669</v>
      </c>
      <c r="B2226">
        <v>48.95</v>
      </c>
      <c r="C2226">
        <v>48.95</v>
      </c>
      <c r="D2226" t="s">
        <v>303</v>
      </c>
      <c r="E2226" t="s">
        <v>910</v>
      </c>
      <c r="F2226" t="s">
        <v>910</v>
      </c>
      <c r="J2226">
        <v>48.95</v>
      </c>
      <c r="K2226">
        <v>48.95</v>
      </c>
      <c r="L2226" t="s">
        <v>303</v>
      </c>
      <c r="M2226">
        <v>48.95</v>
      </c>
      <c r="N2226">
        <v>48.95</v>
      </c>
      <c r="O2226" t="s">
        <v>303</v>
      </c>
      <c r="P2226">
        <f t="shared" si="34"/>
        <v>0</v>
      </c>
    </row>
    <row r="2227" spans="1:16" x14ac:dyDescent="0.25">
      <c r="A2227" t="s">
        <v>188</v>
      </c>
      <c r="B2227">
        <v>46</v>
      </c>
      <c r="C2227">
        <v>49</v>
      </c>
      <c r="D2227" t="s">
        <v>303</v>
      </c>
      <c r="E2227">
        <v>28</v>
      </c>
      <c r="F2227">
        <v>28</v>
      </c>
      <c r="G2227" t="s">
        <v>688</v>
      </c>
      <c r="H2227" t="s">
        <v>688</v>
      </c>
      <c r="J2227">
        <v>49</v>
      </c>
      <c r="K2227">
        <v>46</v>
      </c>
      <c r="L2227" t="s">
        <v>303</v>
      </c>
      <c r="M2227">
        <v>49</v>
      </c>
      <c r="N2227">
        <v>46</v>
      </c>
      <c r="O2227" t="s">
        <v>303</v>
      </c>
      <c r="P2227">
        <f t="shared" si="34"/>
        <v>0</v>
      </c>
    </row>
    <row r="2228" spans="1:16" x14ac:dyDescent="0.25">
      <c r="A2228" t="s">
        <v>669</v>
      </c>
      <c r="B2228">
        <v>49.21</v>
      </c>
      <c r="C2228">
        <v>49.21</v>
      </c>
      <c r="D2228" t="s">
        <v>303</v>
      </c>
      <c r="E2228" t="s">
        <v>910</v>
      </c>
      <c r="F2228" t="s">
        <v>910</v>
      </c>
      <c r="J2228">
        <v>49.21</v>
      </c>
      <c r="K2228">
        <v>49.21</v>
      </c>
      <c r="L2228" t="s">
        <v>303</v>
      </c>
      <c r="M2228">
        <v>49.21</v>
      </c>
      <c r="N2228">
        <v>49.21</v>
      </c>
      <c r="O2228" t="s">
        <v>303</v>
      </c>
      <c r="P2228">
        <f t="shared" si="34"/>
        <v>0</v>
      </c>
    </row>
    <row r="2229" spans="1:16" x14ac:dyDescent="0.25">
      <c r="A2229" t="s">
        <v>669</v>
      </c>
      <c r="B2229">
        <v>49.72</v>
      </c>
      <c r="C2229">
        <v>49.72</v>
      </c>
      <c r="D2229" t="s">
        <v>303</v>
      </c>
      <c r="E2229" t="s">
        <v>910</v>
      </c>
      <c r="F2229" t="s">
        <v>910</v>
      </c>
      <c r="J2229">
        <v>49.72</v>
      </c>
      <c r="K2229">
        <v>49.72</v>
      </c>
      <c r="L2229" t="s">
        <v>303</v>
      </c>
      <c r="M2229">
        <v>49.72</v>
      </c>
      <c r="N2229">
        <v>49.72</v>
      </c>
      <c r="O2229" t="s">
        <v>303</v>
      </c>
      <c r="P2229">
        <f t="shared" si="34"/>
        <v>0</v>
      </c>
    </row>
    <row r="2230" spans="1:16" x14ac:dyDescent="0.25">
      <c r="A2230" t="s">
        <v>59</v>
      </c>
      <c r="B2230">
        <v>2</v>
      </c>
      <c r="C2230">
        <v>50</v>
      </c>
      <c r="D2230" t="s">
        <v>303</v>
      </c>
      <c r="E2230">
        <v>2</v>
      </c>
      <c r="F2230">
        <v>2</v>
      </c>
      <c r="G2230" t="s">
        <v>798</v>
      </c>
      <c r="H2230" t="s">
        <v>798</v>
      </c>
      <c r="J2230">
        <v>50</v>
      </c>
      <c r="K2230">
        <v>2</v>
      </c>
      <c r="L2230" t="s">
        <v>303</v>
      </c>
      <c r="M2230">
        <v>50</v>
      </c>
      <c r="N2230">
        <v>2</v>
      </c>
      <c r="O2230" t="s">
        <v>303</v>
      </c>
      <c r="P2230">
        <f t="shared" si="34"/>
        <v>0</v>
      </c>
    </row>
    <row r="2231" spans="1:16" x14ac:dyDescent="0.25">
      <c r="A2231" t="s">
        <v>669</v>
      </c>
      <c r="B2231">
        <v>0.25</v>
      </c>
      <c r="C2231">
        <v>0.25</v>
      </c>
      <c r="D2231" t="s">
        <v>862</v>
      </c>
      <c r="E2231">
        <v>5</v>
      </c>
      <c r="F2231">
        <v>5</v>
      </c>
      <c r="G2231" t="s">
        <v>684</v>
      </c>
      <c r="H2231" t="s">
        <v>684</v>
      </c>
      <c r="J2231">
        <v>250</v>
      </c>
      <c r="K2231">
        <v>250</v>
      </c>
      <c r="L2231" t="s">
        <v>931</v>
      </c>
      <c r="M2231">
        <v>0.25</v>
      </c>
      <c r="N2231">
        <v>0.25</v>
      </c>
      <c r="O2231" t="s">
        <v>862</v>
      </c>
      <c r="P2231">
        <f t="shared" si="34"/>
        <v>0</v>
      </c>
    </row>
    <row r="2232" spans="1:16" x14ac:dyDescent="0.25">
      <c r="A2232" t="s">
        <v>59</v>
      </c>
      <c r="B2232">
        <v>15</v>
      </c>
      <c r="C2232">
        <v>50</v>
      </c>
      <c r="D2232" t="s">
        <v>303</v>
      </c>
      <c r="E2232">
        <v>2</v>
      </c>
      <c r="F2232">
        <v>2</v>
      </c>
      <c r="G2232" t="s">
        <v>798</v>
      </c>
      <c r="H2232" t="s">
        <v>798</v>
      </c>
      <c r="J2232">
        <v>50</v>
      </c>
      <c r="K2232">
        <v>15</v>
      </c>
      <c r="L2232" t="s">
        <v>303</v>
      </c>
      <c r="M2232">
        <v>50</v>
      </c>
      <c r="N2232">
        <v>15</v>
      </c>
      <c r="O2232" t="s">
        <v>303</v>
      </c>
      <c r="P2232">
        <f t="shared" si="34"/>
        <v>0</v>
      </c>
    </row>
    <row r="2233" spans="1:16" x14ac:dyDescent="0.25">
      <c r="A2233" t="s">
        <v>669</v>
      </c>
      <c r="B2233">
        <v>50.02</v>
      </c>
      <c r="C2233">
        <v>50.02</v>
      </c>
      <c r="D2233" t="s">
        <v>303</v>
      </c>
      <c r="E2233" t="s">
        <v>910</v>
      </c>
      <c r="F2233" t="s">
        <v>910</v>
      </c>
      <c r="J2233">
        <v>50.02</v>
      </c>
      <c r="K2233">
        <v>50.02</v>
      </c>
      <c r="L2233" t="s">
        <v>303</v>
      </c>
      <c r="M2233">
        <v>50.02</v>
      </c>
      <c r="N2233">
        <v>50.02</v>
      </c>
      <c r="O2233" t="s">
        <v>303</v>
      </c>
      <c r="P2233">
        <f t="shared" si="34"/>
        <v>0</v>
      </c>
    </row>
    <row r="2234" spans="1:16" x14ac:dyDescent="0.25">
      <c r="A2234" s="3" t="s">
        <v>188</v>
      </c>
      <c r="B2234">
        <v>34.053049999999999</v>
      </c>
      <c r="C2234">
        <v>50.598019999999998</v>
      </c>
      <c r="D2234">
        <v>39.39</v>
      </c>
      <c r="E2234">
        <v>28</v>
      </c>
      <c r="F2234">
        <v>28</v>
      </c>
      <c r="G2234" t="s">
        <v>688</v>
      </c>
      <c r="H2234" t="s">
        <v>688</v>
      </c>
      <c r="J2234">
        <v>50.598019999999998</v>
      </c>
      <c r="K2234">
        <v>34.053049999999999</v>
      </c>
      <c r="L2234" t="s">
        <v>303</v>
      </c>
      <c r="M2234">
        <v>50.598019999999998</v>
      </c>
      <c r="N2234">
        <v>34.053049999999999</v>
      </c>
      <c r="O2234" t="s">
        <v>303</v>
      </c>
      <c r="P2234">
        <f t="shared" si="34"/>
        <v>0</v>
      </c>
    </row>
    <row r="2235" spans="1:16" x14ac:dyDescent="0.25">
      <c r="A2235" t="s">
        <v>669</v>
      </c>
      <c r="B2235">
        <v>50.8</v>
      </c>
      <c r="C2235">
        <v>50.8</v>
      </c>
      <c r="D2235" t="s">
        <v>303</v>
      </c>
      <c r="E2235" t="s">
        <v>910</v>
      </c>
      <c r="F2235" t="s">
        <v>910</v>
      </c>
      <c r="J2235">
        <v>50.8</v>
      </c>
      <c r="K2235">
        <v>50.8</v>
      </c>
      <c r="L2235" t="s">
        <v>303</v>
      </c>
      <c r="M2235">
        <v>50.8</v>
      </c>
      <c r="N2235">
        <v>50.8</v>
      </c>
      <c r="O2235" t="s">
        <v>303</v>
      </c>
      <c r="P2235">
        <f t="shared" si="34"/>
        <v>0</v>
      </c>
    </row>
    <row r="2236" spans="1:16" x14ac:dyDescent="0.25">
      <c r="A2236" t="s">
        <v>669</v>
      </c>
      <c r="B2236">
        <v>50.9</v>
      </c>
      <c r="C2236">
        <v>50.9</v>
      </c>
      <c r="D2236" t="s">
        <v>303</v>
      </c>
      <c r="E2236" t="s">
        <v>910</v>
      </c>
      <c r="F2236" t="s">
        <v>910</v>
      </c>
      <c r="J2236">
        <v>50.9</v>
      </c>
      <c r="K2236">
        <v>50.9</v>
      </c>
      <c r="L2236" t="s">
        <v>303</v>
      </c>
      <c r="M2236">
        <v>50.9</v>
      </c>
      <c r="N2236">
        <v>50.9</v>
      </c>
      <c r="O2236" t="s">
        <v>303</v>
      </c>
      <c r="P2236">
        <f t="shared" si="34"/>
        <v>0</v>
      </c>
    </row>
    <row r="2237" spans="1:16" x14ac:dyDescent="0.25">
      <c r="A2237" t="s">
        <v>669</v>
      </c>
      <c r="B2237" s="6">
        <v>50.943816901408397</v>
      </c>
      <c r="C2237" s="6">
        <v>50.943816901408397</v>
      </c>
      <c r="D2237" t="s">
        <v>303</v>
      </c>
      <c r="E2237" t="s">
        <v>910</v>
      </c>
      <c r="F2237" t="s">
        <v>910</v>
      </c>
      <c r="J2237">
        <v>50.943816901408397</v>
      </c>
      <c r="K2237">
        <v>50.943816901408397</v>
      </c>
      <c r="L2237" t="s">
        <v>303</v>
      </c>
      <c r="M2237">
        <v>50.943816901408397</v>
      </c>
      <c r="N2237">
        <v>50.943816901408397</v>
      </c>
      <c r="O2237" t="s">
        <v>303</v>
      </c>
      <c r="P2237">
        <f t="shared" si="34"/>
        <v>0</v>
      </c>
    </row>
    <row r="2238" spans="1:16" x14ac:dyDescent="0.25">
      <c r="A2238" s="3" t="s">
        <v>188</v>
      </c>
      <c r="B2238">
        <v>34.603580000000001</v>
      </c>
      <c r="C2238">
        <v>50.981189999999998</v>
      </c>
      <c r="D2238">
        <v>37.83</v>
      </c>
      <c r="E2238">
        <v>28</v>
      </c>
      <c r="F2238">
        <v>28</v>
      </c>
      <c r="G2238" t="s">
        <v>688</v>
      </c>
      <c r="H2238" t="s">
        <v>688</v>
      </c>
      <c r="J2238">
        <v>50.981189999999998</v>
      </c>
      <c r="K2238">
        <v>34.603580000000001</v>
      </c>
      <c r="L2238" t="s">
        <v>303</v>
      </c>
      <c r="M2238">
        <v>50.981189999999998</v>
      </c>
      <c r="N2238">
        <v>34.603580000000001</v>
      </c>
      <c r="O2238" t="s">
        <v>303</v>
      </c>
      <c r="P2238">
        <f t="shared" si="34"/>
        <v>0</v>
      </c>
    </row>
    <row r="2239" spans="1:16" x14ac:dyDescent="0.25">
      <c r="A2239" t="s">
        <v>669</v>
      </c>
      <c r="B2239">
        <v>51.02</v>
      </c>
      <c r="C2239">
        <v>51.02</v>
      </c>
      <c r="D2239" t="s">
        <v>303</v>
      </c>
      <c r="E2239" t="s">
        <v>910</v>
      </c>
      <c r="F2239" t="s">
        <v>910</v>
      </c>
      <c r="J2239">
        <v>51.02</v>
      </c>
      <c r="K2239">
        <v>51.02</v>
      </c>
      <c r="L2239" t="s">
        <v>303</v>
      </c>
      <c r="M2239">
        <v>51.02</v>
      </c>
      <c r="N2239">
        <v>51.02</v>
      </c>
      <c r="O2239" t="s">
        <v>303</v>
      </c>
      <c r="P2239">
        <f t="shared" si="34"/>
        <v>0</v>
      </c>
    </row>
    <row r="2240" spans="1:16" x14ac:dyDescent="0.25">
      <c r="A2240" t="s">
        <v>669</v>
      </c>
      <c r="B2240">
        <v>51.31</v>
      </c>
      <c r="C2240">
        <v>51.31</v>
      </c>
      <c r="D2240" t="s">
        <v>303</v>
      </c>
      <c r="E2240" t="s">
        <v>910</v>
      </c>
      <c r="F2240" t="s">
        <v>910</v>
      </c>
      <c r="J2240">
        <v>51.31</v>
      </c>
      <c r="K2240">
        <v>51.31</v>
      </c>
      <c r="L2240" t="s">
        <v>303</v>
      </c>
      <c r="M2240">
        <v>51.31</v>
      </c>
      <c r="N2240">
        <v>51.31</v>
      </c>
      <c r="O2240" t="s">
        <v>303</v>
      </c>
      <c r="P2240">
        <f t="shared" si="34"/>
        <v>0</v>
      </c>
    </row>
    <row r="2241" spans="1:16" x14ac:dyDescent="0.25">
      <c r="A2241" t="s">
        <v>669</v>
      </c>
      <c r="B2241">
        <v>51.76</v>
      </c>
      <c r="C2241">
        <v>51.76</v>
      </c>
      <c r="D2241" t="s">
        <v>303</v>
      </c>
      <c r="E2241" t="s">
        <v>910</v>
      </c>
      <c r="F2241" t="s">
        <v>910</v>
      </c>
      <c r="J2241">
        <v>51.76</v>
      </c>
      <c r="K2241">
        <v>51.76</v>
      </c>
      <c r="L2241" t="s">
        <v>303</v>
      </c>
      <c r="M2241">
        <v>51.76</v>
      </c>
      <c r="N2241">
        <v>51.76</v>
      </c>
      <c r="O2241" t="s">
        <v>303</v>
      </c>
      <c r="P2241">
        <f t="shared" si="34"/>
        <v>0</v>
      </c>
    </row>
    <row r="2242" spans="1:16" x14ac:dyDescent="0.25">
      <c r="A2242" t="s">
        <v>188</v>
      </c>
      <c r="B2242">
        <v>49</v>
      </c>
      <c r="C2242">
        <v>52</v>
      </c>
      <c r="D2242" t="s">
        <v>303</v>
      </c>
      <c r="E2242">
        <v>28</v>
      </c>
      <c r="F2242">
        <v>28</v>
      </c>
      <c r="G2242" t="s">
        <v>688</v>
      </c>
      <c r="H2242" t="s">
        <v>688</v>
      </c>
      <c r="J2242">
        <v>52</v>
      </c>
      <c r="K2242">
        <v>49</v>
      </c>
      <c r="L2242" t="s">
        <v>303</v>
      </c>
      <c r="M2242">
        <v>52</v>
      </c>
      <c r="N2242">
        <v>49</v>
      </c>
      <c r="O2242" t="s">
        <v>303</v>
      </c>
      <c r="P2242">
        <f t="shared" si="34"/>
        <v>0</v>
      </c>
    </row>
    <row r="2243" spans="1:16" x14ac:dyDescent="0.25">
      <c r="A2243" t="s">
        <v>188</v>
      </c>
      <c r="B2243">
        <v>50</v>
      </c>
      <c r="C2243">
        <v>52</v>
      </c>
      <c r="D2243" t="s">
        <v>303</v>
      </c>
      <c r="E2243">
        <v>28</v>
      </c>
      <c r="F2243">
        <v>28</v>
      </c>
      <c r="G2243" t="s">
        <v>688</v>
      </c>
      <c r="H2243" t="s">
        <v>688</v>
      </c>
      <c r="J2243">
        <v>52</v>
      </c>
      <c r="K2243">
        <v>50</v>
      </c>
      <c r="L2243" t="s">
        <v>303</v>
      </c>
      <c r="M2243">
        <v>52</v>
      </c>
      <c r="N2243">
        <v>50</v>
      </c>
      <c r="O2243" t="s">
        <v>303</v>
      </c>
      <c r="P2243">
        <f t="shared" ref="P2243:P2306" si="35">LEN(I2243)</f>
        <v>0</v>
      </c>
    </row>
    <row r="2244" spans="1:16" x14ac:dyDescent="0.25">
      <c r="A2244" t="s">
        <v>669</v>
      </c>
      <c r="B2244">
        <v>52.11</v>
      </c>
      <c r="C2244">
        <v>52.11</v>
      </c>
      <c r="D2244" t="s">
        <v>303</v>
      </c>
      <c r="E2244" t="s">
        <v>910</v>
      </c>
      <c r="F2244" t="s">
        <v>910</v>
      </c>
      <c r="J2244">
        <v>52.11</v>
      </c>
      <c r="K2244">
        <v>52.11</v>
      </c>
      <c r="L2244" t="s">
        <v>303</v>
      </c>
      <c r="M2244">
        <v>52.11</v>
      </c>
      <c r="N2244">
        <v>52.11</v>
      </c>
      <c r="O2244" t="s">
        <v>303</v>
      </c>
      <c r="P2244">
        <f t="shared" si="35"/>
        <v>0</v>
      </c>
    </row>
    <row r="2245" spans="1:16" x14ac:dyDescent="0.25">
      <c r="A2245" t="s">
        <v>669</v>
      </c>
      <c r="B2245">
        <v>52.15</v>
      </c>
      <c r="C2245">
        <v>52.15</v>
      </c>
      <c r="D2245" t="s">
        <v>303</v>
      </c>
      <c r="E2245" t="s">
        <v>910</v>
      </c>
      <c r="F2245" t="s">
        <v>910</v>
      </c>
      <c r="J2245">
        <v>52.15</v>
      </c>
      <c r="K2245">
        <v>52.15</v>
      </c>
      <c r="L2245" t="s">
        <v>303</v>
      </c>
      <c r="M2245">
        <v>52.15</v>
      </c>
      <c r="N2245">
        <v>52.15</v>
      </c>
      <c r="O2245" t="s">
        <v>303</v>
      </c>
      <c r="P2245">
        <f t="shared" si="35"/>
        <v>0</v>
      </c>
    </row>
    <row r="2246" spans="1:16" x14ac:dyDescent="0.25">
      <c r="A2246" t="s">
        <v>669</v>
      </c>
      <c r="B2246">
        <v>52.28</v>
      </c>
      <c r="C2246">
        <v>52.28</v>
      </c>
      <c r="D2246" t="s">
        <v>303</v>
      </c>
      <c r="E2246" t="s">
        <v>910</v>
      </c>
      <c r="F2246" t="s">
        <v>910</v>
      </c>
      <c r="J2246">
        <v>52.28</v>
      </c>
      <c r="K2246">
        <v>52.28</v>
      </c>
      <c r="L2246" t="s">
        <v>303</v>
      </c>
      <c r="M2246">
        <v>52.28</v>
      </c>
      <c r="N2246">
        <v>52.28</v>
      </c>
      <c r="O2246" t="s">
        <v>303</v>
      </c>
      <c r="P2246">
        <f t="shared" si="35"/>
        <v>0</v>
      </c>
    </row>
    <row r="2247" spans="1:16" x14ac:dyDescent="0.25">
      <c r="A2247" t="s">
        <v>669</v>
      </c>
      <c r="B2247">
        <v>52.34</v>
      </c>
      <c r="C2247">
        <v>52.34</v>
      </c>
      <c r="D2247" t="s">
        <v>303</v>
      </c>
      <c r="E2247" t="s">
        <v>910</v>
      </c>
      <c r="F2247" t="s">
        <v>910</v>
      </c>
      <c r="J2247">
        <v>52.34</v>
      </c>
      <c r="K2247">
        <v>52.34</v>
      </c>
      <c r="L2247" t="s">
        <v>303</v>
      </c>
      <c r="M2247">
        <v>52.34</v>
      </c>
      <c r="N2247">
        <v>52.34</v>
      </c>
      <c r="O2247" t="s">
        <v>303</v>
      </c>
      <c r="P2247">
        <f t="shared" si="35"/>
        <v>0</v>
      </c>
    </row>
    <row r="2248" spans="1:16" x14ac:dyDescent="0.25">
      <c r="A2248" t="s">
        <v>669</v>
      </c>
      <c r="B2248" s="6">
        <v>52.340297709923497</v>
      </c>
      <c r="C2248" s="6">
        <v>52.340297709923497</v>
      </c>
      <c r="D2248" t="s">
        <v>303</v>
      </c>
      <c r="E2248" t="s">
        <v>910</v>
      </c>
      <c r="F2248" t="s">
        <v>910</v>
      </c>
      <c r="J2248">
        <v>52.340297709923497</v>
      </c>
      <c r="K2248">
        <v>52.340297709923497</v>
      </c>
      <c r="L2248" t="s">
        <v>303</v>
      </c>
      <c r="M2248">
        <v>52.340297709923497</v>
      </c>
      <c r="N2248">
        <v>52.340297709923497</v>
      </c>
      <c r="O2248" t="s">
        <v>303</v>
      </c>
      <c r="P2248">
        <f t="shared" si="35"/>
        <v>0</v>
      </c>
    </row>
    <row r="2249" spans="1:16" x14ac:dyDescent="0.25">
      <c r="A2249" t="s">
        <v>669</v>
      </c>
      <c r="B2249">
        <v>52.56</v>
      </c>
      <c r="C2249">
        <v>52.56</v>
      </c>
      <c r="D2249" t="s">
        <v>303</v>
      </c>
      <c r="E2249" t="s">
        <v>910</v>
      </c>
      <c r="F2249" t="s">
        <v>910</v>
      </c>
      <c r="J2249">
        <v>52.56</v>
      </c>
      <c r="K2249">
        <v>52.56</v>
      </c>
      <c r="L2249" t="s">
        <v>303</v>
      </c>
      <c r="M2249">
        <v>52.56</v>
      </c>
      <c r="N2249">
        <v>52.56</v>
      </c>
      <c r="O2249" t="s">
        <v>303</v>
      </c>
      <c r="P2249">
        <f t="shared" si="35"/>
        <v>0</v>
      </c>
    </row>
    <row r="2250" spans="1:16" x14ac:dyDescent="0.25">
      <c r="A2250" t="s">
        <v>669</v>
      </c>
      <c r="B2250" s="6">
        <v>52.630361290322497</v>
      </c>
      <c r="C2250" s="6">
        <v>52.630361290322497</v>
      </c>
      <c r="D2250" t="s">
        <v>303</v>
      </c>
      <c r="E2250" t="s">
        <v>910</v>
      </c>
      <c r="F2250" t="s">
        <v>910</v>
      </c>
      <c r="J2250">
        <v>52.630361290322497</v>
      </c>
      <c r="K2250">
        <v>52.630361290322497</v>
      </c>
      <c r="L2250" t="s">
        <v>303</v>
      </c>
      <c r="M2250">
        <v>52.630361290322497</v>
      </c>
      <c r="N2250">
        <v>52.630361290322497</v>
      </c>
      <c r="O2250" t="s">
        <v>303</v>
      </c>
      <c r="P2250">
        <f t="shared" si="35"/>
        <v>0</v>
      </c>
    </row>
    <row r="2251" spans="1:16" x14ac:dyDescent="0.25">
      <c r="A2251" t="s">
        <v>669</v>
      </c>
      <c r="B2251">
        <v>52.69</v>
      </c>
      <c r="C2251">
        <v>52.69</v>
      </c>
      <c r="D2251" t="s">
        <v>303</v>
      </c>
      <c r="E2251" t="s">
        <v>910</v>
      </c>
      <c r="F2251" t="s">
        <v>910</v>
      </c>
      <c r="J2251">
        <v>52.69</v>
      </c>
      <c r="K2251">
        <v>52.69</v>
      </c>
      <c r="L2251" t="s">
        <v>303</v>
      </c>
      <c r="M2251">
        <v>52.69</v>
      </c>
      <c r="N2251">
        <v>52.69</v>
      </c>
      <c r="O2251" t="s">
        <v>303</v>
      </c>
      <c r="P2251">
        <f t="shared" si="35"/>
        <v>0</v>
      </c>
    </row>
    <row r="2252" spans="1:16" x14ac:dyDescent="0.25">
      <c r="A2252" t="s">
        <v>167</v>
      </c>
      <c r="B2252">
        <v>49</v>
      </c>
      <c r="C2252">
        <v>53</v>
      </c>
      <c r="D2252" t="s">
        <v>303</v>
      </c>
      <c r="E2252">
        <v>32</v>
      </c>
      <c r="F2252">
        <v>32</v>
      </c>
      <c r="G2252" t="s">
        <v>696</v>
      </c>
      <c r="H2252" t="s">
        <v>696</v>
      </c>
      <c r="J2252">
        <v>53</v>
      </c>
      <c r="K2252">
        <v>49</v>
      </c>
      <c r="L2252" t="s">
        <v>303</v>
      </c>
      <c r="M2252">
        <v>53</v>
      </c>
      <c r="N2252">
        <v>49</v>
      </c>
      <c r="O2252" t="s">
        <v>303</v>
      </c>
      <c r="P2252">
        <f t="shared" si="35"/>
        <v>0</v>
      </c>
    </row>
    <row r="2253" spans="1:16" x14ac:dyDescent="0.25">
      <c r="A2253" t="s">
        <v>669</v>
      </c>
      <c r="B2253" s="6">
        <v>53.148286021505399</v>
      </c>
      <c r="C2253" s="6">
        <v>53.148286021505399</v>
      </c>
      <c r="D2253" t="s">
        <v>303</v>
      </c>
      <c r="E2253" t="s">
        <v>910</v>
      </c>
      <c r="F2253" t="s">
        <v>910</v>
      </c>
      <c r="J2253">
        <v>53.148286021505399</v>
      </c>
      <c r="K2253">
        <v>53.148286021505399</v>
      </c>
      <c r="L2253" t="s">
        <v>303</v>
      </c>
      <c r="M2253">
        <v>53.148286021505399</v>
      </c>
      <c r="N2253">
        <v>53.148286021505399</v>
      </c>
      <c r="O2253" t="s">
        <v>303</v>
      </c>
      <c r="P2253">
        <f t="shared" si="35"/>
        <v>0</v>
      </c>
    </row>
    <row r="2254" spans="1:16" x14ac:dyDescent="0.25">
      <c r="A2254" t="s">
        <v>669</v>
      </c>
      <c r="B2254">
        <v>53.15</v>
      </c>
      <c r="C2254">
        <v>53.15</v>
      </c>
      <c r="D2254" t="s">
        <v>303</v>
      </c>
      <c r="E2254" t="s">
        <v>910</v>
      </c>
      <c r="F2254" t="s">
        <v>910</v>
      </c>
      <c r="J2254">
        <v>53.15</v>
      </c>
      <c r="K2254">
        <v>53.15</v>
      </c>
      <c r="L2254" t="s">
        <v>303</v>
      </c>
      <c r="M2254">
        <v>53.15</v>
      </c>
      <c r="N2254">
        <v>53.15</v>
      </c>
      <c r="O2254" t="s">
        <v>303</v>
      </c>
      <c r="P2254">
        <f t="shared" si="35"/>
        <v>0</v>
      </c>
    </row>
    <row r="2255" spans="1:16" x14ac:dyDescent="0.25">
      <c r="A2255" t="s">
        <v>669</v>
      </c>
      <c r="B2255">
        <v>53.26</v>
      </c>
      <c r="C2255">
        <v>53.26</v>
      </c>
      <c r="D2255" t="s">
        <v>303</v>
      </c>
      <c r="E2255" t="s">
        <v>910</v>
      </c>
      <c r="F2255" t="s">
        <v>910</v>
      </c>
      <c r="J2255">
        <v>53.26</v>
      </c>
      <c r="K2255">
        <v>53.26</v>
      </c>
      <c r="L2255" t="s">
        <v>303</v>
      </c>
      <c r="M2255">
        <v>53.26</v>
      </c>
      <c r="N2255">
        <v>53.26</v>
      </c>
      <c r="O2255" t="s">
        <v>303</v>
      </c>
      <c r="P2255">
        <f t="shared" si="35"/>
        <v>0</v>
      </c>
    </row>
    <row r="2256" spans="1:16" x14ac:dyDescent="0.25">
      <c r="A2256" t="s">
        <v>669</v>
      </c>
      <c r="B2256">
        <v>53.33</v>
      </c>
      <c r="C2256">
        <v>53.33</v>
      </c>
      <c r="D2256" t="s">
        <v>303</v>
      </c>
      <c r="E2256" t="s">
        <v>910</v>
      </c>
      <c r="F2256" t="s">
        <v>910</v>
      </c>
      <c r="J2256">
        <v>53.33</v>
      </c>
      <c r="K2256">
        <v>53.33</v>
      </c>
      <c r="L2256" t="s">
        <v>303</v>
      </c>
      <c r="M2256">
        <v>53.33</v>
      </c>
      <c r="N2256">
        <v>53.33</v>
      </c>
      <c r="O2256" t="s">
        <v>303</v>
      </c>
      <c r="P2256">
        <f t="shared" si="35"/>
        <v>0</v>
      </c>
    </row>
    <row r="2257" spans="1:16" x14ac:dyDescent="0.25">
      <c r="A2257" t="s">
        <v>669</v>
      </c>
      <c r="B2257">
        <v>53.42</v>
      </c>
      <c r="C2257">
        <v>53.42</v>
      </c>
      <c r="D2257" t="s">
        <v>303</v>
      </c>
      <c r="E2257" t="s">
        <v>910</v>
      </c>
      <c r="F2257" t="s">
        <v>910</v>
      </c>
      <c r="J2257">
        <v>53.42</v>
      </c>
      <c r="K2257">
        <v>53.42</v>
      </c>
      <c r="L2257" t="s">
        <v>303</v>
      </c>
      <c r="M2257">
        <v>53.42</v>
      </c>
      <c r="N2257">
        <v>53.42</v>
      </c>
      <c r="O2257" t="s">
        <v>303</v>
      </c>
      <c r="P2257">
        <f t="shared" si="35"/>
        <v>0</v>
      </c>
    </row>
    <row r="2258" spans="1:16" x14ac:dyDescent="0.25">
      <c r="A2258" t="s">
        <v>669</v>
      </c>
      <c r="B2258" s="6">
        <v>53.4256983240222</v>
      </c>
      <c r="C2258" s="6">
        <v>53.4256983240222</v>
      </c>
      <c r="D2258" t="s">
        <v>303</v>
      </c>
      <c r="E2258" t="s">
        <v>910</v>
      </c>
      <c r="F2258" t="s">
        <v>910</v>
      </c>
      <c r="J2258">
        <v>53.4256983240222</v>
      </c>
      <c r="K2258">
        <v>53.4256983240222</v>
      </c>
      <c r="L2258" t="s">
        <v>303</v>
      </c>
      <c r="M2258">
        <v>53.4256983240222</v>
      </c>
      <c r="N2258">
        <v>53.4256983240222</v>
      </c>
      <c r="O2258" t="s">
        <v>303</v>
      </c>
      <c r="P2258">
        <f t="shared" si="35"/>
        <v>0</v>
      </c>
    </row>
    <row r="2259" spans="1:16" x14ac:dyDescent="0.25">
      <c r="A2259" t="s">
        <v>669</v>
      </c>
      <c r="B2259">
        <v>53.52</v>
      </c>
      <c r="C2259">
        <v>53.52</v>
      </c>
      <c r="D2259" t="s">
        <v>303</v>
      </c>
      <c r="E2259" t="s">
        <v>910</v>
      </c>
      <c r="F2259" t="s">
        <v>910</v>
      </c>
      <c r="J2259">
        <v>53.52</v>
      </c>
      <c r="K2259">
        <v>53.52</v>
      </c>
      <c r="L2259" t="s">
        <v>303</v>
      </c>
      <c r="M2259">
        <v>53.52</v>
      </c>
      <c r="N2259">
        <v>53.52</v>
      </c>
      <c r="O2259" t="s">
        <v>303</v>
      </c>
      <c r="P2259">
        <f t="shared" si="35"/>
        <v>0</v>
      </c>
    </row>
    <row r="2260" spans="1:16" x14ac:dyDescent="0.25">
      <c r="A2260" t="s">
        <v>669</v>
      </c>
      <c r="B2260" s="6">
        <v>53.534636871508297</v>
      </c>
      <c r="C2260" s="6">
        <v>53.534636871508297</v>
      </c>
      <c r="D2260" t="s">
        <v>303</v>
      </c>
      <c r="E2260" t="s">
        <v>910</v>
      </c>
      <c r="F2260" t="s">
        <v>910</v>
      </c>
      <c r="J2260">
        <v>53.534636871508297</v>
      </c>
      <c r="K2260">
        <v>53.534636871508297</v>
      </c>
      <c r="L2260" t="s">
        <v>303</v>
      </c>
      <c r="M2260">
        <v>53.534636871508297</v>
      </c>
      <c r="N2260">
        <v>53.534636871508297</v>
      </c>
      <c r="O2260" t="s">
        <v>303</v>
      </c>
      <c r="P2260">
        <f t="shared" si="35"/>
        <v>0</v>
      </c>
    </row>
    <row r="2261" spans="1:16" x14ac:dyDescent="0.25">
      <c r="A2261" t="s">
        <v>669</v>
      </c>
      <c r="B2261">
        <v>53.6</v>
      </c>
      <c r="C2261">
        <v>53.6</v>
      </c>
      <c r="D2261" t="s">
        <v>303</v>
      </c>
      <c r="E2261" t="s">
        <v>910</v>
      </c>
      <c r="F2261" t="s">
        <v>910</v>
      </c>
      <c r="J2261">
        <v>53.6</v>
      </c>
      <c r="K2261">
        <v>53.6</v>
      </c>
      <c r="L2261" t="s">
        <v>303</v>
      </c>
      <c r="M2261">
        <v>53.6</v>
      </c>
      <c r="N2261">
        <v>53.6</v>
      </c>
      <c r="O2261" t="s">
        <v>303</v>
      </c>
      <c r="P2261">
        <f t="shared" si="35"/>
        <v>0</v>
      </c>
    </row>
    <row r="2262" spans="1:16" x14ac:dyDescent="0.25">
      <c r="A2262" t="s">
        <v>669</v>
      </c>
      <c r="B2262">
        <v>53.62</v>
      </c>
      <c r="C2262">
        <v>53.62</v>
      </c>
      <c r="D2262" t="s">
        <v>303</v>
      </c>
      <c r="E2262" t="s">
        <v>910</v>
      </c>
      <c r="F2262" t="s">
        <v>910</v>
      </c>
      <c r="J2262">
        <v>53.62</v>
      </c>
      <c r="K2262">
        <v>53.62</v>
      </c>
      <c r="L2262" t="s">
        <v>303</v>
      </c>
      <c r="M2262">
        <v>53.62</v>
      </c>
      <c r="N2262">
        <v>53.62</v>
      </c>
      <c r="O2262" t="s">
        <v>303</v>
      </c>
      <c r="P2262">
        <f t="shared" si="35"/>
        <v>0</v>
      </c>
    </row>
    <row r="2263" spans="1:16" x14ac:dyDescent="0.25">
      <c r="A2263" t="s">
        <v>669</v>
      </c>
      <c r="B2263">
        <v>53.63</v>
      </c>
      <c r="C2263">
        <v>53.63</v>
      </c>
      <c r="D2263" t="s">
        <v>303</v>
      </c>
      <c r="E2263" t="s">
        <v>910</v>
      </c>
      <c r="F2263" t="s">
        <v>910</v>
      </c>
      <c r="J2263">
        <v>53.63</v>
      </c>
      <c r="K2263">
        <v>53.63</v>
      </c>
      <c r="L2263" t="s">
        <v>303</v>
      </c>
      <c r="M2263">
        <v>53.63</v>
      </c>
      <c r="N2263">
        <v>53.63</v>
      </c>
      <c r="O2263" t="s">
        <v>303</v>
      </c>
      <c r="P2263">
        <f t="shared" si="35"/>
        <v>0</v>
      </c>
    </row>
    <row r="2264" spans="1:16" x14ac:dyDescent="0.25">
      <c r="A2264" t="s">
        <v>669</v>
      </c>
      <c r="B2264" s="6">
        <v>53.665363128491599</v>
      </c>
      <c r="C2264" s="6">
        <v>53.665363128491599</v>
      </c>
      <c r="D2264" t="s">
        <v>303</v>
      </c>
      <c r="E2264" t="s">
        <v>910</v>
      </c>
      <c r="F2264" t="s">
        <v>910</v>
      </c>
      <c r="J2264">
        <v>53.665363128491599</v>
      </c>
      <c r="K2264">
        <v>53.665363128491599</v>
      </c>
      <c r="L2264" t="s">
        <v>303</v>
      </c>
      <c r="M2264">
        <v>53.665363128491599</v>
      </c>
      <c r="N2264">
        <v>53.665363128491599</v>
      </c>
      <c r="O2264" t="s">
        <v>303</v>
      </c>
      <c r="P2264">
        <f t="shared" si="35"/>
        <v>0</v>
      </c>
    </row>
    <row r="2265" spans="1:16" x14ac:dyDescent="0.25">
      <c r="A2265" t="s">
        <v>669</v>
      </c>
      <c r="B2265">
        <v>53.67</v>
      </c>
      <c r="C2265">
        <v>53.67</v>
      </c>
      <c r="D2265" t="s">
        <v>303</v>
      </c>
      <c r="E2265" t="s">
        <v>910</v>
      </c>
      <c r="F2265" t="s">
        <v>910</v>
      </c>
      <c r="J2265">
        <v>53.67</v>
      </c>
      <c r="K2265">
        <v>53.67</v>
      </c>
      <c r="L2265" t="s">
        <v>303</v>
      </c>
      <c r="M2265">
        <v>53.67</v>
      </c>
      <c r="N2265">
        <v>53.67</v>
      </c>
      <c r="O2265" t="s">
        <v>303</v>
      </c>
      <c r="P2265">
        <f t="shared" si="35"/>
        <v>0</v>
      </c>
    </row>
    <row r="2266" spans="1:16" x14ac:dyDescent="0.25">
      <c r="A2266" t="s">
        <v>669</v>
      </c>
      <c r="B2266">
        <v>53.72</v>
      </c>
      <c r="C2266">
        <v>53.72</v>
      </c>
      <c r="D2266" t="s">
        <v>303</v>
      </c>
      <c r="E2266" t="s">
        <v>910</v>
      </c>
      <c r="F2266" t="s">
        <v>910</v>
      </c>
      <c r="J2266">
        <v>53.72</v>
      </c>
      <c r="K2266">
        <v>53.72</v>
      </c>
      <c r="L2266" t="s">
        <v>303</v>
      </c>
      <c r="M2266">
        <v>53.72</v>
      </c>
      <c r="N2266">
        <v>53.72</v>
      </c>
      <c r="O2266" t="s">
        <v>303</v>
      </c>
      <c r="P2266">
        <f t="shared" si="35"/>
        <v>0</v>
      </c>
    </row>
    <row r="2267" spans="1:16" x14ac:dyDescent="0.25">
      <c r="A2267" t="s">
        <v>669</v>
      </c>
      <c r="B2267" s="6">
        <v>53.748803827751097</v>
      </c>
      <c r="C2267" s="6">
        <v>53.748803827751097</v>
      </c>
      <c r="D2267" t="s">
        <v>303</v>
      </c>
      <c r="E2267" t="s">
        <v>910</v>
      </c>
      <c r="F2267" t="s">
        <v>910</v>
      </c>
      <c r="J2267">
        <v>53.748803827751097</v>
      </c>
      <c r="K2267">
        <v>53.748803827751097</v>
      </c>
      <c r="L2267" t="s">
        <v>303</v>
      </c>
      <c r="M2267">
        <v>53.748803827751097</v>
      </c>
      <c r="N2267">
        <v>53.748803827751097</v>
      </c>
      <c r="O2267" t="s">
        <v>303</v>
      </c>
      <c r="P2267">
        <f t="shared" si="35"/>
        <v>0</v>
      </c>
    </row>
    <row r="2268" spans="1:16" x14ac:dyDescent="0.25">
      <c r="A2268" t="s">
        <v>669</v>
      </c>
      <c r="B2268">
        <v>53.8</v>
      </c>
      <c r="C2268">
        <v>53.8</v>
      </c>
      <c r="D2268" t="s">
        <v>303</v>
      </c>
      <c r="E2268" t="s">
        <v>910</v>
      </c>
      <c r="F2268" t="s">
        <v>910</v>
      </c>
      <c r="J2268">
        <v>53.8</v>
      </c>
      <c r="K2268">
        <v>53.8</v>
      </c>
      <c r="L2268" t="s">
        <v>303</v>
      </c>
      <c r="M2268">
        <v>53.8</v>
      </c>
      <c r="N2268">
        <v>53.8</v>
      </c>
      <c r="O2268" t="s">
        <v>303</v>
      </c>
      <c r="P2268">
        <f t="shared" si="35"/>
        <v>0</v>
      </c>
    </row>
    <row r="2269" spans="1:16" x14ac:dyDescent="0.25">
      <c r="A2269" t="s">
        <v>669</v>
      </c>
      <c r="B2269">
        <v>53.82</v>
      </c>
      <c r="C2269">
        <v>53.82</v>
      </c>
      <c r="D2269" t="s">
        <v>303</v>
      </c>
      <c r="E2269" t="s">
        <v>910</v>
      </c>
      <c r="F2269" t="s">
        <v>910</v>
      </c>
      <c r="J2269">
        <v>53.82</v>
      </c>
      <c r="K2269">
        <v>53.82</v>
      </c>
      <c r="L2269" t="s">
        <v>303</v>
      </c>
      <c r="M2269">
        <v>53.82</v>
      </c>
      <c r="N2269">
        <v>53.82</v>
      </c>
      <c r="O2269" t="s">
        <v>303</v>
      </c>
      <c r="P2269">
        <f t="shared" si="35"/>
        <v>0</v>
      </c>
    </row>
    <row r="2270" spans="1:16" x14ac:dyDescent="0.25">
      <c r="A2270" t="s">
        <v>669</v>
      </c>
      <c r="B2270" s="6">
        <v>53.885645933014402</v>
      </c>
      <c r="C2270" s="6">
        <v>53.885645933014402</v>
      </c>
      <c r="D2270" t="s">
        <v>303</v>
      </c>
      <c r="E2270" t="s">
        <v>910</v>
      </c>
      <c r="F2270" t="s">
        <v>910</v>
      </c>
      <c r="J2270">
        <v>53.885645933014402</v>
      </c>
      <c r="K2270">
        <v>53.885645933014402</v>
      </c>
      <c r="L2270" t="s">
        <v>303</v>
      </c>
      <c r="M2270">
        <v>53.885645933014402</v>
      </c>
      <c r="N2270">
        <v>53.885645933014402</v>
      </c>
      <c r="O2270" t="s">
        <v>303</v>
      </c>
      <c r="P2270">
        <f t="shared" si="35"/>
        <v>0</v>
      </c>
    </row>
    <row r="2271" spans="1:16" x14ac:dyDescent="0.25">
      <c r="A2271" t="s">
        <v>669</v>
      </c>
      <c r="B2271">
        <v>53.892822966507303</v>
      </c>
      <c r="C2271">
        <v>53.892822966507303</v>
      </c>
      <c r="D2271" t="s">
        <v>303</v>
      </c>
      <c r="E2271" t="s">
        <v>910</v>
      </c>
      <c r="F2271" t="s">
        <v>910</v>
      </c>
      <c r="J2271">
        <v>53.892822966507303</v>
      </c>
      <c r="K2271">
        <v>53.892822966507303</v>
      </c>
      <c r="L2271" t="s">
        <v>303</v>
      </c>
      <c r="M2271">
        <v>53.892822966507303</v>
      </c>
      <c r="N2271">
        <v>53.892822966507303</v>
      </c>
      <c r="O2271" t="s">
        <v>303</v>
      </c>
      <c r="P2271">
        <f t="shared" si="35"/>
        <v>0</v>
      </c>
    </row>
    <row r="2272" spans="1:16" x14ac:dyDescent="0.25">
      <c r="A2272" t="s">
        <v>167</v>
      </c>
      <c r="B2272">
        <v>50</v>
      </c>
      <c r="C2272">
        <v>54</v>
      </c>
      <c r="D2272" t="s">
        <v>303</v>
      </c>
      <c r="E2272">
        <v>32</v>
      </c>
      <c r="F2272">
        <v>32</v>
      </c>
      <c r="G2272" t="s">
        <v>696</v>
      </c>
      <c r="H2272" t="s">
        <v>696</v>
      </c>
      <c r="J2272">
        <v>54</v>
      </c>
      <c r="K2272">
        <v>50</v>
      </c>
      <c r="L2272" t="s">
        <v>303</v>
      </c>
      <c r="M2272">
        <v>54</v>
      </c>
      <c r="N2272">
        <v>50</v>
      </c>
      <c r="O2272" t="s">
        <v>303</v>
      </c>
      <c r="P2272">
        <f t="shared" si="35"/>
        <v>0</v>
      </c>
    </row>
    <row r="2273" spans="1:16" x14ac:dyDescent="0.25">
      <c r="A2273" t="s">
        <v>669</v>
      </c>
      <c r="B2273" s="6">
        <v>54.015265388496402</v>
      </c>
      <c r="C2273" s="6">
        <v>54.015265388496402</v>
      </c>
      <c r="D2273" t="s">
        <v>303</v>
      </c>
      <c r="E2273" t="s">
        <v>910</v>
      </c>
      <c r="F2273" t="s">
        <v>910</v>
      </c>
      <c r="J2273">
        <v>54.015265388496402</v>
      </c>
      <c r="K2273">
        <v>54.015265388496402</v>
      </c>
      <c r="L2273" t="s">
        <v>303</v>
      </c>
      <c r="M2273">
        <v>54.015265388496402</v>
      </c>
      <c r="N2273">
        <v>54.015265388496402</v>
      </c>
      <c r="O2273" t="s">
        <v>303</v>
      </c>
      <c r="P2273">
        <f t="shared" si="35"/>
        <v>0</v>
      </c>
    </row>
    <row r="2274" spans="1:16" x14ac:dyDescent="0.25">
      <c r="A2274" t="s">
        <v>669</v>
      </c>
      <c r="B2274">
        <v>54.08</v>
      </c>
      <c r="C2274">
        <v>54.08</v>
      </c>
      <c r="D2274" t="s">
        <v>303</v>
      </c>
      <c r="E2274" t="s">
        <v>910</v>
      </c>
      <c r="F2274" t="s">
        <v>910</v>
      </c>
      <c r="J2274">
        <v>54.08</v>
      </c>
      <c r="K2274">
        <v>54.08</v>
      </c>
      <c r="L2274" t="s">
        <v>303</v>
      </c>
      <c r="M2274">
        <v>54.08</v>
      </c>
      <c r="N2274">
        <v>54.08</v>
      </c>
      <c r="O2274" t="s">
        <v>303</v>
      </c>
      <c r="P2274">
        <f t="shared" si="35"/>
        <v>0</v>
      </c>
    </row>
    <row r="2275" spans="1:16" x14ac:dyDescent="0.25">
      <c r="A2275" t="s">
        <v>669</v>
      </c>
      <c r="B2275">
        <v>251</v>
      </c>
      <c r="C2275">
        <v>251</v>
      </c>
      <c r="D2275" t="s">
        <v>857</v>
      </c>
      <c r="E2275">
        <v>5</v>
      </c>
      <c r="F2275">
        <v>5</v>
      </c>
      <c r="G2275" t="s">
        <v>684</v>
      </c>
      <c r="H2275" t="s">
        <v>684</v>
      </c>
      <c r="J2275">
        <v>251</v>
      </c>
      <c r="K2275">
        <v>251</v>
      </c>
      <c r="L2275" t="s">
        <v>921</v>
      </c>
      <c r="M2275">
        <v>251</v>
      </c>
      <c r="N2275">
        <v>251</v>
      </c>
      <c r="O2275" t="s">
        <v>921</v>
      </c>
      <c r="P2275">
        <f t="shared" si="35"/>
        <v>0</v>
      </c>
    </row>
    <row r="2276" spans="1:16" x14ac:dyDescent="0.25">
      <c r="A2276" t="s">
        <v>669</v>
      </c>
      <c r="B2276">
        <v>54.29</v>
      </c>
      <c r="C2276">
        <v>54.29</v>
      </c>
      <c r="D2276" t="s">
        <v>303</v>
      </c>
      <c r="E2276" t="s">
        <v>910</v>
      </c>
      <c r="F2276" t="s">
        <v>910</v>
      </c>
      <c r="J2276">
        <v>54.29</v>
      </c>
      <c r="K2276">
        <v>54.29</v>
      </c>
      <c r="L2276" t="s">
        <v>303</v>
      </c>
      <c r="M2276">
        <v>54.29</v>
      </c>
      <c r="N2276">
        <v>54.29</v>
      </c>
      <c r="O2276" t="s">
        <v>303</v>
      </c>
      <c r="P2276">
        <f t="shared" si="35"/>
        <v>0</v>
      </c>
    </row>
    <row r="2277" spans="1:16" x14ac:dyDescent="0.25">
      <c r="A2277" t="s">
        <v>669</v>
      </c>
      <c r="B2277">
        <v>54.38</v>
      </c>
      <c r="C2277">
        <v>54.38</v>
      </c>
      <c r="D2277" t="s">
        <v>303</v>
      </c>
      <c r="E2277" t="s">
        <v>910</v>
      </c>
      <c r="F2277" t="s">
        <v>910</v>
      </c>
      <c r="J2277">
        <v>54.38</v>
      </c>
      <c r="K2277">
        <v>54.38</v>
      </c>
      <c r="L2277" t="s">
        <v>303</v>
      </c>
      <c r="M2277">
        <v>54.38</v>
      </c>
      <c r="N2277">
        <v>54.38</v>
      </c>
      <c r="O2277" t="s">
        <v>303</v>
      </c>
      <c r="P2277">
        <f t="shared" si="35"/>
        <v>0</v>
      </c>
    </row>
    <row r="2278" spans="1:16" x14ac:dyDescent="0.25">
      <c r="A2278" t="s">
        <v>669</v>
      </c>
      <c r="B2278">
        <v>54.65</v>
      </c>
      <c r="C2278">
        <v>54.65</v>
      </c>
      <c r="D2278" t="s">
        <v>303</v>
      </c>
      <c r="E2278" t="s">
        <v>910</v>
      </c>
      <c r="F2278" t="s">
        <v>910</v>
      </c>
      <c r="J2278">
        <v>54.65</v>
      </c>
      <c r="K2278">
        <v>54.65</v>
      </c>
      <c r="L2278" t="s">
        <v>303</v>
      </c>
      <c r="M2278">
        <v>54.65</v>
      </c>
      <c r="N2278">
        <v>54.65</v>
      </c>
      <c r="O2278" t="s">
        <v>303</v>
      </c>
      <c r="P2278">
        <f t="shared" si="35"/>
        <v>0</v>
      </c>
    </row>
    <row r="2279" spans="1:16" x14ac:dyDescent="0.25">
      <c r="A2279" t="s">
        <v>669</v>
      </c>
      <c r="B2279">
        <v>54.8</v>
      </c>
      <c r="C2279">
        <v>54.8</v>
      </c>
      <c r="D2279" t="s">
        <v>303</v>
      </c>
      <c r="E2279" t="s">
        <v>910</v>
      </c>
      <c r="F2279" t="s">
        <v>910</v>
      </c>
      <c r="J2279">
        <v>54.8</v>
      </c>
      <c r="K2279">
        <v>54.8</v>
      </c>
      <c r="L2279" t="s">
        <v>303</v>
      </c>
      <c r="M2279">
        <v>54.8</v>
      </c>
      <c r="N2279">
        <v>54.8</v>
      </c>
      <c r="O2279" t="s">
        <v>303</v>
      </c>
      <c r="P2279">
        <f t="shared" si="35"/>
        <v>0</v>
      </c>
    </row>
    <row r="2280" spans="1:16" x14ac:dyDescent="0.25">
      <c r="A2280" t="s">
        <v>669</v>
      </c>
      <c r="B2280">
        <v>33</v>
      </c>
      <c r="C2280">
        <v>55</v>
      </c>
      <c r="D2280" t="s">
        <v>303</v>
      </c>
      <c r="E2280" t="s">
        <v>910</v>
      </c>
      <c r="F2280" t="s">
        <v>910</v>
      </c>
      <c r="J2280">
        <v>55</v>
      </c>
      <c r="K2280">
        <v>33</v>
      </c>
      <c r="L2280" t="s">
        <v>303</v>
      </c>
      <c r="M2280">
        <v>55</v>
      </c>
      <c r="N2280">
        <v>33</v>
      </c>
      <c r="O2280" t="s">
        <v>303</v>
      </c>
      <c r="P2280">
        <f t="shared" si="35"/>
        <v>0</v>
      </c>
    </row>
    <row r="2281" spans="1:16" x14ac:dyDescent="0.25">
      <c r="A2281" t="s">
        <v>188</v>
      </c>
      <c r="B2281">
        <v>34</v>
      </c>
      <c r="C2281">
        <v>55</v>
      </c>
      <c r="D2281" t="s">
        <v>886</v>
      </c>
      <c r="E2281">
        <v>28</v>
      </c>
      <c r="F2281">
        <v>28</v>
      </c>
      <c r="G2281" t="s">
        <v>688</v>
      </c>
      <c r="H2281" t="s">
        <v>688</v>
      </c>
      <c r="J2281">
        <v>55</v>
      </c>
      <c r="K2281">
        <v>34</v>
      </c>
      <c r="L2281" t="s">
        <v>303</v>
      </c>
      <c r="M2281">
        <v>55</v>
      </c>
      <c r="N2281">
        <v>34</v>
      </c>
      <c r="O2281" t="s">
        <v>303</v>
      </c>
      <c r="P2281">
        <f t="shared" si="35"/>
        <v>0</v>
      </c>
    </row>
    <row r="2282" spans="1:16" x14ac:dyDescent="0.25">
      <c r="A2282" t="s">
        <v>669</v>
      </c>
      <c r="B2282">
        <v>55</v>
      </c>
      <c r="C2282">
        <v>40</v>
      </c>
      <c r="D2282" t="s">
        <v>303</v>
      </c>
      <c r="E2282" t="s">
        <v>910</v>
      </c>
      <c r="F2282" t="s">
        <v>910</v>
      </c>
      <c r="J2282">
        <v>55</v>
      </c>
      <c r="K2282">
        <v>40</v>
      </c>
      <c r="L2282" t="s">
        <v>303</v>
      </c>
      <c r="M2282">
        <v>55</v>
      </c>
      <c r="N2282">
        <v>40</v>
      </c>
      <c r="O2282" t="s">
        <v>303</v>
      </c>
      <c r="P2282">
        <f t="shared" si="35"/>
        <v>0</v>
      </c>
    </row>
    <row r="2283" spans="1:16" x14ac:dyDescent="0.25">
      <c r="A2283" t="s">
        <v>669</v>
      </c>
      <c r="B2283">
        <v>55.28</v>
      </c>
      <c r="C2283">
        <v>55.28</v>
      </c>
      <c r="D2283" t="s">
        <v>303</v>
      </c>
      <c r="E2283" t="s">
        <v>910</v>
      </c>
      <c r="F2283" t="s">
        <v>910</v>
      </c>
      <c r="J2283">
        <v>55.28</v>
      </c>
      <c r="K2283">
        <v>55.28</v>
      </c>
      <c r="L2283" t="s">
        <v>303</v>
      </c>
      <c r="M2283">
        <v>55.28</v>
      </c>
      <c r="N2283">
        <v>55.28</v>
      </c>
      <c r="O2283" t="s">
        <v>303</v>
      </c>
      <c r="P2283">
        <f t="shared" si="35"/>
        <v>0</v>
      </c>
    </row>
    <row r="2284" spans="1:16" x14ac:dyDescent="0.25">
      <c r="A2284" t="s">
        <v>669</v>
      </c>
      <c r="B2284">
        <v>55.32</v>
      </c>
      <c r="C2284">
        <v>55.32</v>
      </c>
      <c r="D2284" t="s">
        <v>303</v>
      </c>
      <c r="E2284" t="s">
        <v>910</v>
      </c>
      <c r="F2284" t="s">
        <v>910</v>
      </c>
      <c r="J2284">
        <v>55.32</v>
      </c>
      <c r="K2284">
        <v>55.32</v>
      </c>
      <c r="L2284" t="s">
        <v>303</v>
      </c>
      <c r="M2284">
        <v>55.32</v>
      </c>
      <c r="N2284">
        <v>55.32</v>
      </c>
      <c r="O2284" t="s">
        <v>303</v>
      </c>
      <c r="P2284">
        <f t="shared" si="35"/>
        <v>0</v>
      </c>
    </row>
    <row r="2285" spans="1:16" x14ac:dyDescent="0.25">
      <c r="A2285" t="s">
        <v>669</v>
      </c>
      <c r="B2285">
        <v>55.35</v>
      </c>
      <c r="C2285">
        <v>55.35</v>
      </c>
      <c r="D2285" t="s">
        <v>303</v>
      </c>
      <c r="E2285" t="s">
        <v>910</v>
      </c>
      <c r="F2285" t="s">
        <v>910</v>
      </c>
      <c r="J2285">
        <v>55.35</v>
      </c>
      <c r="K2285">
        <v>55.35</v>
      </c>
      <c r="L2285" t="s">
        <v>303</v>
      </c>
      <c r="M2285">
        <v>55.35</v>
      </c>
      <c r="N2285">
        <v>55.35</v>
      </c>
      <c r="O2285" t="s">
        <v>303</v>
      </c>
      <c r="P2285">
        <f t="shared" si="35"/>
        <v>0</v>
      </c>
    </row>
    <row r="2286" spans="1:16" x14ac:dyDescent="0.25">
      <c r="A2286" t="s">
        <v>669</v>
      </c>
      <c r="B2286">
        <v>55.38</v>
      </c>
      <c r="C2286">
        <v>55.38</v>
      </c>
      <c r="D2286" t="s">
        <v>303</v>
      </c>
      <c r="E2286" t="s">
        <v>910</v>
      </c>
      <c r="F2286" t="s">
        <v>910</v>
      </c>
      <c r="J2286">
        <v>55.38</v>
      </c>
      <c r="K2286">
        <v>55.38</v>
      </c>
      <c r="L2286" t="s">
        <v>303</v>
      </c>
      <c r="M2286">
        <v>55.38</v>
      </c>
      <c r="N2286">
        <v>55.38</v>
      </c>
      <c r="O2286" t="s">
        <v>303</v>
      </c>
      <c r="P2286">
        <f t="shared" si="35"/>
        <v>0</v>
      </c>
    </row>
    <row r="2287" spans="1:16" x14ac:dyDescent="0.25">
      <c r="A2287" t="s">
        <v>669</v>
      </c>
      <c r="B2287">
        <v>55.48</v>
      </c>
      <c r="C2287">
        <v>55.48</v>
      </c>
      <c r="D2287" t="s">
        <v>303</v>
      </c>
      <c r="E2287" t="s">
        <v>910</v>
      </c>
      <c r="F2287" t="s">
        <v>910</v>
      </c>
      <c r="J2287">
        <v>55.48</v>
      </c>
      <c r="K2287">
        <v>55.48</v>
      </c>
      <c r="L2287" t="s">
        <v>303</v>
      </c>
      <c r="M2287">
        <v>55.48</v>
      </c>
      <c r="N2287">
        <v>55.48</v>
      </c>
      <c r="O2287" t="s">
        <v>303</v>
      </c>
      <c r="P2287">
        <f t="shared" si="35"/>
        <v>0</v>
      </c>
    </row>
    <row r="2288" spans="1:16" x14ac:dyDescent="0.25">
      <c r="A2288" t="s">
        <v>669</v>
      </c>
      <c r="B2288" s="6">
        <v>55.740201816347103</v>
      </c>
      <c r="C2288" s="6">
        <v>55.740201816347103</v>
      </c>
      <c r="D2288" t="s">
        <v>303</v>
      </c>
      <c r="E2288" t="s">
        <v>910</v>
      </c>
      <c r="F2288" t="s">
        <v>910</v>
      </c>
      <c r="J2288">
        <v>55.740201816347103</v>
      </c>
      <c r="K2288">
        <v>55.740201816347103</v>
      </c>
      <c r="L2288" t="s">
        <v>303</v>
      </c>
      <c r="M2288">
        <v>55.740201816347103</v>
      </c>
      <c r="N2288">
        <v>55.740201816347103</v>
      </c>
      <c r="O2288" t="s">
        <v>303</v>
      </c>
      <c r="P2288">
        <f t="shared" si="35"/>
        <v>0</v>
      </c>
    </row>
    <row r="2289" spans="1:16" x14ac:dyDescent="0.25">
      <c r="A2289" t="s">
        <v>78</v>
      </c>
      <c r="B2289">
        <v>33.9</v>
      </c>
      <c r="C2289">
        <v>55.8</v>
      </c>
      <c r="D2289" t="s">
        <v>303</v>
      </c>
      <c r="E2289">
        <v>28</v>
      </c>
      <c r="F2289">
        <v>28</v>
      </c>
      <c r="G2289" t="s">
        <v>688</v>
      </c>
      <c r="H2289" t="s">
        <v>688</v>
      </c>
      <c r="J2289">
        <v>55.8</v>
      </c>
      <c r="K2289">
        <v>33.9</v>
      </c>
      <c r="L2289" t="s">
        <v>303</v>
      </c>
      <c r="M2289">
        <v>55.8</v>
      </c>
      <c r="N2289">
        <v>33.9</v>
      </c>
      <c r="O2289" t="s">
        <v>303</v>
      </c>
      <c r="P2289">
        <f t="shared" si="35"/>
        <v>0</v>
      </c>
    </row>
    <row r="2290" spans="1:16" x14ac:dyDescent="0.25">
      <c r="A2290" t="s">
        <v>669</v>
      </c>
      <c r="B2290">
        <v>33.9</v>
      </c>
      <c r="C2290">
        <v>55.8</v>
      </c>
      <c r="D2290" t="s">
        <v>303</v>
      </c>
      <c r="E2290" t="s">
        <v>910</v>
      </c>
      <c r="F2290" t="s">
        <v>910</v>
      </c>
      <c r="J2290">
        <v>55.8</v>
      </c>
      <c r="K2290">
        <v>33.9</v>
      </c>
      <c r="L2290" t="s">
        <v>303</v>
      </c>
      <c r="M2290">
        <v>55.8</v>
      </c>
      <c r="N2290">
        <v>33.9</v>
      </c>
      <c r="O2290" t="s">
        <v>303</v>
      </c>
      <c r="P2290">
        <f t="shared" si="35"/>
        <v>0</v>
      </c>
    </row>
    <row r="2291" spans="1:16" x14ac:dyDescent="0.25">
      <c r="A2291" t="s">
        <v>79</v>
      </c>
      <c r="B2291">
        <v>48.6</v>
      </c>
      <c r="C2291">
        <v>55.8</v>
      </c>
      <c r="D2291" t="s">
        <v>303</v>
      </c>
      <c r="E2291">
        <v>32</v>
      </c>
      <c r="F2291">
        <v>32</v>
      </c>
      <c r="G2291" t="s">
        <v>696</v>
      </c>
      <c r="H2291" t="s">
        <v>696</v>
      </c>
      <c r="J2291">
        <v>55.8</v>
      </c>
      <c r="K2291">
        <v>48.6</v>
      </c>
      <c r="L2291" t="s">
        <v>303</v>
      </c>
      <c r="M2291">
        <v>55.8</v>
      </c>
      <c r="N2291">
        <v>48.6</v>
      </c>
      <c r="O2291" t="s">
        <v>303</v>
      </c>
      <c r="P2291">
        <f t="shared" si="35"/>
        <v>0</v>
      </c>
    </row>
    <row r="2292" spans="1:16" x14ac:dyDescent="0.25">
      <c r="A2292" t="s">
        <v>80</v>
      </c>
      <c r="B2292">
        <v>48.6</v>
      </c>
      <c r="C2292">
        <v>55.8</v>
      </c>
      <c r="D2292" t="s">
        <v>303</v>
      </c>
      <c r="E2292">
        <v>32</v>
      </c>
      <c r="F2292">
        <v>32</v>
      </c>
      <c r="G2292" t="s">
        <v>696</v>
      </c>
      <c r="H2292" t="s">
        <v>696</v>
      </c>
      <c r="J2292">
        <v>55.8</v>
      </c>
      <c r="K2292">
        <v>48.6</v>
      </c>
      <c r="L2292" t="s">
        <v>303</v>
      </c>
      <c r="M2292">
        <v>55.8</v>
      </c>
      <c r="N2292">
        <v>48.6</v>
      </c>
      <c r="O2292" t="s">
        <v>303</v>
      </c>
      <c r="P2292">
        <f t="shared" si="35"/>
        <v>0</v>
      </c>
    </row>
    <row r="2293" spans="1:16" x14ac:dyDescent="0.25">
      <c r="A2293" t="s">
        <v>168</v>
      </c>
      <c r="B2293">
        <v>50.3</v>
      </c>
      <c r="C2293">
        <v>55.8</v>
      </c>
      <c r="D2293" t="s">
        <v>303</v>
      </c>
      <c r="E2293">
        <v>32</v>
      </c>
      <c r="F2293">
        <v>32</v>
      </c>
      <c r="G2293" t="s">
        <v>696</v>
      </c>
      <c r="H2293" t="s">
        <v>696</v>
      </c>
      <c r="J2293">
        <v>55.8</v>
      </c>
      <c r="K2293">
        <v>50.3</v>
      </c>
      <c r="L2293" t="s">
        <v>303</v>
      </c>
      <c r="M2293">
        <v>55.8</v>
      </c>
      <c r="N2293">
        <v>50.3</v>
      </c>
      <c r="O2293" t="s">
        <v>303</v>
      </c>
      <c r="P2293">
        <f t="shared" si="35"/>
        <v>0</v>
      </c>
    </row>
    <row r="2294" spans="1:16" x14ac:dyDescent="0.25">
      <c r="A2294" t="s">
        <v>169</v>
      </c>
      <c r="B2294">
        <v>50.3</v>
      </c>
      <c r="C2294">
        <v>55.8</v>
      </c>
      <c r="D2294" t="s">
        <v>303</v>
      </c>
      <c r="E2294">
        <v>32</v>
      </c>
      <c r="F2294">
        <v>32</v>
      </c>
      <c r="G2294" t="s">
        <v>696</v>
      </c>
      <c r="H2294" t="s">
        <v>696</v>
      </c>
      <c r="J2294">
        <v>55.8</v>
      </c>
      <c r="K2294">
        <v>50.3</v>
      </c>
      <c r="L2294" t="s">
        <v>303</v>
      </c>
      <c r="M2294">
        <v>55.8</v>
      </c>
      <c r="N2294">
        <v>50.3</v>
      </c>
      <c r="O2294" t="s">
        <v>303</v>
      </c>
      <c r="P2294">
        <f t="shared" si="35"/>
        <v>0</v>
      </c>
    </row>
    <row r="2295" spans="1:16" x14ac:dyDescent="0.25">
      <c r="A2295" t="s">
        <v>191</v>
      </c>
      <c r="B2295">
        <v>23</v>
      </c>
      <c r="C2295">
        <v>56</v>
      </c>
      <c r="D2295" t="s">
        <v>303</v>
      </c>
      <c r="E2295">
        <v>28</v>
      </c>
      <c r="F2295">
        <v>25</v>
      </c>
      <c r="G2295" t="s">
        <v>688</v>
      </c>
      <c r="H2295" t="s">
        <v>691</v>
      </c>
      <c r="J2295">
        <v>56</v>
      </c>
      <c r="K2295">
        <v>23</v>
      </c>
      <c r="L2295" t="s">
        <v>303</v>
      </c>
      <c r="M2295">
        <v>56</v>
      </c>
      <c r="N2295">
        <v>23</v>
      </c>
      <c r="O2295" t="s">
        <v>303</v>
      </c>
      <c r="P2295">
        <f t="shared" si="35"/>
        <v>0</v>
      </c>
    </row>
    <row r="2296" spans="1:16" x14ac:dyDescent="0.25">
      <c r="A2296" t="s">
        <v>191</v>
      </c>
      <c r="B2296">
        <v>23</v>
      </c>
      <c r="C2296">
        <v>56</v>
      </c>
      <c r="D2296" t="s">
        <v>860</v>
      </c>
      <c r="E2296">
        <v>28</v>
      </c>
      <c r="F2296">
        <v>25</v>
      </c>
      <c r="G2296" t="s">
        <v>688</v>
      </c>
      <c r="H2296" t="s">
        <v>691</v>
      </c>
      <c r="J2296">
        <v>56</v>
      </c>
      <c r="K2296">
        <v>23</v>
      </c>
      <c r="L2296" t="s">
        <v>303</v>
      </c>
      <c r="M2296">
        <v>56</v>
      </c>
      <c r="N2296">
        <v>23</v>
      </c>
      <c r="O2296" t="s">
        <v>303</v>
      </c>
      <c r="P2296">
        <f t="shared" si="35"/>
        <v>0</v>
      </c>
    </row>
    <row r="2297" spans="1:16" x14ac:dyDescent="0.25">
      <c r="A2297" t="s">
        <v>188</v>
      </c>
      <c r="B2297">
        <v>33.9</v>
      </c>
      <c r="C2297">
        <v>56</v>
      </c>
      <c r="D2297" t="s">
        <v>303</v>
      </c>
      <c r="E2297">
        <v>28</v>
      </c>
      <c r="F2297">
        <v>28</v>
      </c>
      <c r="G2297" t="s">
        <v>688</v>
      </c>
      <c r="H2297" t="s">
        <v>688</v>
      </c>
      <c r="J2297">
        <v>56</v>
      </c>
      <c r="K2297">
        <v>33.9</v>
      </c>
      <c r="L2297" t="s">
        <v>303</v>
      </c>
      <c r="M2297">
        <v>56</v>
      </c>
      <c r="N2297">
        <v>33.9</v>
      </c>
      <c r="O2297" t="s">
        <v>303</v>
      </c>
      <c r="P2297">
        <f t="shared" si="35"/>
        <v>0</v>
      </c>
    </row>
    <row r="2298" spans="1:16" x14ac:dyDescent="0.25">
      <c r="A2298" t="s">
        <v>188</v>
      </c>
      <c r="B2298">
        <v>33.9</v>
      </c>
      <c r="C2298">
        <v>56</v>
      </c>
      <c r="D2298" t="s">
        <v>860</v>
      </c>
      <c r="E2298">
        <v>28</v>
      </c>
      <c r="F2298">
        <v>28</v>
      </c>
      <c r="G2298" t="s">
        <v>688</v>
      </c>
      <c r="H2298" t="s">
        <v>688</v>
      </c>
      <c r="J2298">
        <v>56</v>
      </c>
      <c r="K2298">
        <v>33.9</v>
      </c>
      <c r="L2298" t="s">
        <v>303</v>
      </c>
      <c r="M2298">
        <v>56</v>
      </c>
      <c r="N2298">
        <v>33.9</v>
      </c>
      <c r="O2298" t="s">
        <v>303</v>
      </c>
      <c r="P2298">
        <f t="shared" si="35"/>
        <v>0</v>
      </c>
    </row>
    <row r="2299" spans="1:16" x14ac:dyDescent="0.25">
      <c r="A2299" t="s">
        <v>361</v>
      </c>
      <c r="B2299">
        <v>33.9</v>
      </c>
      <c r="C2299">
        <v>56</v>
      </c>
      <c r="D2299" t="s">
        <v>860</v>
      </c>
      <c r="E2299">
        <v>31</v>
      </c>
      <c r="F2299">
        <v>30</v>
      </c>
      <c r="G2299" t="s">
        <v>742</v>
      </c>
      <c r="H2299" t="s">
        <v>743</v>
      </c>
      <c r="J2299">
        <v>56</v>
      </c>
      <c r="K2299">
        <v>33.9</v>
      </c>
      <c r="L2299" t="s">
        <v>303</v>
      </c>
      <c r="M2299">
        <v>56</v>
      </c>
      <c r="N2299">
        <v>33.9</v>
      </c>
      <c r="O2299" t="s">
        <v>303</v>
      </c>
      <c r="P2299">
        <f t="shared" si="35"/>
        <v>0</v>
      </c>
    </row>
    <row r="2300" spans="1:16" x14ac:dyDescent="0.25">
      <c r="A2300" t="s">
        <v>267</v>
      </c>
      <c r="B2300">
        <v>55.5</v>
      </c>
      <c r="C2300">
        <v>56</v>
      </c>
      <c r="D2300" t="s">
        <v>303</v>
      </c>
      <c r="E2300">
        <v>34</v>
      </c>
      <c r="F2300">
        <v>32</v>
      </c>
      <c r="G2300" t="s">
        <v>699</v>
      </c>
      <c r="H2300" t="s">
        <v>696</v>
      </c>
      <c r="J2300">
        <v>56</v>
      </c>
      <c r="K2300">
        <v>55.5</v>
      </c>
      <c r="L2300" t="s">
        <v>303</v>
      </c>
      <c r="M2300">
        <v>56</v>
      </c>
      <c r="N2300">
        <v>55.5</v>
      </c>
      <c r="O2300" t="s">
        <v>303</v>
      </c>
      <c r="P2300">
        <f t="shared" si="35"/>
        <v>0</v>
      </c>
    </row>
    <row r="2301" spans="1:16" x14ac:dyDescent="0.25">
      <c r="A2301" t="s">
        <v>669</v>
      </c>
      <c r="B2301">
        <v>56.11</v>
      </c>
      <c r="C2301">
        <v>56.11</v>
      </c>
      <c r="D2301" t="s">
        <v>303</v>
      </c>
      <c r="E2301" t="s">
        <v>910</v>
      </c>
      <c r="F2301" t="s">
        <v>910</v>
      </c>
      <c r="J2301">
        <v>56.11</v>
      </c>
      <c r="K2301">
        <v>56.11</v>
      </c>
      <c r="L2301" t="s">
        <v>303</v>
      </c>
      <c r="M2301">
        <v>56.11</v>
      </c>
      <c r="N2301">
        <v>56.11</v>
      </c>
      <c r="O2301" t="s">
        <v>303</v>
      </c>
      <c r="P2301">
        <f t="shared" si="35"/>
        <v>0</v>
      </c>
    </row>
    <row r="2302" spans="1:16" x14ac:dyDescent="0.25">
      <c r="A2302" t="s">
        <v>669</v>
      </c>
      <c r="B2302">
        <v>56.21</v>
      </c>
      <c r="C2302">
        <v>56.21</v>
      </c>
      <c r="D2302" t="s">
        <v>303</v>
      </c>
      <c r="E2302" t="s">
        <v>910</v>
      </c>
      <c r="F2302" t="s">
        <v>910</v>
      </c>
      <c r="J2302">
        <v>56.21</v>
      </c>
      <c r="K2302">
        <v>56.21</v>
      </c>
      <c r="L2302" t="s">
        <v>303</v>
      </c>
      <c r="M2302">
        <v>56.21</v>
      </c>
      <c r="N2302">
        <v>56.21</v>
      </c>
      <c r="O2302" t="s">
        <v>303</v>
      </c>
      <c r="P2302">
        <f t="shared" si="35"/>
        <v>0</v>
      </c>
    </row>
    <row r="2303" spans="1:16" x14ac:dyDescent="0.25">
      <c r="A2303" t="s">
        <v>669</v>
      </c>
      <c r="B2303" s="6">
        <v>56.211753846154302</v>
      </c>
      <c r="C2303" s="6">
        <v>56.211753846154302</v>
      </c>
      <c r="D2303" t="s">
        <v>303</v>
      </c>
      <c r="E2303" t="s">
        <v>910</v>
      </c>
      <c r="F2303" t="s">
        <v>910</v>
      </c>
      <c r="J2303">
        <v>56.211753846154302</v>
      </c>
      <c r="K2303">
        <v>56.211753846154302</v>
      </c>
      <c r="L2303" t="s">
        <v>303</v>
      </c>
      <c r="M2303">
        <v>56.211753846154302</v>
      </c>
      <c r="N2303">
        <v>56.211753846154302</v>
      </c>
      <c r="O2303" t="s">
        <v>303</v>
      </c>
      <c r="P2303">
        <f t="shared" si="35"/>
        <v>0</v>
      </c>
    </row>
    <row r="2304" spans="1:16" x14ac:dyDescent="0.25">
      <c r="A2304" t="s">
        <v>188</v>
      </c>
      <c r="B2304">
        <v>35.4</v>
      </c>
      <c r="C2304">
        <v>56.5</v>
      </c>
      <c r="D2304" t="s">
        <v>860</v>
      </c>
      <c r="E2304">
        <v>28</v>
      </c>
      <c r="F2304">
        <v>28</v>
      </c>
      <c r="G2304" t="s">
        <v>688</v>
      </c>
      <c r="H2304" t="s">
        <v>688</v>
      </c>
      <c r="J2304">
        <v>56.5</v>
      </c>
      <c r="K2304">
        <v>35.4</v>
      </c>
      <c r="L2304" t="s">
        <v>303</v>
      </c>
      <c r="M2304">
        <v>56.5</v>
      </c>
      <c r="N2304">
        <v>35.4</v>
      </c>
      <c r="O2304" t="s">
        <v>303</v>
      </c>
      <c r="P2304">
        <f t="shared" si="35"/>
        <v>0</v>
      </c>
    </row>
    <row r="2305" spans="1:16" x14ac:dyDescent="0.25">
      <c r="A2305" t="s">
        <v>669</v>
      </c>
      <c r="B2305">
        <v>56.52</v>
      </c>
      <c r="C2305">
        <v>56.52</v>
      </c>
      <c r="D2305" t="s">
        <v>303</v>
      </c>
      <c r="E2305" t="s">
        <v>910</v>
      </c>
      <c r="F2305" t="s">
        <v>910</v>
      </c>
      <c r="J2305">
        <v>56.52</v>
      </c>
      <c r="K2305">
        <v>56.52</v>
      </c>
      <c r="L2305" t="s">
        <v>303</v>
      </c>
      <c r="M2305">
        <v>56.52</v>
      </c>
      <c r="N2305">
        <v>56.52</v>
      </c>
      <c r="O2305" t="s">
        <v>303</v>
      </c>
      <c r="P2305">
        <f t="shared" si="35"/>
        <v>0</v>
      </c>
    </row>
    <row r="2306" spans="1:16" x14ac:dyDescent="0.25">
      <c r="A2306" t="s">
        <v>448</v>
      </c>
      <c r="B2306">
        <v>52</v>
      </c>
      <c r="C2306">
        <v>57</v>
      </c>
      <c r="D2306" t="s">
        <v>303</v>
      </c>
      <c r="E2306">
        <v>24</v>
      </c>
      <c r="F2306">
        <v>24</v>
      </c>
      <c r="G2306" t="s">
        <v>692</v>
      </c>
      <c r="H2306" t="s">
        <v>692</v>
      </c>
      <c r="J2306">
        <v>57</v>
      </c>
      <c r="K2306">
        <v>52</v>
      </c>
      <c r="L2306" t="s">
        <v>303</v>
      </c>
      <c r="M2306">
        <v>57</v>
      </c>
      <c r="N2306">
        <v>52</v>
      </c>
      <c r="O2306" t="s">
        <v>303</v>
      </c>
      <c r="P2306">
        <f t="shared" si="35"/>
        <v>0</v>
      </c>
    </row>
    <row r="2307" spans="1:16" x14ac:dyDescent="0.25">
      <c r="A2307" t="s">
        <v>448</v>
      </c>
      <c r="B2307">
        <v>53</v>
      </c>
      <c r="C2307">
        <v>57</v>
      </c>
      <c r="D2307" t="s">
        <v>303</v>
      </c>
      <c r="E2307">
        <v>24</v>
      </c>
      <c r="F2307">
        <v>24</v>
      </c>
      <c r="G2307" t="s">
        <v>692</v>
      </c>
      <c r="H2307" t="s">
        <v>692</v>
      </c>
      <c r="J2307">
        <v>57</v>
      </c>
      <c r="K2307">
        <v>53</v>
      </c>
      <c r="L2307" t="s">
        <v>303</v>
      </c>
      <c r="M2307">
        <v>57</v>
      </c>
      <c r="N2307">
        <v>53</v>
      </c>
      <c r="O2307" t="s">
        <v>303</v>
      </c>
      <c r="P2307">
        <f t="shared" ref="P2307:P2370" si="36">LEN(I2307)</f>
        <v>0</v>
      </c>
    </row>
    <row r="2308" spans="1:16" x14ac:dyDescent="0.25">
      <c r="A2308" t="s">
        <v>448</v>
      </c>
      <c r="B2308">
        <v>54</v>
      </c>
      <c r="C2308">
        <v>57</v>
      </c>
      <c r="D2308" t="s">
        <v>303</v>
      </c>
      <c r="E2308">
        <v>24</v>
      </c>
      <c r="F2308">
        <v>24</v>
      </c>
      <c r="G2308" t="s">
        <v>692</v>
      </c>
      <c r="H2308" t="s">
        <v>692</v>
      </c>
      <c r="J2308">
        <v>57</v>
      </c>
      <c r="K2308">
        <v>54</v>
      </c>
      <c r="L2308" t="s">
        <v>303</v>
      </c>
      <c r="M2308">
        <v>57</v>
      </c>
      <c r="N2308">
        <v>54</v>
      </c>
      <c r="O2308" t="s">
        <v>303</v>
      </c>
      <c r="P2308">
        <f t="shared" si="36"/>
        <v>0</v>
      </c>
    </row>
    <row r="2309" spans="1:16" x14ac:dyDescent="0.25">
      <c r="A2309" t="s">
        <v>448</v>
      </c>
      <c r="B2309">
        <v>55</v>
      </c>
      <c r="C2309">
        <v>57</v>
      </c>
      <c r="D2309" t="s">
        <v>303</v>
      </c>
      <c r="E2309">
        <v>24</v>
      </c>
      <c r="F2309">
        <v>24</v>
      </c>
      <c r="G2309" t="s">
        <v>692</v>
      </c>
      <c r="H2309" t="s">
        <v>692</v>
      </c>
      <c r="J2309">
        <v>57</v>
      </c>
      <c r="K2309">
        <v>55</v>
      </c>
      <c r="L2309" t="s">
        <v>303</v>
      </c>
      <c r="M2309">
        <v>57</v>
      </c>
      <c r="N2309">
        <v>55</v>
      </c>
      <c r="O2309" t="s">
        <v>303</v>
      </c>
      <c r="P2309">
        <f t="shared" si="36"/>
        <v>0</v>
      </c>
    </row>
    <row r="2310" spans="1:16" x14ac:dyDescent="0.25">
      <c r="A2310" t="s">
        <v>669</v>
      </c>
      <c r="B2310">
        <v>57.58</v>
      </c>
      <c r="C2310">
        <v>57.58</v>
      </c>
      <c r="D2310" t="s">
        <v>303</v>
      </c>
      <c r="E2310" t="s">
        <v>910</v>
      </c>
      <c r="F2310" t="s">
        <v>910</v>
      </c>
      <c r="J2310">
        <v>57.58</v>
      </c>
      <c r="K2310">
        <v>57.58</v>
      </c>
      <c r="L2310" t="s">
        <v>303</v>
      </c>
      <c r="M2310">
        <v>57.58</v>
      </c>
      <c r="N2310">
        <v>57.58</v>
      </c>
      <c r="O2310" t="s">
        <v>303</v>
      </c>
      <c r="P2310">
        <f t="shared" si="36"/>
        <v>0</v>
      </c>
    </row>
    <row r="2311" spans="1:16" x14ac:dyDescent="0.25">
      <c r="A2311" t="s">
        <v>669</v>
      </c>
      <c r="B2311">
        <v>58</v>
      </c>
      <c r="C2311">
        <v>48</v>
      </c>
      <c r="D2311" t="s">
        <v>303</v>
      </c>
      <c r="E2311" t="s">
        <v>910</v>
      </c>
      <c r="F2311" t="s">
        <v>910</v>
      </c>
      <c r="J2311">
        <v>58</v>
      </c>
      <c r="K2311">
        <v>48</v>
      </c>
      <c r="L2311" t="s">
        <v>303</v>
      </c>
      <c r="M2311">
        <v>58</v>
      </c>
      <c r="N2311">
        <v>48</v>
      </c>
      <c r="O2311" t="s">
        <v>303</v>
      </c>
      <c r="P2311">
        <f t="shared" si="36"/>
        <v>0</v>
      </c>
    </row>
    <row r="2312" spans="1:16" x14ac:dyDescent="0.25">
      <c r="A2312" t="s">
        <v>448</v>
      </c>
      <c r="B2312">
        <v>53</v>
      </c>
      <c r="C2312">
        <v>58</v>
      </c>
      <c r="D2312" t="s">
        <v>303</v>
      </c>
      <c r="E2312">
        <v>24</v>
      </c>
      <c r="F2312">
        <v>24</v>
      </c>
      <c r="G2312" t="s">
        <v>692</v>
      </c>
      <c r="H2312" t="s">
        <v>692</v>
      </c>
      <c r="J2312">
        <v>58</v>
      </c>
      <c r="K2312">
        <v>53</v>
      </c>
      <c r="L2312" t="s">
        <v>303</v>
      </c>
      <c r="M2312">
        <v>58</v>
      </c>
      <c r="N2312">
        <v>53</v>
      </c>
      <c r="O2312" t="s">
        <v>303</v>
      </c>
      <c r="P2312">
        <f t="shared" si="36"/>
        <v>0</v>
      </c>
    </row>
    <row r="2313" spans="1:16" x14ac:dyDescent="0.25">
      <c r="A2313" t="s">
        <v>669</v>
      </c>
      <c r="B2313">
        <v>58</v>
      </c>
      <c r="C2313">
        <v>55</v>
      </c>
      <c r="D2313" t="s">
        <v>303</v>
      </c>
      <c r="E2313" t="s">
        <v>910</v>
      </c>
      <c r="F2313" t="s">
        <v>910</v>
      </c>
      <c r="J2313">
        <v>58</v>
      </c>
      <c r="K2313">
        <v>55</v>
      </c>
      <c r="L2313" t="s">
        <v>303</v>
      </c>
      <c r="M2313">
        <v>58</v>
      </c>
      <c r="N2313">
        <v>55</v>
      </c>
      <c r="O2313" t="s">
        <v>303</v>
      </c>
      <c r="P2313">
        <f t="shared" si="36"/>
        <v>0</v>
      </c>
    </row>
    <row r="2314" spans="1:16" x14ac:dyDescent="0.25">
      <c r="A2314" t="s">
        <v>87</v>
      </c>
      <c r="B2314">
        <v>55.8</v>
      </c>
      <c r="C2314">
        <v>58.7</v>
      </c>
      <c r="D2314" t="s">
        <v>303</v>
      </c>
      <c r="E2314">
        <v>34</v>
      </c>
      <c r="F2314">
        <v>34</v>
      </c>
      <c r="G2314" t="s">
        <v>699</v>
      </c>
      <c r="H2314" t="s">
        <v>699</v>
      </c>
      <c r="J2314">
        <v>58.7</v>
      </c>
      <c r="K2314">
        <v>55.8</v>
      </c>
      <c r="L2314" t="s">
        <v>303</v>
      </c>
      <c r="M2314">
        <v>58.7</v>
      </c>
      <c r="N2314">
        <v>55.8</v>
      </c>
      <c r="O2314" t="s">
        <v>303</v>
      </c>
      <c r="P2314">
        <f t="shared" si="36"/>
        <v>0</v>
      </c>
    </row>
    <row r="2315" spans="1:16" x14ac:dyDescent="0.25">
      <c r="A2315" t="s">
        <v>669</v>
      </c>
      <c r="B2315">
        <v>58.86</v>
      </c>
      <c r="C2315">
        <v>58.86</v>
      </c>
      <c r="D2315" t="s">
        <v>303</v>
      </c>
      <c r="E2315" t="s">
        <v>910</v>
      </c>
      <c r="F2315" t="s">
        <v>910</v>
      </c>
      <c r="J2315">
        <v>58.86</v>
      </c>
      <c r="K2315">
        <v>58.86</v>
      </c>
      <c r="L2315" t="s">
        <v>303</v>
      </c>
      <c r="M2315">
        <v>58.86</v>
      </c>
      <c r="N2315">
        <v>58.86</v>
      </c>
      <c r="O2315" t="s">
        <v>303</v>
      </c>
      <c r="P2315">
        <f t="shared" si="36"/>
        <v>0</v>
      </c>
    </row>
    <row r="2316" spans="1:16" x14ac:dyDescent="0.25">
      <c r="A2316" t="s">
        <v>669</v>
      </c>
      <c r="B2316">
        <v>59.36</v>
      </c>
      <c r="C2316">
        <v>59.36</v>
      </c>
      <c r="D2316" t="s">
        <v>303</v>
      </c>
      <c r="E2316" t="s">
        <v>910</v>
      </c>
      <c r="F2316" t="s">
        <v>910</v>
      </c>
      <c r="J2316">
        <v>59.36</v>
      </c>
      <c r="K2316">
        <v>59.36</v>
      </c>
      <c r="L2316" t="s">
        <v>303</v>
      </c>
      <c r="M2316">
        <v>59.36</v>
      </c>
      <c r="N2316">
        <v>59.36</v>
      </c>
      <c r="O2316" t="s">
        <v>303</v>
      </c>
      <c r="P2316">
        <f t="shared" si="36"/>
        <v>0</v>
      </c>
    </row>
    <row r="2317" spans="1:16" x14ac:dyDescent="0.25">
      <c r="A2317" t="s">
        <v>669</v>
      </c>
      <c r="B2317">
        <v>59.78</v>
      </c>
      <c r="C2317">
        <v>59.78</v>
      </c>
      <c r="D2317" t="s">
        <v>303</v>
      </c>
      <c r="E2317" t="s">
        <v>910</v>
      </c>
      <c r="F2317" t="s">
        <v>910</v>
      </c>
      <c r="J2317">
        <v>59.78</v>
      </c>
      <c r="K2317">
        <v>59.78</v>
      </c>
      <c r="L2317" t="s">
        <v>303</v>
      </c>
      <c r="M2317">
        <v>59.78</v>
      </c>
      <c r="N2317">
        <v>59.78</v>
      </c>
      <c r="O2317" t="s">
        <v>303</v>
      </c>
      <c r="P2317">
        <f t="shared" si="36"/>
        <v>0</v>
      </c>
    </row>
    <row r="2318" spans="1:16" x14ac:dyDescent="0.25">
      <c r="A2318" t="s">
        <v>448</v>
      </c>
      <c r="B2318">
        <v>40</v>
      </c>
      <c r="C2318">
        <v>60</v>
      </c>
      <c r="D2318" t="s">
        <v>669</v>
      </c>
      <c r="E2318">
        <v>24</v>
      </c>
      <c r="F2318">
        <v>24</v>
      </c>
      <c r="G2318" t="s">
        <v>692</v>
      </c>
      <c r="H2318" t="s">
        <v>692</v>
      </c>
      <c r="I2318" t="s">
        <v>927</v>
      </c>
      <c r="J2318">
        <v>60</v>
      </c>
      <c r="K2318">
        <v>40</v>
      </c>
      <c r="L2318" t="s">
        <v>930</v>
      </c>
      <c r="M2318">
        <v>60</v>
      </c>
      <c r="N2318">
        <v>40</v>
      </c>
      <c r="P2318">
        <f t="shared" si="36"/>
        <v>14</v>
      </c>
    </row>
    <row r="2319" spans="1:16" x14ac:dyDescent="0.25">
      <c r="A2319" t="s">
        <v>448</v>
      </c>
      <c r="B2319">
        <v>50</v>
      </c>
      <c r="C2319">
        <v>60</v>
      </c>
      <c r="D2319" t="s">
        <v>669</v>
      </c>
      <c r="E2319">
        <v>24</v>
      </c>
      <c r="F2319">
        <v>24</v>
      </c>
      <c r="G2319" t="s">
        <v>692</v>
      </c>
      <c r="H2319" t="s">
        <v>692</v>
      </c>
      <c r="I2319" t="s">
        <v>927</v>
      </c>
      <c r="J2319">
        <v>60</v>
      </c>
      <c r="K2319">
        <v>50</v>
      </c>
      <c r="L2319" t="s">
        <v>930</v>
      </c>
      <c r="M2319">
        <v>60</v>
      </c>
      <c r="N2319">
        <v>50</v>
      </c>
      <c r="P2319">
        <f t="shared" si="36"/>
        <v>14</v>
      </c>
    </row>
    <row r="2320" spans="1:16" x14ac:dyDescent="0.25">
      <c r="A2320" t="s">
        <v>448</v>
      </c>
      <c r="B2320">
        <v>55</v>
      </c>
      <c r="C2320">
        <v>60</v>
      </c>
      <c r="D2320" t="s">
        <v>669</v>
      </c>
      <c r="E2320">
        <v>24</v>
      </c>
      <c r="F2320">
        <v>24</v>
      </c>
      <c r="G2320" t="s">
        <v>692</v>
      </c>
      <c r="H2320" t="s">
        <v>692</v>
      </c>
      <c r="I2320" t="s">
        <v>927</v>
      </c>
      <c r="J2320">
        <v>60</v>
      </c>
      <c r="K2320">
        <v>55</v>
      </c>
      <c r="L2320" t="s">
        <v>930</v>
      </c>
      <c r="M2320">
        <v>60</v>
      </c>
      <c r="N2320">
        <v>55</v>
      </c>
      <c r="P2320">
        <f t="shared" si="36"/>
        <v>14</v>
      </c>
    </row>
    <row r="2321" spans="1:16" x14ac:dyDescent="0.25">
      <c r="A2321" t="s">
        <v>669</v>
      </c>
      <c r="B2321">
        <v>60</v>
      </c>
      <c r="C2321">
        <v>60</v>
      </c>
      <c r="D2321" t="s">
        <v>669</v>
      </c>
      <c r="E2321" t="s">
        <v>910</v>
      </c>
      <c r="F2321" t="s">
        <v>910</v>
      </c>
      <c r="I2321" t="s">
        <v>927</v>
      </c>
      <c r="J2321">
        <v>60</v>
      </c>
      <c r="K2321">
        <v>60</v>
      </c>
      <c r="L2321" t="s">
        <v>930</v>
      </c>
      <c r="M2321">
        <v>60</v>
      </c>
      <c r="N2321">
        <v>60</v>
      </c>
      <c r="P2321">
        <f t="shared" si="36"/>
        <v>14</v>
      </c>
    </row>
    <row r="2322" spans="1:16" x14ac:dyDescent="0.25">
      <c r="A2322" t="s">
        <v>669</v>
      </c>
      <c r="B2322">
        <v>60.22</v>
      </c>
      <c r="C2322">
        <v>60.22</v>
      </c>
      <c r="D2322" t="s">
        <v>303</v>
      </c>
      <c r="E2322" t="s">
        <v>910</v>
      </c>
      <c r="F2322" t="s">
        <v>910</v>
      </c>
      <c r="J2322">
        <v>60.22</v>
      </c>
      <c r="K2322">
        <v>60.22</v>
      </c>
      <c r="L2322" t="s">
        <v>303</v>
      </c>
      <c r="M2322">
        <v>60.22</v>
      </c>
      <c r="N2322">
        <v>60.22</v>
      </c>
      <c r="O2322" t="s">
        <v>303</v>
      </c>
      <c r="P2322">
        <f t="shared" si="36"/>
        <v>0</v>
      </c>
    </row>
    <row r="2323" spans="1:16" x14ac:dyDescent="0.25">
      <c r="A2323" t="s">
        <v>669</v>
      </c>
      <c r="B2323">
        <v>60.41</v>
      </c>
      <c r="C2323">
        <v>60.41</v>
      </c>
      <c r="D2323" t="s">
        <v>303</v>
      </c>
      <c r="E2323" t="s">
        <v>910</v>
      </c>
      <c r="F2323" t="s">
        <v>910</v>
      </c>
      <c r="J2323">
        <v>60.41</v>
      </c>
      <c r="K2323">
        <v>60.41</v>
      </c>
      <c r="L2323" t="s">
        <v>303</v>
      </c>
      <c r="M2323">
        <v>60.41</v>
      </c>
      <c r="N2323">
        <v>60.41</v>
      </c>
      <c r="O2323" t="s">
        <v>303</v>
      </c>
      <c r="P2323">
        <f t="shared" si="36"/>
        <v>0</v>
      </c>
    </row>
    <row r="2324" spans="1:16" x14ac:dyDescent="0.25">
      <c r="A2324" t="s">
        <v>167</v>
      </c>
      <c r="B2324">
        <v>57</v>
      </c>
      <c r="C2324">
        <v>61</v>
      </c>
      <c r="D2324" t="s">
        <v>303</v>
      </c>
      <c r="E2324">
        <v>32</v>
      </c>
      <c r="F2324">
        <v>32</v>
      </c>
      <c r="G2324" t="s">
        <v>696</v>
      </c>
      <c r="H2324" t="s">
        <v>696</v>
      </c>
      <c r="J2324">
        <v>61</v>
      </c>
      <c r="K2324">
        <v>57</v>
      </c>
      <c r="L2324" t="s">
        <v>303</v>
      </c>
      <c r="M2324">
        <v>61</v>
      </c>
      <c r="N2324">
        <v>57</v>
      </c>
      <c r="O2324" t="s">
        <v>303</v>
      </c>
      <c r="P2324">
        <f t="shared" si="36"/>
        <v>0</v>
      </c>
    </row>
    <row r="2325" spans="1:16" x14ac:dyDescent="0.25">
      <c r="A2325" t="s">
        <v>448</v>
      </c>
      <c r="B2325">
        <v>58.5</v>
      </c>
      <c r="C2325">
        <v>61.5</v>
      </c>
      <c r="D2325" t="s">
        <v>669</v>
      </c>
      <c r="E2325">
        <v>24</v>
      </c>
      <c r="F2325">
        <v>24</v>
      </c>
      <c r="G2325" t="s">
        <v>692</v>
      </c>
      <c r="H2325" t="s">
        <v>692</v>
      </c>
      <c r="I2325" t="s">
        <v>927</v>
      </c>
      <c r="J2325">
        <v>61.5</v>
      </c>
      <c r="K2325">
        <v>58.5</v>
      </c>
      <c r="L2325" t="s">
        <v>930</v>
      </c>
      <c r="M2325">
        <v>61.5</v>
      </c>
      <c r="N2325">
        <v>58.5</v>
      </c>
      <c r="P2325">
        <f t="shared" si="36"/>
        <v>14</v>
      </c>
    </row>
    <row r="2326" spans="1:16" x14ac:dyDescent="0.25">
      <c r="A2326" t="s">
        <v>669</v>
      </c>
      <c r="B2326">
        <v>61.57</v>
      </c>
      <c r="C2326">
        <v>61.57</v>
      </c>
      <c r="D2326" t="s">
        <v>303</v>
      </c>
      <c r="E2326" t="s">
        <v>910</v>
      </c>
      <c r="F2326" t="s">
        <v>910</v>
      </c>
      <c r="J2326">
        <v>61.57</v>
      </c>
      <c r="K2326">
        <v>61.57</v>
      </c>
      <c r="L2326" t="s">
        <v>303</v>
      </c>
      <c r="M2326">
        <v>61.57</v>
      </c>
      <c r="N2326">
        <v>61.57</v>
      </c>
      <c r="O2326" t="s">
        <v>303</v>
      </c>
      <c r="P2326">
        <f t="shared" si="36"/>
        <v>0</v>
      </c>
    </row>
    <row r="2327" spans="1:16" x14ac:dyDescent="0.25">
      <c r="A2327" t="s">
        <v>669</v>
      </c>
      <c r="B2327">
        <v>55.8</v>
      </c>
      <c r="C2327">
        <v>61.7</v>
      </c>
      <c r="D2327" t="s">
        <v>303</v>
      </c>
      <c r="E2327" t="s">
        <v>910</v>
      </c>
      <c r="F2327" t="s">
        <v>910</v>
      </c>
      <c r="J2327">
        <v>61.7</v>
      </c>
      <c r="K2327">
        <v>55.8</v>
      </c>
      <c r="L2327" t="s">
        <v>303</v>
      </c>
      <c r="M2327">
        <v>61.7</v>
      </c>
      <c r="N2327">
        <v>55.8</v>
      </c>
      <c r="O2327" t="s">
        <v>303</v>
      </c>
      <c r="P2327">
        <f t="shared" si="36"/>
        <v>0</v>
      </c>
    </row>
    <row r="2328" spans="1:16" x14ac:dyDescent="0.25">
      <c r="A2328" t="s">
        <v>88</v>
      </c>
      <c r="B2328">
        <v>58.7</v>
      </c>
      <c r="C2328">
        <v>61.7</v>
      </c>
      <c r="D2328" t="s">
        <v>303</v>
      </c>
      <c r="E2328">
        <v>35</v>
      </c>
      <c r="F2328">
        <v>35</v>
      </c>
      <c r="G2328" t="s">
        <v>801</v>
      </c>
      <c r="H2328" t="s">
        <v>801</v>
      </c>
      <c r="J2328">
        <v>61.7</v>
      </c>
      <c r="K2328">
        <v>58.7</v>
      </c>
      <c r="L2328" t="s">
        <v>303</v>
      </c>
      <c r="M2328">
        <v>61.7</v>
      </c>
      <c r="N2328">
        <v>58.7</v>
      </c>
      <c r="O2328" t="s">
        <v>303</v>
      </c>
      <c r="P2328">
        <f t="shared" si="36"/>
        <v>0</v>
      </c>
    </row>
    <row r="2329" spans="1:16" x14ac:dyDescent="0.25">
      <c r="A2329" t="s">
        <v>669</v>
      </c>
      <c r="B2329">
        <v>58</v>
      </c>
      <c r="C2329">
        <v>62</v>
      </c>
      <c r="D2329" t="s">
        <v>860</v>
      </c>
      <c r="E2329" t="s">
        <v>910</v>
      </c>
      <c r="F2329" t="s">
        <v>910</v>
      </c>
      <c r="J2329">
        <v>62</v>
      </c>
      <c r="K2329">
        <v>58</v>
      </c>
      <c r="L2329" t="s">
        <v>303</v>
      </c>
      <c r="M2329">
        <v>62</v>
      </c>
      <c r="N2329">
        <v>58</v>
      </c>
      <c r="O2329" t="s">
        <v>303</v>
      </c>
      <c r="P2329">
        <f t="shared" si="36"/>
        <v>0</v>
      </c>
    </row>
    <row r="2330" spans="1:16" x14ac:dyDescent="0.25">
      <c r="A2330" t="s">
        <v>669</v>
      </c>
      <c r="B2330">
        <v>256</v>
      </c>
      <c r="C2330">
        <v>256</v>
      </c>
      <c r="D2330" t="s">
        <v>857</v>
      </c>
      <c r="E2330">
        <v>5</v>
      </c>
      <c r="F2330">
        <v>5</v>
      </c>
      <c r="G2330" t="s">
        <v>684</v>
      </c>
      <c r="H2330" t="s">
        <v>684</v>
      </c>
      <c r="J2330">
        <v>256</v>
      </c>
      <c r="K2330">
        <v>256</v>
      </c>
      <c r="L2330" t="s">
        <v>921</v>
      </c>
      <c r="M2330">
        <v>256</v>
      </c>
      <c r="N2330">
        <v>256</v>
      </c>
      <c r="O2330" t="s">
        <v>921</v>
      </c>
      <c r="P2330">
        <f t="shared" si="36"/>
        <v>0</v>
      </c>
    </row>
    <row r="2331" spans="1:16" x14ac:dyDescent="0.25">
      <c r="A2331" t="s">
        <v>669</v>
      </c>
      <c r="B2331">
        <v>63.62</v>
      </c>
      <c r="C2331">
        <v>63.62</v>
      </c>
      <c r="D2331" t="s">
        <v>303</v>
      </c>
      <c r="E2331" t="s">
        <v>910</v>
      </c>
      <c r="F2331" t="s">
        <v>910</v>
      </c>
      <c r="J2331">
        <v>63.62</v>
      </c>
      <c r="K2331">
        <v>63.62</v>
      </c>
      <c r="L2331" t="s">
        <v>303</v>
      </c>
      <c r="M2331">
        <v>63.62</v>
      </c>
      <c r="N2331">
        <v>63.62</v>
      </c>
      <c r="O2331" t="s">
        <v>303</v>
      </c>
      <c r="P2331">
        <f t="shared" si="36"/>
        <v>0</v>
      </c>
    </row>
    <row r="2332" spans="1:16" x14ac:dyDescent="0.25">
      <c r="A2332" t="s">
        <v>59</v>
      </c>
      <c r="B2332">
        <v>0.01</v>
      </c>
      <c r="C2332">
        <v>65</v>
      </c>
      <c r="D2332" t="s">
        <v>860</v>
      </c>
      <c r="E2332">
        <v>2</v>
      </c>
      <c r="F2332">
        <v>2</v>
      </c>
      <c r="G2332" t="s">
        <v>798</v>
      </c>
      <c r="H2332" t="s">
        <v>798</v>
      </c>
      <c r="J2332">
        <v>65</v>
      </c>
      <c r="K2332">
        <v>0.01</v>
      </c>
      <c r="L2332" t="s">
        <v>303</v>
      </c>
      <c r="M2332">
        <v>65</v>
      </c>
      <c r="N2332">
        <v>0.01</v>
      </c>
      <c r="O2332" t="s">
        <v>303</v>
      </c>
      <c r="P2332">
        <f t="shared" si="36"/>
        <v>0</v>
      </c>
    </row>
    <row r="2333" spans="1:16" x14ac:dyDescent="0.25">
      <c r="A2333" t="s">
        <v>669</v>
      </c>
      <c r="B2333">
        <v>55</v>
      </c>
      <c r="C2333">
        <v>65</v>
      </c>
      <c r="D2333" t="s">
        <v>303</v>
      </c>
      <c r="E2333" t="s">
        <v>910</v>
      </c>
      <c r="F2333" t="s">
        <v>910</v>
      </c>
      <c r="J2333">
        <v>65</v>
      </c>
      <c r="K2333">
        <v>55</v>
      </c>
      <c r="L2333" t="s">
        <v>303</v>
      </c>
      <c r="M2333">
        <v>65</v>
      </c>
      <c r="N2333">
        <v>55</v>
      </c>
      <c r="O2333" t="s">
        <v>303</v>
      </c>
      <c r="P2333">
        <f t="shared" si="36"/>
        <v>0</v>
      </c>
    </row>
    <row r="2334" spans="1:16" x14ac:dyDescent="0.25">
      <c r="A2334" t="s">
        <v>669</v>
      </c>
      <c r="B2334">
        <v>55</v>
      </c>
      <c r="C2334">
        <v>65</v>
      </c>
      <c r="D2334" t="s">
        <v>669</v>
      </c>
      <c r="E2334" t="s">
        <v>910</v>
      </c>
      <c r="F2334" t="s">
        <v>910</v>
      </c>
      <c r="I2334" t="s">
        <v>927</v>
      </c>
      <c r="J2334">
        <v>65</v>
      </c>
      <c r="K2334">
        <v>55</v>
      </c>
      <c r="L2334" t="s">
        <v>930</v>
      </c>
      <c r="M2334">
        <v>65</v>
      </c>
      <c r="N2334">
        <v>55</v>
      </c>
      <c r="P2334">
        <f t="shared" si="36"/>
        <v>14</v>
      </c>
    </row>
    <row r="2335" spans="1:16" x14ac:dyDescent="0.25">
      <c r="A2335" t="s">
        <v>441</v>
      </c>
      <c r="B2335">
        <v>56</v>
      </c>
      <c r="C2335">
        <v>65</v>
      </c>
      <c r="D2335" t="s">
        <v>860</v>
      </c>
      <c r="E2335">
        <v>33</v>
      </c>
      <c r="F2335">
        <v>33</v>
      </c>
      <c r="G2335" t="s">
        <v>698</v>
      </c>
      <c r="H2335" t="s">
        <v>698</v>
      </c>
      <c r="J2335">
        <v>65</v>
      </c>
      <c r="K2335">
        <v>56</v>
      </c>
      <c r="L2335" t="s">
        <v>303</v>
      </c>
      <c r="M2335">
        <v>65</v>
      </c>
      <c r="N2335">
        <v>56</v>
      </c>
      <c r="O2335" t="s">
        <v>303</v>
      </c>
      <c r="P2335">
        <f t="shared" si="36"/>
        <v>0</v>
      </c>
    </row>
    <row r="2336" spans="1:16" x14ac:dyDescent="0.25">
      <c r="A2336" t="s">
        <v>188</v>
      </c>
      <c r="B2336">
        <v>56.5</v>
      </c>
      <c r="C2336">
        <v>65</v>
      </c>
      <c r="D2336" t="s">
        <v>860</v>
      </c>
      <c r="E2336">
        <v>28</v>
      </c>
      <c r="F2336">
        <v>28</v>
      </c>
      <c r="G2336" t="s">
        <v>688</v>
      </c>
      <c r="H2336" t="s">
        <v>688</v>
      </c>
      <c r="J2336">
        <v>65</v>
      </c>
      <c r="K2336">
        <v>56.5</v>
      </c>
      <c r="L2336" t="s">
        <v>303</v>
      </c>
      <c r="M2336">
        <v>65</v>
      </c>
      <c r="N2336">
        <v>56.5</v>
      </c>
      <c r="O2336" t="s">
        <v>303</v>
      </c>
      <c r="P2336">
        <f t="shared" si="36"/>
        <v>0</v>
      </c>
    </row>
    <row r="2337" spans="1:16" x14ac:dyDescent="0.25">
      <c r="A2337" t="s">
        <v>441</v>
      </c>
      <c r="B2337">
        <v>56.5</v>
      </c>
      <c r="C2337">
        <v>65</v>
      </c>
      <c r="D2337" t="s">
        <v>860</v>
      </c>
      <c r="E2337">
        <v>33</v>
      </c>
      <c r="F2337">
        <v>33</v>
      </c>
      <c r="G2337" t="s">
        <v>698</v>
      </c>
      <c r="H2337" t="s">
        <v>698</v>
      </c>
      <c r="J2337">
        <v>65</v>
      </c>
      <c r="K2337">
        <v>56.5</v>
      </c>
      <c r="L2337" t="s">
        <v>303</v>
      </c>
      <c r="M2337">
        <v>65</v>
      </c>
      <c r="N2337">
        <v>56.5</v>
      </c>
      <c r="O2337" t="s">
        <v>303</v>
      </c>
      <c r="P2337">
        <f t="shared" si="36"/>
        <v>0</v>
      </c>
    </row>
    <row r="2338" spans="1:16" x14ac:dyDescent="0.25">
      <c r="A2338" t="s">
        <v>516</v>
      </c>
      <c r="B2338">
        <v>65</v>
      </c>
      <c r="C2338">
        <v>65</v>
      </c>
      <c r="D2338" t="s">
        <v>669</v>
      </c>
      <c r="E2338">
        <v>38</v>
      </c>
      <c r="F2338">
        <v>38</v>
      </c>
      <c r="G2338" t="s">
        <v>704</v>
      </c>
      <c r="H2338" t="s">
        <v>704</v>
      </c>
      <c r="I2338" t="s">
        <v>927</v>
      </c>
      <c r="J2338">
        <v>65</v>
      </c>
      <c r="K2338">
        <v>65</v>
      </c>
      <c r="L2338" t="s">
        <v>930</v>
      </c>
      <c r="M2338">
        <v>65</v>
      </c>
      <c r="N2338">
        <v>65</v>
      </c>
      <c r="P2338">
        <f t="shared" si="36"/>
        <v>14</v>
      </c>
    </row>
    <row r="2339" spans="1:16" x14ac:dyDescent="0.25">
      <c r="A2339" t="s">
        <v>669</v>
      </c>
      <c r="B2339">
        <v>65</v>
      </c>
      <c r="C2339">
        <v>65</v>
      </c>
      <c r="D2339" t="s">
        <v>669</v>
      </c>
      <c r="E2339" t="s">
        <v>910</v>
      </c>
      <c r="F2339" t="s">
        <v>910</v>
      </c>
      <c r="I2339" t="s">
        <v>927</v>
      </c>
      <c r="J2339">
        <v>65</v>
      </c>
      <c r="K2339">
        <v>65</v>
      </c>
      <c r="L2339" t="s">
        <v>930</v>
      </c>
      <c r="M2339">
        <v>65</v>
      </c>
      <c r="N2339">
        <v>65</v>
      </c>
      <c r="P2339">
        <f t="shared" si="36"/>
        <v>14</v>
      </c>
    </row>
    <row r="2340" spans="1:16" x14ac:dyDescent="0.25">
      <c r="A2340" t="s">
        <v>59</v>
      </c>
      <c r="B2340">
        <v>0</v>
      </c>
      <c r="C2340">
        <v>65.5</v>
      </c>
      <c r="D2340" t="s">
        <v>303</v>
      </c>
      <c r="E2340">
        <v>2</v>
      </c>
      <c r="F2340">
        <v>2</v>
      </c>
      <c r="G2340" t="s">
        <v>798</v>
      </c>
      <c r="H2340" t="s">
        <v>798</v>
      </c>
      <c r="J2340">
        <v>65.5</v>
      </c>
      <c r="K2340">
        <v>0</v>
      </c>
      <c r="L2340" t="s">
        <v>303</v>
      </c>
      <c r="M2340">
        <v>65.5</v>
      </c>
      <c r="N2340">
        <v>0</v>
      </c>
      <c r="O2340" t="s">
        <v>303</v>
      </c>
      <c r="P2340">
        <f t="shared" si="36"/>
        <v>0</v>
      </c>
    </row>
    <row r="2341" spans="1:16" x14ac:dyDescent="0.25">
      <c r="A2341" t="s">
        <v>77</v>
      </c>
      <c r="B2341">
        <v>23</v>
      </c>
      <c r="C2341">
        <v>65.5</v>
      </c>
      <c r="D2341" t="s">
        <v>303</v>
      </c>
      <c r="E2341">
        <v>24</v>
      </c>
      <c r="F2341">
        <v>24</v>
      </c>
      <c r="G2341" t="s">
        <v>692</v>
      </c>
      <c r="H2341" t="s">
        <v>692</v>
      </c>
      <c r="J2341">
        <v>65.5</v>
      </c>
      <c r="K2341">
        <v>23</v>
      </c>
      <c r="L2341" t="s">
        <v>303</v>
      </c>
      <c r="M2341">
        <v>65.5</v>
      </c>
      <c r="N2341">
        <v>23</v>
      </c>
      <c r="O2341" t="s">
        <v>303</v>
      </c>
      <c r="P2341">
        <f t="shared" si="36"/>
        <v>0</v>
      </c>
    </row>
    <row r="2342" spans="1:16" x14ac:dyDescent="0.25">
      <c r="A2342" t="s">
        <v>85</v>
      </c>
      <c r="B2342">
        <v>55.8</v>
      </c>
      <c r="C2342">
        <v>65.5</v>
      </c>
      <c r="D2342" t="s">
        <v>303</v>
      </c>
      <c r="E2342">
        <v>33</v>
      </c>
      <c r="F2342">
        <v>33</v>
      </c>
      <c r="G2342" t="s">
        <v>698</v>
      </c>
      <c r="H2342" t="s">
        <v>698</v>
      </c>
      <c r="J2342">
        <v>65.5</v>
      </c>
      <c r="K2342">
        <v>55.8</v>
      </c>
      <c r="L2342" t="s">
        <v>303</v>
      </c>
      <c r="M2342">
        <v>65.5</v>
      </c>
      <c r="N2342">
        <v>55.8</v>
      </c>
      <c r="O2342" t="s">
        <v>303</v>
      </c>
      <c r="P2342">
        <f t="shared" si="36"/>
        <v>0</v>
      </c>
    </row>
    <row r="2343" spans="1:16" x14ac:dyDescent="0.25">
      <c r="A2343" t="s">
        <v>669</v>
      </c>
      <c r="B2343">
        <v>55.8</v>
      </c>
      <c r="C2343">
        <v>65.5</v>
      </c>
      <c r="D2343" t="s">
        <v>303</v>
      </c>
      <c r="E2343" t="s">
        <v>910</v>
      </c>
      <c r="F2343" t="s">
        <v>910</v>
      </c>
      <c r="J2343">
        <v>65.5</v>
      </c>
      <c r="K2343">
        <v>55.8</v>
      </c>
      <c r="L2343" t="s">
        <v>303</v>
      </c>
      <c r="M2343">
        <v>65.5</v>
      </c>
      <c r="N2343">
        <v>55.8</v>
      </c>
      <c r="O2343" t="s">
        <v>303</v>
      </c>
      <c r="P2343">
        <f t="shared" si="36"/>
        <v>0</v>
      </c>
    </row>
    <row r="2344" spans="1:16" x14ac:dyDescent="0.25">
      <c r="A2344" t="s">
        <v>86</v>
      </c>
      <c r="B2344">
        <v>61.7</v>
      </c>
      <c r="C2344">
        <v>65.5</v>
      </c>
      <c r="D2344" t="s">
        <v>303</v>
      </c>
      <c r="E2344">
        <v>36</v>
      </c>
      <c r="F2344">
        <v>36</v>
      </c>
      <c r="G2344" t="s">
        <v>714</v>
      </c>
      <c r="H2344" t="s">
        <v>714</v>
      </c>
      <c r="J2344">
        <v>65.5</v>
      </c>
      <c r="K2344">
        <v>61.7</v>
      </c>
      <c r="L2344" t="s">
        <v>303</v>
      </c>
      <c r="M2344">
        <v>65.5</v>
      </c>
      <c r="N2344">
        <v>61.7</v>
      </c>
      <c r="O2344" t="s">
        <v>303</v>
      </c>
      <c r="P2344">
        <f t="shared" si="36"/>
        <v>0</v>
      </c>
    </row>
    <row r="2345" spans="1:16" x14ac:dyDescent="0.25">
      <c r="A2345" t="s">
        <v>669</v>
      </c>
      <c r="B2345">
        <v>65.7</v>
      </c>
      <c r="C2345">
        <v>65.7</v>
      </c>
      <c r="D2345" t="s">
        <v>303</v>
      </c>
      <c r="E2345" t="s">
        <v>910</v>
      </c>
      <c r="F2345" t="s">
        <v>910</v>
      </c>
      <c r="J2345">
        <v>65.7</v>
      </c>
      <c r="K2345">
        <v>65.7</v>
      </c>
      <c r="L2345" t="s">
        <v>303</v>
      </c>
      <c r="M2345">
        <v>65.7</v>
      </c>
      <c r="N2345">
        <v>65.7</v>
      </c>
      <c r="O2345" t="s">
        <v>303</v>
      </c>
      <c r="P2345">
        <f t="shared" si="36"/>
        <v>0</v>
      </c>
    </row>
    <row r="2346" spans="1:16" x14ac:dyDescent="0.25">
      <c r="A2346" t="s">
        <v>669</v>
      </c>
      <c r="B2346">
        <v>65.87</v>
      </c>
      <c r="C2346">
        <v>65.87</v>
      </c>
      <c r="D2346" t="s">
        <v>303</v>
      </c>
      <c r="E2346" t="s">
        <v>910</v>
      </c>
      <c r="F2346" t="s">
        <v>910</v>
      </c>
      <c r="J2346">
        <v>65.87</v>
      </c>
      <c r="K2346">
        <v>65.87</v>
      </c>
      <c r="L2346" t="s">
        <v>303</v>
      </c>
      <c r="M2346">
        <v>65.87</v>
      </c>
      <c r="N2346">
        <v>65.87</v>
      </c>
      <c r="O2346" t="s">
        <v>303</v>
      </c>
      <c r="P2346">
        <f t="shared" si="36"/>
        <v>0</v>
      </c>
    </row>
    <row r="2347" spans="1:16" x14ac:dyDescent="0.25">
      <c r="A2347" t="s">
        <v>669</v>
      </c>
      <c r="B2347">
        <v>66.209999999999994</v>
      </c>
      <c r="C2347">
        <v>66.209999999999994</v>
      </c>
      <c r="D2347" t="s">
        <v>303</v>
      </c>
      <c r="E2347" t="s">
        <v>910</v>
      </c>
      <c r="F2347" t="s">
        <v>910</v>
      </c>
      <c r="J2347">
        <v>66.209999999999994</v>
      </c>
      <c r="K2347">
        <v>66.209999999999994</v>
      </c>
      <c r="L2347" t="s">
        <v>303</v>
      </c>
      <c r="M2347">
        <v>66.209999999999994</v>
      </c>
      <c r="N2347">
        <v>66.209999999999994</v>
      </c>
      <c r="O2347" t="s">
        <v>303</v>
      </c>
      <c r="P2347">
        <f t="shared" si="36"/>
        <v>0</v>
      </c>
    </row>
    <row r="2348" spans="1:16" x14ac:dyDescent="0.25">
      <c r="A2348" t="s">
        <v>669</v>
      </c>
      <c r="B2348">
        <v>69.150000000000006</v>
      </c>
      <c r="C2348">
        <v>69.150000000000006</v>
      </c>
      <c r="D2348" t="s">
        <v>303</v>
      </c>
      <c r="E2348" t="s">
        <v>910</v>
      </c>
      <c r="F2348" t="s">
        <v>910</v>
      </c>
      <c r="J2348">
        <v>69.150000000000006</v>
      </c>
      <c r="K2348">
        <v>69.150000000000006</v>
      </c>
      <c r="L2348" t="s">
        <v>303</v>
      </c>
      <c r="M2348">
        <v>69.150000000000006</v>
      </c>
      <c r="N2348">
        <v>69.150000000000006</v>
      </c>
      <c r="O2348" t="s">
        <v>303</v>
      </c>
      <c r="P2348">
        <f t="shared" si="36"/>
        <v>0</v>
      </c>
    </row>
    <row r="2349" spans="1:16" x14ac:dyDescent="0.25">
      <c r="A2349" t="s">
        <v>669</v>
      </c>
      <c r="B2349">
        <v>50</v>
      </c>
      <c r="C2349">
        <v>70</v>
      </c>
      <c r="D2349" t="s">
        <v>860</v>
      </c>
      <c r="E2349" t="s">
        <v>910</v>
      </c>
      <c r="F2349" t="s">
        <v>910</v>
      </c>
      <c r="J2349">
        <v>70</v>
      </c>
      <c r="K2349">
        <v>50</v>
      </c>
      <c r="L2349" t="s">
        <v>303</v>
      </c>
      <c r="M2349">
        <v>70</v>
      </c>
      <c r="N2349">
        <v>50</v>
      </c>
      <c r="O2349" t="s">
        <v>303</v>
      </c>
      <c r="P2349">
        <f t="shared" si="36"/>
        <v>0</v>
      </c>
    </row>
    <row r="2350" spans="1:16" x14ac:dyDescent="0.25">
      <c r="A2350" t="s">
        <v>669</v>
      </c>
      <c r="B2350">
        <v>2.7099999999999997E-4</v>
      </c>
      <c r="C2350" t="s">
        <v>669</v>
      </c>
      <c r="D2350" t="s">
        <v>860</v>
      </c>
      <c r="E2350" t="s">
        <v>910</v>
      </c>
      <c r="F2350">
        <v>5</v>
      </c>
      <c r="H2350" t="s">
        <v>684</v>
      </c>
      <c r="K2350">
        <v>271</v>
      </c>
      <c r="L2350" t="s">
        <v>921</v>
      </c>
      <c r="N2350">
        <v>2.7099999999999997E-4</v>
      </c>
      <c r="O2350" t="s">
        <v>303</v>
      </c>
      <c r="P2350">
        <f t="shared" si="36"/>
        <v>0</v>
      </c>
    </row>
    <row r="2351" spans="1:16" x14ac:dyDescent="0.25">
      <c r="A2351" t="s">
        <v>323</v>
      </c>
      <c r="B2351">
        <v>65.5</v>
      </c>
      <c r="C2351">
        <v>70.599999999999994</v>
      </c>
      <c r="D2351" t="s">
        <v>303</v>
      </c>
      <c r="E2351">
        <v>40</v>
      </c>
      <c r="F2351">
        <v>40</v>
      </c>
      <c r="G2351" t="s">
        <v>707</v>
      </c>
      <c r="H2351" t="s">
        <v>707</v>
      </c>
      <c r="J2351">
        <v>70.599999999999994</v>
      </c>
      <c r="K2351">
        <v>65.5</v>
      </c>
      <c r="L2351" t="s">
        <v>303</v>
      </c>
      <c r="M2351">
        <v>70.599999999999994</v>
      </c>
      <c r="N2351">
        <v>65.5</v>
      </c>
      <c r="O2351" t="s">
        <v>303</v>
      </c>
      <c r="P2351">
        <f t="shared" si="36"/>
        <v>0</v>
      </c>
    </row>
    <row r="2352" spans="1:16" x14ac:dyDescent="0.25">
      <c r="A2352" t="s">
        <v>669</v>
      </c>
      <c r="B2352">
        <v>65.5</v>
      </c>
      <c r="C2352">
        <v>70.8</v>
      </c>
      <c r="D2352" t="s">
        <v>303</v>
      </c>
      <c r="E2352" t="s">
        <v>910</v>
      </c>
      <c r="F2352" t="s">
        <v>910</v>
      </c>
      <c r="J2352">
        <v>70.8</v>
      </c>
      <c r="K2352">
        <v>65.5</v>
      </c>
      <c r="L2352" t="s">
        <v>303</v>
      </c>
      <c r="M2352">
        <v>70.8</v>
      </c>
      <c r="N2352">
        <v>65.5</v>
      </c>
      <c r="O2352" t="s">
        <v>303</v>
      </c>
      <c r="P2352">
        <f t="shared" si="36"/>
        <v>0</v>
      </c>
    </row>
    <row r="2353" spans="1:16" x14ac:dyDescent="0.25">
      <c r="A2353" t="s">
        <v>669</v>
      </c>
      <c r="B2353">
        <v>70</v>
      </c>
      <c r="C2353">
        <v>71</v>
      </c>
      <c r="D2353" t="s">
        <v>860</v>
      </c>
      <c r="E2353" t="s">
        <v>910</v>
      </c>
      <c r="F2353" t="s">
        <v>910</v>
      </c>
      <c r="J2353">
        <v>71</v>
      </c>
      <c r="K2353">
        <v>70</v>
      </c>
      <c r="L2353" t="s">
        <v>303</v>
      </c>
      <c r="M2353">
        <v>71</v>
      </c>
      <c r="N2353">
        <v>70</v>
      </c>
      <c r="O2353" t="s">
        <v>303</v>
      </c>
      <c r="P2353">
        <f t="shared" si="36"/>
        <v>0</v>
      </c>
    </row>
    <row r="2354" spans="1:16" x14ac:dyDescent="0.25">
      <c r="A2354" t="s">
        <v>669</v>
      </c>
      <c r="B2354">
        <v>71.48</v>
      </c>
      <c r="C2354">
        <v>71.48</v>
      </c>
      <c r="D2354" t="s">
        <v>303</v>
      </c>
      <c r="E2354" t="s">
        <v>910</v>
      </c>
      <c r="F2354" t="s">
        <v>910</v>
      </c>
      <c r="J2354">
        <v>71.48</v>
      </c>
      <c r="K2354">
        <v>71.48</v>
      </c>
      <c r="L2354" t="s">
        <v>303</v>
      </c>
      <c r="M2354">
        <v>71.48</v>
      </c>
      <c r="N2354">
        <v>71.48</v>
      </c>
      <c r="O2354" t="s">
        <v>303</v>
      </c>
      <c r="P2354">
        <f t="shared" si="36"/>
        <v>0</v>
      </c>
    </row>
    <row r="2355" spans="1:16" x14ac:dyDescent="0.25">
      <c r="A2355" t="s">
        <v>959</v>
      </c>
      <c r="B2355">
        <v>50</v>
      </c>
      <c r="C2355">
        <v>75</v>
      </c>
      <c r="D2355" t="s">
        <v>860</v>
      </c>
      <c r="E2355">
        <v>39</v>
      </c>
      <c r="F2355">
        <v>28</v>
      </c>
      <c r="G2355" t="s">
        <v>806</v>
      </c>
      <c r="H2355" t="s">
        <v>688</v>
      </c>
      <c r="J2355">
        <v>75</v>
      </c>
      <c r="K2355">
        <v>50</v>
      </c>
      <c r="L2355" t="s">
        <v>303</v>
      </c>
      <c r="M2355">
        <v>75</v>
      </c>
      <c r="N2355">
        <v>50</v>
      </c>
      <c r="O2355" t="s">
        <v>303</v>
      </c>
      <c r="P2355">
        <f t="shared" si="36"/>
        <v>0</v>
      </c>
    </row>
    <row r="2356" spans="1:16" x14ac:dyDescent="0.25">
      <c r="A2356" t="s">
        <v>669</v>
      </c>
      <c r="B2356">
        <v>74.2</v>
      </c>
      <c r="C2356">
        <v>75.900000000000006</v>
      </c>
      <c r="D2356" t="s">
        <v>303</v>
      </c>
      <c r="E2356" t="s">
        <v>910</v>
      </c>
      <c r="F2356" t="s">
        <v>910</v>
      </c>
      <c r="J2356">
        <v>75.900000000000006</v>
      </c>
      <c r="K2356">
        <v>74.2</v>
      </c>
      <c r="L2356" t="s">
        <v>303</v>
      </c>
      <c r="M2356">
        <v>75.900000000000006</v>
      </c>
      <c r="N2356">
        <v>74.2</v>
      </c>
      <c r="O2356" t="s">
        <v>303</v>
      </c>
      <c r="P2356">
        <f t="shared" si="36"/>
        <v>0</v>
      </c>
    </row>
    <row r="2357" spans="1:16" x14ac:dyDescent="0.25">
      <c r="A2357" t="s">
        <v>246</v>
      </c>
      <c r="B2357">
        <v>71</v>
      </c>
      <c r="C2357">
        <v>76</v>
      </c>
      <c r="D2357" t="s">
        <v>303</v>
      </c>
      <c r="E2357">
        <v>39</v>
      </c>
      <c r="F2357">
        <v>39</v>
      </c>
      <c r="G2357" t="s">
        <v>806</v>
      </c>
      <c r="H2357" t="s">
        <v>806</v>
      </c>
      <c r="J2357">
        <v>76</v>
      </c>
      <c r="K2357">
        <v>71</v>
      </c>
      <c r="L2357" t="s">
        <v>303</v>
      </c>
      <c r="M2357">
        <v>76</v>
      </c>
      <c r="N2357">
        <v>71</v>
      </c>
      <c r="O2357" t="s">
        <v>303</v>
      </c>
      <c r="P2357">
        <f t="shared" si="36"/>
        <v>0</v>
      </c>
    </row>
    <row r="2358" spans="1:16" x14ac:dyDescent="0.25">
      <c r="A2358" t="s">
        <v>669</v>
      </c>
      <c r="B2358">
        <v>76.08</v>
      </c>
      <c r="C2358">
        <v>76.08</v>
      </c>
      <c r="D2358" t="s">
        <v>303</v>
      </c>
      <c r="E2358" t="s">
        <v>910</v>
      </c>
      <c r="F2358" t="s">
        <v>910</v>
      </c>
      <c r="J2358">
        <v>76.08</v>
      </c>
      <c r="K2358">
        <v>76.08</v>
      </c>
      <c r="L2358" t="s">
        <v>303</v>
      </c>
      <c r="M2358">
        <v>76.08</v>
      </c>
      <c r="N2358">
        <v>76.08</v>
      </c>
      <c r="O2358" t="s">
        <v>303</v>
      </c>
      <c r="P2358">
        <f t="shared" si="36"/>
        <v>0</v>
      </c>
    </row>
    <row r="2359" spans="1:16" x14ac:dyDescent="0.25">
      <c r="A2359" t="s">
        <v>669</v>
      </c>
      <c r="B2359">
        <v>75.900000000000006</v>
      </c>
      <c r="C2359">
        <v>77</v>
      </c>
      <c r="D2359" t="s">
        <v>303</v>
      </c>
      <c r="E2359" t="s">
        <v>910</v>
      </c>
      <c r="F2359" t="s">
        <v>910</v>
      </c>
      <c r="J2359">
        <v>77</v>
      </c>
      <c r="K2359">
        <v>75.900000000000006</v>
      </c>
      <c r="L2359" t="s">
        <v>303</v>
      </c>
      <c r="M2359">
        <v>77</v>
      </c>
      <c r="N2359">
        <v>75.900000000000006</v>
      </c>
      <c r="O2359" t="s">
        <v>303</v>
      </c>
      <c r="P2359">
        <f t="shared" si="36"/>
        <v>0</v>
      </c>
    </row>
    <row r="2360" spans="1:16" x14ac:dyDescent="0.25">
      <c r="A2360" t="s">
        <v>669</v>
      </c>
      <c r="B2360">
        <v>77</v>
      </c>
      <c r="C2360">
        <v>77</v>
      </c>
      <c r="D2360" t="s">
        <v>669</v>
      </c>
      <c r="E2360" t="s">
        <v>910</v>
      </c>
      <c r="F2360" t="s">
        <v>910</v>
      </c>
      <c r="I2360" t="s">
        <v>927</v>
      </c>
      <c r="J2360">
        <v>77</v>
      </c>
      <c r="K2360">
        <v>77</v>
      </c>
      <c r="L2360" t="s">
        <v>930</v>
      </c>
      <c r="M2360">
        <v>77</v>
      </c>
      <c r="N2360">
        <v>77</v>
      </c>
      <c r="P2360">
        <f t="shared" si="36"/>
        <v>14</v>
      </c>
    </row>
    <row r="2361" spans="1:16" x14ac:dyDescent="0.25">
      <c r="A2361" t="s">
        <v>246</v>
      </c>
      <c r="B2361">
        <v>70</v>
      </c>
      <c r="C2361">
        <v>79</v>
      </c>
      <c r="D2361" t="s">
        <v>303</v>
      </c>
      <c r="E2361">
        <v>39</v>
      </c>
      <c r="F2361">
        <v>39</v>
      </c>
      <c r="G2361" t="s">
        <v>806</v>
      </c>
      <c r="H2361" t="s">
        <v>806</v>
      </c>
      <c r="J2361">
        <v>79</v>
      </c>
      <c r="K2361">
        <v>70</v>
      </c>
      <c r="L2361" t="s">
        <v>303</v>
      </c>
      <c r="M2361">
        <v>79</v>
      </c>
      <c r="N2361">
        <v>70</v>
      </c>
      <c r="O2361" t="s">
        <v>303</v>
      </c>
      <c r="P2361">
        <f t="shared" si="36"/>
        <v>0</v>
      </c>
    </row>
    <row r="2362" spans="1:16" x14ac:dyDescent="0.25">
      <c r="A2362" t="s">
        <v>669</v>
      </c>
      <c r="B2362">
        <v>80.099999999999994</v>
      </c>
      <c r="C2362">
        <v>80.5</v>
      </c>
      <c r="D2362" t="s">
        <v>303</v>
      </c>
      <c r="E2362" t="s">
        <v>910</v>
      </c>
      <c r="F2362" t="s">
        <v>910</v>
      </c>
      <c r="J2362">
        <v>80.5</v>
      </c>
      <c r="K2362">
        <v>80.099999999999994</v>
      </c>
      <c r="L2362" t="s">
        <v>303</v>
      </c>
      <c r="M2362">
        <v>80.5</v>
      </c>
      <c r="N2362">
        <v>80.099999999999994</v>
      </c>
      <c r="O2362" t="s">
        <v>303</v>
      </c>
      <c r="P2362">
        <f t="shared" si="36"/>
        <v>0</v>
      </c>
    </row>
    <row r="2363" spans="1:16" x14ac:dyDescent="0.25">
      <c r="A2363" t="s">
        <v>669</v>
      </c>
      <c r="B2363">
        <v>292</v>
      </c>
      <c r="C2363">
        <v>292</v>
      </c>
      <c r="D2363" t="s">
        <v>871</v>
      </c>
      <c r="E2363">
        <v>5</v>
      </c>
      <c r="F2363">
        <v>5</v>
      </c>
      <c r="G2363" t="s">
        <v>684</v>
      </c>
      <c r="H2363" t="s">
        <v>684</v>
      </c>
      <c r="J2363">
        <v>292</v>
      </c>
      <c r="K2363">
        <v>292</v>
      </c>
      <c r="L2363" t="s">
        <v>921</v>
      </c>
      <c r="M2363">
        <v>292</v>
      </c>
      <c r="N2363">
        <v>292</v>
      </c>
      <c r="O2363" t="s">
        <v>921</v>
      </c>
      <c r="P2363">
        <f t="shared" si="36"/>
        <v>0</v>
      </c>
    </row>
    <row r="2364" spans="1:16" x14ac:dyDescent="0.25">
      <c r="A2364" t="s">
        <v>669</v>
      </c>
      <c r="B2364">
        <v>70</v>
      </c>
      <c r="C2364">
        <v>83</v>
      </c>
      <c r="D2364" t="s">
        <v>303</v>
      </c>
      <c r="E2364" t="s">
        <v>910</v>
      </c>
      <c r="F2364" t="s">
        <v>910</v>
      </c>
      <c r="J2364">
        <v>83</v>
      </c>
      <c r="K2364">
        <v>70</v>
      </c>
      <c r="L2364" t="s">
        <v>303</v>
      </c>
      <c r="M2364">
        <v>83</v>
      </c>
      <c r="N2364">
        <v>70</v>
      </c>
      <c r="O2364" t="s">
        <v>303</v>
      </c>
      <c r="P2364">
        <f t="shared" si="36"/>
        <v>0</v>
      </c>
    </row>
    <row r="2365" spans="1:16" x14ac:dyDescent="0.25">
      <c r="A2365" t="s">
        <v>669</v>
      </c>
      <c r="B2365">
        <v>83.5</v>
      </c>
      <c r="C2365">
        <v>65.5</v>
      </c>
      <c r="D2365" t="s">
        <v>303</v>
      </c>
      <c r="E2365" t="s">
        <v>910</v>
      </c>
      <c r="F2365" t="s">
        <v>910</v>
      </c>
      <c r="J2365">
        <v>83.5</v>
      </c>
      <c r="K2365">
        <v>65.5</v>
      </c>
      <c r="L2365" t="s">
        <v>303</v>
      </c>
      <c r="M2365">
        <v>83.5</v>
      </c>
      <c r="N2365">
        <v>65.5</v>
      </c>
      <c r="O2365" t="s">
        <v>303</v>
      </c>
      <c r="P2365">
        <f t="shared" si="36"/>
        <v>0</v>
      </c>
    </row>
    <row r="2366" spans="1:16" x14ac:dyDescent="0.25">
      <c r="A2366" t="s">
        <v>320</v>
      </c>
      <c r="B2366">
        <v>70.599999999999994</v>
      </c>
      <c r="C2366">
        <v>83.5</v>
      </c>
      <c r="D2366" t="s">
        <v>303</v>
      </c>
      <c r="E2366">
        <v>41</v>
      </c>
      <c r="F2366">
        <v>41</v>
      </c>
      <c r="G2366" t="s">
        <v>706</v>
      </c>
      <c r="H2366" t="s">
        <v>706</v>
      </c>
      <c r="J2366">
        <v>83.5</v>
      </c>
      <c r="K2366">
        <v>70.599999999999994</v>
      </c>
      <c r="L2366" t="s">
        <v>303</v>
      </c>
      <c r="M2366">
        <v>83.5</v>
      </c>
      <c r="N2366">
        <v>70.599999999999994</v>
      </c>
      <c r="O2366" t="s">
        <v>303</v>
      </c>
      <c r="P2366">
        <f t="shared" si="36"/>
        <v>0</v>
      </c>
    </row>
    <row r="2367" spans="1:16" x14ac:dyDescent="0.25">
      <c r="A2367" t="s">
        <v>669</v>
      </c>
      <c r="B2367">
        <v>84</v>
      </c>
      <c r="C2367">
        <v>84</v>
      </c>
      <c r="D2367" t="s">
        <v>669</v>
      </c>
      <c r="E2367" t="s">
        <v>910</v>
      </c>
      <c r="F2367" t="s">
        <v>910</v>
      </c>
      <c r="I2367" t="s">
        <v>927</v>
      </c>
      <c r="J2367">
        <v>84</v>
      </c>
      <c r="K2367">
        <v>84</v>
      </c>
      <c r="L2367" t="s">
        <v>930</v>
      </c>
      <c r="M2367">
        <v>84</v>
      </c>
      <c r="N2367">
        <v>84</v>
      </c>
      <c r="P2367">
        <f t="shared" si="36"/>
        <v>14</v>
      </c>
    </row>
    <row r="2368" spans="1:16" x14ac:dyDescent="0.25">
      <c r="A2368" t="s">
        <v>669</v>
      </c>
      <c r="B2368">
        <v>80.5</v>
      </c>
      <c r="C2368">
        <v>85.1</v>
      </c>
      <c r="D2368" t="s">
        <v>860</v>
      </c>
      <c r="E2368" t="s">
        <v>910</v>
      </c>
      <c r="F2368" t="s">
        <v>910</v>
      </c>
      <c r="J2368">
        <v>85.1</v>
      </c>
      <c r="K2368">
        <v>80.5</v>
      </c>
      <c r="L2368" t="s">
        <v>303</v>
      </c>
      <c r="M2368">
        <v>85.1</v>
      </c>
      <c r="N2368">
        <v>80.5</v>
      </c>
      <c r="O2368" t="s">
        <v>303</v>
      </c>
      <c r="P2368">
        <f t="shared" si="36"/>
        <v>0</v>
      </c>
    </row>
    <row r="2369" spans="1:16" x14ac:dyDescent="0.25">
      <c r="A2369" t="s">
        <v>246</v>
      </c>
      <c r="B2369">
        <v>81.099999999999994</v>
      </c>
      <c r="C2369">
        <v>85.3</v>
      </c>
      <c r="D2369" t="s">
        <v>303</v>
      </c>
      <c r="E2369">
        <v>39</v>
      </c>
      <c r="F2369">
        <v>39</v>
      </c>
      <c r="G2369" t="s">
        <v>806</v>
      </c>
      <c r="H2369" t="s">
        <v>806</v>
      </c>
      <c r="J2369">
        <v>85.3</v>
      </c>
      <c r="K2369">
        <v>81.099999999999994</v>
      </c>
      <c r="L2369" t="s">
        <v>303</v>
      </c>
      <c r="M2369">
        <v>85.3</v>
      </c>
      <c r="N2369">
        <v>81.099999999999994</v>
      </c>
      <c r="O2369" t="s">
        <v>303</v>
      </c>
      <c r="P2369">
        <f t="shared" si="36"/>
        <v>0</v>
      </c>
    </row>
    <row r="2370" spans="1:16" x14ac:dyDescent="0.25">
      <c r="A2370" t="s">
        <v>669</v>
      </c>
      <c r="B2370">
        <v>84.3</v>
      </c>
      <c r="C2370">
        <v>85.99</v>
      </c>
      <c r="D2370" t="s">
        <v>860</v>
      </c>
      <c r="E2370" t="s">
        <v>910</v>
      </c>
      <c r="F2370" t="s">
        <v>910</v>
      </c>
      <c r="J2370">
        <v>85.99</v>
      </c>
      <c r="K2370">
        <v>84.3</v>
      </c>
      <c r="L2370" t="s">
        <v>303</v>
      </c>
      <c r="M2370">
        <v>85.99</v>
      </c>
      <c r="N2370">
        <v>84.3</v>
      </c>
      <c r="O2370" t="s">
        <v>303</v>
      </c>
      <c r="P2370">
        <f t="shared" si="36"/>
        <v>0</v>
      </c>
    </row>
    <row r="2371" spans="1:16" x14ac:dyDescent="0.25">
      <c r="A2371" t="s">
        <v>669</v>
      </c>
      <c r="B2371" t="s">
        <v>669</v>
      </c>
      <c r="C2371">
        <v>86</v>
      </c>
      <c r="D2371" t="s">
        <v>303</v>
      </c>
      <c r="E2371" t="s">
        <v>910</v>
      </c>
      <c r="F2371" t="s">
        <v>910</v>
      </c>
      <c r="J2371">
        <v>86</v>
      </c>
      <c r="L2371" t="s">
        <v>303</v>
      </c>
      <c r="M2371">
        <v>86</v>
      </c>
      <c r="O2371" t="s">
        <v>303</v>
      </c>
      <c r="P2371">
        <f t="shared" ref="P2371:P2434" si="37">LEN(I2371)</f>
        <v>0</v>
      </c>
    </row>
    <row r="2372" spans="1:16" x14ac:dyDescent="0.25">
      <c r="A2372" t="s">
        <v>669</v>
      </c>
      <c r="B2372">
        <v>84.1</v>
      </c>
      <c r="C2372">
        <v>86.5</v>
      </c>
      <c r="D2372" t="s">
        <v>860</v>
      </c>
      <c r="E2372" t="s">
        <v>910</v>
      </c>
      <c r="F2372" t="s">
        <v>910</v>
      </c>
      <c r="J2372">
        <v>86.5</v>
      </c>
      <c r="K2372">
        <v>84.1</v>
      </c>
      <c r="L2372" t="s">
        <v>303</v>
      </c>
      <c r="M2372">
        <v>86.5</v>
      </c>
      <c r="N2372">
        <v>84.1</v>
      </c>
      <c r="O2372" t="s">
        <v>303</v>
      </c>
      <c r="P2372">
        <f t="shared" si="37"/>
        <v>0</v>
      </c>
    </row>
    <row r="2373" spans="1:16" x14ac:dyDescent="0.25">
      <c r="A2373" t="s">
        <v>669</v>
      </c>
      <c r="B2373">
        <v>81.900000000000006</v>
      </c>
      <c r="C2373">
        <v>86.7</v>
      </c>
      <c r="D2373" t="s">
        <v>860</v>
      </c>
      <c r="E2373" t="s">
        <v>910</v>
      </c>
      <c r="F2373" t="s">
        <v>910</v>
      </c>
      <c r="J2373">
        <v>86.7</v>
      </c>
      <c r="K2373">
        <v>81.900000000000006</v>
      </c>
      <c r="L2373" t="s">
        <v>303</v>
      </c>
      <c r="M2373">
        <v>86.7</v>
      </c>
      <c r="N2373">
        <v>81.900000000000006</v>
      </c>
      <c r="O2373" t="s">
        <v>303</v>
      </c>
      <c r="P2373">
        <f t="shared" si="37"/>
        <v>0</v>
      </c>
    </row>
    <row r="2374" spans="1:16" x14ac:dyDescent="0.25">
      <c r="A2374" t="s">
        <v>669</v>
      </c>
      <c r="B2374" t="s">
        <v>669</v>
      </c>
      <c r="C2374">
        <v>88</v>
      </c>
      <c r="D2374" t="s">
        <v>303</v>
      </c>
      <c r="E2374" t="s">
        <v>910</v>
      </c>
      <c r="F2374" t="s">
        <v>910</v>
      </c>
      <c r="J2374">
        <v>88</v>
      </c>
      <c r="L2374" t="s">
        <v>303</v>
      </c>
      <c r="M2374">
        <v>88</v>
      </c>
      <c r="O2374" t="s">
        <v>303</v>
      </c>
      <c r="P2374">
        <f t="shared" si="37"/>
        <v>0</v>
      </c>
    </row>
    <row r="2375" spans="1:16" x14ac:dyDescent="0.25">
      <c r="A2375" t="s">
        <v>669</v>
      </c>
      <c r="B2375" t="s">
        <v>669</v>
      </c>
      <c r="C2375">
        <v>89</v>
      </c>
      <c r="D2375" t="s">
        <v>303</v>
      </c>
      <c r="E2375" t="s">
        <v>910</v>
      </c>
      <c r="F2375" t="s">
        <v>910</v>
      </c>
      <c r="J2375">
        <v>89</v>
      </c>
      <c r="K2375">
        <v>89</v>
      </c>
      <c r="L2375" t="s">
        <v>303</v>
      </c>
      <c r="M2375">
        <v>89</v>
      </c>
      <c r="N2375">
        <v>89</v>
      </c>
      <c r="O2375" t="s">
        <v>303</v>
      </c>
      <c r="P2375">
        <f t="shared" si="37"/>
        <v>0</v>
      </c>
    </row>
    <row r="2376" spans="1:16" x14ac:dyDescent="0.25">
      <c r="A2376" t="s">
        <v>322</v>
      </c>
      <c r="B2376">
        <v>85.8</v>
      </c>
      <c r="C2376">
        <v>89.3</v>
      </c>
      <c r="D2376" t="s">
        <v>303</v>
      </c>
      <c r="E2376">
        <v>43</v>
      </c>
      <c r="F2376">
        <v>43</v>
      </c>
      <c r="G2376" t="s">
        <v>708</v>
      </c>
      <c r="H2376" t="s">
        <v>708</v>
      </c>
      <c r="J2376">
        <v>89.3</v>
      </c>
      <c r="K2376">
        <v>85.8</v>
      </c>
      <c r="L2376" t="s">
        <v>303</v>
      </c>
      <c r="M2376">
        <v>89.3</v>
      </c>
      <c r="N2376">
        <v>85.8</v>
      </c>
      <c r="O2376" t="s">
        <v>303</v>
      </c>
      <c r="P2376">
        <f t="shared" si="37"/>
        <v>0</v>
      </c>
    </row>
    <row r="2377" spans="1:16" x14ac:dyDescent="0.25">
      <c r="A2377" t="s">
        <v>669</v>
      </c>
      <c r="B2377">
        <v>86.9</v>
      </c>
      <c r="C2377">
        <v>89.3</v>
      </c>
      <c r="D2377" t="s">
        <v>860</v>
      </c>
      <c r="E2377" t="s">
        <v>910</v>
      </c>
      <c r="F2377" t="s">
        <v>910</v>
      </c>
      <c r="J2377">
        <v>89.3</v>
      </c>
      <c r="K2377">
        <v>86.9</v>
      </c>
      <c r="L2377" t="s">
        <v>303</v>
      </c>
      <c r="M2377">
        <v>89.3</v>
      </c>
      <c r="N2377">
        <v>86.9</v>
      </c>
      <c r="O2377" t="s">
        <v>303</v>
      </c>
      <c r="P2377">
        <f t="shared" si="37"/>
        <v>0</v>
      </c>
    </row>
    <row r="2378" spans="1:16" x14ac:dyDescent="0.25">
      <c r="A2378" t="s">
        <v>100</v>
      </c>
      <c r="B2378">
        <v>86.7</v>
      </c>
      <c r="C2378">
        <v>89.6</v>
      </c>
      <c r="D2378" t="s">
        <v>303</v>
      </c>
      <c r="E2378">
        <v>38</v>
      </c>
      <c r="F2378">
        <v>38</v>
      </c>
      <c r="G2378" t="s">
        <v>704</v>
      </c>
      <c r="H2378" t="s">
        <v>704</v>
      </c>
      <c r="J2378">
        <v>89.6</v>
      </c>
      <c r="K2378">
        <v>86.7</v>
      </c>
      <c r="L2378" t="s">
        <v>303</v>
      </c>
      <c r="M2378">
        <v>89.6</v>
      </c>
      <c r="N2378">
        <v>86.7</v>
      </c>
      <c r="O2378" t="s">
        <v>303</v>
      </c>
      <c r="P2378">
        <f t="shared" si="37"/>
        <v>0</v>
      </c>
    </row>
    <row r="2379" spans="1:16" x14ac:dyDescent="0.25">
      <c r="A2379" t="s">
        <v>100</v>
      </c>
      <c r="B2379">
        <v>86.7</v>
      </c>
      <c r="C2379">
        <v>89.6</v>
      </c>
      <c r="D2379" t="s">
        <v>860</v>
      </c>
      <c r="E2379">
        <v>38</v>
      </c>
      <c r="F2379">
        <v>38</v>
      </c>
      <c r="G2379" t="s">
        <v>704</v>
      </c>
      <c r="H2379" t="s">
        <v>704</v>
      </c>
      <c r="J2379">
        <v>89.6</v>
      </c>
      <c r="K2379">
        <v>86.7</v>
      </c>
      <c r="L2379" t="s">
        <v>303</v>
      </c>
      <c r="M2379">
        <v>89.6</v>
      </c>
      <c r="N2379">
        <v>86.7</v>
      </c>
      <c r="O2379" t="s">
        <v>303</v>
      </c>
      <c r="P2379">
        <f t="shared" si="37"/>
        <v>0</v>
      </c>
    </row>
    <row r="2380" spans="1:16" x14ac:dyDescent="0.25">
      <c r="A2380" t="s">
        <v>669</v>
      </c>
      <c r="B2380">
        <v>307</v>
      </c>
      <c r="C2380">
        <v>307</v>
      </c>
      <c r="D2380" t="s">
        <v>857</v>
      </c>
      <c r="E2380">
        <v>5</v>
      </c>
      <c r="F2380">
        <v>5</v>
      </c>
      <c r="G2380" t="s">
        <v>684</v>
      </c>
      <c r="H2380" t="s">
        <v>684</v>
      </c>
      <c r="J2380">
        <v>307</v>
      </c>
      <c r="K2380">
        <v>307</v>
      </c>
      <c r="L2380" t="s">
        <v>921</v>
      </c>
      <c r="M2380">
        <v>307</v>
      </c>
      <c r="N2380">
        <v>307</v>
      </c>
      <c r="O2380" t="s">
        <v>921</v>
      </c>
      <c r="P2380">
        <f t="shared" si="37"/>
        <v>0</v>
      </c>
    </row>
    <row r="2381" spans="1:16" x14ac:dyDescent="0.25">
      <c r="A2381" t="s">
        <v>669</v>
      </c>
      <c r="B2381">
        <v>87.3</v>
      </c>
      <c r="C2381">
        <v>89.9</v>
      </c>
      <c r="D2381" t="s">
        <v>860</v>
      </c>
      <c r="E2381" t="s">
        <v>910</v>
      </c>
      <c r="F2381" t="s">
        <v>910</v>
      </c>
      <c r="J2381">
        <v>89.9</v>
      </c>
      <c r="K2381">
        <v>87.3</v>
      </c>
      <c r="L2381" t="s">
        <v>303</v>
      </c>
      <c r="M2381">
        <v>89.9</v>
      </c>
      <c r="N2381">
        <v>87.3</v>
      </c>
      <c r="O2381" t="s">
        <v>303</v>
      </c>
      <c r="P2381">
        <f t="shared" si="37"/>
        <v>0</v>
      </c>
    </row>
    <row r="2382" spans="1:16" x14ac:dyDescent="0.25">
      <c r="A2382" t="s">
        <v>99</v>
      </c>
      <c r="B2382">
        <v>90.82</v>
      </c>
      <c r="C2382">
        <v>90.92</v>
      </c>
      <c r="D2382" t="s">
        <v>860</v>
      </c>
      <c r="E2382">
        <v>38</v>
      </c>
      <c r="F2382">
        <v>38</v>
      </c>
      <c r="G2382" t="s">
        <v>704</v>
      </c>
      <c r="H2382" t="s">
        <v>704</v>
      </c>
      <c r="J2382">
        <v>90.92</v>
      </c>
      <c r="K2382">
        <v>90.82</v>
      </c>
      <c r="L2382" t="s">
        <v>303</v>
      </c>
      <c r="M2382">
        <v>90.92</v>
      </c>
      <c r="N2382">
        <v>90.82</v>
      </c>
      <c r="O2382" t="s">
        <v>303</v>
      </c>
      <c r="P2382">
        <f t="shared" si="37"/>
        <v>0</v>
      </c>
    </row>
    <row r="2383" spans="1:16" x14ac:dyDescent="0.25">
      <c r="A2383" t="s">
        <v>669</v>
      </c>
      <c r="B2383" t="s">
        <v>669</v>
      </c>
      <c r="C2383">
        <v>91</v>
      </c>
      <c r="D2383" t="s">
        <v>303</v>
      </c>
      <c r="E2383" t="s">
        <v>910</v>
      </c>
      <c r="F2383" t="s">
        <v>910</v>
      </c>
      <c r="J2383">
        <v>91</v>
      </c>
      <c r="L2383" t="s">
        <v>303</v>
      </c>
      <c r="M2383">
        <v>91</v>
      </c>
      <c r="O2383" t="s">
        <v>303</v>
      </c>
      <c r="P2383">
        <f t="shared" si="37"/>
        <v>0</v>
      </c>
    </row>
    <row r="2384" spans="1:16" x14ac:dyDescent="0.25">
      <c r="A2384" t="s">
        <v>99</v>
      </c>
      <c r="B2384">
        <v>90.97</v>
      </c>
      <c r="C2384">
        <v>91.09</v>
      </c>
      <c r="D2384" t="s">
        <v>860</v>
      </c>
      <c r="E2384">
        <v>38</v>
      </c>
      <c r="F2384">
        <v>38</v>
      </c>
      <c r="G2384" t="s">
        <v>704</v>
      </c>
      <c r="H2384" t="s">
        <v>704</v>
      </c>
      <c r="J2384">
        <v>91.09</v>
      </c>
      <c r="K2384">
        <v>90.97</v>
      </c>
      <c r="L2384" t="s">
        <v>303</v>
      </c>
      <c r="M2384">
        <v>91.09</v>
      </c>
      <c r="N2384">
        <v>90.97</v>
      </c>
      <c r="O2384" t="s">
        <v>303</v>
      </c>
      <c r="P2384">
        <f t="shared" si="37"/>
        <v>0</v>
      </c>
    </row>
    <row r="2385" spans="1:16" x14ac:dyDescent="0.25">
      <c r="A2385" t="s">
        <v>99</v>
      </c>
      <c r="B2385">
        <v>101.2</v>
      </c>
      <c r="C2385">
        <v>92.4</v>
      </c>
      <c r="D2385" t="s">
        <v>669</v>
      </c>
      <c r="E2385">
        <v>38</v>
      </c>
      <c r="F2385">
        <v>38</v>
      </c>
      <c r="G2385" t="s">
        <v>704</v>
      </c>
      <c r="H2385" t="s">
        <v>704</v>
      </c>
      <c r="I2385" t="s">
        <v>927</v>
      </c>
      <c r="J2385">
        <v>92.4</v>
      </c>
      <c r="K2385">
        <v>101.2</v>
      </c>
      <c r="L2385" t="s">
        <v>930</v>
      </c>
      <c r="M2385">
        <v>101.2</v>
      </c>
      <c r="N2385">
        <v>92.4</v>
      </c>
      <c r="P2385">
        <f t="shared" si="37"/>
        <v>14</v>
      </c>
    </row>
    <row r="2386" spans="1:16" x14ac:dyDescent="0.25">
      <c r="A2386" t="s">
        <v>99</v>
      </c>
      <c r="B2386">
        <v>92.1</v>
      </c>
      <c r="C2386">
        <v>92.7</v>
      </c>
      <c r="D2386" t="s">
        <v>860</v>
      </c>
      <c r="E2386">
        <v>38</v>
      </c>
      <c r="F2386">
        <v>38</v>
      </c>
      <c r="G2386" t="s">
        <v>704</v>
      </c>
      <c r="H2386" t="s">
        <v>704</v>
      </c>
      <c r="J2386">
        <v>92.7</v>
      </c>
      <c r="K2386">
        <v>92.1</v>
      </c>
      <c r="L2386" t="s">
        <v>303</v>
      </c>
      <c r="M2386">
        <v>92.7</v>
      </c>
      <c r="N2386">
        <v>92.1</v>
      </c>
      <c r="O2386" t="s">
        <v>303</v>
      </c>
      <c r="P2386">
        <f t="shared" si="37"/>
        <v>0</v>
      </c>
    </row>
    <row r="2387" spans="1:16" x14ac:dyDescent="0.25">
      <c r="A2387" t="s">
        <v>99</v>
      </c>
      <c r="B2387">
        <v>92.64</v>
      </c>
      <c r="C2387">
        <v>92.8</v>
      </c>
      <c r="D2387" t="s">
        <v>860</v>
      </c>
      <c r="E2387">
        <v>38</v>
      </c>
      <c r="F2387">
        <v>38</v>
      </c>
      <c r="G2387" t="s">
        <v>704</v>
      </c>
      <c r="H2387" t="s">
        <v>704</v>
      </c>
      <c r="J2387">
        <v>92.8</v>
      </c>
      <c r="K2387">
        <v>92.64</v>
      </c>
      <c r="L2387" t="s">
        <v>303</v>
      </c>
      <c r="M2387">
        <v>92.8</v>
      </c>
      <c r="N2387">
        <v>92.64</v>
      </c>
      <c r="O2387" t="s">
        <v>303</v>
      </c>
      <c r="P2387">
        <f t="shared" si="37"/>
        <v>0</v>
      </c>
    </row>
    <row r="2388" spans="1:16" x14ac:dyDescent="0.25">
      <c r="A2388" t="s">
        <v>99</v>
      </c>
      <c r="B2388">
        <v>92.4</v>
      </c>
      <c r="C2388">
        <v>93.2</v>
      </c>
      <c r="D2388" t="s">
        <v>860</v>
      </c>
      <c r="E2388">
        <v>38</v>
      </c>
      <c r="F2388">
        <v>38</v>
      </c>
      <c r="G2388" t="s">
        <v>704</v>
      </c>
      <c r="H2388" t="s">
        <v>704</v>
      </c>
      <c r="J2388">
        <v>93.2</v>
      </c>
      <c r="K2388">
        <v>92.4</v>
      </c>
      <c r="L2388" t="s">
        <v>303</v>
      </c>
      <c r="M2388">
        <v>93.2</v>
      </c>
      <c r="N2388">
        <v>92.4</v>
      </c>
      <c r="O2388" t="s">
        <v>303</v>
      </c>
      <c r="P2388">
        <f t="shared" si="37"/>
        <v>0</v>
      </c>
    </row>
    <row r="2389" spans="1:16" x14ac:dyDescent="0.25">
      <c r="A2389" t="s">
        <v>324</v>
      </c>
      <c r="B2389">
        <v>89.3</v>
      </c>
      <c r="C2389">
        <v>93.5</v>
      </c>
      <c r="D2389" t="s">
        <v>303</v>
      </c>
      <c r="E2389">
        <v>44</v>
      </c>
      <c r="F2389">
        <v>44</v>
      </c>
      <c r="G2389" t="s">
        <v>710</v>
      </c>
      <c r="H2389" t="s">
        <v>710</v>
      </c>
      <c r="J2389">
        <v>93.5</v>
      </c>
      <c r="K2389">
        <v>89.3</v>
      </c>
      <c r="L2389" t="s">
        <v>303</v>
      </c>
      <c r="M2389">
        <v>93.5</v>
      </c>
      <c r="N2389">
        <v>89.3</v>
      </c>
      <c r="O2389" t="s">
        <v>303</v>
      </c>
      <c r="P2389">
        <f t="shared" si="37"/>
        <v>0</v>
      </c>
    </row>
    <row r="2390" spans="1:16" x14ac:dyDescent="0.25">
      <c r="A2390" t="s">
        <v>669</v>
      </c>
      <c r="B2390">
        <v>89.3</v>
      </c>
      <c r="C2390">
        <v>93.5</v>
      </c>
      <c r="D2390" t="s">
        <v>303</v>
      </c>
      <c r="E2390" t="s">
        <v>910</v>
      </c>
      <c r="F2390" t="s">
        <v>910</v>
      </c>
      <c r="J2390">
        <v>93.5</v>
      </c>
      <c r="K2390">
        <v>89.3</v>
      </c>
      <c r="L2390" t="s">
        <v>303</v>
      </c>
      <c r="M2390">
        <v>93.5</v>
      </c>
      <c r="N2390">
        <v>89.3</v>
      </c>
      <c r="O2390" t="s">
        <v>303</v>
      </c>
      <c r="P2390">
        <f t="shared" si="37"/>
        <v>0</v>
      </c>
    </row>
    <row r="2391" spans="1:16" x14ac:dyDescent="0.25">
      <c r="A2391" t="s">
        <v>669</v>
      </c>
      <c r="B2391">
        <v>89.8</v>
      </c>
      <c r="C2391">
        <v>93.9</v>
      </c>
      <c r="D2391" t="s">
        <v>860</v>
      </c>
      <c r="E2391" t="s">
        <v>910</v>
      </c>
      <c r="F2391" t="s">
        <v>910</v>
      </c>
      <c r="J2391">
        <v>93.9</v>
      </c>
      <c r="K2391">
        <v>89.8</v>
      </c>
      <c r="L2391" t="s">
        <v>303</v>
      </c>
      <c r="M2391">
        <v>93.9</v>
      </c>
      <c r="N2391">
        <v>89.8</v>
      </c>
      <c r="O2391" t="s">
        <v>303</v>
      </c>
      <c r="P2391">
        <f t="shared" si="37"/>
        <v>0</v>
      </c>
    </row>
    <row r="2392" spans="1:16" x14ac:dyDescent="0.25">
      <c r="A2392" t="s">
        <v>99</v>
      </c>
      <c r="B2392">
        <v>93.6</v>
      </c>
      <c r="C2392">
        <v>94.8</v>
      </c>
      <c r="D2392" t="s">
        <v>860</v>
      </c>
      <c r="E2392">
        <v>38</v>
      </c>
      <c r="F2392">
        <v>38</v>
      </c>
      <c r="G2392" t="s">
        <v>704</v>
      </c>
      <c r="H2392" t="s">
        <v>704</v>
      </c>
      <c r="J2392">
        <v>94.8</v>
      </c>
      <c r="K2392">
        <v>93.6</v>
      </c>
      <c r="L2392" t="s">
        <v>303</v>
      </c>
      <c r="M2392">
        <v>94.8</v>
      </c>
      <c r="N2392">
        <v>93.6</v>
      </c>
      <c r="O2392" t="s">
        <v>303</v>
      </c>
      <c r="P2392">
        <f t="shared" si="37"/>
        <v>0</v>
      </c>
    </row>
    <row r="2393" spans="1:16" x14ac:dyDescent="0.25">
      <c r="A2393" t="s">
        <v>99</v>
      </c>
      <c r="B2393">
        <v>85</v>
      </c>
      <c r="C2393">
        <v>95</v>
      </c>
      <c r="D2393" t="s">
        <v>860</v>
      </c>
      <c r="E2393">
        <v>38</v>
      </c>
      <c r="F2393">
        <v>38</v>
      </c>
      <c r="G2393" t="s">
        <v>704</v>
      </c>
      <c r="H2393" t="s">
        <v>704</v>
      </c>
      <c r="J2393">
        <v>95</v>
      </c>
      <c r="K2393">
        <v>85</v>
      </c>
      <c r="L2393" t="s">
        <v>303</v>
      </c>
      <c r="M2393">
        <v>95</v>
      </c>
      <c r="N2393">
        <v>85</v>
      </c>
      <c r="O2393" t="s">
        <v>303</v>
      </c>
      <c r="P2393">
        <f t="shared" si="37"/>
        <v>0</v>
      </c>
    </row>
    <row r="2394" spans="1:16" x14ac:dyDescent="0.25">
      <c r="A2394" t="s">
        <v>578</v>
      </c>
      <c r="B2394">
        <v>70</v>
      </c>
      <c r="C2394">
        <v>640</v>
      </c>
      <c r="D2394" t="s">
        <v>669</v>
      </c>
      <c r="E2394">
        <v>3</v>
      </c>
      <c r="F2394">
        <v>3</v>
      </c>
      <c r="G2394" t="s">
        <v>700</v>
      </c>
      <c r="H2394" t="s">
        <v>700</v>
      </c>
      <c r="I2394" t="s">
        <v>952</v>
      </c>
      <c r="J2394">
        <v>640</v>
      </c>
      <c r="K2394">
        <v>70</v>
      </c>
      <c r="L2394" t="s">
        <v>851</v>
      </c>
      <c r="M2394">
        <v>640</v>
      </c>
      <c r="N2394">
        <v>70</v>
      </c>
    </row>
    <row r="2395" spans="1:16" x14ac:dyDescent="0.25">
      <c r="A2395" t="s">
        <v>669</v>
      </c>
      <c r="B2395">
        <v>85</v>
      </c>
      <c r="C2395">
        <v>95</v>
      </c>
      <c r="D2395" t="s">
        <v>860</v>
      </c>
      <c r="E2395" t="s">
        <v>910</v>
      </c>
      <c r="F2395" t="s">
        <v>910</v>
      </c>
      <c r="J2395">
        <v>95</v>
      </c>
      <c r="K2395">
        <v>85</v>
      </c>
      <c r="L2395" t="s">
        <v>303</v>
      </c>
      <c r="M2395">
        <v>95</v>
      </c>
      <c r="N2395">
        <v>85</v>
      </c>
      <c r="O2395" t="s">
        <v>303</v>
      </c>
      <c r="P2395">
        <f t="shared" si="37"/>
        <v>0</v>
      </c>
    </row>
    <row r="2396" spans="1:16" x14ac:dyDescent="0.25">
      <c r="A2396" t="s">
        <v>669</v>
      </c>
      <c r="B2396">
        <v>80</v>
      </c>
      <c r="C2396">
        <v>95</v>
      </c>
      <c r="D2396" t="s">
        <v>669</v>
      </c>
      <c r="E2396" t="s">
        <v>910</v>
      </c>
      <c r="F2396" t="s">
        <v>910</v>
      </c>
      <c r="I2396" t="s">
        <v>927</v>
      </c>
      <c r="J2396">
        <v>95</v>
      </c>
      <c r="K2396">
        <v>80</v>
      </c>
      <c r="L2396" t="s">
        <v>930</v>
      </c>
      <c r="M2396">
        <v>95</v>
      </c>
      <c r="N2396">
        <v>80</v>
      </c>
      <c r="P2396">
        <f t="shared" si="37"/>
        <v>14</v>
      </c>
    </row>
    <row r="2397" spans="1:16" x14ac:dyDescent="0.25">
      <c r="A2397" t="s">
        <v>99</v>
      </c>
      <c r="B2397">
        <v>95.3</v>
      </c>
      <c r="C2397">
        <v>95.6</v>
      </c>
      <c r="D2397" t="s">
        <v>860</v>
      </c>
      <c r="E2397">
        <v>38</v>
      </c>
      <c r="F2397">
        <v>38</v>
      </c>
      <c r="G2397" t="s">
        <v>704</v>
      </c>
      <c r="H2397" t="s">
        <v>704</v>
      </c>
      <c r="J2397">
        <v>95.6</v>
      </c>
      <c r="K2397">
        <v>95.3</v>
      </c>
      <c r="L2397" t="s">
        <v>303</v>
      </c>
      <c r="M2397">
        <v>95.6</v>
      </c>
      <c r="N2397">
        <v>95.3</v>
      </c>
      <c r="O2397" t="s">
        <v>303</v>
      </c>
      <c r="P2397">
        <f t="shared" si="37"/>
        <v>0</v>
      </c>
    </row>
    <row r="2398" spans="1:16" x14ac:dyDescent="0.25">
      <c r="A2398" t="s">
        <v>246</v>
      </c>
      <c r="B2398">
        <v>94.5</v>
      </c>
      <c r="C2398">
        <v>95.7</v>
      </c>
      <c r="D2398" t="s">
        <v>303</v>
      </c>
      <c r="E2398">
        <v>39</v>
      </c>
      <c r="F2398">
        <v>39</v>
      </c>
      <c r="G2398" t="s">
        <v>806</v>
      </c>
      <c r="H2398" t="s">
        <v>806</v>
      </c>
      <c r="J2398">
        <v>95.7</v>
      </c>
      <c r="K2398">
        <v>94.5</v>
      </c>
      <c r="L2398" t="s">
        <v>303</v>
      </c>
      <c r="M2398">
        <v>95.7</v>
      </c>
      <c r="N2398">
        <v>94.5</v>
      </c>
      <c r="O2398" t="s">
        <v>303</v>
      </c>
      <c r="P2398">
        <f t="shared" si="37"/>
        <v>0</v>
      </c>
    </row>
    <row r="2399" spans="1:16" x14ac:dyDescent="0.25">
      <c r="A2399" t="s">
        <v>669</v>
      </c>
      <c r="B2399">
        <v>375</v>
      </c>
      <c r="C2399">
        <v>645</v>
      </c>
      <c r="D2399" t="s">
        <v>863</v>
      </c>
      <c r="E2399">
        <v>5</v>
      </c>
      <c r="F2399">
        <v>5</v>
      </c>
      <c r="G2399" t="s">
        <v>684</v>
      </c>
      <c r="H2399" t="s">
        <v>684</v>
      </c>
      <c r="J2399">
        <v>375</v>
      </c>
      <c r="K2399">
        <v>645</v>
      </c>
      <c r="L2399" t="s">
        <v>919</v>
      </c>
      <c r="M2399">
        <v>645</v>
      </c>
      <c r="N2399">
        <v>375</v>
      </c>
      <c r="O2399" t="s">
        <v>919</v>
      </c>
      <c r="P2399">
        <f t="shared" si="37"/>
        <v>0</v>
      </c>
    </row>
    <row r="2400" spans="1:16" x14ac:dyDescent="0.25">
      <c r="A2400" t="s">
        <v>99</v>
      </c>
      <c r="B2400">
        <v>95</v>
      </c>
      <c r="C2400">
        <v>95.9</v>
      </c>
      <c r="D2400" t="s">
        <v>860</v>
      </c>
      <c r="E2400">
        <v>38</v>
      </c>
      <c r="F2400">
        <v>38</v>
      </c>
      <c r="G2400" t="s">
        <v>704</v>
      </c>
      <c r="H2400" t="s">
        <v>704</v>
      </c>
      <c r="J2400">
        <v>95.9</v>
      </c>
      <c r="K2400">
        <v>95</v>
      </c>
      <c r="L2400" t="s">
        <v>303</v>
      </c>
      <c r="M2400">
        <v>95.9</v>
      </c>
      <c r="N2400">
        <v>95</v>
      </c>
      <c r="O2400" t="s">
        <v>303</v>
      </c>
      <c r="P2400">
        <f t="shared" si="37"/>
        <v>0</v>
      </c>
    </row>
    <row r="2401" spans="1:16" x14ac:dyDescent="0.25">
      <c r="A2401" t="s">
        <v>669</v>
      </c>
      <c r="B2401">
        <v>310</v>
      </c>
      <c r="C2401" t="s">
        <v>669</v>
      </c>
      <c r="D2401" t="s">
        <v>865</v>
      </c>
      <c r="E2401" t="s">
        <v>910</v>
      </c>
      <c r="F2401">
        <v>5</v>
      </c>
      <c r="H2401" t="s">
        <v>684</v>
      </c>
      <c r="K2401">
        <v>310</v>
      </c>
      <c r="L2401" t="s">
        <v>920</v>
      </c>
      <c r="N2401">
        <v>310</v>
      </c>
      <c r="O2401" t="s">
        <v>931</v>
      </c>
      <c r="P2401">
        <f t="shared" si="37"/>
        <v>0</v>
      </c>
    </row>
    <row r="2402" spans="1:16" x14ac:dyDescent="0.25">
      <c r="A2402" t="s">
        <v>99</v>
      </c>
      <c r="B2402">
        <v>95.17</v>
      </c>
      <c r="C2402">
        <v>95.97</v>
      </c>
      <c r="D2402" t="s">
        <v>669</v>
      </c>
      <c r="E2402">
        <v>38</v>
      </c>
      <c r="F2402">
        <v>38</v>
      </c>
      <c r="G2402" t="s">
        <v>704</v>
      </c>
      <c r="H2402" t="s">
        <v>704</v>
      </c>
      <c r="I2402" t="s">
        <v>927</v>
      </c>
      <c r="J2402">
        <v>95.97</v>
      </c>
      <c r="K2402">
        <v>95.17</v>
      </c>
      <c r="L2402" t="s">
        <v>930</v>
      </c>
      <c r="M2402">
        <v>95.97</v>
      </c>
      <c r="N2402">
        <v>95.17</v>
      </c>
      <c r="P2402">
        <f t="shared" si="37"/>
        <v>14</v>
      </c>
    </row>
    <row r="2403" spans="1:16" x14ac:dyDescent="0.25">
      <c r="A2403">
        <v>86.1</v>
      </c>
      <c r="B2403">
        <v>77.099999999999994</v>
      </c>
      <c r="C2403">
        <v>96.2</v>
      </c>
      <c r="D2403" t="s">
        <v>303</v>
      </c>
      <c r="E2403" t="s">
        <v>910</v>
      </c>
      <c r="F2403" t="s">
        <v>910</v>
      </c>
      <c r="J2403">
        <v>96.2</v>
      </c>
      <c r="K2403">
        <v>77.099999999999994</v>
      </c>
      <c r="L2403" t="s">
        <v>303</v>
      </c>
      <c r="M2403">
        <v>96.2</v>
      </c>
      <c r="N2403">
        <v>77.099999999999994</v>
      </c>
      <c r="O2403" t="s">
        <v>303</v>
      </c>
      <c r="P2403">
        <f t="shared" si="37"/>
        <v>0</v>
      </c>
    </row>
    <row r="2404" spans="1:16" x14ac:dyDescent="0.25">
      <c r="A2404" t="s">
        <v>669</v>
      </c>
      <c r="B2404">
        <v>92</v>
      </c>
      <c r="C2404">
        <v>96.2</v>
      </c>
      <c r="D2404" t="s">
        <v>860</v>
      </c>
      <c r="E2404" t="s">
        <v>910</v>
      </c>
      <c r="F2404" t="s">
        <v>910</v>
      </c>
      <c r="J2404">
        <v>96.2</v>
      </c>
      <c r="K2404">
        <v>92</v>
      </c>
      <c r="L2404" t="s">
        <v>303</v>
      </c>
      <c r="M2404">
        <v>96.2</v>
      </c>
      <c r="N2404">
        <v>92</v>
      </c>
      <c r="O2404" t="s">
        <v>303</v>
      </c>
      <c r="P2404">
        <f t="shared" si="37"/>
        <v>0</v>
      </c>
    </row>
    <row r="2405" spans="1:16" x14ac:dyDescent="0.25">
      <c r="A2405" t="s">
        <v>246</v>
      </c>
      <c r="B2405">
        <v>93</v>
      </c>
      <c r="C2405">
        <v>96.4</v>
      </c>
      <c r="D2405" t="s">
        <v>303</v>
      </c>
      <c r="E2405">
        <v>39</v>
      </c>
      <c r="F2405">
        <v>39</v>
      </c>
      <c r="G2405" t="s">
        <v>806</v>
      </c>
      <c r="H2405" t="s">
        <v>806</v>
      </c>
      <c r="J2405">
        <v>96.4</v>
      </c>
      <c r="K2405">
        <v>93</v>
      </c>
      <c r="L2405" t="s">
        <v>303</v>
      </c>
      <c r="M2405">
        <v>96.4</v>
      </c>
      <c r="N2405">
        <v>93</v>
      </c>
      <c r="O2405" t="s">
        <v>303</v>
      </c>
      <c r="P2405">
        <f t="shared" si="37"/>
        <v>0</v>
      </c>
    </row>
    <row r="2406" spans="1:16" x14ac:dyDescent="0.25">
      <c r="A2406" t="s">
        <v>99</v>
      </c>
      <c r="B2406">
        <v>96.41</v>
      </c>
      <c r="C2406">
        <v>96.53</v>
      </c>
      <c r="D2406" t="s">
        <v>860</v>
      </c>
      <c r="E2406">
        <v>38</v>
      </c>
      <c r="F2406">
        <v>38</v>
      </c>
      <c r="G2406" t="s">
        <v>704</v>
      </c>
      <c r="H2406" t="s">
        <v>704</v>
      </c>
      <c r="J2406">
        <v>96.53</v>
      </c>
      <c r="K2406">
        <v>96.41</v>
      </c>
      <c r="L2406" t="s">
        <v>303</v>
      </c>
      <c r="M2406">
        <v>96.53</v>
      </c>
      <c r="N2406">
        <v>96.41</v>
      </c>
      <c r="O2406" t="s">
        <v>303</v>
      </c>
      <c r="P2406">
        <f t="shared" si="37"/>
        <v>0</v>
      </c>
    </row>
    <row r="2407" spans="1:16" x14ac:dyDescent="0.25">
      <c r="A2407" t="s">
        <v>99</v>
      </c>
      <c r="B2407">
        <v>95</v>
      </c>
      <c r="C2407">
        <v>96.6</v>
      </c>
      <c r="D2407" t="s">
        <v>860</v>
      </c>
      <c r="E2407">
        <v>38</v>
      </c>
      <c r="F2407">
        <v>38</v>
      </c>
      <c r="G2407" t="s">
        <v>704</v>
      </c>
      <c r="H2407" t="s">
        <v>704</v>
      </c>
      <c r="J2407">
        <v>96.6</v>
      </c>
      <c r="K2407">
        <v>95</v>
      </c>
      <c r="L2407" t="s">
        <v>303</v>
      </c>
      <c r="M2407">
        <v>96.6</v>
      </c>
      <c r="N2407">
        <v>95</v>
      </c>
      <c r="O2407" t="s">
        <v>303</v>
      </c>
      <c r="P2407">
        <f t="shared" si="37"/>
        <v>0</v>
      </c>
    </row>
    <row r="2408" spans="1:16" x14ac:dyDescent="0.25">
      <c r="A2408" t="s">
        <v>246</v>
      </c>
      <c r="B2408">
        <v>95.8</v>
      </c>
      <c r="C2408">
        <v>97</v>
      </c>
      <c r="D2408" t="s">
        <v>303</v>
      </c>
      <c r="E2408">
        <v>39</v>
      </c>
      <c r="F2408">
        <v>39</v>
      </c>
      <c r="G2408" t="s">
        <v>806</v>
      </c>
      <c r="H2408" t="s">
        <v>806</v>
      </c>
      <c r="J2408">
        <v>97</v>
      </c>
      <c r="K2408">
        <v>95.8</v>
      </c>
      <c r="L2408" t="s">
        <v>303</v>
      </c>
      <c r="M2408">
        <v>97</v>
      </c>
      <c r="N2408">
        <v>95.8</v>
      </c>
      <c r="O2408" t="s">
        <v>303</v>
      </c>
      <c r="P2408">
        <f t="shared" si="37"/>
        <v>0</v>
      </c>
    </row>
    <row r="2409" spans="1:16" x14ac:dyDescent="0.25">
      <c r="A2409" t="s">
        <v>99</v>
      </c>
      <c r="B2409">
        <v>95.3</v>
      </c>
      <c r="C2409">
        <v>97.1</v>
      </c>
      <c r="D2409" t="s">
        <v>860</v>
      </c>
      <c r="E2409">
        <v>38</v>
      </c>
      <c r="F2409">
        <v>38</v>
      </c>
      <c r="G2409" t="s">
        <v>704</v>
      </c>
      <c r="H2409" t="s">
        <v>704</v>
      </c>
      <c r="J2409">
        <v>97.1</v>
      </c>
      <c r="K2409">
        <v>95.3</v>
      </c>
      <c r="L2409" t="s">
        <v>303</v>
      </c>
      <c r="M2409">
        <v>97.1</v>
      </c>
      <c r="N2409">
        <v>95.3</v>
      </c>
      <c r="O2409" t="s">
        <v>303</v>
      </c>
      <c r="P2409">
        <f t="shared" si="37"/>
        <v>0</v>
      </c>
    </row>
    <row r="2410" spans="1:16" x14ac:dyDescent="0.25">
      <c r="A2410" t="s">
        <v>646</v>
      </c>
      <c r="B2410">
        <v>95.3</v>
      </c>
      <c r="C2410">
        <v>97.5</v>
      </c>
      <c r="D2410" t="s">
        <v>303</v>
      </c>
      <c r="E2410">
        <v>39</v>
      </c>
      <c r="F2410">
        <v>39</v>
      </c>
      <c r="G2410" t="s">
        <v>806</v>
      </c>
      <c r="H2410" t="s">
        <v>806</v>
      </c>
      <c r="J2410">
        <v>97.5</v>
      </c>
      <c r="K2410">
        <v>95.3</v>
      </c>
      <c r="L2410" t="s">
        <v>303</v>
      </c>
      <c r="M2410">
        <v>97.5</v>
      </c>
      <c r="N2410">
        <v>95.3</v>
      </c>
      <c r="O2410" t="s">
        <v>303</v>
      </c>
      <c r="P2410">
        <f t="shared" si="37"/>
        <v>0</v>
      </c>
    </row>
    <row r="2411" spans="1:16" x14ac:dyDescent="0.25">
      <c r="A2411" t="s">
        <v>246</v>
      </c>
      <c r="B2411">
        <v>79.599999999999994</v>
      </c>
      <c r="C2411">
        <v>97.8</v>
      </c>
      <c r="D2411" t="s">
        <v>860</v>
      </c>
      <c r="E2411">
        <v>39</v>
      </c>
      <c r="F2411">
        <v>39</v>
      </c>
      <c r="G2411" t="s">
        <v>806</v>
      </c>
      <c r="H2411" t="s">
        <v>806</v>
      </c>
      <c r="J2411">
        <v>97.8</v>
      </c>
      <c r="K2411">
        <v>79.599999999999994</v>
      </c>
      <c r="L2411" t="s">
        <v>303</v>
      </c>
      <c r="M2411">
        <v>97.8</v>
      </c>
      <c r="N2411">
        <v>79.599999999999994</v>
      </c>
      <c r="O2411" t="s">
        <v>303</v>
      </c>
      <c r="P2411">
        <f t="shared" si="37"/>
        <v>0</v>
      </c>
    </row>
    <row r="2412" spans="1:16" x14ac:dyDescent="0.25">
      <c r="A2412" t="s">
        <v>246</v>
      </c>
      <c r="B2412">
        <v>94.2</v>
      </c>
      <c r="C2412">
        <v>97.8</v>
      </c>
      <c r="D2412" t="s">
        <v>303</v>
      </c>
      <c r="E2412">
        <v>39</v>
      </c>
      <c r="F2412">
        <v>39</v>
      </c>
      <c r="G2412" t="s">
        <v>806</v>
      </c>
      <c r="H2412" t="s">
        <v>806</v>
      </c>
      <c r="J2412">
        <v>97.8</v>
      </c>
      <c r="K2412">
        <v>94.2</v>
      </c>
      <c r="L2412" t="s">
        <v>303</v>
      </c>
      <c r="M2412">
        <v>97.8</v>
      </c>
      <c r="N2412">
        <v>94.2</v>
      </c>
      <c r="O2412" t="s">
        <v>303</v>
      </c>
      <c r="P2412">
        <f t="shared" si="37"/>
        <v>0</v>
      </c>
    </row>
    <row r="2413" spans="1:16" x14ac:dyDescent="0.25">
      <c r="A2413" t="s">
        <v>99</v>
      </c>
      <c r="B2413">
        <v>97.86</v>
      </c>
      <c r="C2413">
        <v>97.98</v>
      </c>
      <c r="D2413" t="s">
        <v>860</v>
      </c>
      <c r="E2413">
        <v>38</v>
      </c>
      <c r="F2413">
        <v>38</v>
      </c>
      <c r="G2413" t="s">
        <v>704</v>
      </c>
      <c r="H2413" t="s">
        <v>704</v>
      </c>
      <c r="J2413">
        <v>97.98</v>
      </c>
      <c r="K2413">
        <v>97.86</v>
      </c>
      <c r="L2413" t="s">
        <v>303</v>
      </c>
      <c r="M2413">
        <v>97.98</v>
      </c>
      <c r="N2413">
        <v>97.86</v>
      </c>
      <c r="O2413" t="s">
        <v>303</v>
      </c>
      <c r="P2413">
        <f t="shared" si="37"/>
        <v>0</v>
      </c>
    </row>
    <row r="2414" spans="1:16" x14ac:dyDescent="0.25">
      <c r="A2414" t="s">
        <v>669</v>
      </c>
      <c r="B2414">
        <v>98</v>
      </c>
      <c r="C2414">
        <v>98</v>
      </c>
      <c r="D2414" t="s">
        <v>669</v>
      </c>
      <c r="E2414" t="s">
        <v>910</v>
      </c>
      <c r="F2414" t="s">
        <v>910</v>
      </c>
      <c r="I2414" t="s">
        <v>927</v>
      </c>
      <c r="J2414">
        <v>98</v>
      </c>
      <c r="K2414">
        <v>98</v>
      </c>
      <c r="L2414" t="s">
        <v>930</v>
      </c>
      <c r="M2414">
        <v>98</v>
      </c>
      <c r="N2414">
        <v>98</v>
      </c>
      <c r="P2414">
        <f t="shared" si="37"/>
        <v>14</v>
      </c>
    </row>
    <row r="2415" spans="1:16" x14ac:dyDescent="0.25">
      <c r="A2415" t="s">
        <v>246</v>
      </c>
      <c r="B2415">
        <v>97.1</v>
      </c>
      <c r="C2415">
        <v>98.3</v>
      </c>
      <c r="D2415" t="s">
        <v>303</v>
      </c>
      <c r="E2415">
        <v>39</v>
      </c>
      <c r="F2415">
        <v>39</v>
      </c>
      <c r="G2415" t="s">
        <v>806</v>
      </c>
      <c r="H2415" t="s">
        <v>806</v>
      </c>
      <c r="J2415">
        <v>98.3</v>
      </c>
      <c r="K2415">
        <v>97.1</v>
      </c>
      <c r="L2415" t="s">
        <v>303</v>
      </c>
      <c r="M2415">
        <v>98.3</v>
      </c>
      <c r="N2415">
        <v>97.1</v>
      </c>
      <c r="O2415" t="s">
        <v>303</v>
      </c>
      <c r="P2415">
        <f t="shared" si="37"/>
        <v>0</v>
      </c>
    </row>
    <row r="2416" spans="1:16" x14ac:dyDescent="0.25">
      <c r="A2416" t="s">
        <v>669</v>
      </c>
      <c r="B2416">
        <v>97.22</v>
      </c>
      <c r="C2416">
        <v>98.68</v>
      </c>
      <c r="D2416" t="s">
        <v>860</v>
      </c>
      <c r="E2416" t="s">
        <v>910</v>
      </c>
      <c r="F2416" t="s">
        <v>910</v>
      </c>
      <c r="J2416">
        <v>98.68</v>
      </c>
      <c r="K2416">
        <v>97.22</v>
      </c>
      <c r="L2416" t="s">
        <v>303</v>
      </c>
      <c r="M2416">
        <v>98.68</v>
      </c>
      <c r="N2416">
        <v>97.22</v>
      </c>
      <c r="O2416" t="s">
        <v>303</v>
      </c>
      <c r="P2416">
        <f t="shared" si="37"/>
        <v>0</v>
      </c>
    </row>
    <row r="2417" spans="1:16" x14ac:dyDescent="0.25">
      <c r="A2417" t="s">
        <v>669</v>
      </c>
      <c r="B2417">
        <v>65</v>
      </c>
      <c r="C2417">
        <v>99</v>
      </c>
      <c r="D2417" t="s">
        <v>303</v>
      </c>
      <c r="E2417" t="s">
        <v>910</v>
      </c>
      <c r="F2417" t="s">
        <v>910</v>
      </c>
      <c r="J2417">
        <v>99</v>
      </c>
      <c r="K2417">
        <v>65</v>
      </c>
      <c r="L2417" t="s">
        <v>303</v>
      </c>
      <c r="M2417">
        <v>99</v>
      </c>
      <c r="N2417">
        <v>65</v>
      </c>
      <c r="O2417" t="s">
        <v>303</v>
      </c>
      <c r="P2417">
        <f t="shared" si="37"/>
        <v>0</v>
      </c>
    </row>
    <row r="2418" spans="1:16" x14ac:dyDescent="0.25">
      <c r="A2418" t="s">
        <v>99</v>
      </c>
      <c r="B2418">
        <v>97</v>
      </c>
      <c r="C2418">
        <v>99</v>
      </c>
      <c r="D2418" t="s">
        <v>303</v>
      </c>
      <c r="E2418">
        <v>38</v>
      </c>
      <c r="F2418">
        <v>38</v>
      </c>
      <c r="G2418" t="s">
        <v>704</v>
      </c>
      <c r="H2418" t="s">
        <v>704</v>
      </c>
      <c r="J2418">
        <v>99</v>
      </c>
      <c r="K2418">
        <v>97</v>
      </c>
      <c r="L2418" t="s">
        <v>303</v>
      </c>
      <c r="M2418">
        <v>99</v>
      </c>
      <c r="N2418">
        <v>97</v>
      </c>
      <c r="O2418" t="s">
        <v>303</v>
      </c>
      <c r="P2418">
        <f t="shared" si="37"/>
        <v>0</v>
      </c>
    </row>
    <row r="2419" spans="1:16" x14ac:dyDescent="0.25">
      <c r="A2419" t="s">
        <v>99</v>
      </c>
      <c r="B2419">
        <v>97.96</v>
      </c>
      <c r="C2419">
        <v>99.4</v>
      </c>
      <c r="D2419" t="s">
        <v>669</v>
      </c>
      <c r="E2419">
        <v>38</v>
      </c>
      <c r="F2419">
        <v>38</v>
      </c>
      <c r="G2419" t="s">
        <v>704</v>
      </c>
      <c r="H2419" t="s">
        <v>704</v>
      </c>
      <c r="I2419" t="s">
        <v>927</v>
      </c>
      <c r="J2419">
        <v>99.4</v>
      </c>
      <c r="K2419">
        <v>97.96</v>
      </c>
      <c r="L2419" t="s">
        <v>930</v>
      </c>
      <c r="M2419">
        <v>99.4</v>
      </c>
      <c r="N2419">
        <v>97.96</v>
      </c>
      <c r="P2419">
        <f t="shared" si="37"/>
        <v>14</v>
      </c>
    </row>
    <row r="2420" spans="1:16" x14ac:dyDescent="0.25">
      <c r="A2420" t="s">
        <v>669</v>
      </c>
      <c r="B2420">
        <v>97.9</v>
      </c>
      <c r="C2420">
        <v>99.42</v>
      </c>
      <c r="D2420" t="s">
        <v>303</v>
      </c>
      <c r="E2420" t="s">
        <v>910</v>
      </c>
      <c r="F2420" t="s">
        <v>910</v>
      </c>
      <c r="J2420">
        <v>99.42</v>
      </c>
      <c r="K2420">
        <v>97.9</v>
      </c>
      <c r="L2420" t="s">
        <v>303</v>
      </c>
      <c r="M2420">
        <v>99.42</v>
      </c>
      <c r="N2420">
        <v>97.9</v>
      </c>
      <c r="O2420" t="s">
        <v>303</v>
      </c>
      <c r="P2420">
        <f t="shared" si="37"/>
        <v>0</v>
      </c>
    </row>
    <row r="2421" spans="1:16" x14ac:dyDescent="0.25">
      <c r="A2421" t="s">
        <v>669</v>
      </c>
      <c r="B2421">
        <v>3.1100000000000002E-4</v>
      </c>
      <c r="C2421" t="s">
        <v>669</v>
      </c>
      <c r="D2421" t="s">
        <v>860</v>
      </c>
      <c r="E2421" t="s">
        <v>910</v>
      </c>
      <c r="F2421">
        <v>5</v>
      </c>
      <c r="H2421" t="s">
        <v>684</v>
      </c>
      <c r="K2421">
        <v>311</v>
      </c>
      <c r="L2421" t="s">
        <v>921</v>
      </c>
      <c r="N2421">
        <v>3.1100000000000002E-4</v>
      </c>
      <c r="O2421" t="s">
        <v>303</v>
      </c>
      <c r="P2421">
        <f t="shared" si="37"/>
        <v>0</v>
      </c>
    </row>
    <row r="2422" spans="1:16" x14ac:dyDescent="0.25">
      <c r="A2422" t="s">
        <v>669</v>
      </c>
      <c r="B2422">
        <v>97.9</v>
      </c>
      <c r="C2422">
        <v>99.42</v>
      </c>
      <c r="D2422" t="s">
        <v>860</v>
      </c>
      <c r="E2422" t="s">
        <v>910</v>
      </c>
      <c r="F2422" t="s">
        <v>910</v>
      </c>
      <c r="J2422">
        <v>99.42</v>
      </c>
      <c r="K2422">
        <v>97.9</v>
      </c>
      <c r="L2422" t="s">
        <v>303</v>
      </c>
      <c r="M2422">
        <v>99.42</v>
      </c>
      <c r="N2422">
        <v>97.9</v>
      </c>
      <c r="O2422" t="s">
        <v>303</v>
      </c>
      <c r="P2422">
        <f t="shared" si="37"/>
        <v>0</v>
      </c>
    </row>
    <row r="2423" spans="1:16" x14ac:dyDescent="0.25">
      <c r="A2423" t="s">
        <v>319</v>
      </c>
      <c r="B2423">
        <v>65.5</v>
      </c>
      <c r="C2423">
        <v>99.6</v>
      </c>
      <c r="D2423" t="s">
        <v>303</v>
      </c>
      <c r="E2423">
        <v>39</v>
      </c>
      <c r="F2423">
        <v>39</v>
      </c>
      <c r="G2423" t="s">
        <v>806</v>
      </c>
      <c r="H2423" t="s">
        <v>806</v>
      </c>
      <c r="J2423">
        <v>99.6</v>
      </c>
      <c r="K2423">
        <v>65.5</v>
      </c>
      <c r="L2423" t="s">
        <v>303</v>
      </c>
      <c r="M2423">
        <v>99.6</v>
      </c>
      <c r="N2423">
        <v>65.5</v>
      </c>
      <c r="O2423" t="s">
        <v>303</v>
      </c>
      <c r="P2423">
        <f t="shared" si="37"/>
        <v>0</v>
      </c>
    </row>
    <row r="2424" spans="1:16" x14ac:dyDescent="0.25">
      <c r="A2424" t="s">
        <v>669</v>
      </c>
      <c r="B2424">
        <v>-321</v>
      </c>
      <c r="C2424" t="s">
        <v>669</v>
      </c>
      <c r="D2424" t="s">
        <v>857</v>
      </c>
      <c r="E2424" t="s">
        <v>910</v>
      </c>
      <c r="F2424">
        <v>5</v>
      </c>
      <c r="H2424" t="s">
        <v>684</v>
      </c>
      <c r="I2424" t="s">
        <v>923</v>
      </c>
      <c r="K2424">
        <v>321</v>
      </c>
      <c r="L2424" t="s">
        <v>920</v>
      </c>
      <c r="N2424">
        <v>-321</v>
      </c>
      <c r="O2424" t="s">
        <v>857</v>
      </c>
      <c r="P2424">
        <f t="shared" si="37"/>
        <v>43</v>
      </c>
    </row>
    <row r="2425" spans="1:16" x14ac:dyDescent="0.25">
      <c r="A2425" t="s">
        <v>669</v>
      </c>
      <c r="B2425">
        <v>65.5</v>
      </c>
      <c r="C2425">
        <v>99.6</v>
      </c>
      <c r="D2425" t="s">
        <v>303</v>
      </c>
      <c r="E2425" t="s">
        <v>910</v>
      </c>
      <c r="F2425" t="s">
        <v>910</v>
      </c>
      <c r="J2425">
        <v>99.6</v>
      </c>
      <c r="K2425">
        <v>65.5</v>
      </c>
      <c r="L2425" t="s">
        <v>303</v>
      </c>
      <c r="M2425">
        <v>99.6</v>
      </c>
      <c r="N2425">
        <v>65.5</v>
      </c>
      <c r="O2425" t="s">
        <v>303</v>
      </c>
      <c r="P2425">
        <f t="shared" si="37"/>
        <v>0</v>
      </c>
    </row>
    <row r="2426" spans="1:16" x14ac:dyDescent="0.25">
      <c r="A2426" t="s">
        <v>669</v>
      </c>
      <c r="B2426">
        <v>70.599999999999994</v>
      </c>
      <c r="C2426">
        <v>99.6</v>
      </c>
      <c r="D2426" t="s">
        <v>303</v>
      </c>
      <c r="E2426" t="s">
        <v>910</v>
      </c>
      <c r="F2426" t="s">
        <v>910</v>
      </c>
      <c r="J2426">
        <v>99.6</v>
      </c>
      <c r="K2426">
        <v>70.599999999999994</v>
      </c>
      <c r="L2426" t="s">
        <v>303</v>
      </c>
      <c r="M2426">
        <v>99.6</v>
      </c>
      <c r="N2426">
        <v>70.599999999999994</v>
      </c>
      <c r="O2426" t="s">
        <v>303</v>
      </c>
      <c r="P2426">
        <f t="shared" si="37"/>
        <v>0</v>
      </c>
    </row>
    <row r="2427" spans="1:16" x14ac:dyDescent="0.25">
      <c r="A2427" t="s">
        <v>669</v>
      </c>
      <c r="B2427">
        <v>83.5</v>
      </c>
      <c r="C2427">
        <v>99.6</v>
      </c>
      <c r="D2427" t="s">
        <v>303</v>
      </c>
      <c r="E2427" t="s">
        <v>910</v>
      </c>
      <c r="F2427" t="s">
        <v>910</v>
      </c>
      <c r="J2427">
        <v>99.6</v>
      </c>
      <c r="K2427">
        <v>83.5</v>
      </c>
      <c r="L2427" t="s">
        <v>303</v>
      </c>
      <c r="M2427">
        <v>99.6</v>
      </c>
      <c r="N2427">
        <v>83.5</v>
      </c>
      <c r="O2427" t="s">
        <v>303</v>
      </c>
      <c r="P2427">
        <f t="shared" si="37"/>
        <v>0</v>
      </c>
    </row>
    <row r="2428" spans="1:16" x14ac:dyDescent="0.25">
      <c r="A2428" t="s">
        <v>669</v>
      </c>
      <c r="B2428">
        <v>89.3</v>
      </c>
      <c r="C2428">
        <v>99.6</v>
      </c>
      <c r="D2428" t="s">
        <v>303</v>
      </c>
      <c r="E2428" t="s">
        <v>910</v>
      </c>
      <c r="F2428" t="s">
        <v>910</v>
      </c>
      <c r="J2428">
        <v>99.6</v>
      </c>
      <c r="K2428">
        <v>89.3</v>
      </c>
      <c r="L2428" t="s">
        <v>303</v>
      </c>
      <c r="M2428">
        <v>99.6</v>
      </c>
      <c r="N2428">
        <v>89.3</v>
      </c>
      <c r="O2428" t="s">
        <v>303</v>
      </c>
      <c r="P2428">
        <f t="shared" si="37"/>
        <v>0</v>
      </c>
    </row>
    <row r="2429" spans="1:16" x14ac:dyDescent="0.25">
      <c r="A2429" t="s">
        <v>669</v>
      </c>
      <c r="B2429">
        <v>325</v>
      </c>
      <c r="C2429">
        <v>498</v>
      </c>
      <c r="D2429" t="s">
        <v>866</v>
      </c>
      <c r="E2429">
        <v>5</v>
      </c>
      <c r="F2429">
        <v>5</v>
      </c>
      <c r="G2429" t="s">
        <v>684</v>
      </c>
      <c r="H2429" t="s">
        <v>684</v>
      </c>
      <c r="J2429">
        <v>498</v>
      </c>
      <c r="K2429">
        <v>325</v>
      </c>
      <c r="L2429" t="s">
        <v>920</v>
      </c>
      <c r="M2429">
        <v>498</v>
      </c>
      <c r="N2429">
        <v>325</v>
      </c>
      <c r="O2429" t="s">
        <v>920</v>
      </c>
      <c r="P2429">
        <f t="shared" si="37"/>
        <v>0</v>
      </c>
    </row>
    <row r="2430" spans="1:16" x14ac:dyDescent="0.25">
      <c r="A2430" t="s">
        <v>321</v>
      </c>
      <c r="B2430">
        <v>93.5</v>
      </c>
      <c r="C2430">
        <v>99.6</v>
      </c>
      <c r="D2430" t="s">
        <v>303</v>
      </c>
      <c r="E2430">
        <v>45</v>
      </c>
      <c r="F2430">
        <v>45</v>
      </c>
      <c r="G2430" t="s">
        <v>679</v>
      </c>
      <c r="H2430" t="s">
        <v>679</v>
      </c>
      <c r="J2430">
        <v>99.6</v>
      </c>
      <c r="K2430">
        <v>93.5</v>
      </c>
      <c r="L2430" t="s">
        <v>303</v>
      </c>
      <c r="M2430">
        <v>99.6</v>
      </c>
      <c r="N2430">
        <v>93.5</v>
      </c>
      <c r="O2430" t="s">
        <v>303</v>
      </c>
      <c r="P2430">
        <f t="shared" si="37"/>
        <v>0</v>
      </c>
    </row>
    <row r="2431" spans="1:16" x14ac:dyDescent="0.25">
      <c r="A2431" t="s">
        <v>669</v>
      </c>
      <c r="B2431">
        <v>93.5</v>
      </c>
      <c r="C2431">
        <v>99.6</v>
      </c>
      <c r="D2431" t="s">
        <v>303</v>
      </c>
      <c r="E2431" t="s">
        <v>910</v>
      </c>
      <c r="F2431" t="s">
        <v>910</v>
      </c>
      <c r="J2431">
        <v>99.6</v>
      </c>
      <c r="K2431">
        <v>93.5</v>
      </c>
      <c r="L2431" t="s">
        <v>303</v>
      </c>
      <c r="M2431">
        <v>99.6</v>
      </c>
      <c r="N2431">
        <v>93.5</v>
      </c>
      <c r="O2431" t="s">
        <v>303</v>
      </c>
      <c r="P2431">
        <f t="shared" si="37"/>
        <v>0</v>
      </c>
    </row>
    <row r="2432" spans="1:16" x14ac:dyDescent="0.25">
      <c r="A2432" t="s">
        <v>669</v>
      </c>
      <c r="B2432">
        <v>67</v>
      </c>
      <c r="C2432">
        <v>100</v>
      </c>
      <c r="D2432" t="s">
        <v>303</v>
      </c>
      <c r="E2432" t="s">
        <v>910</v>
      </c>
      <c r="F2432" t="s">
        <v>910</v>
      </c>
      <c r="J2432">
        <v>100</v>
      </c>
      <c r="K2432">
        <v>67</v>
      </c>
      <c r="L2432" t="s">
        <v>303</v>
      </c>
      <c r="M2432">
        <v>100</v>
      </c>
      <c r="N2432">
        <v>67</v>
      </c>
      <c r="O2432" t="s">
        <v>303</v>
      </c>
      <c r="P2432">
        <f t="shared" si="37"/>
        <v>0</v>
      </c>
    </row>
    <row r="2433" spans="1:16" x14ac:dyDescent="0.25">
      <c r="A2433" t="s">
        <v>99</v>
      </c>
      <c r="B2433">
        <v>98</v>
      </c>
      <c r="C2433">
        <v>100</v>
      </c>
      <c r="D2433" t="s">
        <v>303</v>
      </c>
      <c r="E2433">
        <v>38</v>
      </c>
      <c r="F2433">
        <v>38</v>
      </c>
      <c r="G2433" t="s">
        <v>704</v>
      </c>
      <c r="H2433" t="s">
        <v>704</v>
      </c>
      <c r="J2433">
        <v>100</v>
      </c>
      <c r="K2433">
        <v>98</v>
      </c>
      <c r="L2433" t="s">
        <v>303</v>
      </c>
      <c r="M2433">
        <v>100</v>
      </c>
      <c r="N2433">
        <v>98</v>
      </c>
      <c r="O2433" t="s">
        <v>303</v>
      </c>
      <c r="P2433">
        <f t="shared" si="37"/>
        <v>0</v>
      </c>
    </row>
    <row r="2434" spans="1:16" x14ac:dyDescent="0.25">
      <c r="A2434" t="s">
        <v>669</v>
      </c>
      <c r="B2434">
        <v>100</v>
      </c>
      <c r="C2434">
        <v>100</v>
      </c>
      <c r="D2434" t="s">
        <v>669</v>
      </c>
      <c r="E2434" t="s">
        <v>910</v>
      </c>
      <c r="F2434" t="s">
        <v>910</v>
      </c>
      <c r="I2434" t="s">
        <v>927</v>
      </c>
      <c r="J2434">
        <v>100</v>
      </c>
      <c r="K2434">
        <v>100</v>
      </c>
      <c r="L2434" t="s">
        <v>930</v>
      </c>
      <c r="M2434">
        <v>100</v>
      </c>
      <c r="N2434">
        <v>100</v>
      </c>
      <c r="P2434">
        <f t="shared" si="37"/>
        <v>14</v>
      </c>
    </row>
    <row r="2435" spans="1:16" x14ac:dyDescent="0.25">
      <c r="A2435" t="s">
        <v>99</v>
      </c>
      <c r="B2435">
        <v>99.42</v>
      </c>
      <c r="C2435">
        <v>100.08</v>
      </c>
      <c r="D2435" t="s">
        <v>669</v>
      </c>
      <c r="E2435">
        <v>38</v>
      </c>
      <c r="F2435">
        <v>38</v>
      </c>
      <c r="G2435" t="s">
        <v>704</v>
      </c>
      <c r="H2435" t="s">
        <v>704</v>
      </c>
      <c r="I2435" t="s">
        <v>927</v>
      </c>
      <c r="J2435">
        <v>100.08</v>
      </c>
      <c r="K2435">
        <v>99.42</v>
      </c>
      <c r="L2435" t="s">
        <v>930</v>
      </c>
      <c r="M2435">
        <v>100.08</v>
      </c>
      <c r="N2435">
        <v>99.42</v>
      </c>
      <c r="P2435">
        <f t="shared" ref="P2435:P2498" si="38">LEN(I2435)</f>
        <v>14</v>
      </c>
    </row>
    <row r="2436" spans="1:16" x14ac:dyDescent="0.25">
      <c r="A2436" t="s">
        <v>99</v>
      </c>
      <c r="B2436">
        <v>99</v>
      </c>
      <c r="C2436">
        <v>100.2</v>
      </c>
      <c r="D2436" t="s">
        <v>669</v>
      </c>
      <c r="E2436">
        <v>38</v>
      </c>
      <c r="F2436">
        <v>38</v>
      </c>
      <c r="G2436" t="s">
        <v>704</v>
      </c>
      <c r="H2436" t="s">
        <v>704</v>
      </c>
      <c r="I2436" t="s">
        <v>927</v>
      </c>
      <c r="J2436">
        <v>100.2</v>
      </c>
      <c r="K2436">
        <v>99</v>
      </c>
      <c r="L2436" t="s">
        <v>930</v>
      </c>
      <c r="M2436">
        <v>100.2</v>
      </c>
      <c r="N2436">
        <v>99</v>
      </c>
      <c r="P2436">
        <f t="shared" si="38"/>
        <v>14</v>
      </c>
    </row>
    <row r="2437" spans="1:16" x14ac:dyDescent="0.25">
      <c r="A2437" t="s">
        <v>669</v>
      </c>
      <c r="B2437">
        <v>369</v>
      </c>
      <c r="C2437" t="s">
        <v>669</v>
      </c>
      <c r="D2437" t="s">
        <v>865</v>
      </c>
      <c r="E2437" t="s">
        <v>910</v>
      </c>
      <c r="F2437">
        <v>5</v>
      </c>
      <c r="H2437" t="s">
        <v>684</v>
      </c>
      <c r="K2437">
        <v>369</v>
      </c>
      <c r="L2437" t="s">
        <v>920</v>
      </c>
      <c r="N2437">
        <v>369</v>
      </c>
      <c r="O2437" t="s">
        <v>931</v>
      </c>
      <c r="P2437">
        <f t="shared" si="38"/>
        <v>0</v>
      </c>
    </row>
    <row r="2438" spans="1:16" x14ac:dyDescent="0.25">
      <c r="A2438" t="s">
        <v>99</v>
      </c>
      <c r="B2438">
        <v>98.87</v>
      </c>
      <c r="C2438">
        <v>100.39</v>
      </c>
      <c r="D2438" t="s">
        <v>669</v>
      </c>
      <c r="E2438">
        <v>38</v>
      </c>
      <c r="F2438">
        <v>38</v>
      </c>
      <c r="G2438" t="s">
        <v>704</v>
      </c>
      <c r="H2438" t="s">
        <v>704</v>
      </c>
      <c r="I2438" t="s">
        <v>927</v>
      </c>
      <c r="J2438">
        <v>100.39</v>
      </c>
      <c r="K2438">
        <v>98.87</v>
      </c>
      <c r="L2438" t="s">
        <v>930</v>
      </c>
      <c r="M2438">
        <v>100.39</v>
      </c>
      <c r="N2438">
        <v>98.87</v>
      </c>
      <c r="P2438">
        <f t="shared" si="38"/>
        <v>14</v>
      </c>
    </row>
    <row r="2439" spans="1:16" x14ac:dyDescent="0.25">
      <c r="A2439" t="s">
        <v>669</v>
      </c>
      <c r="B2439">
        <v>376</v>
      </c>
      <c r="C2439">
        <v>376</v>
      </c>
      <c r="D2439" t="s">
        <v>857</v>
      </c>
      <c r="E2439">
        <v>5</v>
      </c>
      <c r="F2439">
        <v>5</v>
      </c>
      <c r="G2439" t="s">
        <v>684</v>
      </c>
      <c r="H2439" t="s">
        <v>684</v>
      </c>
      <c r="J2439">
        <v>376</v>
      </c>
      <c r="K2439">
        <v>376</v>
      </c>
      <c r="L2439" t="s">
        <v>921</v>
      </c>
      <c r="M2439">
        <v>376</v>
      </c>
      <c r="N2439">
        <v>376</v>
      </c>
      <c r="O2439" t="s">
        <v>921</v>
      </c>
      <c r="P2439">
        <f t="shared" si="38"/>
        <v>0</v>
      </c>
    </row>
    <row r="2440" spans="1:16" x14ac:dyDescent="0.25">
      <c r="A2440" t="s">
        <v>298</v>
      </c>
      <c r="B2440">
        <v>99.5</v>
      </c>
      <c r="C2440">
        <v>101.1</v>
      </c>
      <c r="D2440" t="s">
        <v>303</v>
      </c>
      <c r="E2440">
        <v>38</v>
      </c>
      <c r="F2440">
        <v>38</v>
      </c>
      <c r="G2440" t="s">
        <v>704</v>
      </c>
      <c r="H2440" t="s">
        <v>704</v>
      </c>
      <c r="J2440">
        <v>101.1</v>
      </c>
      <c r="K2440">
        <v>99.5</v>
      </c>
      <c r="L2440" t="s">
        <v>303</v>
      </c>
      <c r="M2440">
        <v>101.1</v>
      </c>
      <c r="N2440">
        <v>99.5</v>
      </c>
      <c r="O2440" t="s">
        <v>303</v>
      </c>
      <c r="P2440">
        <f t="shared" si="38"/>
        <v>0</v>
      </c>
    </row>
    <row r="2441" spans="1:16" x14ac:dyDescent="0.25">
      <c r="A2441" t="s">
        <v>669</v>
      </c>
      <c r="B2441">
        <v>382</v>
      </c>
      <c r="C2441" t="s">
        <v>669</v>
      </c>
      <c r="D2441" t="s">
        <v>865</v>
      </c>
      <c r="E2441" t="s">
        <v>910</v>
      </c>
      <c r="F2441">
        <v>5</v>
      </c>
      <c r="H2441" t="s">
        <v>684</v>
      </c>
      <c r="K2441">
        <v>382</v>
      </c>
      <c r="L2441" t="s">
        <v>920</v>
      </c>
      <c r="N2441">
        <v>382</v>
      </c>
      <c r="O2441" t="s">
        <v>931</v>
      </c>
      <c r="P2441">
        <f t="shared" si="38"/>
        <v>0</v>
      </c>
    </row>
    <row r="2442" spans="1:16" x14ac:dyDescent="0.25">
      <c r="A2442" t="s">
        <v>99</v>
      </c>
      <c r="B2442">
        <v>98.91</v>
      </c>
      <c r="C2442">
        <v>101.29</v>
      </c>
      <c r="D2442" t="s">
        <v>669</v>
      </c>
      <c r="E2442">
        <v>38</v>
      </c>
      <c r="F2442">
        <v>38</v>
      </c>
      <c r="G2442" t="s">
        <v>704</v>
      </c>
      <c r="H2442" t="s">
        <v>704</v>
      </c>
      <c r="I2442" t="s">
        <v>927</v>
      </c>
      <c r="J2442">
        <v>101.29</v>
      </c>
      <c r="K2442">
        <v>98.91</v>
      </c>
      <c r="L2442" t="s">
        <v>930</v>
      </c>
      <c r="M2442">
        <v>101.29</v>
      </c>
      <c r="N2442">
        <v>98.91</v>
      </c>
      <c r="P2442">
        <f t="shared" si="38"/>
        <v>14</v>
      </c>
    </row>
    <row r="2443" spans="1:16" x14ac:dyDescent="0.25">
      <c r="A2443" t="s">
        <v>99</v>
      </c>
      <c r="B2443">
        <v>99.4</v>
      </c>
      <c r="C2443">
        <v>101.6</v>
      </c>
      <c r="D2443" t="s">
        <v>669</v>
      </c>
      <c r="E2443">
        <v>38</v>
      </c>
      <c r="F2443">
        <v>38</v>
      </c>
      <c r="G2443" t="s">
        <v>704</v>
      </c>
      <c r="H2443" t="s">
        <v>704</v>
      </c>
      <c r="I2443" t="s">
        <v>927</v>
      </c>
      <c r="J2443">
        <v>101.6</v>
      </c>
      <c r="K2443">
        <v>99.4</v>
      </c>
      <c r="L2443" t="s">
        <v>930</v>
      </c>
      <c r="M2443">
        <v>101.6</v>
      </c>
      <c r="N2443">
        <v>99.4</v>
      </c>
      <c r="P2443">
        <f t="shared" si="38"/>
        <v>14</v>
      </c>
    </row>
    <row r="2444" spans="1:16" x14ac:dyDescent="0.25">
      <c r="A2444" t="s">
        <v>99</v>
      </c>
      <c r="B2444">
        <v>98.2</v>
      </c>
      <c r="C2444">
        <v>102</v>
      </c>
      <c r="D2444" t="s">
        <v>669</v>
      </c>
      <c r="E2444">
        <v>38</v>
      </c>
      <c r="F2444">
        <v>38</v>
      </c>
      <c r="G2444" t="s">
        <v>704</v>
      </c>
      <c r="H2444" t="s">
        <v>704</v>
      </c>
      <c r="I2444" t="s">
        <v>927</v>
      </c>
      <c r="J2444">
        <v>102</v>
      </c>
      <c r="K2444">
        <v>98.2</v>
      </c>
      <c r="L2444" t="s">
        <v>930</v>
      </c>
      <c r="M2444">
        <v>102</v>
      </c>
      <c r="N2444">
        <v>98.2</v>
      </c>
      <c r="P2444">
        <f t="shared" si="38"/>
        <v>14</v>
      </c>
    </row>
    <row r="2445" spans="1:16" x14ac:dyDescent="0.25">
      <c r="A2445" t="s">
        <v>99</v>
      </c>
      <c r="B2445">
        <v>99.8</v>
      </c>
      <c r="C2445">
        <v>102</v>
      </c>
      <c r="D2445" t="s">
        <v>669</v>
      </c>
      <c r="E2445">
        <v>38</v>
      </c>
      <c r="F2445">
        <v>38</v>
      </c>
      <c r="G2445" t="s">
        <v>704</v>
      </c>
      <c r="H2445" t="s">
        <v>704</v>
      </c>
      <c r="I2445" t="s">
        <v>927</v>
      </c>
      <c r="J2445">
        <v>102</v>
      </c>
      <c r="K2445">
        <v>99.8</v>
      </c>
      <c r="L2445" t="s">
        <v>930</v>
      </c>
      <c r="M2445">
        <v>102</v>
      </c>
      <c r="N2445">
        <v>99.8</v>
      </c>
      <c r="P2445">
        <f t="shared" si="38"/>
        <v>14</v>
      </c>
    </row>
    <row r="2446" spans="1:16" x14ac:dyDescent="0.25">
      <c r="A2446" t="s">
        <v>99</v>
      </c>
      <c r="B2446">
        <v>100</v>
      </c>
      <c r="C2446">
        <v>102</v>
      </c>
      <c r="D2446" t="s">
        <v>303</v>
      </c>
      <c r="E2446">
        <v>38</v>
      </c>
      <c r="F2446">
        <v>38</v>
      </c>
      <c r="G2446" t="s">
        <v>704</v>
      </c>
      <c r="H2446" t="s">
        <v>704</v>
      </c>
      <c r="J2446">
        <v>102</v>
      </c>
      <c r="K2446">
        <v>100</v>
      </c>
      <c r="L2446" t="s">
        <v>303</v>
      </c>
      <c r="M2446">
        <v>102</v>
      </c>
      <c r="N2446">
        <v>100</v>
      </c>
      <c r="O2446" t="s">
        <v>303</v>
      </c>
      <c r="P2446">
        <f t="shared" si="38"/>
        <v>0</v>
      </c>
    </row>
    <row r="2447" spans="1:16" x14ac:dyDescent="0.25">
      <c r="A2447" t="s">
        <v>99</v>
      </c>
      <c r="B2447">
        <v>100</v>
      </c>
      <c r="C2447">
        <v>102</v>
      </c>
      <c r="D2447" t="s">
        <v>669</v>
      </c>
      <c r="E2447">
        <v>38</v>
      </c>
      <c r="F2447">
        <v>38</v>
      </c>
      <c r="G2447" t="s">
        <v>704</v>
      </c>
      <c r="H2447" t="s">
        <v>704</v>
      </c>
      <c r="I2447" t="s">
        <v>927</v>
      </c>
      <c r="J2447">
        <v>102</v>
      </c>
      <c r="K2447">
        <v>100</v>
      </c>
      <c r="L2447" t="s">
        <v>930</v>
      </c>
      <c r="M2447">
        <v>102</v>
      </c>
      <c r="N2447">
        <v>100</v>
      </c>
      <c r="P2447">
        <f t="shared" si="38"/>
        <v>14</v>
      </c>
    </row>
    <row r="2448" spans="1:16" x14ac:dyDescent="0.25">
      <c r="A2448" t="s">
        <v>99</v>
      </c>
      <c r="B2448">
        <v>100.4</v>
      </c>
      <c r="C2448">
        <v>102.6</v>
      </c>
      <c r="D2448" t="s">
        <v>669</v>
      </c>
      <c r="E2448">
        <v>38</v>
      </c>
      <c r="F2448">
        <v>38</v>
      </c>
      <c r="G2448" t="s">
        <v>704</v>
      </c>
      <c r="H2448" t="s">
        <v>704</v>
      </c>
      <c r="I2448" t="s">
        <v>927</v>
      </c>
      <c r="J2448">
        <v>102.6</v>
      </c>
      <c r="K2448">
        <v>100.4</v>
      </c>
      <c r="L2448" t="s">
        <v>930</v>
      </c>
      <c r="M2448">
        <v>102.6</v>
      </c>
      <c r="N2448">
        <v>100.4</v>
      </c>
      <c r="P2448">
        <f t="shared" si="38"/>
        <v>14</v>
      </c>
    </row>
    <row r="2449" spans="1:16" x14ac:dyDescent="0.25">
      <c r="A2449" t="s">
        <v>99</v>
      </c>
      <c r="B2449">
        <v>101.2</v>
      </c>
      <c r="C2449">
        <v>102.6</v>
      </c>
      <c r="D2449" t="s">
        <v>669</v>
      </c>
      <c r="E2449">
        <v>38</v>
      </c>
      <c r="F2449">
        <v>38</v>
      </c>
      <c r="G2449" t="s">
        <v>704</v>
      </c>
      <c r="H2449" t="s">
        <v>704</v>
      </c>
      <c r="I2449" t="s">
        <v>927</v>
      </c>
      <c r="J2449">
        <v>102.6</v>
      </c>
      <c r="K2449">
        <v>101.2</v>
      </c>
      <c r="L2449" t="s">
        <v>930</v>
      </c>
      <c r="M2449">
        <v>102.6</v>
      </c>
      <c r="N2449">
        <v>101.2</v>
      </c>
      <c r="P2449">
        <f t="shared" si="38"/>
        <v>14</v>
      </c>
    </row>
    <row r="2450" spans="1:16" x14ac:dyDescent="0.25">
      <c r="A2450" t="s">
        <v>99</v>
      </c>
      <c r="B2450">
        <v>105.2</v>
      </c>
      <c r="C2450">
        <v>102.63</v>
      </c>
      <c r="D2450" t="s">
        <v>669</v>
      </c>
      <c r="E2450">
        <v>38</v>
      </c>
      <c r="F2450">
        <v>38</v>
      </c>
      <c r="G2450" t="s">
        <v>704</v>
      </c>
      <c r="H2450" t="s">
        <v>704</v>
      </c>
      <c r="I2450" t="s">
        <v>927</v>
      </c>
      <c r="J2450">
        <v>102.63</v>
      </c>
      <c r="K2450">
        <v>105.2</v>
      </c>
      <c r="L2450" t="s">
        <v>930</v>
      </c>
      <c r="M2450">
        <v>105.2</v>
      </c>
      <c r="N2450">
        <v>102.63</v>
      </c>
      <c r="P2450">
        <f t="shared" si="38"/>
        <v>14</v>
      </c>
    </row>
    <row r="2451" spans="1:16" x14ac:dyDescent="0.25">
      <c r="A2451" t="s">
        <v>99</v>
      </c>
      <c r="B2451">
        <v>99.5</v>
      </c>
      <c r="C2451">
        <v>102.7</v>
      </c>
      <c r="D2451" t="s">
        <v>669</v>
      </c>
      <c r="E2451">
        <v>38</v>
      </c>
      <c r="F2451">
        <v>38</v>
      </c>
      <c r="G2451" t="s">
        <v>704</v>
      </c>
      <c r="H2451" t="s">
        <v>704</v>
      </c>
      <c r="I2451" t="s">
        <v>927</v>
      </c>
      <c r="J2451">
        <v>102.7</v>
      </c>
      <c r="K2451">
        <v>99.5</v>
      </c>
      <c r="L2451" t="s">
        <v>930</v>
      </c>
      <c r="M2451">
        <v>102.7</v>
      </c>
      <c r="N2451">
        <v>99.5</v>
      </c>
      <c r="P2451">
        <f t="shared" si="38"/>
        <v>14</v>
      </c>
    </row>
    <row r="2452" spans="1:16" x14ac:dyDescent="0.25">
      <c r="A2452" t="s">
        <v>99</v>
      </c>
      <c r="B2452">
        <v>100.6</v>
      </c>
      <c r="C2452">
        <v>102.8</v>
      </c>
      <c r="D2452" t="s">
        <v>669</v>
      </c>
      <c r="E2452">
        <v>38</v>
      </c>
      <c r="F2452">
        <v>38</v>
      </c>
      <c r="G2452" t="s">
        <v>704</v>
      </c>
      <c r="H2452" t="s">
        <v>704</v>
      </c>
      <c r="I2452" t="s">
        <v>927</v>
      </c>
      <c r="J2452">
        <v>102.8</v>
      </c>
      <c r="K2452">
        <v>100.6</v>
      </c>
      <c r="L2452" t="s">
        <v>930</v>
      </c>
      <c r="M2452">
        <v>102.8</v>
      </c>
      <c r="N2452">
        <v>100.6</v>
      </c>
      <c r="P2452">
        <f t="shared" si="38"/>
        <v>14</v>
      </c>
    </row>
    <row r="2453" spans="1:16" x14ac:dyDescent="0.25">
      <c r="A2453" t="s">
        <v>99</v>
      </c>
      <c r="B2453">
        <v>102</v>
      </c>
      <c r="C2453">
        <v>102.8</v>
      </c>
      <c r="D2453" t="s">
        <v>669</v>
      </c>
      <c r="E2453">
        <v>38</v>
      </c>
      <c r="F2453">
        <v>38</v>
      </c>
      <c r="G2453" t="s">
        <v>704</v>
      </c>
      <c r="H2453" t="s">
        <v>704</v>
      </c>
      <c r="I2453" t="s">
        <v>927</v>
      </c>
      <c r="J2453">
        <v>102.8</v>
      </c>
      <c r="K2453">
        <v>102</v>
      </c>
      <c r="L2453" t="s">
        <v>930</v>
      </c>
      <c r="M2453">
        <v>102.8</v>
      </c>
      <c r="N2453">
        <v>102</v>
      </c>
      <c r="P2453">
        <f t="shared" si="38"/>
        <v>14</v>
      </c>
    </row>
    <row r="2454" spans="1:16" x14ac:dyDescent="0.25">
      <c r="A2454" t="s">
        <v>99</v>
      </c>
      <c r="B2454">
        <v>98.8</v>
      </c>
      <c r="C2454">
        <v>102.84</v>
      </c>
      <c r="D2454" t="s">
        <v>669</v>
      </c>
      <c r="E2454">
        <v>38</v>
      </c>
      <c r="F2454">
        <v>38</v>
      </c>
      <c r="G2454" t="s">
        <v>704</v>
      </c>
      <c r="H2454" t="s">
        <v>704</v>
      </c>
      <c r="I2454" t="s">
        <v>927</v>
      </c>
      <c r="J2454">
        <v>102.84</v>
      </c>
      <c r="K2454">
        <v>98.8</v>
      </c>
      <c r="L2454" t="s">
        <v>930</v>
      </c>
      <c r="M2454">
        <v>102.84</v>
      </c>
      <c r="N2454">
        <v>98.8</v>
      </c>
      <c r="P2454">
        <f t="shared" si="38"/>
        <v>14</v>
      </c>
    </row>
    <row r="2455" spans="1:16" x14ac:dyDescent="0.25">
      <c r="A2455" t="s">
        <v>99</v>
      </c>
      <c r="B2455">
        <v>101.45</v>
      </c>
      <c r="C2455">
        <v>102.87</v>
      </c>
      <c r="D2455" t="s">
        <v>669</v>
      </c>
      <c r="E2455">
        <v>38</v>
      </c>
      <c r="F2455">
        <v>38</v>
      </c>
      <c r="G2455" t="s">
        <v>704</v>
      </c>
      <c r="H2455" t="s">
        <v>704</v>
      </c>
      <c r="I2455" t="s">
        <v>927</v>
      </c>
      <c r="J2455">
        <v>102.87</v>
      </c>
      <c r="K2455">
        <v>101.45</v>
      </c>
      <c r="L2455" t="s">
        <v>930</v>
      </c>
      <c r="M2455">
        <v>102.87</v>
      </c>
      <c r="N2455">
        <v>101.45</v>
      </c>
      <c r="P2455">
        <f t="shared" si="38"/>
        <v>14</v>
      </c>
    </row>
    <row r="2456" spans="1:16" x14ac:dyDescent="0.25">
      <c r="A2456" t="s">
        <v>99</v>
      </c>
      <c r="B2456">
        <v>102.1</v>
      </c>
      <c r="C2456">
        <v>103</v>
      </c>
      <c r="D2456" t="s">
        <v>669</v>
      </c>
      <c r="E2456">
        <v>38</v>
      </c>
      <c r="F2456">
        <v>38</v>
      </c>
      <c r="G2456" t="s">
        <v>704</v>
      </c>
      <c r="H2456" t="s">
        <v>704</v>
      </c>
      <c r="I2456" t="s">
        <v>927</v>
      </c>
      <c r="J2456">
        <v>103</v>
      </c>
      <c r="K2456">
        <v>102.1</v>
      </c>
      <c r="L2456" t="s">
        <v>930</v>
      </c>
      <c r="M2456">
        <v>103</v>
      </c>
      <c r="N2456">
        <v>102.1</v>
      </c>
      <c r="P2456">
        <f t="shared" si="38"/>
        <v>14</v>
      </c>
    </row>
    <row r="2457" spans="1:16" x14ac:dyDescent="0.25">
      <c r="A2457" t="s">
        <v>99</v>
      </c>
      <c r="B2457">
        <v>102.2</v>
      </c>
      <c r="C2457">
        <v>103.1</v>
      </c>
      <c r="D2457" t="s">
        <v>303</v>
      </c>
      <c r="E2457">
        <v>38</v>
      </c>
      <c r="F2457">
        <v>38</v>
      </c>
      <c r="G2457" t="s">
        <v>704</v>
      </c>
      <c r="H2457" t="s">
        <v>704</v>
      </c>
      <c r="J2457">
        <v>103.1</v>
      </c>
      <c r="K2457">
        <v>102.2</v>
      </c>
      <c r="L2457" t="s">
        <v>303</v>
      </c>
      <c r="M2457">
        <v>103.1</v>
      </c>
      <c r="N2457">
        <v>102.2</v>
      </c>
      <c r="O2457" t="s">
        <v>303</v>
      </c>
      <c r="P2457">
        <f t="shared" si="38"/>
        <v>0</v>
      </c>
    </row>
    <row r="2458" spans="1:16" x14ac:dyDescent="0.25">
      <c r="A2458" t="s">
        <v>285</v>
      </c>
      <c r="B2458">
        <v>101.2</v>
      </c>
      <c r="C2458">
        <v>103.4</v>
      </c>
      <c r="D2458" t="s">
        <v>303</v>
      </c>
      <c r="E2458">
        <v>46</v>
      </c>
      <c r="F2458">
        <v>46</v>
      </c>
      <c r="G2458" t="s">
        <v>805</v>
      </c>
      <c r="H2458" t="s">
        <v>805</v>
      </c>
      <c r="J2458">
        <v>103.4</v>
      </c>
      <c r="K2458">
        <v>101.2</v>
      </c>
      <c r="L2458" t="s">
        <v>303</v>
      </c>
      <c r="M2458">
        <v>103.4</v>
      </c>
      <c r="N2458">
        <v>101.2</v>
      </c>
      <c r="O2458" t="s">
        <v>303</v>
      </c>
      <c r="P2458">
        <f t="shared" si="38"/>
        <v>0</v>
      </c>
    </row>
    <row r="2459" spans="1:16" x14ac:dyDescent="0.25">
      <c r="A2459" t="s">
        <v>99</v>
      </c>
      <c r="B2459">
        <v>101.5</v>
      </c>
      <c r="C2459">
        <v>103.5</v>
      </c>
      <c r="D2459" t="s">
        <v>860</v>
      </c>
      <c r="E2459">
        <v>38</v>
      </c>
      <c r="F2459">
        <v>38</v>
      </c>
      <c r="G2459" t="s">
        <v>704</v>
      </c>
      <c r="H2459" t="s">
        <v>704</v>
      </c>
      <c r="J2459">
        <v>103.5</v>
      </c>
      <c r="K2459">
        <v>101.5</v>
      </c>
      <c r="L2459" t="s">
        <v>303</v>
      </c>
      <c r="M2459">
        <v>103.5</v>
      </c>
      <c r="N2459">
        <v>101.5</v>
      </c>
      <c r="O2459" t="s">
        <v>303</v>
      </c>
      <c r="P2459">
        <f t="shared" si="38"/>
        <v>0</v>
      </c>
    </row>
    <row r="2460" spans="1:16" x14ac:dyDescent="0.25">
      <c r="A2460" t="s">
        <v>99</v>
      </c>
      <c r="B2460">
        <v>100.9</v>
      </c>
      <c r="C2460">
        <v>103.5</v>
      </c>
      <c r="D2460" t="s">
        <v>669</v>
      </c>
      <c r="E2460">
        <v>38</v>
      </c>
      <c r="F2460">
        <v>38</v>
      </c>
      <c r="G2460" t="s">
        <v>704</v>
      </c>
      <c r="H2460" t="s">
        <v>704</v>
      </c>
      <c r="I2460" t="s">
        <v>927</v>
      </c>
      <c r="J2460">
        <v>103.5</v>
      </c>
      <c r="K2460">
        <v>100.9</v>
      </c>
      <c r="L2460" t="s">
        <v>930</v>
      </c>
      <c r="M2460">
        <v>103.5</v>
      </c>
      <c r="N2460">
        <v>100.9</v>
      </c>
      <c r="P2460">
        <f t="shared" si="38"/>
        <v>14</v>
      </c>
    </row>
    <row r="2461" spans="1:16" x14ac:dyDescent="0.25">
      <c r="A2461" t="s">
        <v>99</v>
      </c>
      <c r="B2461">
        <v>100</v>
      </c>
      <c r="C2461">
        <v>104</v>
      </c>
      <c r="D2461" t="s">
        <v>303</v>
      </c>
      <c r="E2461">
        <v>38</v>
      </c>
      <c r="F2461">
        <v>38</v>
      </c>
      <c r="G2461" t="s">
        <v>704</v>
      </c>
      <c r="H2461" t="s">
        <v>704</v>
      </c>
      <c r="J2461">
        <v>104</v>
      </c>
      <c r="K2461">
        <v>100</v>
      </c>
      <c r="L2461" t="s">
        <v>303</v>
      </c>
      <c r="M2461">
        <v>104</v>
      </c>
      <c r="N2461">
        <v>100</v>
      </c>
      <c r="O2461" t="s">
        <v>303</v>
      </c>
      <c r="P2461">
        <f t="shared" si="38"/>
        <v>0</v>
      </c>
    </row>
    <row r="2462" spans="1:16" x14ac:dyDescent="0.25">
      <c r="A2462" t="s">
        <v>285</v>
      </c>
      <c r="B2462">
        <v>101.8</v>
      </c>
      <c r="C2462">
        <v>104.2</v>
      </c>
      <c r="D2462" t="s">
        <v>303</v>
      </c>
      <c r="E2462">
        <v>46</v>
      </c>
      <c r="F2462">
        <v>46</v>
      </c>
      <c r="G2462" t="s">
        <v>805</v>
      </c>
      <c r="H2462" t="s">
        <v>805</v>
      </c>
      <c r="J2462">
        <v>104.2</v>
      </c>
      <c r="K2462">
        <v>101.8</v>
      </c>
      <c r="L2462" t="s">
        <v>303</v>
      </c>
      <c r="M2462">
        <v>104.2</v>
      </c>
      <c r="N2462">
        <v>101.8</v>
      </c>
      <c r="O2462" t="s">
        <v>303</v>
      </c>
      <c r="P2462">
        <f t="shared" si="38"/>
        <v>0</v>
      </c>
    </row>
    <row r="2463" spans="1:16" x14ac:dyDescent="0.25">
      <c r="A2463" t="s">
        <v>669</v>
      </c>
      <c r="B2463">
        <v>101.8</v>
      </c>
      <c r="C2463">
        <v>104.2</v>
      </c>
      <c r="D2463" t="s">
        <v>860</v>
      </c>
      <c r="E2463" t="s">
        <v>910</v>
      </c>
      <c r="F2463" t="s">
        <v>910</v>
      </c>
      <c r="J2463">
        <v>104.2</v>
      </c>
      <c r="K2463">
        <v>101.8</v>
      </c>
      <c r="L2463" t="s">
        <v>303</v>
      </c>
      <c r="M2463">
        <v>104.2</v>
      </c>
      <c r="N2463">
        <v>101.8</v>
      </c>
      <c r="O2463" t="s">
        <v>303</v>
      </c>
      <c r="P2463">
        <f t="shared" si="38"/>
        <v>0</v>
      </c>
    </row>
    <row r="2464" spans="1:16" x14ac:dyDescent="0.25">
      <c r="A2464" t="s">
        <v>285</v>
      </c>
      <c r="B2464">
        <v>102</v>
      </c>
      <c r="C2464">
        <v>104.6</v>
      </c>
      <c r="D2464" t="s">
        <v>303</v>
      </c>
      <c r="E2464">
        <v>46</v>
      </c>
      <c r="F2464">
        <v>46</v>
      </c>
      <c r="G2464" t="s">
        <v>805</v>
      </c>
      <c r="H2464" t="s">
        <v>805</v>
      </c>
      <c r="J2464">
        <v>104.6</v>
      </c>
      <c r="K2464">
        <v>102</v>
      </c>
      <c r="L2464" t="s">
        <v>303</v>
      </c>
      <c r="M2464">
        <v>104.6</v>
      </c>
      <c r="N2464">
        <v>102</v>
      </c>
      <c r="O2464" t="s">
        <v>303</v>
      </c>
      <c r="P2464">
        <f t="shared" si="38"/>
        <v>0</v>
      </c>
    </row>
    <row r="2465" spans="1:16" x14ac:dyDescent="0.25">
      <c r="A2465" t="s">
        <v>99</v>
      </c>
      <c r="B2465">
        <v>101.8</v>
      </c>
      <c r="C2465">
        <v>104.6</v>
      </c>
      <c r="D2465" t="s">
        <v>669</v>
      </c>
      <c r="E2465">
        <v>38</v>
      </c>
      <c r="F2465">
        <v>38</v>
      </c>
      <c r="G2465" t="s">
        <v>704</v>
      </c>
      <c r="H2465" t="s">
        <v>704</v>
      </c>
      <c r="I2465" t="s">
        <v>927</v>
      </c>
      <c r="J2465">
        <v>104.6</v>
      </c>
      <c r="K2465">
        <v>101.8</v>
      </c>
      <c r="L2465" t="s">
        <v>930</v>
      </c>
      <c r="M2465">
        <v>104.6</v>
      </c>
      <c r="N2465">
        <v>101.8</v>
      </c>
      <c r="P2465">
        <f t="shared" si="38"/>
        <v>14</v>
      </c>
    </row>
    <row r="2466" spans="1:16" x14ac:dyDescent="0.25">
      <c r="A2466" t="s">
        <v>99</v>
      </c>
      <c r="B2466">
        <v>103</v>
      </c>
      <c r="C2466">
        <v>105</v>
      </c>
      <c r="D2466" t="s">
        <v>303</v>
      </c>
      <c r="E2466">
        <v>38</v>
      </c>
      <c r="F2466">
        <v>38</v>
      </c>
      <c r="G2466" t="s">
        <v>704</v>
      </c>
      <c r="H2466" t="s">
        <v>704</v>
      </c>
      <c r="J2466">
        <v>105</v>
      </c>
      <c r="K2466">
        <v>103</v>
      </c>
      <c r="L2466" t="s">
        <v>303</v>
      </c>
      <c r="M2466">
        <v>105</v>
      </c>
      <c r="N2466">
        <v>103</v>
      </c>
      <c r="O2466" t="s">
        <v>303</v>
      </c>
      <c r="P2466">
        <f t="shared" si="38"/>
        <v>0</v>
      </c>
    </row>
    <row r="2467" spans="1:16" x14ac:dyDescent="0.25">
      <c r="A2467" t="s">
        <v>99</v>
      </c>
      <c r="B2467">
        <v>104</v>
      </c>
      <c r="C2467">
        <v>105</v>
      </c>
      <c r="D2467" t="s">
        <v>303</v>
      </c>
      <c r="E2467">
        <v>38</v>
      </c>
      <c r="F2467">
        <v>38</v>
      </c>
      <c r="G2467" t="s">
        <v>704</v>
      </c>
      <c r="H2467" t="s">
        <v>704</v>
      </c>
      <c r="J2467">
        <v>105</v>
      </c>
      <c r="K2467">
        <v>104</v>
      </c>
      <c r="L2467" t="s">
        <v>303</v>
      </c>
      <c r="M2467">
        <v>105</v>
      </c>
      <c r="N2467">
        <v>104</v>
      </c>
      <c r="O2467" t="s">
        <v>303</v>
      </c>
      <c r="P2467">
        <f t="shared" si="38"/>
        <v>0</v>
      </c>
    </row>
    <row r="2468" spans="1:16" x14ac:dyDescent="0.25">
      <c r="A2468" t="s">
        <v>99</v>
      </c>
      <c r="B2468">
        <v>105.2</v>
      </c>
      <c r="C2468">
        <v>107.6</v>
      </c>
      <c r="D2468" t="s">
        <v>669</v>
      </c>
      <c r="E2468">
        <v>38</v>
      </c>
      <c r="F2468">
        <v>38</v>
      </c>
      <c r="G2468" t="s">
        <v>704</v>
      </c>
      <c r="H2468" t="s">
        <v>704</v>
      </c>
      <c r="I2468" t="s">
        <v>927</v>
      </c>
      <c r="J2468">
        <v>107.6</v>
      </c>
      <c r="K2468">
        <v>105.2</v>
      </c>
      <c r="L2468" t="s">
        <v>930</v>
      </c>
      <c r="M2468">
        <v>107.6</v>
      </c>
      <c r="N2468">
        <v>105.2</v>
      </c>
      <c r="P2468">
        <f t="shared" si="38"/>
        <v>14</v>
      </c>
    </row>
    <row r="2469" spans="1:16" x14ac:dyDescent="0.25">
      <c r="A2469" t="s">
        <v>669</v>
      </c>
      <c r="B2469">
        <v>103.5</v>
      </c>
      <c r="C2469">
        <v>107.9</v>
      </c>
      <c r="D2469" t="s">
        <v>860</v>
      </c>
      <c r="E2469" t="s">
        <v>910</v>
      </c>
      <c r="F2469" t="s">
        <v>910</v>
      </c>
      <c r="J2469">
        <v>107.9</v>
      </c>
      <c r="K2469">
        <v>103.5</v>
      </c>
      <c r="L2469" t="s">
        <v>303</v>
      </c>
      <c r="M2469">
        <v>107.9</v>
      </c>
      <c r="N2469">
        <v>103.5</v>
      </c>
      <c r="O2469" t="s">
        <v>303</v>
      </c>
      <c r="P2469">
        <f t="shared" si="38"/>
        <v>0</v>
      </c>
    </row>
    <row r="2470" spans="1:16" x14ac:dyDescent="0.25">
      <c r="A2470" t="s">
        <v>99</v>
      </c>
      <c r="B2470">
        <v>100</v>
      </c>
      <c r="C2470">
        <v>108</v>
      </c>
      <c r="D2470" t="s">
        <v>860</v>
      </c>
      <c r="E2470">
        <v>38</v>
      </c>
      <c r="F2470">
        <v>38</v>
      </c>
      <c r="G2470" t="s">
        <v>704</v>
      </c>
      <c r="H2470" t="s">
        <v>704</v>
      </c>
      <c r="J2470">
        <v>108</v>
      </c>
      <c r="K2470">
        <v>100</v>
      </c>
      <c r="L2470" t="s">
        <v>303</v>
      </c>
      <c r="M2470">
        <v>108</v>
      </c>
      <c r="N2470">
        <v>100</v>
      </c>
      <c r="O2470" t="s">
        <v>303</v>
      </c>
      <c r="P2470">
        <f t="shared" si="38"/>
        <v>0</v>
      </c>
    </row>
    <row r="2471" spans="1:16" x14ac:dyDescent="0.25">
      <c r="A2471" t="s">
        <v>99</v>
      </c>
      <c r="B2471">
        <v>104</v>
      </c>
      <c r="C2471">
        <v>108</v>
      </c>
      <c r="D2471" t="s">
        <v>860</v>
      </c>
      <c r="E2471">
        <v>38</v>
      </c>
      <c r="F2471">
        <v>38</v>
      </c>
      <c r="G2471" t="s">
        <v>704</v>
      </c>
      <c r="H2471" t="s">
        <v>704</v>
      </c>
      <c r="J2471">
        <v>108</v>
      </c>
      <c r="K2471">
        <v>104</v>
      </c>
      <c r="L2471" t="s">
        <v>303</v>
      </c>
      <c r="M2471">
        <v>108</v>
      </c>
      <c r="N2471">
        <v>104</v>
      </c>
      <c r="O2471" t="s">
        <v>303</v>
      </c>
      <c r="P2471">
        <f t="shared" si="38"/>
        <v>0</v>
      </c>
    </row>
    <row r="2472" spans="1:16" x14ac:dyDescent="0.25">
      <c r="A2472" t="s">
        <v>285</v>
      </c>
      <c r="B2472">
        <v>106.2</v>
      </c>
      <c r="C2472">
        <v>108.8</v>
      </c>
      <c r="D2472" t="s">
        <v>303</v>
      </c>
      <c r="E2472">
        <v>46</v>
      </c>
      <c r="F2472">
        <v>46</v>
      </c>
      <c r="G2472" t="s">
        <v>805</v>
      </c>
      <c r="H2472" t="s">
        <v>805</v>
      </c>
      <c r="J2472">
        <v>108.8</v>
      </c>
      <c r="K2472">
        <v>106.2</v>
      </c>
      <c r="L2472" t="s">
        <v>303</v>
      </c>
      <c r="M2472">
        <v>108.8</v>
      </c>
      <c r="N2472">
        <v>106.2</v>
      </c>
      <c r="O2472" t="s">
        <v>303</v>
      </c>
      <c r="P2472">
        <f t="shared" si="38"/>
        <v>0</v>
      </c>
    </row>
    <row r="2473" spans="1:16" x14ac:dyDescent="0.25">
      <c r="A2473" t="s">
        <v>669</v>
      </c>
      <c r="B2473">
        <v>406</v>
      </c>
      <c r="C2473" t="s">
        <v>669</v>
      </c>
      <c r="D2473" t="s">
        <v>865</v>
      </c>
      <c r="E2473" t="s">
        <v>910</v>
      </c>
      <c r="F2473">
        <v>5</v>
      </c>
      <c r="H2473" t="s">
        <v>684</v>
      </c>
      <c r="K2473">
        <v>406</v>
      </c>
      <c r="L2473" t="s">
        <v>920</v>
      </c>
      <c r="N2473">
        <v>406</v>
      </c>
      <c r="O2473" t="s">
        <v>931</v>
      </c>
      <c r="P2473">
        <f t="shared" si="38"/>
        <v>0</v>
      </c>
    </row>
    <row r="2474" spans="1:16" x14ac:dyDescent="0.25">
      <c r="A2474" t="s">
        <v>213</v>
      </c>
      <c r="B2474">
        <v>420</v>
      </c>
      <c r="C2474">
        <v>425</v>
      </c>
      <c r="D2474" t="s">
        <v>857</v>
      </c>
      <c r="E2474">
        <v>5</v>
      </c>
      <c r="F2474">
        <v>5</v>
      </c>
      <c r="G2474" t="s">
        <v>684</v>
      </c>
      <c r="H2474" t="s">
        <v>684</v>
      </c>
      <c r="J2474">
        <v>425</v>
      </c>
      <c r="K2474">
        <v>420</v>
      </c>
      <c r="L2474" t="s">
        <v>921</v>
      </c>
      <c r="M2474">
        <v>425</v>
      </c>
      <c r="N2474">
        <v>420</v>
      </c>
      <c r="O2474" t="s">
        <v>921</v>
      </c>
      <c r="P2474">
        <f t="shared" si="38"/>
        <v>0</v>
      </c>
    </row>
    <row r="2475" spans="1:16" x14ac:dyDescent="0.25">
      <c r="A2475" t="s">
        <v>99</v>
      </c>
      <c r="B2475">
        <v>108</v>
      </c>
      <c r="C2475">
        <v>110</v>
      </c>
      <c r="D2475" t="s">
        <v>860</v>
      </c>
      <c r="E2475">
        <v>38</v>
      </c>
      <c r="F2475">
        <v>38</v>
      </c>
      <c r="G2475" t="s">
        <v>704</v>
      </c>
      <c r="H2475" t="s">
        <v>704</v>
      </c>
      <c r="J2475">
        <v>110</v>
      </c>
      <c r="K2475">
        <v>108</v>
      </c>
      <c r="L2475" t="s">
        <v>303</v>
      </c>
      <c r="M2475">
        <v>110</v>
      </c>
      <c r="N2475">
        <v>108</v>
      </c>
      <c r="O2475" t="s">
        <v>303</v>
      </c>
      <c r="P2475">
        <f t="shared" si="38"/>
        <v>0</v>
      </c>
    </row>
    <row r="2476" spans="1:16" x14ac:dyDescent="0.25">
      <c r="A2476" t="s">
        <v>99</v>
      </c>
      <c r="B2476">
        <v>108.5</v>
      </c>
      <c r="C2476">
        <v>110.5</v>
      </c>
      <c r="D2476" t="s">
        <v>303</v>
      </c>
      <c r="E2476">
        <v>38</v>
      </c>
      <c r="F2476">
        <v>38</v>
      </c>
      <c r="G2476" t="s">
        <v>704</v>
      </c>
      <c r="H2476" t="s">
        <v>704</v>
      </c>
      <c r="J2476">
        <v>110.5</v>
      </c>
      <c r="K2476">
        <v>108.5</v>
      </c>
      <c r="L2476" t="s">
        <v>303</v>
      </c>
      <c r="M2476">
        <v>110.5</v>
      </c>
      <c r="N2476">
        <v>108.5</v>
      </c>
      <c r="O2476" t="s">
        <v>303</v>
      </c>
      <c r="P2476">
        <f t="shared" si="38"/>
        <v>0</v>
      </c>
    </row>
    <row r="2477" spans="1:16" x14ac:dyDescent="0.25">
      <c r="A2477" t="s">
        <v>99</v>
      </c>
      <c r="B2477">
        <v>109</v>
      </c>
      <c r="C2477">
        <v>111</v>
      </c>
      <c r="D2477" t="s">
        <v>303</v>
      </c>
      <c r="E2477">
        <v>38</v>
      </c>
      <c r="F2477">
        <v>38</v>
      </c>
      <c r="G2477" t="s">
        <v>704</v>
      </c>
      <c r="H2477" t="s">
        <v>704</v>
      </c>
      <c r="J2477">
        <v>111</v>
      </c>
      <c r="K2477">
        <v>109</v>
      </c>
      <c r="L2477" t="s">
        <v>303</v>
      </c>
      <c r="M2477">
        <v>111</v>
      </c>
      <c r="N2477">
        <v>109</v>
      </c>
      <c r="O2477" t="s">
        <v>303</v>
      </c>
      <c r="P2477">
        <f t="shared" si="38"/>
        <v>0</v>
      </c>
    </row>
    <row r="2478" spans="1:16" x14ac:dyDescent="0.25">
      <c r="A2478" t="s">
        <v>99</v>
      </c>
      <c r="B2478">
        <v>111</v>
      </c>
      <c r="C2478">
        <v>111</v>
      </c>
      <c r="D2478" t="s">
        <v>860</v>
      </c>
      <c r="E2478">
        <v>38</v>
      </c>
      <c r="F2478">
        <v>38</v>
      </c>
      <c r="G2478" t="s">
        <v>704</v>
      </c>
      <c r="H2478" t="s">
        <v>704</v>
      </c>
      <c r="J2478">
        <v>111</v>
      </c>
      <c r="K2478">
        <v>111</v>
      </c>
      <c r="L2478" t="s">
        <v>303</v>
      </c>
      <c r="M2478">
        <v>111</v>
      </c>
      <c r="N2478">
        <v>111</v>
      </c>
      <c r="O2478" t="s">
        <v>303</v>
      </c>
      <c r="P2478">
        <f t="shared" si="38"/>
        <v>0</v>
      </c>
    </row>
    <row r="2479" spans="1:16" x14ac:dyDescent="0.25">
      <c r="A2479" t="s">
        <v>669</v>
      </c>
      <c r="B2479">
        <v>458</v>
      </c>
      <c r="C2479" t="s">
        <v>669</v>
      </c>
      <c r="D2479" t="s">
        <v>865</v>
      </c>
      <c r="E2479" t="s">
        <v>910</v>
      </c>
      <c r="F2479">
        <v>5</v>
      </c>
      <c r="H2479" t="s">
        <v>684</v>
      </c>
      <c r="K2479">
        <v>458</v>
      </c>
      <c r="L2479" t="s">
        <v>920</v>
      </c>
      <c r="N2479">
        <v>458</v>
      </c>
      <c r="O2479" t="s">
        <v>931</v>
      </c>
      <c r="P2479">
        <f t="shared" si="38"/>
        <v>0</v>
      </c>
    </row>
    <row r="2480" spans="1:16" x14ac:dyDescent="0.25">
      <c r="A2480">
        <v>96.3</v>
      </c>
      <c r="B2480">
        <v>83.4</v>
      </c>
      <c r="C2480">
        <v>111.2</v>
      </c>
      <c r="D2480" t="s">
        <v>303</v>
      </c>
      <c r="E2480" t="s">
        <v>910</v>
      </c>
      <c r="F2480" t="s">
        <v>910</v>
      </c>
      <c r="J2480">
        <v>111.2</v>
      </c>
      <c r="K2480">
        <v>83.4</v>
      </c>
      <c r="L2480" t="s">
        <v>303</v>
      </c>
      <c r="M2480">
        <v>111.2</v>
      </c>
      <c r="N2480">
        <v>83.4</v>
      </c>
      <c r="O2480" t="s">
        <v>303</v>
      </c>
      <c r="P2480">
        <f t="shared" si="38"/>
        <v>0</v>
      </c>
    </row>
    <row r="2481" spans="1:16" x14ac:dyDescent="0.25">
      <c r="A2481" t="s">
        <v>669</v>
      </c>
      <c r="B2481">
        <v>65.5</v>
      </c>
      <c r="C2481">
        <v>112</v>
      </c>
      <c r="D2481" t="s">
        <v>303</v>
      </c>
      <c r="E2481" t="s">
        <v>910</v>
      </c>
      <c r="F2481" t="s">
        <v>910</v>
      </c>
      <c r="J2481">
        <v>112</v>
      </c>
      <c r="K2481">
        <v>65.5</v>
      </c>
      <c r="L2481" t="s">
        <v>303</v>
      </c>
      <c r="M2481">
        <v>112</v>
      </c>
      <c r="N2481">
        <v>65.5</v>
      </c>
      <c r="O2481" t="s">
        <v>303</v>
      </c>
      <c r="P2481">
        <f t="shared" si="38"/>
        <v>0</v>
      </c>
    </row>
    <row r="2482" spans="1:16" x14ac:dyDescent="0.25">
      <c r="A2482" t="s">
        <v>669</v>
      </c>
      <c r="B2482">
        <v>93.5</v>
      </c>
      <c r="C2482">
        <v>112</v>
      </c>
      <c r="D2482" t="s">
        <v>303</v>
      </c>
      <c r="E2482" t="s">
        <v>910</v>
      </c>
      <c r="F2482" t="s">
        <v>910</v>
      </c>
      <c r="J2482">
        <v>112</v>
      </c>
      <c r="K2482">
        <v>93.5</v>
      </c>
      <c r="L2482" t="s">
        <v>303</v>
      </c>
      <c r="M2482">
        <v>112</v>
      </c>
      <c r="N2482">
        <v>93.5</v>
      </c>
      <c r="O2482" t="s">
        <v>303</v>
      </c>
      <c r="P2482">
        <f t="shared" si="38"/>
        <v>0</v>
      </c>
    </row>
    <row r="2483" spans="1:16" x14ac:dyDescent="0.25">
      <c r="A2483" t="s">
        <v>315</v>
      </c>
      <c r="B2483">
        <v>99.6</v>
      </c>
      <c r="C2483">
        <v>112</v>
      </c>
      <c r="D2483" t="s">
        <v>303</v>
      </c>
      <c r="E2483">
        <v>47</v>
      </c>
      <c r="F2483">
        <v>47</v>
      </c>
      <c r="G2483" t="s">
        <v>675</v>
      </c>
      <c r="H2483" t="s">
        <v>675</v>
      </c>
      <c r="J2483">
        <v>112</v>
      </c>
      <c r="K2483">
        <v>99.6</v>
      </c>
      <c r="L2483" t="s">
        <v>303</v>
      </c>
      <c r="M2483">
        <v>112</v>
      </c>
      <c r="N2483">
        <v>99.6</v>
      </c>
      <c r="O2483" t="s">
        <v>303</v>
      </c>
      <c r="P2483">
        <f t="shared" si="38"/>
        <v>0</v>
      </c>
    </row>
    <row r="2484" spans="1:16" x14ac:dyDescent="0.25">
      <c r="A2484" t="s">
        <v>669</v>
      </c>
      <c r="B2484">
        <v>99.6</v>
      </c>
      <c r="C2484">
        <v>112</v>
      </c>
      <c r="D2484" t="s">
        <v>303</v>
      </c>
      <c r="E2484" t="s">
        <v>910</v>
      </c>
      <c r="F2484" t="s">
        <v>910</v>
      </c>
      <c r="J2484">
        <v>112</v>
      </c>
      <c r="K2484">
        <v>99.6</v>
      </c>
      <c r="L2484" t="s">
        <v>303</v>
      </c>
      <c r="M2484">
        <v>112</v>
      </c>
      <c r="N2484">
        <v>99.6</v>
      </c>
      <c r="O2484" t="s">
        <v>303</v>
      </c>
      <c r="P2484">
        <f t="shared" si="38"/>
        <v>0</v>
      </c>
    </row>
    <row r="2485" spans="1:16" x14ac:dyDescent="0.25">
      <c r="A2485" t="s">
        <v>99</v>
      </c>
      <c r="B2485">
        <v>110</v>
      </c>
      <c r="C2485">
        <v>112</v>
      </c>
      <c r="D2485" t="s">
        <v>303</v>
      </c>
      <c r="E2485">
        <v>38</v>
      </c>
      <c r="F2485">
        <v>38</v>
      </c>
      <c r="G2485" t="s">
        <v>704</v>
      </c>
      <c r="H2485" t="s">
        <v>704</v>
      </c>
      <c r="J2485">
        <v>112</v>
      </c>
      <c r="K2485">
        <v>110</v>
      </c>
      <c r="L2485" t="s">
        <v>303</v>
      </c>
      <c r="M2485">
        <v>112</v>
      </c>
      <c r="N2485">
        <v>110</v>
      </c>
      <c r="O2485" t="s">
        <v>303</v>
      </c>
      <c r="P2485">
        <f t="shared" si="38"/>
        <v>0</v>
      </c>
    </row>
    <row r="2486" spans="1:16" x14ac:dyDescent="0.25">
      <c r="A2486" t="s">
        <v>99</v>
      </c>
      <c r="B2486">
        <v>111.6</v>
      </c>
      <c r="C2486">
        <v>114.2</v>
      </c>
      <c r="D2486" t="s">
        <v>303</v>
      </c>
      <c r="E2486">
        <v>38</v>
      </c>
      <c r="F2486">
        <v>38</v>
      </c>
      <c r="G2486" t="s">
        <v>704</v>
      </c>
      <c r="H2486" t="s">
        <v>704</v>
      </c>
      <c r="J2486">
        <v>114.2</v>
      </c>
      <c r="K2486">
        <v>111.6</v>
      </c>
      <c r="L2486" t="s">
        <v>303</v>
      </c>
      <c r="M2486">
        <v>114.2</v>
      </c>
      <c r="N2486">
        <v>111.6</v>
      </c>
      <c r="O2486" t="s">
        <v>303</v>
      </c>
      <c r="P2486">
        <f t="shared" si="38"/>
        <v>0</v>
      </c>
    </row>
    <row r="2487" spans="1:16" x14ac:dyDescent="0.25">
      <c r="A2487" t="s">
        <v>285</v>
      </c>
      <c r="B2487">
        <v>113.4</v>
      </c>
      <c r="C2487">
        <v>116.4</v>
      </c>
      <c r="D2487" t="s">
        <v>303</v>
      </c>
      <c r="E2487">
        <v>46</v>
      </c>
      <c r="F2487">
        <v>46</v>
      </c>
      <c r="G2487" t="s">
        <v>805</v>
      </c>
      <c r="H2487" t="s">
        <v>805</v>
      </c>
      <c r="J2487">
        <v>116.4</v>
      </c>
      <c r="K2487">
        <v>113.4</v>
      </c>
      <c r="L2487" t="s">
        <v>303</v>
      </c>
      <c r="M2487">
        <v>116.4</v>
      </c>
      <c r="N2487">
        <v>113.4</v>
      </c>
      <c r="O2487" t="s">
        <v>303</v>
      </c>
      <c r="P2487">
        <f t="shared" si="38"/>
        <v>0</v>
      </c>
    </row>
    <row r="2488" spans="1:16" x14ac:dyDescent="0.25">
      <c r="A2488" t="s">
        <v>99</v>
      </c>
      <c r="B2488">
        <v>117</v>
      </c>
      <c r="C2488">
        <v>118</v>
      </c>
      <c r="D2488" t="s">
        <v>303</v>
      </c>
      <c r="E2488">
        <v>38</v>
      </c>
      <c r="F2488">
        <v>38</v>
      </c>
      <c r="G2488" t="s">
        <v>704</v>
      </c>
      <c r="H2488" t="s">
        <v>704</v>
      </c>
      <c r="J2488">
        <v>118</v>
      </c>
      <c r="K2488">
        <v>117</v>
      </c>
      <c r="L2488" t="s">
        <v>303</v>
      </c>
      <c r="M2488">
        <v>118</v>
      </c>
      <c r="N2488">
        <v>117</v>
      </c>
      <c r="O2488" t="s">
        <v>303</v>
      </c>
      <c r="P2488">
        <f t="shared" si="38"/>
        <v>0</v>
      </c>
    </row>
    <row r="2489" spans="1:16" x14ac:dyDescent="0.25">
      <c r="A2489" t="s">
        <v>99</v>
      </c>
      <c r="B2489">
        <v>115.7</v>
      </c>
      <c r="C2489">
        <v>118.1</v>
      </c>
      <c r="D2489" t="s">
        <v>303</v>
      </c>
      <c r="E2489">
        <v>38</v>
      </c>
      <c r="F2489">
        <v>38</v>
      </c>
      <c r="G2489" t="s">
        <v>704</v>
      </c>
      <c r="H2489" t="s">
        <v>704</v>
      </c>
      <c r="J2489">
        <v>118.1</v>
      </c>
      <c r="K2489">
        <v>115.7</v>
      </c>
      <c r="L2489" t="s">
        <v>303</v>
      </c>
      <c r="M2489">
        <v>118.1</v>
      </c>
      <c r="N2489">
        <v>115.7</v>
      </c>
      <c r="O2489" t="s">
        <v>303</v>
      </c>
      <c r="P2489">
        <f t="shared" si="38"/>
        <v>0</v>
      </c>
    </row>
    <row r="2490" spans="1:16" x14ac:dyDescent="0.25">
      <c r="A2490" t="s">
        <v>99</v>
      </c>
      <c r="B2490">
        <v>115.8</v>
      </c>
      <c r="C2490">
        <v>119.2</v>
      </c>
      <c r="D2490" t="s">
        <v>669</v>
      </c>
      <c r="E2490">
        <v>38</v>
      </c>
      <c r="F2490">
        <v>38</v>
      </c>
      <c r="G2490" t="s">
        <v>704</v>
      </c>
      <c r="H2490" t="s">
        <v>704</v>
      </c>
      <c r="I2490" t="s">
        <v>927</v>
      </c>
      <c r="J2490">
        <v>119.2</v>
      </c>
      <c r="K2490">
        <v>115.8</v>
      </c>
      <c r="L2490" t="s">
        <v>930</v>
      </c>
      <c r="M2490">
        <v>119.2</v>
      </c>
      <c r="N2490">
        <v>115.8</v>
      </c>
      <c r="P2490">
        <f t="shared" si="38"/>
        <v>14</v>
      </c>
    </row>
    <row r="2491" spans="1:16" x14ac:dyDescent="0.25">
      <c r="A2491" t="s">
        <v>669</v>
      </c>
      <c r="B2491">
        <v>484</v>
      </c>
      <c r="C2491">
        <v>484</v>
      </c>
      <c r="D2491" t="s">
        <v>857</v>
      </c>
      <c r="E2491">
        <v>5</v>
      </c>
      <c r="F2491">
        <v>5</v>
      </c>
      <c r="G2491" t="s">
        <v>684</v>
      </c>
      <c r="H2491" t="s">
        <v>684</v>
      </c>
      <c r="J2491">
        <v>484</v>
      </c>
      <c r="K2491">
        <v>484</v>
      </c>
      <c r="L2491" t="s">
        <v>921</v>
      </c>
      <c r="M2491">
        <v>484</v>
      </c>
      <c r="N2491">
        <v>484</v>
      </c>
      <c r="O2491" t="s">
        <v>921</v>
      </c>
      <c r="P2491">
        <f t="shared" si="38"/>
        <v>0</v>
      </c>
    </row>
    <row r="2492" spans="1:16" x14ac:dyDescent="0.25">
      <c r="A2492" t="s">
        <v>669</v>
      </c>
      <c r="B2492">
        <v>532</v>
      </c>
      <c r="C2492" t="s">
        <v>669</v>
      </c>
      <c r="D2492" t="s">
        <v>865</v>
      </c>
      <c r="E2492" t="s">
        <v>910</v>
      </c>
      <c r="F2492">
        <v>5</v>
      </c>
      <c r="H2492" t="s">
        <v>684</v>
      </c>
      <c r="K2492">
        <v>532</v>
      </c>
      <c r="L2492" t="s">
        <v>920</v>
      </c>
      <c r="N2492">
        <v>532</v>
      </c>
      <c r="O2492" t="s">
        <v>931</v>
      </c>
      <c r="P2492">
        <f t="shared" si="38"/>
        <v>0</v>
      </c>
    </row>
    <row r="2493" spans="1:16" x14ac:dyDescent="0.25">
      <c r="A2493" t="s">
        <v>669</v>
      </c>
      <c r="B2493">
        <v>550</v>
      </c>
      <c r="C2493">
        <v>550</v>
      </c>
      <c r="D2493" t="s">
        <v>857</v>
      </c>
      <c r="E2493">
        <v>5</v>
      </c>
      <c r="F2493">
        <v>5</v>
      </c>
      <c r="G2493" t="s">
        <v>684</v>
      </c>
      <c r="H2493" t="s">
        <v>684</v>
      </c>
      <c r="J2493">
        <v>550</v>
      </c>
      <c r="K2493">
        <v>550</v>
      </c>
      <c r="L2493" t="s">
        <v>921</v>
      </c>
      <c r="M2493">
        <v>550</v>
      </c>
      <c r="N2493">
        <v>550</v>
      </c>
      <c r="O2493" t="s">
        <v>921</v>
      </c>
      <c r="P2493">
        <f t="shared" si="38"/>
        <v>0</v>
      </c>
    </row>
    <row r="2494" spans="1:16" x14ac:dyDescent="0.25">
      <c r="A2494" t="s">
        <v>99</v>
      </c>
      <c r="B2494">
        <v>115.5</v>
      </c>
      <c r="C2494">
        <v>119.3</v>
      </c>
      <c r="D2494" t="s">
        <v>303</v>
      </c>
      <c r="E2494">
        <v>38</v>
      </c>
      <c r="F2494">
        <v>38</v>
      </c>
      <c r="G2494" t="s">
        <v>704</v>
      </c>
      <c r="H2494" t="s">
        <v>704</v>
      </c>
      <c r="J2494">
        <v>119.3</v>
      </c>
      <c r="K2494">
        <v>115.5</v>
      </c>
      <c r="L2494" t="s">
        <v>303</v>
      </c>
      <c r="M2494">
        <v>119.3</v>
      </c>
      <c r="N2494">
        <v>115.5</v>
      </c>
      <c r="O2494" t="s">
        <v>303</v>
      </c>
      <c r="P2494">
        <f t="shared" si="38"/>
        <v>0</v>
      </c>
    </row>
    <row r="2495" spans="1:16" x14ac:dyDescent="0.25">
      <c r="A2495" t="s">
        <v>99</v>
      </c>
      <c r="B2495">
        <v>116.4</v>
      </c>
      <c r="C2495">
        <v>119.6</v>
      </c>
      <c r="D2495" t="s">
        <v>303</v>
      </c>
      <c r="E2495">
        <v>38</v>
      </c>
      <c r="F2495">
        <v>38</v>
      </c>
      <c r="G2495" t="s">
        <v>704</v>
      </c>
      <c r="H2495" t="s">
        <v>704</v>
      </c>
      <c r="J2495">
        <v>119.6</v>
      </c>
      <c r="K2495">
        <v>116.4</v>
      </c>
      <c r="L2495" t="s">
        <v>303</v>
      </c>
      <c r="M2495">
        <v>119.6</v>
      </c>
      <c r="N2495">
        <v>116.4</v>
      </c>
      <c r="O2495" t="s">
        <v>303</v>
      </c>
      <c r="P2495">
        <f t="shared" si="38"/>
        <v>0</v>
      </c>
    </row>
    <row r="2496" spans="1:16" x14ac:dyDescent="0.25">
      <c r="A2496" t="s">
        <v>99</v>
      </c>
      <c r="B2496">
        <v>119</v>
      </c>
      <c r="C2496">
        <v>120</v>
      </c>
      <c r="D2496" t="s">
        <v>303</v>
      </c>
      <c r="E2496">
        <v>38</v>
      </c>
      <c r="F2496">
        <v>38</v>
      </c>
      <c r="G2496" t="s">
        <v>704</v>
      </c>
      <c r="H2496" t="s">
        <v>704</v>
      </c>
      <c r="J2496">
        <v>120</v>
      </c>
      <c r="K2496">
        <v>119</v>
      </c>
      <c r="L2496" t="s">
        <v>303</v>
      </c>
      <c r="M2496">
        <v>120</v>
      </c>
      <c r="N2496">
        <v>119</v>
      </c>
      <c r="O2496" t="s">
        <v>303</v>
      </c>
      <c r="P2496">
        <f t="shared" si="38"/>
        <v>0</v>
      </c>
    </row>
    <row r="2497" spans="1:16" x14ac:dyDescent="0.25">
      <c r="A2497" t="s">
        <v>669</v>
      </c>
      <c r="B2497">
        <v>120</v>
      </c>
      <c r="C2497">
        <v>120</v>
      </c>
      <c r="D2497" t="s">
        <v>669</v>
      </c>
      <c r="E2497" t="s">
        <v>910</v>
      </c>
      <c r="F2497" t="s">
        <v>910</v>
      </c>
      <c r="I2497" t="s">
        <v>927</v>
      </c>
      <c r="J2497">
        <v>120</v>
      </c>
      <c r="K2497">
        <v>120</v>
      </c>
      <c r="L2497" t="s">
        <v>930</v>
      </c>
      <c r="M2497">
        <v>120</v>
      </c>
      <c r="N2497">
        <v>120</v>
      </c>
      <c r="P2497">
        <f t="shared" si="38"/>
        <v>14</v>
      </c>
    </row>
    <row r="2498" spans="1:16" x14ac:dyDescent="0.25">
      <c r="A2498" t="s">
        <v>669</v>
      </c>
      <c r="B2498" t="s">
        <v>669</v>
      </c>
      <c r="C2498">
        <v>120</v>
      </c>
      <c r="D2498" t="s">
        <v>303</v>
      </c>
      <c r="E2498" t="s">
        <v>910</v>
      </c>
      <c r="F2498" t="s">
        <v>910</v>
      </c>
      <c r="J2498">
        <v>120</v>
      </c>
      <c r="K2498">
        <v>120</v>
      </c>
      <c r="L2498" t="s">
        <v>303</v>
      </c>
      <c r="M2498">
        <v>120</v>
      </c>
      <c r="N2498">
        <v>120</v>
      </c>
      <c r="O2498" t="s">
        <v>303</v>
      </c>
      <c r="P2498">
        <f t="shared" si="38"/>
        <v>0</v>
      </c>
    </row>
    <row r="2499" spans="1:16" x14ac:dyDescent="0.25">
      <c r="A2499" t="s">
        <v>99</v>
      </c>
      <c r="B2499">
        <v>118</v>
      </c>
      <c r="C2499">
        <v>120.4</v>
      </c>
      <c r="D2499" t="s">
        <v>669</v>
      </c>
      <c r="E2499">
        <v>38</v>
      </c>
      <c r="F2499">
        <v>38</v>
      </c>
      <c r="G2499" t="s">
        <v>704</v>
      </c>
      <c r="H2499" t="s">
        <v>704</v>
      </c>
      <c r="I2499" t="s">
        <v>927</v>
      </c>
      <c r="J2499">
        <v>120.4</v>
      </c>
      <c r="K2499">
        <v>118</v>
      </c>
      <c r="L2499" t="s">
        <v>930</v>
      </c>
      <c r="M2499">
        <v>120.4</v>
      </c>
      <c r="N2499">
        <v>118</v>
      </c>
      <c r="P2499">
        <f t="shared" ref="P2499:P2562" si="39">LEN(I2499)</f>
        <v>14</v>
      </c>
    </row>
    <row r="2500" spans="1:16" x14ac:dyDescent="0.25">
      <c r="A2500" t="s">
        <v>669</v>
      </c>
      <c r="B2500">
        <v>561</v>
      </c>
      <c r="C2500" t="s">
        <v>669</v>
      </c>
      <c r="D2500" t="s">
        <v>865</v>
      </c>
      <c r="E2500" t="s">
        <v>910</v>
      </c>
      <c r="F2500">
        <v>5</v>
      </c>
      <c r="H2500" t="s">
        <v>684</v>
      </c>
      <c r="K2500">
        <v>561</v>
      </c>
      <c r="L2500" t="s">
        <v>920</v>
      </c>
      <c r="N2500">
        <v>561</v>
      </c>
      <c r="O2500" t="s">
        <v>931</v>
      </c>
      <c r="P2500">
        <f t="shared" si="39"/>
        <v>0</v>
      </c>
    </row>
    <row r="2501" spans="1:16" x14ac:dyDescent="0.25">
      <c r="A2501" t="s">
        <v>669</v>
      </c>
      <c r="B2501">
        <v>563</v>
      </c>
      <c r="C2501">
        <v>668</v>
      </c>
      <c r="D2501" t="s">
        <v>866</v>
      </c>
      <c r="E2501">
        <v>5</v>
      </c>
      <c r="F2501">
        <v>5</v>
      </c>
      <c r="G2501" t="s">
        <v>684</v>
      </c>
      <c r="H2501" t="s">
        <v>684</v>
      </c>
      <c r="J2501">
        <v>668</v>
      </c>
      <c r="K2501">
        <v>563</v>
      </c>
      <c r="L2501" t="s">
        <v>920</v>
      </c>
      <c r="M2501">
        <v>668</v>
      </c>
      <c r="N2501">
        <v>563</v>
      </c>
      <c r="O2501" t="s">
        <v>920</v>
      </c>
      <c r="P2501">
        <f t="shared" si="39"/>
        <v>0</v>
      </c>
    </row>
    <row r="2502" spans="1:16" x14ac:dyDescent="0.25">
      <c r="A2502">
        <v>106.2</v>
      </c>
      <c r="B2502">
        <v>92.6</v>
      </c>
      <c r="C2502">
        <v>121.8</v>
      </c>
      <c r="D2502" t="s">
        <v>303</v>
      </c>
      <c r="E2502" t="s">
        <v>910</v>
      </c>
      <c r="F2502" t="s">
        <v>910</v>
      </c>
      <c r="J2502">
        <v>121.8</v>
      </c>
      <c r="K2502">
        <v>92.6</v>
      </c>
      <c r="L2502" t="s">
        <v>303</v>
      </c>
      <c r="M2502">
        <v>121.8</v>
      </c>
      <c r="N2502">
        <v>92.6</v>
      </c>
      <c r="O2502" t="s">
        <v>303</v>
      </c>
      <c r="P2502">
        <f t="shared" si="39"/>
        <v>0</v>
      </c>
    </row>
    <row r="2503" spans="1:16" x14ac:dyDescent="0.25">
      <c r="A2503" t="s">
        <v>669</v>
      </c>
      <c r="B2503">
        <v>118</v>
      </c>
      <c r="C2503">
        <v>122</v>
      </c>
      <c r="D2503" t="s">
        <v>303</v>
      </c>
      <c r="E2503" t="s">
        <v>910</v>
      </c>
      <c r="F2503" t="s">
        <v>910</v>
      </c>
      <c r="J2503">
        <v>122</v>
      </c>
      <c r="K2503">
        <v>118</v>
      </c>
      <c r="L2503" t="s">
        <v>303</v>
      </c>
      <c r="M2503">
        <v>122</v>
      </c>
      <c r="N2503">
        <v>118</v>
      </c>
      <c r="O2503" t="s">
        <v>303</v>
      </c>
      <c r="P2503">
        <f t="shared" si="39"/>
        <v>0</v>
      </c>
    </row>
    <row r="2504" spans="1:16" x14ac:dyDescent="0.25">
      <c r="A2504" t="s">
        <v>669</v>
      </c>
      <c r="B2504">
        <v>635</v>
      </c>
      <c r="C2504" t="s">
        <v>669</v>
      </c>
      <c r="D2504" t="s">
        <v>865</v>
      </c>
      <c r="E2504" t="s">
        <v>910</v>
      </c>
      <c r="F2504">
        <v>5</v>
      </c>
      <c r="H2504" t="s">
        <v>684</v>
      </c>
      <c r="K2504">
        <v>635</v>
      </c>
      <c r="L2504" t="s">
        <v>920</v>
      </c>
      <c r="N2504">
        <v>635</v>
      </c>
      <c r="O2504" t="s">
        <v>931</v>
      </c>
      <c r="P2504">
        <f t="shared" si="39"/>
        <v>0</v>
      </c>
    </row>
    <row r="2505" spans="1:16" x14ac:dyDescent="0.25">
      <c r="A2505" t="s">
        <v>669</v>
      </c>
      <c r="B2505">
        <v>99.6</v>
      </c>
      <c r="C2505">
        <v>125</v>
      </c>
      <c r="D2505" t="s">
        <v>303</v>
      </c>
      <c r="E2505" t="s">
        <v>910</v>
      </c>
      <c r="F2505" t="s">
        <v>910</v>
      </c>
      <c r="J2505">
        <v>125</v>
      </c>
      <c r="K2505">
        <v>99.6</v>
      </c>
      <c r="L2505" t="s">
        <v>303</v>
      </c>
      <c r="M2505">
        <v>125</v>
      </c>
      <c r="N2505">
        <v>99.6</v>
      </c>
      <c r="O2505" t="s">
        <v>303</v>
      </c>
      <c r="P2505">
        <f t="shared" si="39"/>
        <v>0</v>
      </c>
    </row>
    <row r="2506" spans="1:16" x14ac:dyDescent="0.25">
      <c r="A2506" t="s">
        <v>316</v>
      </c>
      <c r="B2506">
        <v>112</v>
      </c>
      <c r="C2506">
        <v>125</v>
      </c>
      <c r="D2506" t="s">
        <v>303</v>
      </c>
      <c r="E2506">
        <v>48</v>
      </c>
      <c r="F2506">
        <v>48</v>
      </c>
      <c r="G2506" t="s">
        <v>705</v>
      </c>
      <c r="H2506" t="s">
        <v>705</v>
      </c>
      <c r="J2506">
        <v>125</v>
      </c>
      <c r="K2506">
        <v>112</v>
      </c>
      <c r="L2506" t="s">
        <v>303</v>
      </c>
      <c r="M2506">
        <v>125</v>
      </c>
      <c r="N2506">
        <v>112</v>
      </c>
      <c r="O2506" t="s">
        <v>303</v>
      </c>
      <c r="P2506">
        <f t="shared" si="39"/>
        <v>0</v>
      </c>
    </row>
    <row r="2507" spans="1:16" x14ac:dyDescent="0.25">
      <c r="A2507">
        <v>106.8</v>
      </c>
      <c r="B2507">
        <v>91.1</v>
      </c>
      <c r="C2507">
        <v>125.1</v>
      </c>
      <c r="D2507" t="s">
        <v>303</v>
      </c>
      <c r="E2507" t="s">
        <v>910</v>
      </c>
      <c r="F2507" t="s">
        <v>910</v>
      </c>
      <c r="J2507">
        <v>125.1</v>
      </c>
      <c r="K2507">
        <v>91.1</v>
      </c>
      <c r="L2507" t="s">
        <v>303</v>
      </c>
      <c r="M2507">
        <v>125.1</v>
      </c>
      <c r="N2507">
        <v>91.1</v>
      </c>
      <c r="O2507" t="s">
        <v>303</v>
      </c>
      <c r="P2507">
        <f t="shared" si="39"/>
        <v>0</v>
      </c>
    </row>
    <row r="2508" spans="1:16" x14ac:dyDescent="0.25">
      <c r="A2508" t="s">
        <v>99</v>
      </c>
      <c r="B2508">
        <v>122.5</v>
      </c>
      <c r="C2508">
        <v>125.5</v>
      </c>
      <c r="D2508" t="s">
        <v>303</v>
      </c>
      <c r="E2508">
        <v>38</v>
      </c>
      <c r="F2508">
        <v>38</v>
      </c>
      <c r="G2508" t="s">
        <v>704</v>
      </c>
      <c r="H2508" t="s">
        <v>704</v>
      </c>
      <c r="J2508">
        <v>125.5</v>
      </c>
      <c r="K2508">
        <v>122.5</v>
      </c>
      <c r="L2508" t="s">
        <v>303</v>
      </c>
      <c r="M2508">
        <v>125.5</v>
      </c>
      <c r="N2508">
        <v>122.5</v>
      </c>
      <c r="O2508" t="s">
        <v>303</v>
      </c>
      <c r="P2508">
        <f t="shared" si="39"/>
        <v>0</v>
      </c>
    </row>
    <row r="2509" spans="1:16" x14ac:dyDescent="0.25">
      <c r="A2509" t="s">
        <v>99</v>
      </c>
      <c r="B2509">
        <v>119.8</v>
      </c>
      <c r="C2509">
        <v>125.8</v>
      </c>
      <c r="D2509" t="s">
        <v>303</v>
      </c>
      <c r="E2509">
        <v>38</v>
      </c>
      <c r="F2509">
        <v>38</v>
      </c>
      <c r="G2509" t="s">
        <v>704</v>
      </c>
      <c r="H2509" t="s">
        <v>704</v>
      </c>
      <c r="J2509">
        <v>125.8</v>
      </c>
      <c r="K2509">
        <v>119.8</v>
      </c>
      <c r="L2509" t="s">
        <v>303</v>
      </c>
      <c r="M2509">
        <v>125.8</v>
      </c>
      <c r="N2509">
        <v>119.8</v>
      </c>
      <c r="O2509" t="s">
        <v>303</v>
      </c>
      <c r="P2509">
        <f t="shared" si="39"/>
        <v>0</v>
      </c>
    </row>
    <row r="2510" spans="1:16" x14ac:dyDescent="0.25">
      <c r="A2510">
        <v>108.4</v>
      </c>
      <c r="B2510">
        <v>93.2</v>
      </c>
      <c r="C2510">
        <v>126</v>
      </c>
      <c r="D2510" t="s">
        <v>303</v>
      </c>
      <c r="E2510" t="s">
        <v>910</v>
      </c>
      <c r="F2510" t="s">
        <v>910</v>
      </c>
      <c r="J2510">
        <v>126</v>
      </c>
      <c r="K2510">
        <v>93.2</v>
      </c>
      <c r="L2510" t="s">
        <v>303</v>
      </c>
      <c r="M2510">
        <v>126</v>
      </c>
      <c r="N2510">
        <v>93.2</v>
      </c>
      <c r="O2510" t="s">
        <v>303</v>
      </c>
      <c r="P2510">
        <f t="shared" si="39"/>
        <v>0</v>
      </c>
    </row>
    <row r="2511" spans="1:16" x14ac:dyDescent="0.25">
      <c r="A2511" t="s">
        <v>669</v>
      </c>
      <c r="B2511">
        <v>672</v>
      </c>
      <c r="C2511" t="s">
        <v>669</v>
      </c>
      <c r="D2511" t="s">
        <v>865</v>
      </c>
      <c r="E2511" t="s">
        <v>910</v>
      </c>
      <c r="F2511">
        <v>5</v>
      </c>
      <c r="H2511" t="s">
        <v>684</v>
      </c>
      <c r="K2511">
        <v>672</v>
      </c>
      <c r="L2511" t="s">
        <v>920</v>
      </c>
      <c r="N2511">
        <v>672</v>
      </c>
      <c r="O2511" t="s">
        <v>931</v>
      </c>
      <c r="P2511">
        <f t="shared" si="39"/>
        <v>0</v>
      </c>
    </row>
    <row r="2512" spans="1:16" x14ac:dyDescent="0.25">
      <c r="A2512">
        <v>105.4</v>
      </c>
      <c r="B2512">
        <v>86.7</v>
      </c>
      <c r="C2512">
        <v>128.1</v>
      </c>
      <c r="D2512" t="s">
        <v>303</v>
      </c>
      <c r="E2512" t="s">
        <v>910</v>
      </c>
      <c r="F2512" t="s">
        <v>910</v>
      </c>
      <c r="J2512">
        <v>128.1</v>
      </c>
      <c r="K2512">
        <v>86.7</v>
      </c>
      <c r="L2512" t="s">
        <v>303</v>
      </c>
      <c r="M2512">
        <v>128.1</v>
      </c>
      <c r="N2512">
        <v>86.7</v>
      </c>
      <c r="O2512" t="s">
        <v>303</v>
      </c>
      <c r="P2512">
        <f t="shared" si="39"/>
        <v>0</v>
      </c>
    </row>
    <row r="2513" spans="1:16" x14ac:dyDescent="0.25">
      <c r="A2513" t="s">
        <v>317</v>
      </c>
      <c r="B2513">
        <v>125</v>
      </c>
      <c r="C2513">
        <v>130</v>
      </c>
      <c r="D2513" t="s">
        <v>303</v>
      </c>
      <c r="E2513">
        <v>49</v>
      </c>
      <c r="F2513">
        <v>49</v>
      </c>
      <c r="G2513" t="s">
        <v>748</v>
      </c>
      <c r="H2513" t="s">
        <v>748</v>
      </c>
      <c r="J2513">
        <v>130</v>
      </c>
      <c r="K2513">
        <v>125</v>
      </c>
      <c r="L2513" t="s">
        <v>303</v>
      </c>
      <c r="M2513">
        <v>130</v>
      </c>
      <c r="N2513">
        <v>125</v>
      </c>
      <c r="O2513" t="s">
        <v>303</v>
      </c>
      <c r="P2513">
        <f t="shared" si="39"/>
        <v>0</v>
      </c>
    </row>
    <row r="2514" spans="1:16" x14ac:dyDescent="0.25">
      <c r="A2514">
        <v>113.5</v>
      </c>
      <c r="B2514">
        <v>99</v>
      </c>
      <c r="C2514">
        <v>130.19999999999999</v>
      </c>
      <c r="D2514" t="s">
        <v>303</v>
      </c>
      <c r="E2514" t="s">
        <v>910</v>
      </c>
      <c r="F2514" t="s">
        <v>910</v>
      </c>
      <c r="J2514">
        <v>130.19999999999999</v>
      </c>
      <c r="K2514">
        <v>99</v>
      </c>
      <c r="L2514" t="s">
        <v>303</v>
      </c>
      <c r="M2514">
        <v>130.19999999999999</v>
      </c>
      <c r="N2514">
        <v>99</v>
      </c>
      <c r="O2514" t="s">
        <v>303</v>
      </c>
      <c r="P2514">
        <f t="shared" si="39"/>
        <v>0</v>
      </c>
    </row>
    <row r="2515" spans="1:16" x14ac:dyDescent="0.25">
      <c r="A2515">
        <v>106.8</v>
      </c>
      <c r="B2515">
        <v>86.2</v>
      </c>
      <c r="C2515">
        <v>132.30000000000001</v>
      </c>
      <c r="D2515" t="s">
        <v>303</v>
      </c>
      <c r="E2515" t="s">
        <v>910</v>
      </c>
      <c r="F2515" t="s">
        <v>910</v>
      </c>
      <c r="J2515">
        <v>132.30000000000001</v>
      </c>
      <c r="K2515">
        <v>86.2</v>
      </c>
      <c r="L2515" t="s">
        <v>303</v>
      </c>
      <c r="M2515">
        <v>132.30000000000001</v>
      </c>
      <c r="N2515">
        <v>86.2</v>
      </c>
      <c r="O2515" t="s">
        <v>303</v>
      </c>
      <c r="P2515">
        <f t="shared" si="39"/>
        <v>0</v>
      </c>
    </row>
    <row r="2516" spans="1:16" x14ac:dyDescent="0.25">
      <c r="A2516">
        <v>120.3</v>
      </c>
      <c r="B2516">
        <v>105.3</v>
      </c>
      <c r="C2516">
        <v>137.30000000000001</v>
      </c>
      <c r="D2516" t="s">
        <v>303</v>
      </c>
      <c r="E2516" t="s">
        <v>910</v>
      </c>
      <c r="F2516" t="s">
        <v>910</v>
      </c>
      <c r="J2516">
        <v>137.30000000000001</v>
      </c>
      <c r="K2516">
        <v>105.3</v>
      </c>
      <c r="L2516" t="s">
        <v>303</v>
      </c>
      <c r="M2516">
        <v>137.30000000000001</v>
      </c>
      <c r="N2516">
        <v>105.3</v>
      </c>
      <c r="O2516" t="s">
        <v>303</v>
      </c>
      <c r="P2516">
        <f t="shared" si="39"/>
        <v>0</v>
      </c>
    </row>
    <row r="2517" spans="1:16" x14ac:dyDescent="0.25">
      <c r="A2517">
        <v>115.5</v>
      </c>
      <c r="B2517">
        <v>97</v>
      </c>
      <c r="C2517">
        <v>137.5</v>
      </c>
      <c r="D2517" t="s">
        <v>303</v>
      </c>
      <c r="E2517" t="s">
        <v>910</v>
      </c>
      <c r="F2517" t="s">
        <v>910</v>
      </c>
      <c r="J2517">
        <v>137.5</v>
      </c>
      <c r="K2517">
        <v>97</v>
      </c>
      <c r="L2517" t="s">
        <v>303</v>
      </c>
      <c r="M2517">
        <v>137.5</v>
      </c>
      <c r="N2517">
        <v>97</v>
      </c>
      <c r="O2517" t="s">
        <v>303</v>
      </c>
      <c r="P2517">
        <f t="shared" si="39"/>
        <v>0</v>
      </c>
    </row>
    <row r="2518" spans="1:16" x14ac:dyDescent="0.25">
      <c r="A2518" t="s">
        <v>99</v>
      </c>
      <c r="B2518" t="s">
        <v>669</v>
      </c>
      <c r="C2518">
        <v>138.80000000000001</v>
      </c>
      <c r="D2518" t="s">
        <v>303</v>
      </c>
      <c r="E2518">
        <v>38</v>
      </c>
      <c r="F2518">
        <v>38</v>
      </c>
      <c r="G2518" t="s">
        <v>704</v>
      </c>
      <c r="H2518" t="s">
        <v>704</v>
      </c>
      <c r="J2518">
        <v>138.80000000000001</v>
      </c>
      <c r="L2518" t="s">
        <v>303</v>
      </c>
      <c r="M2518">
        <v>138.80000000000001</v>
      </c>
      <c r="O2518" t="s">
        <v>303</v>
      </c>
      <c r="P2518">
        <f t="shared" si="39"/>
        <v>0</v>
      </c>
    </row>
    <row r="2519" spans="1:16" x14ac:dyDescent="0.25">
      <c r="A2519">
        <v>121.9</v>
      </c>
      <c r="B2519">
        <v>106.7</v>
      </c>
      <c r="C2519">
        <v>139.30000000000001</v>
      </c>
      <c r="D2519" t="s">
        <v>303</v>
      </c>
      <c r="E2519" t="s">
        <v>910</v>
      </c>
      <c r="F2519" t="s">
        <v>910</v>
      </c>
      <c r="J2519">
        <v>139.30000000000001</v>
      </c>
      <c r="K2519">
        <v>106.7</v>
      </c>
      <c r="L2519" t="s">
        <v>303</v>
      </c>
      <c r="M2519">
        <v>139.30000000000001</v>
      </c>
      <c r="N2519">
        <v>106.7</v>
      </c>
      <c r="O2519" t="s">
        <v>303</v>
      </c>
      <c r="P2519">
        <f t="shared" si="39"/>
        <v>0</v>
      </c>
    </row>
    <row r="2520" spans="1:16" x14ac:dyDescent="0.25">
      <c r="A2520" t="s">
        <v>669</v>
      </c>
      <c r="B2520">
        <v>137.5</v>
      </c>
      <c r="C2520">
        <v>139.5</v>
      </c>
      <c r="D2520" t="s">
        <v>860</v>
      </c>
      <c r="E2520" t="s">
        <v>910</v>
      </c>
      <c r="F2520" t="s">
        <v>910</v>
      </c>
      <c r="J2520">
        <v>139.5</v>
      </c>
      <c r="K2520">
        <v>137.5</v>
      </c>
      <c r="L2520" t="s">
        <v>303</v>
      </c>
      <c r="M2520">
        <v>139.5</v>
      </c>
      <c r="N2520">
        <v>137.5</v>
      </c>
      <c r="O2520" t="s">
        <v>303</v>
      </c>
      <c r="P2520">
        <f t="shared" si="39"/>
        <v>0</v>
      </c>
    </row>
    <row r="2521" spans="1:16" x14ac:dyDescent="0.25">
      <c r="A2521" t="s">
        <v>99</v>
      </c>
      <c r="B2521" t="s">
        <v>669</v>
      </c>
      <c r="C2521">
        <v>139.6</v>
      </c>
      <c r="D2521" t="s">
        <v>303</v>
      </c>
      <c r="E2521">
        <v>38</v>
      </c>
      <c r="F2521">
        <v>38</v>
      </c>
      <c r="G2521" t="s">
        <v>704</v>
      </c>
      <c r="H2521" t="s">
        <v>704</v>
      </c>
      <c r="J2521">
        <v>139.6</v>
      </c>
      <c r="L2521" t="s">
        <v>303</v>
      </c>
      <c r="M2521">
        <v>139.6</v>
      </c>
      <c r="O2521" t="s">
        <v>303</v>
      </c>
      <c r="P2521">
        <f t="shared" si="39"/>
        <v>0</v>
      </c>
    </row>
    <row r="2522" spans="1:16" x14ac:dyDescent="0.25">
      <c r="A2522" t="s">
        <v>99</v>
      </c>
      <c r="B2522" t="s">
        <v>669</v>
      </c>
      <c r="C2522">
        <v>139.69999999999999</v>
      </c>
      <c r="D2522" t="s">
        <v>303</v>
      </c>
      <c r="E2522">
        <v>38</v>
      </c>
      <c r="F2522">
        <v>38</v>
      </c>
      <c r="G2522" t="s">
        <v>704</v>
      </c>
      <c r="H2522" t="s">
        <v>704</v>
      </c>
      <c r="J2522">
        <v>139.69999999999999</v>
      </c>
      <c r="L2522" t="s">
        <v>303</v>
      </c>
      <c r="M2522">
        <v>139.69999999999999</v>
      </c>
      <c r="O2522" t="s">
        <v>303</v>
      </c>
      <c r="P2522">
        <f t="shared" si="39"/>
        <v>0</v>
      </c>
    </row>
    <row r="2523" spans="1:16" x14ac:dyDescent="0.25">
      <c r="A2523" t="s">
        <v>285</v>
      </c>
      <c r="B2523">
        <v>132</v>
      </c>
      <c r="C2523">
        <v>140</v>
      </c>
      <c r="D2523" t="s">
        <v>860</v>
      </c>
      <c r="E2523">
        <v>46</v>
      </c>
      <c r="F2523">
        <v>46</v>
      </c>
      <c r="G2523" t="s">
        <v>805</v>
      </c>
      <c r="H2523" t="s">
        <v>805</v>
      </c>
      <c r="J2523">
        <v>140</v>
      </c>
      <c r="K2523">
        <v>132</v>
      </c>
      <c r="L2523" t="s">
        <v>303</v>
      </c>
      <c r="M2523">
        <v>140</v>
      </c>
      <c r="N2523">
        <v>132</v>
      </c>
      <c r="O2523" t="s">
        <v>303</v>
      </c>
      <c r="P2523">
        <f t="shared" si="39"/>
        <v>0</v>
      </c>
    </row>
    <row r="2524" spans="1:16" x14ac:dyDescent="0.25">
      <c r="A2524" t="s">
        <v>99</v>
      </c>
      <c r="B2524" t="s">
        <v>669</v>
      </c>
      <c r="C2524">
        <v>140</v>
      </c>
      <c r="D2524" t="s">
        <v>303</v>
      </c>
      <c r="E2524">
        <v>38</v>
      </c>
      <c r="F2524">
        <v>38</v>
      </c>
      <c r="G2524" t="s">
        <v>704</v>
      </c>
      <c r="H2524" t="s">
        <v>704</v>
      </c>
      <c r="J2524">
        <v>140</v>
      </c>
      <c r="K2524">
        <v>140</v>
      </c>
      <c r="L2524" t="s">
        <v>303</v>
      </c>
      <c r="M2524">
        <v>140</v>
      </c>
      <c r="N2524">
        <v>140</v>
      </c>
      <c r="O2524" t="s">
        <v>303</v>
      </c>
      <c r="P2524">
        <f t="shared" si="39"/>
        <v>0</v>
      </c>
    </row>
    <row r="2525" spans="1:16" x14ac:dyDescent="0.25">
      <c r="A2525" t="s">
        <v>99</v>
      </c>
      <c r="B2525" t="s">
        <v>669</v>
      </c>
      <c r="C2525">
        <v>141.69999999999999</v>
      </c>
      <c r="D2525" t="s">
        <v>303</v>
      </c>
      <c r="E2525">
        <v>38</v>
      </c>
      <c r="F2525">
        <v>38</v>
      </c>
      <c r="G2525" t="s">
        <v>704</v>
      </c>
      <c r="H2525" t="s">
        <v>704</v>
      </c>
      <c r="J2525">
        <v>141.69999999999999</v>
      </c>
      <c r="L2525" t="s">
        <v>303</v>
      </c>
      <c r="M2525">
        <v>141.69999999999999</v>
      </c>
      <c r="O2525" t="s">
        <v>303</v>
      </c>
      <c r="P2525">
        <f t="shared" si="39"/>
        <v>0</v>
      </c>
    </row>
    <row r="2526" spans="1:16" x14ac:dyDescent="0.25">
      <c r="A2526" t="s">
        <v>99</v>
      </c>
      <c r="B2526" t="s">
        <v>669</v>
      </c>
      <c r="C2526">
        <v>141.80000000000001</v>
      </c>
      <c r="D2526" t="s">
        <v>303</v>
      </c>
      <c r="E2526">
        <v>38</v>
      </c>
      <c r="F2526">
        <v>38</v>
      </c>
      <c r="G2526" t="s">
        <v>704</v>
      </c>
      <c r="H2526" t="s">
        <v>704</v>
      </c>
      <c r="J2526">
        <v>141.80000000000001</v>
      </c>
      <c r="L2526" t="s">
        <v>303</v>
      </c>
      <c r="M2526">
        <v>141.80000000000001</v>
      </c>
      <c r="O2526" t="s">
        <v>303</v>
      </c>
      <c r="P2526">
        <f t="shared" si="39"/>
        <v>0</v>
      </c>
    </row>
    <row r="2527" spans="1:16" x14ac:dyDescent="0.25">
      <c r="A2527" t="s">
        <v>669</v>
      </c>
      <c r="B2527">
        <v>65</v>
      </c>
      <c r="C2527">
        <v>145</v>
      </c>
      <c r="D2527" t="s">
        <v>303</v>
      </c>
      <c r="E2527" t="s">
        <v>910</v>
      </c>
      <c r="F2527" t="s">
        <v>910</v>
      </c>
      <c r="J2527">
        <v>145</v>
      </c>
      <c r="K2527">
        <v>65</v>
      </c>
      <c r="L2527" t="s">
        <v>303</v>
      </c>
      <c r="M2527">
        <v>145</v>
      </c>
      <c r="N2527">
        <v>65</v>
      </c>
      <c r="O2527" t="s">
        <v>303</v>
      </c>
      <c r="P2527">
        <f t="shared" si="39"/>
        <v>0</v>
      </c>
    </row>
    <row r="2528" spans="1:16" x14ac:dyDescent="0.25">
      <c r="A2528" t="s">
        <v>669</v>
      </c>
      <c r="B2528">
        <v>99</v>
      </c>
      <c r="C2528">
        <v>145</v>
      </c>
      <c r="D2528" t="s">
        <v>303</v>
      </c>
      <c r="E2528" t="s">
        <v>910</v>
      </c>
      <c r="F2528" t="s">
        <v>910</v>
      </c>
      <c r="J2528">
        <v>145</v>
      </c>
      <c r="K2528">
        <v>99</v>
      </c>
      <c r="L2528" t="s">
        <v>303</v>
      </c>
      <c r="M2528">
        <v>145</v>
      </c>
      <c r="N2528">
        <v>99</v>
      </c>
      <c r="O2528" t="s">
        <v>303</v>
      </c>
      <c r="P2528">
        <f t="shared" si="39"/>
        <v>0</v>
      </c>
    </row>
    <row r="2529" spans="1:16" x14ac:dyDescent="0.25">
      <c r="A2529" t="s">
        <v>669</v>
      </c>
      <c r="B2529">
        <v>125</v>
      </c>
      <c r="C2529">
        <v>145</v>
      </c>
      <c r="D2529" t="s">
        <v>303</v>
      </c>
      <c r="E2529" t="s">
        <v>910</v>
      </c>
      <c r="F2529" t="s">
        <v>910</v>
      </c>
      <c r="J2529">
        <v>145</v>
      </c>
      <c r="K2529">
        <v>125</v>
      </c>
      <c r="L2529" t="s">
        <v>303</v>
      </c>
      <c r="M2529">
        <v>145</v>
      </c>
      <c r="N2529">
        <v>125</v>
      </c>
      <c r="O2529" t="s">
        <v>303</v>
      </c>
      <c r="P2529">
        <f t="shared" si="39"/>
        <v>0</v>
      </c>
    </row>
    <row r="2530" spans="1:16" x14ac:dyDescent="0.25">
      <c r="A2530" t="s">
        <v>313</v>
      </c>
      <c r="B2530">
        <v>65.5</v>
      </c>
      <c r="C2530">
        <v>145.5</v>
      </c>
      <c r="D2530" t="s">
        <v>303</v>
      </c>
      <c r="E2530">
        <v>38</v>
      </c>
      <c r="F2530">
        <v>38</v>
      </c>
      <c r="G2530" t="s">
        <v>704</v>
      </c>
      <c r="H2530" t="s">
        <v>704</v>
      </c>
      <c r="J2530">
        <v>145.5</v>
      </c>
      <c r="K2530">
        <v>65.5</v>
      </c>
      <c r="L2530" t="s">
        <v>303</v>
      </c>
      <c r="M2530">
        <v>145.5</v>
      </c>
      <c r="N2530">
        <v>65.5</v>
      </c>
      <c r="O2530" t="s">
        <v>303</v>
      </c>
      <c r="P2530">
        <f t="shared" si="39"/>
        <v>0</v>
      </c>
    </row>
    <row r="2531" spans="1:16" x14ac:dyDescent="0.25">
      <c r="A2531" t="s">
        <v>669</v>
      </c>
      <c r="B2531">
        <v>6.9999999999999999E-4</v>
      </c>
      <c r="C2531">
        <v>6.9999999999999999E-4</v>
      </c>
      <c r="D2531" t="s">
        <v>669</v>
      </c>
      <c r="E2531">
        <v>5</v>
      </c>
      <c r="F2531">
        <v>5</v>
      </c>
      <c r="G2531" t="s">
        <v>684</v>
      </c>
      <c r="H2531" t="s">
        <v>684</v>
      </c>
      <c r="I2531" t="s">
        <v>927</v>
      </c>
      <c r="J2531">
        <v>700</v>
      </c>
      <c r="K2531">
        <v>700</v>
      </c>
      <c r="L2531" t="s">
        <v>921</v>
      </c>
      <c r="M2531">
        <v>6.9999999999999999E-4</v>
      </c>
      <c r="N2531">
        <v>6.9999999999999999E-4</v>
      </c>
      <c r="P2531">
        <f t="shared" si="39"/>
        <v>14</v>
      </c>
    </row>
    <row r="2532" spans="1:16" x14ac:dyDescent="0.25">
      <c r="A2532" t="s">
        <v>669</v>
      </c>
      <c r="B2532">
        <v>99.5</v>
      </c>
      <c r="C2532">
        <v>145.5</v>
      </c>
      <c r="D2532" t="s">
        <v>303</v>
      </c>
      <c r="E2532" t="s">
        <v>910</v>
      </c>
      <c r="F2532" t="s">
        <v>910</v>
      </c>
      <c r="J2532">
        <v>145.5</v>
      </c>
      <c r="K2532">
        <v>99.5</v>
      </c>
      <c r="L2532" t="s">
        <v>303</v>
      </c>
      <c r="M2532">
        <v>145.5</v>
      </c>
      <c r="N2532">
        <v>99.5</v>
      </c>
      <c r="O2532" t="s">
        <v>303</v>
      </c>
      <c r="P2532">
        <f t="shared" si="39"/>
        <v>0</v>
      </c>
    </row>
    <row r="2533" spans="1:16" x14ac:dyDescent="0.25">
      <c r="A2533" t="s">
        <v>314</v>
      </c>
      <c r="B2533">
        <v>99.6</v>
      </c>
      <c r="C2533">
        <v>145.5</v>
      </c>
      <c r="D2533" t="s">
        <v>303</v>
      </c>
      <c r="E2533">
        <v>46</v>
      </c>
      <c r="F2533">
        <v>46</v>
      </c>
      <c r="G2533" t="s">
        <v>805</v>
      </c>
      <c r="H2533" t="s">
        <v>805</v>
      </c>
      <c r="J2533">
        <v>145.5</v>
      </c>
      <c r="K2533">
        <v>99.6</v>
      </c>
      <c r="L2533" t="s">
        <v>303</v>
      </c>
      <c r="M2533">
        <v>145.5</v>
      </c>
      <c r="N2533">
        <v>99.6</v>
      </c>
      <c r="O2533" t="s">
        <v>303</v>
      </c>
      <c r="P2533">
        <f t="shared" si="39"/>
        <v>0</v>
      </c>
    </row>
    <row r="2534" spans="1:16" x14ac:dyDescent="0.25">
      <c r="A2534" t="s">
        <v>669</v>
      </c>
      <c r="B2534">
        <v>99.6</v>
      </c>
      <c r="C2534">
        <v>145.5</v>
      </c>
      <c r="D2534" t="s">
        <v>303</v>
      </c>
      <c r="E2534" t="s">
        <v>910</v>
      </c>
      <c r="F2534" t="s">
        <v>910</v>
      </c>
      <c r="J2534">
        <v>145.5</v>
      </c>
      <c r="K2534">
        <v>99.6</v>
      </c>
      <c r="L2534" t="s">
        <v>303</v>
      </c>
      <c r="M2534">
        <v>145.5</v>
      </c>
      <c r="N2534">
        <v>99.6</v>
      </c>
      <c r="O2534" t="s">
        <v>303</v>
      </c>
      <c r="P2534">
        <f t="shared" si="39"/>
        <v>0</v>
      </c>
    </row>
    <row r="2535" spans="1:16" x14ac:dyDescent="0.25">
      <c r="A2535" t="s">
        <v>318</v>
      </c>
      <c r="B2535">
        <v>140</v>
      </c>
      <c r="C2535">
        <v>145.5</v>
      </c>
      <c r="D2535" t="s">
        <v>303</v>
      </c>
      <c r="E2535">
        <v>52</v>
      </c>
      <c r="F2535">
        <v>52</v>
      </c>
      <c r="G2535" t="s">
        <v>749</v>
      </c>
      <c r="H2535" t="s">
        <v>749</v>
      </c>
      <c r="J2535">
        <v>145.5</v>
      </c>
      <c r="K2535">
        <v>140</v>
      </c>
      <c r="L2535" t="s">
        <v>303</v>
      </c>
      <c r="M2535">
        <v>145.5</v>
      </c>
      <c r="N2535">
        <v>140</v>
      </c>
      <c r="O2535" t="s">
        <v>303</v>
      </c>
      <c r="P2535">
        <f t="shared" si="39"/>
        <v>0</v>
      </c>
    </row>
    <row r="2536" spans="1:16" x14ac:dyDescent="0.25">
      <c r="A2536" t="s">
        <v>99</v>
      </c>
      <c r="B2536" t="s">
        <v>669</v>
      </c>
      <c r="C2536">
        <v>145.80000000000001</v>
      </c>
      <c r="D2536" t="s">
        <v>303</v>
      </c>
      <c r="E2536">
        <v>38</v>
      </c>
      <c r="F2536">
        <v>38</v>
      </c>
      <c r="G2536" t="s">
        <v>704</v>
      </c>
      <c r="H2536" t="s">
        <v>704</v>
      </c>
      <c r="J2536">
        <v>145.80000000000001</v>
      </c>
      <c r="L2536" t="s">
        <v>303</v>
      </c>
      <c r="M2536">
        <v>145.80000000000001</v>
      </c>
      <c r="O2536" t="s">
        <v>303</v>
      </c>
      <c r="P2536">
        <f t="shared" si="39"/>
        <v>0</v>
      </c>
    </row>
    <row r="2537" spans="1:16" x14ac:dyDescent="0.25">
      <c r="A2537" t="s">
        <v>669</v>
      </c>
      <c r="B2537">
        <v>100</v>
      </c>
      <c r="C2537">
        <v>146</v>
      </c>
      <c r="D2537" t="s">
        <v>303</v>
      </c>
      <c r="E2537" t="s">
        <v>910</v>
      </c>
      <c r="F2537" t="s">
        <v>910</v>
      </c>
      <c r="J2537">
        <v>146</v>
      </c>
      <c r="K2537">
        <v>100</v>
      </c>
      <c r="L2537" t="s">
        <v>303</v>
      </c>
      <c r="M2537">
        <v>146</v>
      </c>
      <c r="N2537">
        <v>100</v>
      </c>
      <c r="O2537" t="s">
        <v>303</v>
      </c>
      <c r="P2537">
        <f t="shared" si="39"/>
        <v>0</v>
      </c>
    </row>
    <row r="2538" spans="1:16" x14ac:dyDescent="0.25">
      <c r="A2538" t="s">
        <v>669</v>
      </c>
      <c r="B2538" t="s">
        <v>669</v>
      </c>
      <c r="C2538">
        <v>146</v>
      </c>
      <c r="D2538" t="s">
        <v>303</v>
      </c>
      <c r="E2538" t="s">
        <v>910</v>
      </c>
      <c r="F2538" t="s">
        <v>910</v>
      </c>
      <c r="J2538">
        <v>146</v>
      </c>
      <c r="K2538">
        <v>146</v>
      </c>
      <c r="L2538" t="s">
        <v>303</v>
      </c>
      <c r="M2538">
        <v>146</v>
      </c>
      <c r="N2538">
        <v>146</v>
      </c>
      <c r="O2538" t="s">
        <v>303</v>
      </c>
      <c r="P2538">
        <f t="shared" si="39"/>
        <v>0</v>
      </c>
    </row>
    <row r="2539" spans="1:16" x14ac:dyDescent="0.25">
      <c r="A2539" t="s">
        <v>669</v>
      </c>
      <c r="B2539">
        <v>129.5</v>
      </c>
      <c r="C2539">
        <v>149.5</v>
      </c>
      <c r="D2539" t="s">
        <v>860</v>
      </c>
      <c r="E2539" t="s">
        <v>910</v>
      </c>
      <c r="F2539" t="s">
        <v>910</v>
      </c>
      <c r="J2539">
        <v>149.5</v>
      </c>
      <c r="K2539">
        <v>129.5</v>
      </c>
      <c r="L2539" t="s">
        <v>303</v>
      </c>
      <c r="M2539">
        <v>149.5</v>
      </c>
      <c r="N2539">
        <v>129.5</v>
      </c>
      <c r="O2539" t="s">
        <v>303</v>
      </c>
      <c r="P2539">
        <f t="shared" si="39"/>
        <v>0</v>
      </c>
    </row>
    <row r="2540" spans="1:16" x14ac:dyDescent="0.25">
      <c r="A2540" t="s">
        <v>669</v>
      </c>
      <c r="B2540">
        <v>0</v>
      </c>
      <c r="C2540">
        <v>150</v>
      </c>
      <c r="D2540" t="s">
        <v>303</v>
      </c>
      <c r="E2540" t="s">
        <v>910</v>
      </c>
      <c r="F2540" t="s">
        <v>910</v>
      </c>
      <c r="J2540">
        <v>150</v>
      </c>
      <c r="K2540">
        <v>0</v>
      </c>
      <c r="L2540" t="s">
        <v>303</v>
      </c>
      <c r="M2540">
        <v>150</v>
      </c>
      <c r="N2540">
        <v>0</v>
      </c>
      <c r="O2540" t="s">
        <v>303</v>
      </c>
      <c r="P2540">
        <f t="shared" si="39"/>
        <v>0</v>
      </c>
    </row>
    <row r="2541" spans="1:16" x14ac:dyDescent="0.25">
      <c r="A2541" t="s">
        <v>669</v>
      </c>
      <c r="B2541">
        <v>0</v>
      </c>
      <c r="C2541">
        <v>150</v>
      </c>
      <c r="D2541" t="s">
        <v>669</v>
      </c>
      <c r="E2541" t="s">
        <v>910</v>
      </c>
      <c r="F2541" t="s">
        <v>910</v>
      </c>
      <c r="I2541" t="s">
        <v>927</v>
      </c>
      <c r="J2541">
        <v>150</v>
      </c>
      <c r="K2541">
        <v>0</v>
      </c>
      <c r="L2541" t="s">
        <v>930</v>
      </c>
      <c r="M2541">
        <v>150</v>
      </c>
      <c r="N2541">
        <v>0</v>
      </c>
      <c r="P2541">
        <f t="shared" si="39"/>
        <v>14</v>
      </c>
    </row>
    <row r="2542" spans="1:16" x14ac:dyDescent="0.25">
      <c r="A2542" t="s">
        <v>258</v>
      </c>
      <c r="B2542">
        <v>147.9</v>
      </c>
      <c r="C2542">
        <v>150.30000000000001</v>
      </c>
      <c r="D2542" t="s">
        <v>303</v>
      </c>
      <c r="E2542">
        <v>54</v>
      </c>
      <c r="F2542">
        <v>54</v>
      </c>
      <c r="G2542" t="s">
        <v>796</v>
      </c>
      <c r="H2542" t="s">
        <v>796</v>
      </c>
      <c r="J2542">
        <v>150.30000000000001</v>
      </c>
      <c r="K2542">
        <v>147.9</v>
      </c>
      <c r="L2542" t="s">
        <v>303</v>
      </c>
      <c r="M2542">
        <v>150.30000000000001</v>
      </c>
      <c r="N2542">
        <v>147.9</v>
      </c>
      <c r="O2542" t="s">
        <v>303</v>
      </c>
      <c r="P2542">
        <f t="shared" si="39"/>
        <v>0</v>
      </c>
    </row>
    <row r="2543" spans="1:16" x14ac:dyDescent="0.25">
      <c r="A2543" t="s">
        <v>960</v>
      </c>
      <c r="B2543">
        <v>75</v>
      </c>
      <c r="C2543">
        <v>151</v>
      </c>
      <c r="D2543" t="s">
        <v>860</v>
      </c>
      <c r="E2543">
        <v>53</v>
      </c>
      <c r="F2543">
        <v>38</v>
      </c>
      <c r="G2543" t="s">
        <v>711</v>
      </c>
      <c r="H2543" t="s">
        <v>704</v>
      </c>
      <c r="J2543">
        <v>151</v>
      </c>
      <c r="K2543">
        <v>75</v>
      </c>
      <c r="L2543" t="s">
        <v>303</v>
      </c>
      <c r="M2543">
        <v>151</v>
      </c>
      <c r="N2543">
        <v>75</v>
      </c>
      <c r="O2543" t="s">
        <v>303</v>
      </c>
      <c r="P2543">
        <f t="shared" si="39"/>
        <v>0</v>
      </c>
    </row>
    <row r="2544" spans="1:16" x14ac:dyDescent="0.25">
      <c r="A2544" t="s">
        <v>333</v>
      </c>
      <c r="B2544">
        <v>145.5</v>
      </c>
      <c r="C2544">
        <v>151</v>
      </c>
      <c r="D2544" t="s">
        <v>303</v>
      </c>
      <c r="E2544">
        <v>55</v>
      </c>
      <c r="F2544">
        <v>55</v>
      </c>
      <c r="G2544" t="s">
        <v>737</v>
      </c>
      <c r="H2544" t="s">
        <v>737</v>
      </c>
      <c r="J2544">
        <v>151</v>
      </c>
      <c r="K2544">
        <v>145.5</v>
      </c>
      <c r="L2544" t="s">
        <v>303</v>
      </c>
      <c r="M2544">
        <v>151</v>
      </c>
      <c r="N2544">
        <v>145.5</v>
      </c>
      <c r="O2544" t="s">
        <v>303</v>
      </c>
      <c r="P2544">
        <f t="shared" si="39"/>
        <v>0</v>
      </c>
    </row>
    <row r="2545" spans="1:16" x14ac:dyDescent="0.25">
      <c r="A2545" t="s">
        <v>669</v>
      </c>
      <c r="B2545">
        <v>147</v>
      </c>
      <c r="C2545">
        <v>151</v>
      </c>
      <c r="D2545" t="s">
        <v>860</v>
      </c>
      <c r="E2545" t="s">
        <v>910</v>
      </c>
      <c r="F2545" t="s">
        <v>910</v>
      </c>
      <c r="J2545">
        <v>151</v>
      </c>
      <c r="K2545">
        <v>147</v>
      </c>
      <c r="L2545" t="s">
        <v>303</v>
      </c>
      <c r="M2545">
        <v>151</v>
      </c>
      <c r="N2545">
        <v>147</v>
      </c>
      <c r="O2545" t="s">
        <v>303</v>
      </c>
      <c r="P2545">
        <f t="shared" si="39"/>
        <v>0</v>
      </c>
    </row>
    <row r="2546" spans="1:16" x14ac:dyDescent="0.25">
      <c r="A2546" t="s">
        <v>221</v>
      </c>
      <c r="B2546">
        <v>151.19999999999999</v>
      </c>
      <c r="C2546">
        <v>151.4</v>
      </c>
      <c r="D2546" t="s">
        <v>303</v>
      </c>
      <c r="E2546">
        <v>53</v>
      </c>
      <c r="F2546">
        <v>53</v>
      </c>
      <c r="G2546" t="s">
        <v>711</v>
      </c>
      <c r="H2546" t="s">
        <v>711</v>
      </c>
      <c r="J2546">
        <v>151.4</v>
      </c>
      <c r="K2546">
        <v>151.19999999999999</v>
      </c>
      <c r="L2546" t="s">
        <v>303</v>
      </c>
      <c r="M2546">
        <v>151.4</v>
      </c>
      <c r="N2546">
        <v>151.19999999999999</v>
      </c>
      <c r="O2546" t="s">
        <v>303</v>
      </c>
      <c r="P2546">
        <f t="shared" si="39"/>
        <v>0</v>
      </c>
    </row>
    <row r="2547" spans="1:16" x14ac:dyDescent="0.25">
      <c r="A2547" t="s">
        <v>960</v>
      </c>
      <c r="B2547">
        <v>55</v>
      </c>
      <c r="C2547">
        <v>155</v>
      </c>
      <c r="D2547" t="s">
        <v>860</v>
      </c>
      <c r="E2547">
        <v>53</v>
      </c>
      <c r="F2547">
        <v>38</v>
      </c>
      <c r="G2547" t="s">
        <v>711</v>
      </c>
      <c r="H2547" t="s">
        <v>704</v>
      </c>
      <c r="J2547">
        <v>155</v>
      </c>
      <c r="K2547">
        <v>55</v>
      </c>
      <c r="L2547" t="s">
        <v>303</v>
      </c>
      <c r="M2547">
        <v>155</v>
      </c>
      <c r="N2547">
        <v>55</v>
      </c>
      <c r="O2547" t="s">
        <v>303</v>
      </c>
      <c r="P2547">
        <f t="shared" si="39"/>
        <v>0</v>
      </c>
    </row>
    <row r="2548" spans="1:16" x14ac:dyDescent="0.25">
      <c r="A2548" t="s">
        <v>331</v>
      </c>
      <c r="B2548">
        <v>151</v>
      </c>
      <c r="C2548">
        <v>156</v>
      </c>
      <c r="D2548" t="s">
        <v>303</v>
      </c>
      <c r="E2548">
        <v>56</v>
      </c>
      <c r="F2548">
        <v>56</v>
      </c>
      <c r="G2548" t="s">
        <v>731</v>
      </c>
      <c r="H2548" t="s">
        <v>731</v>
      </c>
      <c r="J2548">
        <v>156</v>
      </c>
      <c r="K2548">
        <v>151</v>
      </c>
      <c r="L2548" t="s">
        <v>303</v>
      </c>
      <c r="M2548">
        <v>156</v>
      </c>
      <c r="N2548">
        <v>151</v>
      </c>
      <c r="O2548" t="s">
        <v>303</v>
      </c>
      <c r="P2548">
        <f t="shared" si="39"/>
        <v>0</v>
      </c>
    </row>
    <row r="2549" spans="1:16" x14ac:dyDescent="0.25">
      <c r="A2549" t="s">
        <v>669</v>
      </c>
      <c r="B2549" t="s">
        <v>669</v>
      </c>
      <c r="C2549">
        <v>157</v>
      </c>
      <c r="D2549" t="s">
        <v>303</v>
      </c>
      <c r="E2549" t="s">
        <v>910</v>
      </c>
      <c r="F2549" t="s">
        <v>910</v>
      </c>
      <c r="J2549">
        <v>157</v>
      </c>
      <c r="L2549" t="s">
        <v>303</v>
      </c>
      <c r="M2549">
        <v>157</v>
      </c>
      <c r="O2549" t="s">
        <v>303</v>
      </c>
      <c r="P2549">
        <f t="shared" si="39"/>
        <v>0</v>
      </c>
    </row>
    <row r="2550" spans="1:16" x14ac:dyDescent="0.25">
      <c r="A2550" t="s">
        <v>669</v>
      </c>
      <c r="B2550">
        <v>1846</v>
      </c>
      <c r="C2550">
        <v>1846</v>
      </c>
      <c r="D2550" t="s">
        <v>859</v>
      </c>
      <c r="E2550">
        <v>5</v>
      </c>
      <c r="F2550">
        <v>5</v>
      </c>
      <c r="G2550" t="s">
        <v>684</v>
      </c>
      <c r="H2550" t="s">
        <v>684</v>
      </c>
      <c r="J2550">
        <v>1846</v>
      </c>
      <c r="K2550">
        <v>1846</v>
      </c>
      <c r="L2550" t="s">
        <v>919</v>
      </c>
      <c r="M2550">
        <v>1846</v>
      </c>
      <c r="N2550">
        <v>1846</v>
      </c>
      <c r="O2550" t="s">
        <v>919</v>
      </c>
      <c r="P2550">
        <f t="shared" si="39"/>
        <v>0</v>
      </c>
    </row>
    <row r="2551" spans="1:16" x14ac:dyDescent="0.25">
      <c r="A2551" t="s">
        <v>669</v>
      </c>
      <c r="B2551">
        <v>1846</v>
      </c>
      <c r="C2551">
        <v>1846</v>
      </c>
      <c r="D2551" t="s">
        <v>669</v>
      </c>
      <c r="E2551" t="s">
        <v>910</v>
      </c>
      <c r="F2551" t="s">
        <v>910</v>
      </c>
      <c r="I2551" t="s">
        <v>928</v>
      </c>
      <c r="J2551">
        <v>1846</v>
      </c>
      <c r="K2551">
        <v>1846</v>
      </c>
      <c r="L2551" t="s">
        <v>851</v>
      </c>
      <c r="M2551">
        <v>1846</v>
      </c>
      <c r="N2551">
        <v>1846</v>
      </c>
      <c r="P2551">
        <f t="shared" si="39"/>
        <v>21</v>
      </c>
    </row>
    <row r="2552" spans="1:16" x14ac:dyDescent="0.25">
      <c r="A2552" t="s">
        <v>669</v>
      </c>
      <c r="B2552">
        <v>145</v>
      </c>
      <c r="C2552">
        <v>160</v>
      </c>
      <c r="D2552" t="s">
        <v>303</v>
      </c>
      <c r="E2552" t="s">
        <v>910</v>
      </c>
      <c r="F2552" t="s">
        <v>910</v>
      </c>
      <c r="J2552">
        <v>160</v>
      </c>
      <c r="K2552">
        <v>145</v>
      </c>
      <c r="L2552" t="s">
        <v>303</v>
      </c>
      <c r="M2552">
        <v>160</v>
      </c>
      <c r="N2552">
        <v>145</v>
      </c>
      <c r="O2552" t="s">
        <v>303</v>
      </c>
      <c r="P2552">
        <f t="shared" si="39"/>
        <v>0</v>
      </c>
    </row>
    <row r="2553" spans="1:16" x14ac:dyDescent="0.25">
      <c r="A2553" t="s">
        <v>650</v>
      </c>
      <c r="B2553">
        <v>155.9</v>
      </c>
      <c r="C2553">
        <v>160.9</v>
      </c>
      <c r="D2553" t="s">
        <v>303</v>
      </c>
      <c r="E2553">
        <v>54</v>
      </c>
      <c r="F2553">
        <v>54</v>
      </c>
      <c r="G2553" t="s">
        <v>796</v>
      </c>
      <c r="H2553" t="s">
        <v>796</v>
      </c>
      <c r="J2553">
        <v>160.9</v>
      </c>
      <c r="K2553">
        <v>155.9</v>
      </c>
      <c r="L2553" t="s">
        <v>303</v>
      </c>
      <c r="M2553">
        <v>160.9</v>
      </c>
      <c r="N2553">
        <v>155.9</v>
      </c>
      <c r="O2553" t="s">
        <v>303</v>
      </c>
      <c r="P2553">
        <f t="shared" si="39"/>
        <v>0</v>
      </c>
    </row>
    <row r="2554" spans="1:16" x14ac:dyDescent="0.25">
      <c r="A2554" t="s">
        <v>669</v>
      </c>
      <c r="B2554">
        <v>145</v>
      </c>
      <c r="C2554">
        <v>161</v>
      </c>
      <c r="D2554" t="s">
        <v>303</v>
      </c>
      <c r="E2554" t="s">
        <v>910</v>
      </c>
      <c r="F2554" t="s">
        <v>910</v>
      </c>
      <c r="J2554">
        <v>161</v>
      </c>
      <c r="K2554">
        <v>145</v>
      </c>
      <c r="L2554" t="s">
        <v>303</v>
      </c>
      <c r="M2554">
        <v>161</v>
      </c>
      <c r="N2554">
        <v>145</v>
      </c>
      <c r="O2554" t="s">
        <v>303</v>
      </c>
      <c r="P2554">
        <f t="shared" si="39"/>
        <v>0</v>
      </c>
    </row>
    <row r="2555" spans="1:16" x14ac:dyDescent="0.25">
      <c r="A2555" t="s">
        <v>330</v>
      </c>
      <c r="B2555">
        <v>145.5</v>
      </c>
      <c r="C2555">
        <v>161</v>
      </c>
      <c r="D2555" t="s">
        <v>303</v>
      </c>
      <c r="E2555">
        <v>54</v>
      </c>
      <c r="F2555">
        <v>54</v>
      </c>
      <c r="G2555" t="s">
        <v>796</v>
      </c>
      <c r="H2555" t="s">
        <v>796</v>
      </c>
      <c r="J2555">
        <v>161</v>
      </c>
      <c r="K2555">
        <v>145.5</v>
      </c>
      <c r="L2555" t="s">
        <v>303</v>
      </c>
      <c r="M2555">
        <v>161</v>
      </c>
      <c r="N2555">
        <v>145.5</v>
      </c>
      <c r="O2555" t="s">
        <v>303</v>
      </c>
      <c r="P2555">
        <f t="shared" si="39"/>
        <v>0</v>
      </c>
    </row>
    <row r="2556" spans="1:16" x14ac:dyDescent="0.25">
      <c r="A2556" t="s">
        <v>669</v>
      </c>
      <c r="B2556">
        <v>145.5</v>
      </c>
      <c r="C2556">
        <v>161</v>
      </c>
      <c r="D2556" t="s">
        <v>303</v>
      </c>
      <c r="E2556" t="s">
        <v>910</v>
      </c>
      <c r="F2556" t="s">
        <v>910</v>
      </c>
      <c r="J2556">
        <v>161</v>
      </c>
      <c r="K2556">
        <v>145.5</v>
      </c>
      <c r="L2556" t="s">
        <v>303</v>
      </c>
      <c r="M2556">
        <v>161</v>
      </c>
      <c r="N2556">
        <v>145.5</v>
      </c>
      <c r="O2556" t="s">
        <v>303</v>
      </c>
      <c r="P2556">
        <f t="shared" si="39"/>
        <v>0</v>
      </c>
    </row>
    <row r="2557" spans="1:16" x14ac:dyDescent="0.25">
      <c r="A2557" t="s">
        <v>669</v>
      </c>
      <c r="B2557">
        <v>709</v>
      </c>
      <c r="C2557" t="s">
        <v>669</v>
      </c>
      <c r="D2557" t="s">
        <v>865</v>
      </c>
      <c r="E2557" t="s">
        <v>910</v>
      </c>
      <c r="F2557">
        <v>5</v>
      </c>
      <c r="H2557" t="s">
        <v>684</v>
      </c>
      <c r="K2557">
        <v>709</v>
      </c>
      <c r="L2557" t="s">
        <v>920</v>
      </c>
      <c r="N2557">
        <v>709</v>
      </c>
      <c r="O2557" t="s">
        <v>931</v>
      </c>
      <c r="P2557">
        <f t="shared" si="39"/>
        <v>0</v>
      </c>
    </row>
    <row r="2558" spans="1:16" x14ac:dyDescent="0.25">
      <c r="A2558" t="s">
        <v>669</v>
      </c>
      <c r="B2558">
        <v>722</v>
      </c>
      <c r="C2558" t="s">
        <v>669</v>
      </c>
      <c r="D2558" t="s">
        <v>865</v>
      </c>
      <c r="E2558" t="s">
        <v>910</v>
      </c>
      <c r="F2558">
        <v>5</v>
      </c>
      <c r="H2558" t="s">
        <v>684</v>
      </c>
      <c r="K2558">
        <v>722</v>
      </c>
      <c r="L2558" t="s">
        <v>920</v>
      </c>
      <c r="N2558">
        <v>722</v>
      </c>
      <c r="O2558" t="s">
        <v>931</v>
      </c>
      <c r="P2558">
        <f t="shared" si="39"/>
        <v>0</v>
      </c>
    </row>
    <row r="2559" spans="1:16" x14ac:dyDescent="0.25">
      <c r="A2559" t="s">
        <v>669</v>
      </c>
      <c r="B2559">
        <v>783</v>
      </c>
      <c r="C2559" t="s">
        <v>669</v>
      </c>
      <c r="D2559" t="s">
        <v>865</v>
      </c>
      <c r="E2559" t="s">
        <v>910</v>
      </c>
      <c r="F2559">
        <v>5</v>
      </c>
      <c r="H2559" t="s">
        <v>684</v>
      </c>
      <c r="K2559">
        <v>783</v>
      </c>
      <c r="L2559" t="s">
        <v>920</v>
      </c>
      <c r="N2559">
        <v>783</v>
      </c>
      <c r="O2559" t="s">
        <v>931</v>
      </c>
      <c r="P2559">
        <f t="shared" si="39"/>
        <v>0</v>
      </c>
    </row>
    <row r="2560" spans="1:16" x14ac:dyDescent="0.25">
      <c r="A2560" t="s">
        <v>669</v>
      </c>
      <c r="B2560">
        <v>1932</v>
      </c>
      <c r="C2560">
        <v>1932</v>
      </c>
      <c r="D2560" t="s">
        <v>859</v>
      </c>
      <c r="E2560">
        <v>5</v>
      </c>
      <c r="F2560">
        <v>5</v>
      </c>
      <c r="G2560" t="s">
        <v>684</v>
      </c>
      <c r="H2560" t="s">
        <v>684</v>
      </c>
      <c r="J2560">
        <v>1932</v>
      </c>
      <c r="K2560">
        <v>1932</v>
      </c>
      <c r="L2560" t="s">
        <v>919</v>
      </c>
      <c r="M2560">
        <v>1932</v>
      </c>
      <c r="N2560">
        <v>1932</v>
      </c>
      <c r="O2560" t="s">
        <v>919</v>
      </c>
      <c r="P2560">
        <f t="shared" si="39"/>
        <v>0</v>
      </c>
    </row>
    <row r="2561" spans="1:16" x14ac:dyDescent="0.25">
      <c r="A2561" t="s">
        <v>669</v>
      </c>
      <c r="B2561">
        <v>857</v>
      </c>
      <c r="C2561" t="s">
        <v>669</v>
      </c>
      <c r="D2561" t="s">
        <v>865</v>
      </c>
      <c r="E2561" t="s">
        <v>910</v>
      </c>
      <c r="F2561">
        <v>5</v>
      </c>
      <c r="H2561" t="s">
        <v>684</v>
      </c>
      <c r="K2561">
        <v>857</v>
      </c>
      <c r="L2561" t="s">
        <v>920</v>
      </c>
      <c r="N2561">
        <v>857</v>
      </c>
      <c r="O2561" t="s">
        <v>931</v>
      </c>
      <c r="P2561">
        <f t="shared" si="39"/>
        <v>0</v>
      </c>
    </row>
    <row r="2562" spans="1:16" x14ac:dyDescent="0.25">
      <c r="A2562" t="s">
        <v>332</v>
      </c>
      <c r="B2562">
        <v>156</v>
      </c>
      <c r="C2562">
        <v>161</v>
      </c>
      <c r="D2562" t="s">
        <v>303</v>
      </c>
      <c r="E2562">
        <v>57</v>
      </c>
      <c r="F2562">
        <v>57</v>
      </c>
      <c r="G2562" t="s">
        <v>732</v>
      </c>
      <c r="H2562" t="s">
        <v>732</v>
      </c>
      <c r="J2562">
        <v>161</v>
      </c>
      <c r="K2562">
        <v>156</v>
      </c>
      <c r="L2562" t="s">
        <v>303</v>
      </c>
      <c r="M2562">
        <v>161</v>
      </c>
      <c r="N2562">
        <v>156</v>
      </c>
      <c r="O2562" t="s">
        <v>303</v>
      </c>
      <c r="P2562">
        <f t="shared" si="39"/>
        <v>0</v>
      </c>
    </row>
    <row r="2563" spans="1:16" x14ac:dyDescent="0.25">
      <c r="A2563" t="s">
        <v>650</v>
      </c>
      <c r="B2563">
        <v>157.9</v>
      </c>
      <c r="C2563">
        <v>162.30000000000001</v>
      </c>
      <c r="D2563" t="s">
        <v>303</v>
      </c>
      <c r="E2563">
        <v>54</v>
      </c>
      <c r="F2563">
        <v>54</v>
      </c>
      <c r="G2563" t="s">
        <v>796</v>
      </c>
      <c r="H2563" t="s">
        <v>796</v>
      </c>
      <c r="J2563">
        <v>162.30000000000001</v>
      </c>
      <c r="K2563">
        <v>157.9</v>
      </c>
      <c r="L2563" t="s">
        <v>303</v>
      </c>
      <c r="M2563">
        <v>162.30000000000001</v>
      </c>
      <c r="N2563">
        <v>157.9</v>
      </c>
      <c r="O2563" t="s">
        <v>303</v>
      </c>
      <c r="P2563">
        <f t="shared" ref="P2563:P2626" si="40">LEN(I2563)</f>
        <v>0</v>
      </c>
    </row>
    <row r="2564" spans="1:16" x14ac:dyDescent="0.25">
      <c r="A2564" t="s">
        <v>669</v>
      </c>
      <c r="B2564">
        <v>1694</v>
      </c>
      <c r="C2564">
        <v>1957</v>
      </c>
      <c r="D2564" t="s">
        <v>869</v>
      </c>
      <c r="E2564">
        <v>5</v>
      </c>
      <c r="F2564">
        <v>5</v>
      </c>
      <c r="G2564" t="s">
        <v>684</v>
      </c>
      <c r="H2564" t="s">
        <v>684</v>
      </c>
      <c r="J2564">
        <v>1694</v>
      </c>
      <c r="K2564">
        <v>1957</v>
      </c>
      <c r="L2564" t="s">
        <v>918</v>
      </c>
      <c r="M2564">
        <v>1957</v>
      </c>
      <c r="N2564">
        <v>1694</v>
      </c>
      <c r="O2564" t="s">
        <v>918</v>
      </c>
      <c r="P2564">
        <f t="shared" si="40"/>
        <v>0</v>
      </c>
    </row>
    <row r="2565" spans="1:16" x14ac:dyDescent="0.25">
      <c r="A2565" t="s">
        <v>669</v>
      </c>
      <c r="B2565">
        <v>1955</v>
      </c>
      <c r="C2565">
        <v>1957</v>
      </c>
      <c r="D2565" t="s">
        <v>869</v>
      </c>
      <c r="E2565">
        <v>5</v>
      </c>
      <c r="F2565">
        <v>5</v>
      </c>
      <c r="G2565" t="s">
        <v>684</v>
      </c>
      <c r="H2565" t="s">
        <v>684</v>
      </c>
      <c r="J2565">
        <v>1955</v>
      </c>
      <c r="K2565">
        <v>1957</v>
      </c>
      <c r="L2565" t="s">
        <v>918</v>
      </c>
      <c r="M2565">
        <v>1957</v>
      </c>
      <c r="N2565">
        <v>1955</v>
      </c>
      <c r="O2565" t="s">
        <v>918</v>
      </c>
      <c r="P2565">
        <f t="shared" si="40"/>
        <v>0</v>
      </c>
    </row>
    <row r="2566" spans="1:16" x14ac:dyDescent="0.25">
      <c r="A2566" t="s">
        <v>669</v>
      </c>
      <c r="B2566">
        <v>860</v>
      </c>
      <c r="C2566">
        <v>920</v>
      </c>
      <c r="D2566" t="s">
        <v>857</v>
      </c>
      <c r="E2566">
        <v>5</v>
      </c>
      <c r="F2566">
        <v>5</v>
      </c>
      <c r="G2566" t="s">
        <v>684</v>
      </c>
      <c r="H2566" t="s">
        <v>684</v>
      </c>
      <c r="J2566">
        <v>920</v>
      </c>
      <c r="K2566">
        <v>860</v>
      </c>
      <c r="L2566" t="s">
        <v>921</v>
      </c>
      <c r="M2566">
        <v>920</v>
      </c>
      <c r="N2566">
        <v>860</v>
      </c>
      <c r="O2566" t="s">
        <v>921</v>
      </c>
      <c r="P2566">
        <f t="shared" si="40"/>
        <v>0</v>
      </c>
    </row>
    <row r="2567" spans="1:16" x14ac:dyDescent="0.25">
      <c r="A2567" t="s">
        <v>669</v>
      </c>
      <c r="B2567">
        <v>1963</v>
      </c>
      <c r="C2567">
        <v>1965</v>
      </c>
      <c r="D2567" t="s">
        <v>863</v>
      </c>
      <c r="E2567">
        <v>5</v>
      </c>
      <c r="F2567">
        <v>5</v>
      </c>
      <c r="G2567" t="s">
        <v>684</v>
      </c>
      <c r="H2567" t="s">
        <v>684</v>
      </c>
      <c r="J2567">
        <v>1963</v>
      </c>
      <c r="K2567">
        <v>1965</v>
      </c>
      <c r="L2567" t="s">
        <v>919</v>
      </c>
      <c r="M2567">
        <v>1965</v>
      </c>
      <c r="N2567">
        <v>1963</v>
      </c>
      <c r="O2567" t="s">
        <v>919</v>
      </c>
      <c r="P2567">
        <f t="shared" si="40"/>
        <v>0</v>
      </c>
    </row>
    <row r="2568" spans="1:16" x14ac:dyDescent="0.25">
      <c r="A2568" t="s">
        <v>669</v>
      </c>
      <c r="B2568">
        <v>150</v>
      </c>
      <c r="C2568">
        <v>165</v>
      </c>
      <c r="D2568" t="s">
        <v>303</v>
      </c>
      <c r="E2568" t="s">
        <v>910</v>
      </c>
      <c r="F2568" t="s">
        <v>910</v>
      </c>
      <c r="J2568">
        <v>165</v>
      </c>
      <c r="K2568">
        <v>150</v>
      </c>
      <c r="L2568" t="s">
        <v>303</v>
      </c>
      <c r="M2568">
        <v>165</v>
      </c>
      <c r="N2568">
        <v>150</v>
      </c>
      <c r="O2568" t="s">
        <v>303</v>
      </c>
      <c r="P2568">
        <f t="shared" si="40"/>
        <v>0</v>
      </c>
    </row>
    <row r="2569" spans="1:16" x14ac:dyDescent="0.25">
      <c r="A2569" t="s">
        <v>372</v>
      </c>
      <c r="B2569">
        <v>162.30000000000001</v>
      </c>
      <c r="C2569">
        <v>165.1</v>
      </c>
      <c r="D2569" t="s">
        <v>303</v>
      </c>
      <c r="E2569">
        <v>58</v>
      </c>
      <c r="F2569">
        <v>54</v>
      </c>
      <c r="G2569" t="s">
        <v>814</v>
      </c>
      <c r="H2569" t="s">
        <v>796</v>
      </c>
      <c r="J2569">
        <v>165.1</v>
      </c>
      <c r="K2569">
        <v>162.30000000000001</v>
      </c>
      <c r="L2569" t="s">
        <v>303</v>
      </c>
      <c r="M2569">
        <v>165.1</v>
      </c>
      <c r="N2569">
        <v>162.30000000000001</v>
      </c>
      <c r="O2569" t="s">
        <v>303</v>
      </c>
      <c r="P2569">
        <f t="shared" si="40"/>
        <v>0</v>
      </c>
    </row>
    <row r="2570" spans="1:16" x14ac:dyDescent="0.25">
      <c r="A2570" t="s">
        <v>669</v>
      </c>
      <c r="B2570">
        <v>931</v>
      </c>
      <c r="C2570" t="s">
        <v>669</v>
      </c>
      <c r="D2570" t="s">
        <v>865</v>
      </c>
      <c r="E2570" t="s">
        <v>910</v>
      </c>
      <c r="F2570">
        <v>5</v>
      </c>
      <c r="H2570" t="s">
        <v>684</v>
      </c>
      <c r="K2570">
        <v>931</v>
      </c>
      <c r="L2570" t="s">
        <v>920</v>
      </c>
      <c r="N2570">
        <v>931</v>
      </c>
      <c r="O2570" t="s">
        <v>931</v>
      </c>
      <c r="P2570">
        <f t="shared" si="40"/>
        <v>0</v>
      </c>
    </row>
    <row r="2571" spans="1:16" x14ac:dyDescent="0.25">
      <c r="A2571" t="s">
        <v>650</v>
      </c>
      <c r="B2571">
        <v>152.19999999999999</v>
      </c>
      <c r="C2571">
        <v>166</v>
      </c>
      <c r="D2571" t="s">
        <v>303</v>
      </c>
      <c r="E2571">
        <v>54</v>
      </c>
      <c r="F2571">
        <v>54</v>
      </c>
      <c r="G2571" t="s">
        <v>796</v>
      </c>
      <c r="H2571" t="s">
        <v>796</v>
      </c>
      <c r="J2571">
        <v>166</v>
      </c>
      <c r="K2571">
        <v>152.19999999999999</v>
      </c>
      <c r="L2571" t="s">
        <v>303</v>
      </c>
      <c r="M2571">
        <v>166</v>
      </c>
      <c r="N2571">
        <v>152.19999999999999</v>
      </c>
      <c r="O2571" t="s">
        <v>303</v>
      </c>
      <c r="P2571">
        <f t="shared" si="40"/>
        <v>0</v>
      </c>
    </row>
    <row r="2572" spans="1:16" x14ac:dyDescent="0.25">
      <c r="A2572" t="s">
        <v>221</v>
      </c>
      <c r="B2572">
        <v>164</v>
      </c>
      <c r="C2572">
        <v>166</v>
      </c>
      <c r="D2572" t="s">
        <v>303</v>
      </c>
      <c r="E2572">
        <v>53</v>
      </c>
      <c r="F2572">
        <v>53</v>
      </c>
      <c r="G2572" t="s">
        <v>711</v>
      </c>
      <c r="H2572" t="s">
        <v>711</v>
      </c>
      <c r="J2572">
        <v>166</v>
      </c>
      <c r="K2572">
        <v>164</v>
      </c>
      <c r="L2572" t="s">
        <v>303</v>
      </c>
      <c r="M2572">
        <v>166</v>
      </c>
      <c r="N2572">
        <v>164</v>
      </c>
      <c r="O2572" t="s">
        <v>303</v>
      </c>
      <c r="P2572">
        <f t="shared" si="40"/>
        <v>0</v>
      </c>
    </row>
    <row r="2573" spans="1:16" x14ac:dyDescent="0.25">
      <c r="A2573" t="s">
        <v>337</v>
      </c>
      <c r="B2573">
        <v>165</v>
      </c>
      <c r="C2573">
        <v>168</v>
      </c>
      <c r="D2573" t="s">
        <v>303</v>
      </c>
      <c r="E2573">
        <v>60</v>
      </c>
      <c r="F2573">
        <v>60</v>
      </c>
      <c r="G2573" t="s">
        <v>753</v>
      </c>
      <c r="H2573" t="s">
        <v>753</v>
      </c>
      <c r="J2573">
        <v>168</v>
      </c>
      <c r="K2573">
        <v>165</v>
      </c>
      <c r="L2573" t="s">
        <v>303</v>
      </c>
      <c r="M2573">
        <v>168</v>
      </c>
      <c r="N2573">
        <v>165</v>
      </c>
      <c r="O2573" t="s">
        <v>303</v>
      </c>
      <c r="P2573">
        <f t="shared" si="40"/>
        <v>0</v>
      </c>
    </row>
    <row r="2574" spans="1:16" x14ac:dyDescent="0.25">
      <c r="A2574" t="s">
        <v>669</v>
      </c>
      <c r="B2574">
        <v>946</v>
      </c>
      <c r="C2574">
        <v>946</v>
      </c>
      <c r="D2574" t="s">
        <v>857</v>
      </c>
      <c r="E2574">
        <v>5</v>
      </c>
      <c r="F2574">
        <v>5</v>
      </c>
      <c r="G2574" t="s">
        <v>684</v>
      </c>
      <c r="H2574" t="s">
        <v>684</v>
      </c>
      <c r="J2574">
        <v>946</v>
      </c>
      <c r="K2574">
        <v>946</v>
      </c>
      <c r="L2574" t="s">
        <v>921</v>
      </c>
      <c r="M2574">
        <v>946</v>
      </c>
      <c r="N2574">
        <v>946</v>
      </c>
      <c r="O2574" t="s">
        <v>921</v>
      </c>
      <c r="P2574">
        <f t="shared" si="40"/>
        <v>0</v>
      </c>
    </row>
    <row r="2575" spans="1:16" x14ac:dyDescent="0.25">
      <c r="A2575" t="s">
        <v>669</v>
      </c>
      <c r="B2575">
        <v>1958</v>
      </c>
      <c r="C2575">
        <v>1988</v>
      </c>
      <c r="D2575" t="s">
        <v>869</v>
      </c>
      <c r="E2575">
        <v>5</v>
      </c>
      <c r="F2575">
        <v>5</v>
      </c>
      <c r="G2575" t="s">
        <v>684</v>
      </c>
      <c r="H2575" t="s">
        <v>684</v>
      </c>
      <c r="J2575">
        <v>1958</v>
      </c>
      <c r="K2575">
        <v>1988</v>
      </c>
      <c r="L2575" t="s">
        <v>918</v>
      </c>
      <c r="M2575">
        <v>1988</v>
      </c>
      <c r="N2575">
        <v>1958</v>
      </c>
      <c r="O2575" t="s">
        <v>918</v>
      </c>
      <c r="P2575">
        <f t="shared" si="40"/>
        <v>0</v>
      </c>
    </row>
    <row r="2576" spans="1:16" x14ac:dyDescent="0.25">
      <c r="A2576" t="s">
        <v>669</v>
      </c>
      <c r="B2576">
        <v>1.4999999999999999E-4</v>
      </c>
      <c r="C2576">
        <v>170</v>
      </c>
      <c r="D2576" t="s">
        <v>860</v>
      </c>
      <c r="E2576" t="s">
        <v>910</v>
      </c>
      <c r="F2576" t="s">
        <v>910</v>
      </c>
      <c r="J2576">
        <v>170</v>
      </c>
      <c r="K2576">
        <v>1.4999999999999999E-4</v>
      </c>
      <c r="L2576" t="s">
        <v>303</v>
      </c>
      <c r="M2576">
        <v>170</v>
      </c>
      <c r="N2576">
        <v>1.4999999999999999E-4</v>
      </c>
      <c r="O2576" t="s">
        <v>303</v>
      </c>
      <c r="P2576">
        <f t="shared" si="40"/>
        <v>0</v>
      </c>
    </row>
    <row r="2577" spans="1:16" x14ac:dyDescent="0.25">
      <c r="A2577" t="s">
        <v>213</v>
      </c>
      <c r="B2577">
        <v>0.95</v>
      </c>
      <c r="C2577">
        <v>2.4</v>
      </c>
      <c r="D2577" t="s">
        <v>862</v>
      </c>
      <c r="E2577">
        <v>5</v>
      </c>
      <c r="F2577">
        <v>5</v>
      </c>
      <c r="G2577" t="s">
        <v>684</v>
      </c>
      <c r="H2577" t="s">
        <v>684</v>
      </c>
      <c r="J2577">
        <v>2400</v>
      </c>
      <c r="K2577">
        <v>950</v>
      </c>
      <c r="L2577" t="s">
        <v>931</v>
      </c>
      <c r="M2577">
        <v>2.4</v>
      </c>
      <c r="N2577">
        <v>0.95</v>
      </c>
      <c r="O2577" t="s">
        <v>862</v>
      </c>
      <c r="P2577">
        <f t="shared" si="40"/>
        <v>0</v>
      </c>
    </row>
    <row r="2578" spans="1:16" x14ac:dyDescent="0.25">
      <c r="A2578" t="s">
        <v>669</v>
      </c>
      <c r="B2578">
        <v>965</v>
      </c>
      <c r="C2578">
        <v>1025</v>
      </c>
      <c r="D2578" t="s">
        <v>857</v>
      </c>
      <c r="E2578">
        <v>5</v>
      </c>
      <c r="F2578">
        <v>5</v>
      </c>
      <c r="G2578" t="s">
        <v>684</v>
      </c>
      <c r="H2578" t="s">
        <v>684</v>
      </c>
      <c r="J2578">
        <v>1025</v>
      </c>
      <c r="K2578">
        <v>965</v>
      </c>
      <c r="L2578" t="s">
        <v>921</v>
      </c>
      <c r="M2578">
        <v>1025</v>
      </c>
      <c r="N2578">
        <v>965</v>
      </c>
      <c r="O2578" t="s">
        <v>921</v>
      </c>
      <c r="P2578">
        <f t="shared" si="40"/>
        <v>0</v>
      </c>
    </row>
    <row r="2579" spans="1:16" x14ac:dyDescent="0.25">
      <c r="A2579" t="s">
        <v>669</v>
      </c>
      <c r="B2579">
        <v>973</v>
      </c>
      <c r="C2579">
        <v>1177</v>
      </c>
      <c r="D2579" t="s">
        <v>866</v>
      </c>
      <c r="E2579">
        <v>5</v>
      </c>
      <c r="F2579">
        <v>5</v>
      </c>
      <c r="G2579" t="s">
        <v>684</v>
      </c>
      <c r="H2579" t="s">
        <v>684</v>
      </c>
      <c r="J2579">
        <v>1177</v>
      </c>
      <c r="K2579">
        <v>973</v>
      </c>
      <c r="L2579" t="s">
        <v>920</v>
      </c>
      <c r="M2579">
        <v>1177</v>
      </c>
      <c r="N2579">
        <v>973</v>
      </c>
      <c r="O2579" t="s">
        <v>920</v>
      </c>
      <c r="P2579">
        <f t="shared" si="40"/>
        <v>0</v>
      </c>
    </row>
    <row r="2580" spans="1:16" x14ac:dyDescent="0.25">
      <c r="A2580" t="s">
        <v>669</v>
      </c>
      <c r="B2580">
        <v>985</v>
      </c>
      <c r="C2580">
        <v>1045</v>
      </c>
      <c r="D2580" t="s">
        <v>857</v>
      </c>
      <c r="E2580">
        <v>5</v>
      </c>
      <c r="F2580">
        <v>5</v>
      </c>
      <c r="G2580" t="s">
        <v>684</v>
      </c>
      <c r="H2580" t="s">
        <v>684</v>
      </c>
      <c r="J2580">
        <v>1045</v>
      </c>
      <c r="K2580">
        <v>985</v>
      </c>
      <c r="L2580" t="s">
        <v>921</v>
      </c>
      <c r="M2580">
        <v>1045</v>
      </c>
      <c r="N2580">
        <v>985</v>
      </c>
      <c r="O2580" t="s">
        <v>921</v>
      </c>
      <c r="P2580">
        <f t="shared" si="40"/>
        <v>0</v>
      </c>
    </row>
    <row r="2581" spans="1:16" x14ac:dyDescent="0.25">
      <c r="A2581" t="s">
        <v>669</v>
      </c>
      <c r="B2581">
        <v>1956</v>
      </c>
      <c r="C2581">
        <v>2009</v>
      </c>
      <c r="D2581" t="s">
        <v>869</v>
      </c>
      <c r="E2581">
        <v>5</v>
      </c>
      <c r="F2581">
        <v>5</v>
      </c>
      <c r="G2581" t="s">
        <v>684</v>
      </c>
      <c r="H2581" t="s">
        <v>684</v>
      </c>
      <c r="J2581">
        <v>1956</v>
      </c>
      <c r="K2581">
        <v>2009</v>
      </c>
      <c r="L2581" t="s">
        <v>918</v>
      </c>
      <c r="M2581">
        <v>2009</v>
      </c>
      <c r="N2581">
        <v>1956</v>
      </c>
      <c r="O2581" t="s">
        <v>918</v>
      </c>
      <c r="P2581">
        <f t="shared" si="40"/>
        <v>0</v>
      </c>
    </row>
    <row r="2582" spans="1:16" x14ac:dyDescent="0.25">
      <c r="A2582" t="s">
        <v>669</v>
      </c>
      <c r="B2582">
        <v>1</v>
      </c>
      <c r="C2582">
        <v>2</v>
      </c>
      <c r="D2582" t="s">
        <v>862</v>
      </c>
      <c r="E2582">
        <v>5</v>
      </c>
      <c r="F2582">
        <v>5</v>
      </c>
      <c r="G2582" t="s">
        <v>684</v>
      </c>
      <c r="H2582" t="s">
        <v>684</v>
      </c>
      <c r="J2582">
        <v>2000</v>
      </c>
      <c r="K2582">
        <v>1000</v>
      </c>
      <c r="L2582" t="s">
        <v>931</v>
      </c>
      <c r="M2582">
        <v>2</v>
      </c>
      <c r="N2582">
        <v>1</v>
      </c>
      <c r="O2582" t="s">
        <v>862</v>
      </c>
      <c r="P2582">
        <f t="shared" si="40"/>
        <v>0</v>
      </c>
    </row>
    <row r="2583" spans="1:16" x14ac:dyDescent="0.25">
      <c r="A2583" t="s">
        <v>403</v>
      </c>
      <c r="B2583">
        <v>1986</v>
      </c>
      <c r="C2583">
        <v>2012</v>
      </c>
      <c r="D2583" t="s">
        <v>890</v>
      </c>
      <c r="E2583">
        <v>5</v>
      </c>
      <c r="F2583">
        <v>5</v>
      </c>
      <c r="G2583" t="s">
        <v>684</v>
      </c>
      <c r="H2583" t="s">
        <v>684</v>
      </c>
      <c r="J2583">
        <v>1986</v>
      </c>
      <c r="K2583">
        <v>2012</v>
      </c>
      <c r="L2583" t="s">
        <v>919</v>
      </c>
      <c r="M2583">
        <v>2012</v>
      </c>
      <c r="N2583">
        <v>1986</v>
      </c>
      <c r="O2583" t="s">
        <v>919</v>
      </c>
      <c r="P2583">
        <f t="shared" si="40"/>
        <v>0</v>
      </c>
    </row>
    <row r="2584" spans="1:16" x14ac:dyDescent="0.25">
      <c r="A2584" t="s">
        <v>403</v>
      </c>
      <c r="B2584">
        <v>1994</v>
      </c>
      <c r="C2584">
        <v>2012</v>
      </c>
      <c r="D2584" t="s">
        <v>890</v>
      </c>
      <c r="E2584">
        <v>5</v>
      </c>
      <c r="F2584">
        <v>5</v>
      </c>
      <c r="G2584" t="s">
        <v>684</v>
      </c>
      <c r="H2584" t="s">
        <v>684</v>
      </c>
      <c r="J2584">
        <v>1994</v>
      </c>
      <c r="K2584">
        <v>2012</v>
      </c>
      <c r="L2584" t="s">
        <v>919</v>
      </c>
      <c r="M2584">
        <v>2012</v>
      </c>
      <c r="N2584">
        <v>1994</v>
      </c>
      <c r="O2584" t="s">
        <v>919</v>
      </c>
      <c r="P2584">
        <f t="shared" si="40"/>
        <v>0</v>
      </c>
    </row>
    <row r="2585" spans="1:16" x14ac:dyDescent="0.25">
      <c r="A2585" t="s">
        <v>59</v>
      </c>
      <c r="B2585">
        <v>1</v>
      </c>
      <c r="C2585">
        <v>8.3000000000000007</v>
      </c>
      <c r="D2585" t="s">
        <v>862</v>
      </c>
      <c r="E2585">
        <v>4</v>
      </c>
      <c r="F2585">
        <v>4</v>
      </c>
      <c r="G2585" t="s">
        <v>701</v>
      </c>
      <c r="H2585" t="s">
        <v>701</v>
      </c>
      <c r="J2585">
        <v>8300</v>
      </c>
      <c r="K2585">
        <v>1000</v>
      </c>
      <c r="L2585" t="s">
        <v>931</v>
      </c>
      <c r="M2585">
        <v>8.3000000000000007</v>
      </c>
      <c r="N2585">
        <v>1</v>
      </c>
      <c r="O2585" t="s">
        <v>862</v>
      </c>
      <c r="P2585">
        <f t="shared" si="40"/>
        <v>0</v>
      </c>
    </row>
    <row r="2586" spans="1:16" x14ac:dyDescent="0.25">
      <c r="A2586" t="s">
        <v>669</v>
      </c>
      <c r="B2586">
        <v>1</v>
      </c>
      <c r="C2586">
        <v>10</v>
      </c>
      <c r="D2586" t="s">
        <v>862</v>
      </c>
      <c r="E2586">
        <v>4</v>
      </c>
      <c r="F2586">
        <v>4</v>
      </c>
      <c r="G2586" t="s">
        <v>701</v>
      </c>
      <c r="H2586" t="s">
        <v>701</v>
      </c>
      <c r="J2586">
        <v>10000</v>
      </c>
      <c r="K2586">
        <v>1000</v>
      </c>
      <c r="L2586" t="s">
        <v>931</v>
      </c>
      <c r="M2586">
        <v>10</v>
      </c>
      <c r="N2586">
        <v>1</v>
      </c>
      <c r="O2586" t="s">
        <v>862</v>
      </c>
      <c r="P2586">
        <f t="shared" si="40"/>
        <v>0</v>
      </c>
    </row>
    <row r="2587" spans="1:16" x14ac:dyDescent="0.25">
      <c r="A2587" t="s">
        <v>669</v>
      </c>
      <c r="B2587">
        <v>1E-3</v>
      </c>
      <c r="C2587" t="s">
        <v>669</v>
      </c>
      <c r="D2587" t="s">
        <v>669</v>
      </c>
      <c r="E2587" t="s">
        <v>910</v>
      </c>
      <c r="F2587">
        <v>5</v>
      </c>
      <c r="H2587" t="s">
        <v>684</v>
      </c>
      <c r="I2587" t="s">
        <v>927</v>
      </c>
      <c r="K2587">
        <v>1000</v>
      </c>
      <c r="L2587" t="s">
        <v>921</v>
      </c>
      <c r="N2587">
        <v>1E-3</v>
      </c>
      <c r="P2587">
        <f t="shared" si="40"/>
        <v>14</v>
      </c>
    </row>
    <row r="2588" spans="1:16" x14ac:dyDescent="0.25">
      <c r="A2588" t="s">
        <v>669</v>
      </c>
      <c r="B2588">
        <v>1000</v>
      </c>
      <c r="C2588" t="s">
        <v>669</v>
      </c>
      <c r="D2588" t="s">
        <v>857</v>
      </c>
      <c r="E2588" t="s">
        <v>910</v>
      </c>
      <c r="F2588">
        <v>5</v>
      </c>
      <c r="H2588" t="s">
        <v>684</v>
      </c>
      <c r="I2588" t="s">
        <v>932</v>
      </c>
      <c r="K2588">
        <v>1000</v>
      </c>
      <c r="L2588" t="s">
        <v>920</v>
      </c>
      <c r="N2588">
        <v>1000</v>
      </c>
      <c r="O2588" t="s">
        <v>857</v>
      </c>
      <c r="P2588">
        <f t="shared" si="40"/>
        <v>27</v>
      </c>
    </row>
    <row r="2589" spans="1:16" x14ac:dyDescent="0.25">
      <c r="A2589" t="s">
        <v>669</v>
      </c>
      <c r="B2589">
        <v>1005</v>
      </c>
      <c r="C2589" t="s">
        <v>669</v>
      </c>
      <c r="D2589" t="s">
        <v>865</v>
      </c>
      <c r="E2589" t="s">
        <v>910</v>
      </c>
      <c r="F2589">
        <v>5</v>
      </c>
      <c r="H2589" t="s">
        <v>684</v>
      </c>
      <c r="K2589">
        <v>1005</v>
      </c>
      <c r="L2589" t="s">
        <v>920</v>
      </c>
      <c r="N2589">
        <v>1005</v>
      </c>
      <c r="O2589" t="s">
        <v>931</v>
      </c>
      <c r="P2589">
        <f t="shared" si="40"/>
        <v>0</v>
      </c>
    </row>
    <row r="2590" spans="1:16" x14ac:dyDescent="0.25">
      <c r="A2590" t="s">
        <v>669</v>
      </c>
      <c r="B2590">
        <v>1.0089999999999999E-3</v>
      </c>
      <c r="C2590" t="s">
        <v>669</v>
      </c>
      <c r="D2590" t="s">
        <v>860</v>
      </c>
      <c r="E2590" t="s">
        <v>910</v>
      </c>
      <c r="F2590">
        <v>5</v>
      </c>
      <c r="H2590" t="s">
        <v>684</v>
      </c>
      <c r="K2590">
        <v>1008.9999999999999</v>
      </c>
      <c r="L2590" t="s">
        <v>921</v>
      </c>
      <c r="N2590">
        <v>1.0089999999999999E-3</v>
      </c>
      <c r="O2590" t="s">
        <v>303</v>
      </c>
      <c r="P2590">
        <f t="shared" si="40"/>
        <v>0</v>
      </c>
    </row>
    <row r="2591" spans="1:16" x14ac:dyDescent="0.25">
      <c r="A2591" t="s">
        <v>669</v>
      </c>
      <c r="B2591">
        <v>1041</v>
      </c>
      <c r="C2591">
        <v>1049</v>
      </c>
      <c r="D2591" t="s">
        <v>857</v>
      </c>
      <c r="E2591">
        <v>5</v>
      </c>
      <c r="F2591">
        <v>5</v>
      </c>
      <c r="G2591" t="s">
        <v>684</v>
      </c>
      <c r="H2591" t="s">
        <v>684</v>
      </c>
      <c r="J2591">
        <v>1049</v>
      </c>
      <c r="K2591">
        <v>1041</v>
      </c>
      <c r="L2591" t="s">
        <v>921</v>
      </c>
      <c r="M2591">
        <v>1049</v>
      </c>
      <c r="N2591">
        <v>1041</v>
      </c>
      <c r="O2591" t="s">
        <v>921</v>
      </c>
      <c r="P2591">
        <f t="shared" si="40"/>
        <v>0</v>
      </c>
    </row>
    <row r="2592" spans="1:16" x14ac:dyDescent="0.25">
      <c r="A2592" t="s">
        <v>669</v>
      </c>
      <c r="B2592">
        <v>1043</v>
      </c>
      <c r="C2592" t="s">
        <v>669</v>
      </c>
      <c r="D2592" t="s">
        <v>857</v>
      </c>
      <c r="E2592" t="s">
        <v>910</v>
      </c>
      <c r="F2592">
        <v>5</v>
      </c>
      <c r="H2592" t="s">
        <v>684</v>
      </c>
      <c r="I2592" t="s">
        <v>932</v>
      </c>
      <c r="K2592">
        <v>1043</v>
      </c>
      <c r="L2592" t="s">
        <v>920</v>
      </c>
      <c r="N2592">
        <v>1043</v>
      </c>
      <c r="O2592" t="s">
        <v>857</v>
      </c>
      <c r="P2592">
        <f t="shared" si="40"/>
        <v>27</v>
      </c>
    </row>
    <row r="2593" spans="1:16" x14ac:dyDescent="0.25">
      <c r="A2593" t="s">
        <v>669</v>
      </c>
      <c r="B2593">
        <v>1079</v>
      </c>
      <c r="C2593" t="s">
        <v>669</v>
      </c>
      <c r="D2593" t="s">
        <v>865</v>
      </c>
      <c r="E2593" t="s">
        <v>910</v>
      </c>
      <c r="F2593">
        <v>5</v>
      </c>
      <c r="H2593" t="s">
        <v>684</v>
      </c>
      <c r="K2593">
        <v>1079</v>
      </c>
      <c r="L2593" t="s">
        <v>920</v>
      </c>
      <c r="N2593">
        <v>1079</v>
      </c>
      <c r="O2593" t="s">
        <v>931</v>
      </c>
      <c r="P2593">
        <f t="shared" si="40"/>
        <v>0</v>
      </c>
    </row>
    <row r="2594" spans="1:16" x14ac:dyDescent="0.25">
      <c r="A2594" t="s">
        <v>669</v>
      </c>
      <c r="B2594">
        <v>-1105</v>
      </c>
      <c r="C2594" t="s">
        <v>669</v>
      </c>
      <c r="D2594" t="s">
        <v>857</v>
      </c>
      <c r="E2594" t="s">
        <v>910</v>
      </c>
      <c r="F2594">
        <v>5</v>
      </c>
      <c r="H2594" t="s">
        <v>684</v>
      </c>
      <c r="I2594" t="s">
        <v>923</v>
      </c>
      <c r="K2594">
        <v>1105</v>
      </c>
      <c r="L2594" t="s">
        <v>920</v>
      </c>
      <c r="N2594">
        <v>-1105</v>
      </c>
      <c r="O2594" t="s">
        <v>931</v>
      </c>
      <c r="P2594">
        <f t="shared" si="40"/>
        <v>43</v>
      </c>
    </row>
    <row r="2595" spans="1:16" x14ac:dyDescent="0.25">
      <c r="A2595" t="s">
        <v>669</v>
      </c>
      <c r="B2595">
        <v>1133</v>
      </c>
      <c r="C2595">
        <v>1181</v>
      </c>
      <c r="D2595" t="s">
        <v>857</v>
      </c>
      <c r="E2595">
        <v>5</v>
      </c>
      <c r="F2595">
        <v>5</v>
      </c>
      <c r="G2595" t="s">
        <v>684</v>
      </c>
      <c r="H2595" t="s">
        <v>684</v>
      </c>
      <c r="J2595">
        <v>1181</v>
      </c>
      <c r="K2595">
        <v>1133</v>
      </c>
      <c r="L2595" t="s">
        <v>921</v>
      </c>
      <c r="M2595">
        <v>1181</v>
      </c>
      <c r="N2595">
        <v>1133</v>
      </c>
      <c r="O2595" t="s">
        <v>921</v>
      </c>
      <c r="P2595">
        <f t="shared" si="40"/>
        <v>0</v>
      </c>
    </row>
    <row r="2596" spans="1:16" x14ac:dyDescent="0.25">
      <c r="A2596" t="s">
        <v>669</v>
      </c>
      <c r="B2596">
        <v>1133</v>
      </c>
      <c r="C2596" t="s">
        <v>669</v>
      </c>
      <c r="D2596" t="s">
        <v>865</v>
      </c>
      <c r="E2596" t="s">
        <v>910</v>
      </c>
      <c r="F2596">
        <v>5</v>
      </c>
      <c r="H2596" t="s">
        <v>684</v>
      </c>
      <c r="K2596">
        <v>1133</v>
      </c>
      <c r="L2596" t="s">
        <v>920</v>
      </c>
      <c r="N2596">
        <v>1133</v>
      </c>
      <c r="O2596" t="s">
        <v>931</v>
      </c>
      <c r="P2596">
        <f t="shared" si="40"/>
        <v>0</v>
      </c>
    </row>
    <row r="2597" spans="1:16" x14ac:dyDescent="0.25">
      <c r="A2597" t="s">
        <v>669</v>
      </c>
      <c r="B2597">
        <v>156</v>
      </c>
      <c r="C2597">
        <v>172</v>
      </c>
      <c r="D2597" t="s">
        <v>860</v>
      </c>
      <c r="E2597" t="s">
        <v>910</v>
      </c>
      <c r="F2597" t="s">
        <v>910</v>
      </c>
      <c r="J2597">
        <v>172</v>
      </c>
      <c r="K2597">
        <v>156</v>
      </c>
      <c r="L2597" t="s">
        <v>303</v>
      </c>
      <c r="M2597">
        <v>172</v>
      </c>
      <c r="N2597">
        <v>156</v>
      </c>
      <c r="O2597" t="s">
        <v>303</v>
      </c>
      <c r="P2597">
        <f t="shared" si="40"/>
        <v>0</v>
      </c>
    </row>
    <row r="2598" spans="1:16" x14ac:dyDescent="0.25">
      <c r="A2598" t="s">
        <v>336</v>
      </c>
      <c r="B2598">
        <v>168</v>
      </c>
      <c r="C2598">
        <v>172</v>
      </c>
      <c r="D2598" t="s">
        <v>303</v>
      </c>
      <c r="E2598">
        <v>61</v>
      </c>
      <c r="F2598">
        <v>61</v>
      </c>
      <c r="G2598" t="s">
        <v>752</v>
      </c>
      <c r="H2598" t="s">
        <v>752</v>
      </c>
      <c r="J2598">
        <v>172</v>
      </c>
      <c r="K2598">
        <v>168</v>
      </c>
      <c r="L2598" t="s">
        <v>303</v>
      </c>
      <c r="M2598">
        <v>172</v>
      </c>
      <c r="N2598">
        <v>168</v>
      </c>
      <c r="O2598" t="s">
        <v>303</v>
      </c>
      <c r="P2598">
        <f t="shared" si="40"/>
        <v>0</v>
      </c>
    </row>
    <row r="2599" spans="1:16" x14ac:dyDescent="0.25">
      <c r="A2599" t="s">
        <v>669</v>
      </c>
      <c r="B2599">
        <v>1151</v>
      </c>
      <c r="C2599" t="s">
        <v>669</v>
      </c>
      <c r="D2599" t="s">
        <v>865</v>
      </c>
      <c r="E2599" t="s">
        <v>910</v>
      </c>
      <c r="F2599">
        <v>5</v>
      </c>
      <c r="H2599" t="s">
        <v>684</v>
      </c>
      <c r="K2599">
        <v>1151</v>
      </c>
      <c r="L2599" t="s">
        <v>920</v>
      </c>
      <c r="N2599">
        <v>1151</v>
      </c>
      <c r="O2599" t="s">
        <v>931</v>
      </c>
      <c r="P2599">
        <f t="shared" si="40"/>
        <v>0</v>
      </c>
    </row>
    <row r="2600" spans="1:16" x14ac:dyDescent="0.25">
      <c r="A2600" t="s">
        <v>221</v>
      </c>
      <c r="B2600">
        <v>170</v>
      </c>
      <c r="C2600">
        <v>173</v>
      </c>
      <c r="D2600" t="s">
        <v>303</v>
      </c>
      <c r="E2600">
        <v>53</v>
      </c>
      <c r="F2600">
        <v>53</v>
      </c>
      <c r="G2600" t="s">
        <v>711</v>
      </c>
      <c r="H2600" t="s">
        <v>711</v>
      </c>
      <c r="J2600">
        <v>173</v>
      </c>
      <c r="K2600">
        <v>170</v>
      </c>
      <c r="L2600" t="s">
        <v>303</v>
      </c>
      <c r="M2600">
        <v>173</v>
      </c>
      <c r="N2600">
        <v>170</v>
      </c>
      <c r="O2600" t="s">
        <v>303</v>
      </c>
      <c r="P2600">
        <f t="shared" si="40"/>
        <v>0</v>
      </c>
    </row>
    <row r="2601" spans="1:16" x14ac:dyDescent="0.25">
      <c r="A2601" t="s">
        <v>221</v>
      </c>
      <c r="B2601">
        <v>171</v>
      </c>
      <c r="C2601">
        <v>173</v>
      </c>
      <c r="D2601" t="s">
        <v>303</v>
      </c>
      <c r="E2601">
        <v>53</v>
      </c>
      <c r="F2601">
        <v>53</v>
      </c>
      <c r="G2601" t="s">
        <v>711</v>
      </c>
      <c r="H2601" t="s">
        <v>711</v>
      </c>
      <c r="J2601">
        <v>173</v>
      </c>
      <c r="K2601">
        <v>171</v>
      </c>
      <c r="L2601" t="s">
        <v>303</v>
      </c>
      <c r="M2601">
        <v>173</v>
      </c>
      <c r="N2601">
        <v>171</v>
      </c>
      <c r="O2601" t="s">
        <v>303</v>
      </c>
      <c r="P2601">
        <f t="shared" si="40"/>
        <v>0</v>
      </c>
    </row>
    <row r="2602" spans="1:16" x14ac:dyDescent="0.25">
      <c r="A2602" t="s">
        <v>362</v>
      </c>
      <c r="B2602">
        <v>169.4</v>
      </c>
      <c r="C2602">
        <v>173.2</v>
      </c>
      <c r="D2602" t="s">
        <v>303</v>
      </c>
      <c r="E2602">
        <v>58</v>
      </c>
      <c r="F2602">
        <v>58</v>
      </c>
      <c r="G2602" t="s">
        <v>814</v>
      </c>
      <c r="H2602" t="s">
        <v>814</v>
      </c>
      <c r="J2602">
        <v>173.2</v>
      </c>
      <c r="K2602">
        <v>169.4</v>
      </c>
      <c r="L2602" t="s">
        <v>303</v>
      </c>
      <c r="M2602">
        <v>173.2</v>
      </c>
      <c r="N2602">
        <v>169.4</v>
      </c>
      <c r="O2602" t="s">
        <v>303</v>
      </c>
      <c r="P2602">
        <f t="shared" si="40"/>
        <v>0</v>
      </c>
    </row>
    <row r="2603" spans="1:16" x14ac:dyDescent="0.25">
      <c r="A2603" t="s">
        <v>669</v>
      </c>
      <c r="B2603">
        <v>163</v>
      </c>
      <c r="C2603">
        <v>174</v>
      </c>
      <c r="D2603" t="s">
        <v>860</v>
      </c>
      <c r="E2603" t="s">
        <v>910</v>
      </c>
      <c r="F2603" t="s">
        <v>910</v>
      </c>
      <c r="J2603">
        <v>174</v>
      </c>
      <c r="K2603">
        <v>163</v>
      </c>
      <c r="L2603" t="s">
        <v>303</v>
      </c>
      <c r="M2603">
        <v>174</v>
      </c>
      <c r="N2603">
        <v>163</v>
      </c>
      <c r="O2603" t="s">
        <v>303</v>
      </c>
      <c r="P2603">
        <f t="shared" si="40"/>
        <v>0</v>
      </c>
    </row>
    <row r="2604" spans="1:16" x14ac:dyDescent="0.25">
      <c r="A2604" t="s">
        <v>669</v>
      </c>
      <c r="B2604">
        <v>164</v>
      </c>
      <c r="C2604">
        <v>175</v>
      </c>
      <c r="D2604" t="s">
        <v>303</v>
      </c>
      <c r="E2604" t="s">
        <v>910</v>
      </c>
      <c r="F2604" t="s">
        <v>910</v>
      </c>
      <c r="J2604">
        <v>175</v>
      </c>
      <c r="K2604">
        <v>164</v>
      </c>
      <c r="L2604" t="s">
        <v>303</v>
      </c>
      <c r="M2604">
        <v>175</v>
      </c>
      <c r="N2604">
        <v>164</v>
      </c>
      <c r="O2604" t="s">
        <v>303</v>
      </c>
      <c r="P2604">
        <f t="shared" si="40"/>
        <v>0</v>
      </c>
    </row>
    <row r="2605" spans="1:16" x14ac:dyDescent="0.25">
      <c r="A2605" t="s">
        <v>669</v>
      </c>
      <c r="B2605">
        <v>175</v>
      </c>
      <c r="C2605">
        <v>175</v>
      </c>
      <c r="D2605" t="s">
        <v>669</v>
      </c>
      <c r="E2605" t="s">
        <v>910</v>
      </c>
      <c r="F2605" t="s">
        <v>910</v>
      </c>
      <c r="I2605" t="s">
        <v>927</v>
      </c>
      <c r="J2605">
        <v>175</v>
      </c>
      <c r="K2605">
        <v>175</v>
      </c>
      <c r="L2605" t="s">
        <v>930</v>
      </c>
      <c r="M2605">
        <v>175</v>
      </c>
      <c r="N2605">
        <v>175</v>
      </c>
      <c r="P2605">
        <f t="shared" si="40"/>
        <v>14</v>
      </c>
    </row>
    <row r="2606" spans="1:16" x14ac:dyDescent="0.25">
      <c r="A2606" t="s">
        <v>669</v>
      </c>
      <c r="B2606">
        <v>99</v>
      </c>
      <c r="C2606">
        <v>176</v>
      </c>
      <c r="D2606" t="s">
        <v>303</v>
      </c>
      <c r="E2606" t="s">
        <v>910</v>
      </c>
      <c r="F2606" t="s">
        <v>910</v>
      </c>
      <c r="J2606">
        <v>176</v>
      </c>
      <c r="K2606">
        <v>99</v>
      </c>
      <c r="L2606" t="s">
        <v>303</v>
      </c>
      <c r="M2606">
        <v>176</v>
      </c>
      <c r="N2606">
        <v>99</v>
      </c>
      <c r="O2606" t="s">
        <v>303</v>
      </c>
      <c r="P2606">
        <f t="shared" si="40"/>
        <v>0</v>
      </c>
    </row>
    <row r="2607" spans="1:16" x14ac:dyDescent="0.25">
      <c r="A2607" t="s">
        <v>669</v>
      </c>
      <c r="B2607">
        <v>145</v>
      </c>
      <c r="C2607">
        <v>176</v>
      </c>
      <c r="D2607" t="s">
        <v>303</v>
      </c>
      <c r="E2607" t="s">
        <v>910</v>
      </c>
      <c r="F2607" t="s">
        <v>910</v>
      </c>
      <c r="J2607">
        <v>176</v>
      </c>
      <c r="K2607">
        <v>145</v>
      </c>
      <c r="L2607" t="s">
        <v>303</v>
      </c>
      <c r="M2607">
        <v>176</v>
      </c>
      <c r="N2607">
        <v>145</v>
      </c>
      <c r="O2607" t="s">
        <v>303</v>
      </c>
      <c r="P2607">
        <f t="shared" si="40"/>
        <v>0</v>
      </c>
    </row>
    <row r="2608" spans="1:16" x14ac:dyDescent="0.25">
      <c r="A2608" t="s">
        <v>669</v>
      </c>
      <c r="B2608">
        <v>160</v>
      </c>
      <c r="C2608">
        <v>176</v>
      </c>
      <c r="D2608" t="s">
        <v>860</v>
      </c>
      <c r="E2608" t="s">
        <v>910</v>
      </c>
      <c r="F2608" t="s">
        <v>910</v>
      </c>
      <c r="J2608">
        <v>176</v>
      </c>
      <c r="K2608">
        <v>160</v>
      </c>
      <c r="L2608" t="s">
        <v>303</v>
      </c>
      <c r="M2608">
        <v>176</v>
      </c>
      <c r="N2608">
        <v>160</v>
      </c>
      <c r="O2608" t="s">
        <v>303</v>
      </c>
      <c r="P2608">
        <f t="shared" si="40"/>
        <v>0</v>
      </c>
    </row>
    <row r="2609" spans="1:16" x14ac:dyDescent="0.25">
      <c r="A2609" t="s">
        <v>669</v>
      </c>
      <c r="B2609">
        <v>1181</v>
      </c>
      <c r="C2609">
        <v>1359</v>
      </c>
      <c r="D2609" t="s">
        <v>857</v>
      </c>
      <c r="E2609">
        <v>5</v>
      </c>
      <c r="F2609">
        <v>5</v>
      </c>
      <c r="G2609" t="s">
        <v>684</v>
      </c>
      <c r="H2609" t="s">
        <v>684</v>
      </c>
      <c r="J2609">
        <v>1359</v>
      </c>
      <c r="K2609">
        <v>1181</v>
      </c>
      <c r="L2609" t="s">
        <v>921</v>
      </c>
      <c r="M2609">
        <v>1359</v>
      </c>
      <c r="N2609">
        <v>1181</v>
      </c>
      <c r="O2609" t="s">
        <v>921</v>
      </c>
      <c r="P2609">
        <f t="shared" si="40"/>
        <v>0</v>
      </c>
    </row>
    <row r="2610" spans="1:16" x14ac:dyDescent="0.25">
      <c r="A2610" t="s">
        <v>669</v>
      </c>
      <c r="B2610">
        <v>1214</v>
      </c>
      <c r="C2610" t="s">
        <v>669</v>
      </c>
      <c r="D2610" t="s">
        <v>865</v>
      </c>
      <c r="E2610" t="s">
        <v>910</v>
      </c>
      <c r="F2610">
        <v>5</v>
      </c>
      <c r="H2610" t="s">
        <v>684</v>
      </c>
      <c r="K2610">
        <v>1214</v>
      </c>
      <c r="L2610" t="s">
        <v>920</v>
      </c>
      <c r="N2610">
        <v>1214</v>
      </c>
      <c r="O2610" t="s">
        <v>931</v>
      </c>
      <c r="P2610">
        <f t="shared" si="40"/>
        <v>0</v>
      </c>
    </row>
    <row r="2611" spans="1:16" x14ac:dyDescent="0.25">
      <c r="A2611" t="s">
        <v>669</v>
      </c>
      <c r="B2611">
        <v>1907</v>
      </c>
      <c r="C2611">
        <v>2148</v>
      </c>
      <c r="D2611" t="s">
        <v>669</v>
      </c>
      <c r="E2611" t="s">
        <v>910</v>
      </c>
      <c r="F2611" t="s">
        <v>910</v>
      </c>
      <c r="I2611" t="s">
        <v>928</v>
      </c>
      <c r="J2611">
        <v>2148</v>
      </c>
      <c r="K2611">
        <v>1907</v>
      </c>
      <c r="L2611" t="s">
        <v>851</v>
      </c>
      <c r="M2611">
        <v>2148</v>
      </c>
      <c r="N2611">
        <v>1907</v>
      </c>
      <c r="P2611">
        <f t="shared" si="40"/>
        <v>21</v>
      </c>
    </row>
    <row r="2612" spans="1:16" x14ac:dyDescent="0.25">
      <c r="A2612" t="s">
        <v>669</v>
      </c>
      <c r="B2612">
        <v>1215</v>
      </c>
      <c r="C2612" t="s">
        <v>669</v>
      </c>
      <c r="D2612" t="s">
        <v>865</v>
      </c>
      <c r="E2612" t="s">
        <v>910</v>
      </c>
      <c r="F2612">
        <v>5</v>
      </c>
      <c r="H2612" t="s">
        <v>684</v>
      </c>
      <c r="K2612">
        <v>1215</v>
      </c>
      <c r="L2612" t="s">
        <v>920</v>
      </c>
      <c r="N2612">
        <v>1215</v>
      </c>
      <c r="O2612" t="s">
        <v>931</v>
      </c>
      <c r="P2612">
        <f t="shared" si="40"/>
        <v>0</v>
      </c>
    </row>
    <row r="2613" spans="1:16" x14ac:dyDescent="0.25">
      <c r="A2613" t="s">
        <v>669</v>
      </c>
      <c r="B2613">
        <v>1.258E-3</v>
      </c>
      <c r="C2613" t="s">
        <v>669</v>
      </c>
      <c r="D2613" t="s">
        <v>860</v>
      </c>
      <c r="E2613" t="s">
        <v>910</v>
      </c>
      <c r="F2613">
        <v>5</v>
      </c>
      <c r="H2613" t="s">
        <v>684</v>
      </c>
      <c r="K2613">
        <v>1258</v>
      </c>
      <c r="L2613" t="s">
        <v>921</v>
      </c>
      <c r="N2613">
        <v>1.258E-3</v>
      </c>
      <c r="O2613" t="s">
        <v>303</v>
      </c>
      <c r="P2613">
        <f t="shared" si="40"/>
        <v>0</v>
      </c>
    </row>
    <row r="2614" spans="1:16" x14ac:dyDescent="0.25">
      <c r="A2614" t="s">
        <v>669</v>
      </c>
      <c r="B2614">
        <v>1267</v>
      </c>
      <c r="C2614" t="s">
        <v>669</v>
      </c>
      <c r="D2614" t="s">
        <v>865</v>
      </c>
      <c r="E2614" t="s">
        <v>910</v>
      </c>
      <c r="F2614">
        <v>5</v>
      </c>
      <c r="H2614" t="s">
        <v>684</v>
      </c>
      <c r="K2614">
        <v>1267</v>
      </c>
      <c r="L2614" t="s">
        <v>920</v>
      </c>
      <c r="N2614">
        <v>1267</v>
      </c>
      <c r="O2614" t="s">
        <v>931</v>
      </c>
      <c r="P2614">
        <f t="shared" si="40"/>
        <v>0</v>
      </c>
    </row>
    <row r="2615" spans="1:16" x14ac:dyDescent="0.25">
      <c r="A2615" t="s">
        <v>669</v>
      </c>
      <c r="B2615">
        <v>1282</v>
      </c>
      <c r="C2615" t="s">
        <v>669</v>
      </c>
      <c r="D2615" t="s">
        <v>857</v>
      </c>
      <c r="E2615" t="s">
        <v>910</v>
      </c>
      <c r="F2615">
        <v>5</v>
      </c>
      <c r="H2615" t="s">
        <v>684</v>
      </c>
      <c r="I2615" t="s">
        <v>932</v>
      </c>
      <c r="K2615">
        <v>1282</v>
      </c>
      <c r="L2615" t="s">
        <v>920</v>
      </c>
      <c r="N2615">
        <v>1282</v>
      </c>
      <c r="O2615" t="s">
        <v>857</v>
      </c>
      <c r="P2615">
        <f t="shared" si="40"/>
        <v>27</v>
      </c>
    </row>
    <row r="2616" spans="1:16" x14ac:dyDescent="0.25">
      <c r="A2616" t="s">
        <v>669</v>
      </c>
      <c r="B2616">
        <v>1328</v>
      </c>
      <c r="C2616" t="s">
        <v>669</v>
      </c>
      <c r="D2616" t="s">
        <v>865</v>
      </c>
      <c r="E2616" t="s">
        <v>910</v>
      </c>
      <c r="F2616">
        <v>5</v>
      </c>
      <c r="H2616" t="s">
        <v>684</v>
      </c>
      <c r="K2616">
        <v>1328</v>
      </c>
      <c r="L2616" t="s">
        <v>920</v>
      </c>
      <c r="N2616">
        <v>1328</v>
      </c>
      <c r="O2616" t="s">
        <v>931</v>
      </c>
      <c r="P2616">
        <f t="shared" si="40"/>
        <v>0</v>
      </c>
    </row>
    <row r="2617" spans="1:16" x14ac:dyDescent="0.25">
      <c r="A2617" t="s">
        <v>669</v>
      </c>
      <c r="B2617">
        <v>1329</v>
      </c>
      <c r="C2617">
        <v>1400</v>
      </c>
      <c r="D2617" t="s">
        <v>857</v>
      </c>
      <c r="E2617">
        <v>5</v>
      </c>
      <c r="F2617">
        <v>5</v>
      </c>
      <c r="G2617" t="s">
        <v>684</v>
      </c>
      <c r="H2617" t="s">
        <v>684</v>
      </c>
      <c r="J2617">
        <v>1400</v>
      </c>
      <c r="K2617">
        <v>1329</v>
      </c>
      <c r="L2617" t="s">
        <v>921</v>
      </c>
      <c r="M2617">
        <v>1400</v>
      </c>
      <c r="N2617">
        <v>1329</v>
      </c>
      <c r="O2617" t="s">
        <v>921</v>
      </c>
      <c r="P2617">
        <f t="shared" si="40"/>
        <v>0</v>
      </c>
    </row>
    <row r="2618" spans="1:16" x14ac:dyDescent="0.25">
      <c r="A2618" t="s">
        <v>334</v>
      </c>
      <c r="B2618">
        <v>161</v>
      </c>
      <c r="C2618">
        <v>176</v>
      </c>
      <c r="D2618" t="s">
        <v>303</v>
      </c>
      <c r="E2618">
        <v>58</v>
      </c>
      <c r="F2618">
        <v>58</v>
      </c>
      <c r="G2618" t="s">
        <v>814</v>
      </c>
      <c r="H2618" t="s">
        <v>814</v>
      </c>
      <c r="J2618">
        <v>176</v>
      </c>
      <c r="K2618">
        <v>161</v>
      </c>
      <c r="L2618" t="s">
        <v>303</v>
      </c>
      <c r="M2618">
        <v>176</v>
      </c>
      <c r="N2618">
        <v>161</v>
      </c>
      <c r="O2618" t="s">
        <v>303</v>
      </c>
      <c r="P2618">
        <f t="shared" si="40"/>
        <v>0</v>
      </c>
    </row>
    <row r="2619" spans="1:16" x14ac:dyDescent="0.25">
      <c r="A2619" t="s">
        <v>669</v>
      </c>
      <c r="B2619">
        <v>1330</v>
      </c>
      <c r="C2619" t="s">
        <v>669</v>
      </c>
      <c r="D2619" t="s">
        <v>857</v>
      </c>
      <c r="E2619" t="s">
        <v>910</v>
      </c>
      <c r="F2619">
        <v>5</v>
      </c>
      <c r="H2619" t="s">
        <v>684</v>
      </c>
      <c r="I2619" t="s">
        <v>932</v>
      </c>
      <c r="K2619">
        <v>1330</v>
      </c>
      <c r="L2619" t="s">
        <v>920</v>
      </c>
      <c r="N2619">
        <v>1330</v>
      </c>
      <c r="O2619" t="s">
        <v>857</v>
      </c>
      <c r="P2619">
        <f t="shared" si="40"/>
        <v>27</v>
      </c>
    </row>
    <row r="2620" spans="1:16" x14ac:dyDescent="0.25">
      <c r="A2620" t="s">
        <v>669</v>
      </c>
      <c r="B2620">
        <v>1331</v>
      </c>
      <c r="C2620" t="s">
        <v>669</v>
      </c>
      <c r="D2620" t="s">
        <v>865</v>
      </c>
      <c r="E2620" t="s">
        <v>910</v>
      </c>
      <c r="F2620">
        <v>5</v>
      </c>
      <c r="H2620" t="s">
        <v>684</v>
      </c>
      <c r="K2620">
        <v>1331</v>
      </c>
      <c r="L2620" t="s">
        <v>920</v>
      </c>
      <c r="N2620">
        <v>1331</v>
      </c>
      <c r="O2620" t="s">
        <v>931</v>
      </c>
      <c r="P2620">
        <f t="shared" si="40"/>
        <v>0</v>
      </c>
    </row>
    <row r="2621" spans="1:16" x14ac:dyDescent="0.25">
      <c r="A2621" t="s">
        <v>669</v>
      </c>
      <c r="B2621">
        <v>1336</v>
      </c>
      <c r="C2621">
        <v>1372</v>
      </c>
      <c r="D2621" t="s">
        <v>857</v>
      </c>
      <c r="E2621">
        <v>5</v>
      </c>
      <c r="F2621">
        <v>5</v>
      </c>
      <c r="G2621" t="s">
        <v>684</v>
      </c>
      <c r="H2621" t="s">
        <v>684</v>
      </c>
      <c r="J2621">
        <v>1372</v>
      </c>
      <c r="K2621">
        <v>1336</v>
      </c>
      <c r="L2621" t="s">
        <v>921</v>
      </c>
      <c r="M2621">
        <v>1372</v>
      </c>
      <c r="N2621">
        <v>1336</v>
      </c>
      <c r="O2621" t="s">
        <v>921</v>
      </c>
      <c r="P2621">
        <f t="shared" si="40"/>
        <v>0</v>
      </c>
    </row>
    <row r="2622" spans="1:16" x14ac:dyDescent="0.25">
      <c r="A2622" t="s">
        <v>669</v>
      </c>
      <c r="B2622">
        <v>1336</v>
      </c>
      <c r="C2622" t="s">
        <v>669</v>
      </c>
      <c r="D2622" t="s">
        <v>857</v>
      </c>
      <c r="E2622" t="s">
        <v>910</v>
      </c>
      <c r="F2622">
        <v>5</v>
      </c>
      <c r="H2622" t="s">
        <v>684</v>
      </c>
      <c r="I2622" t="s">
        <v>932</v>
      </c>
      <c r="K2622">
        <v>1336</v>
      </c>
      <c r="L2622" t="s">
        <v>920</v>
      </c>
      <c r="N2622">
        <v>1336</v>
      </c>
      <c r="O2622" t="s">
        <v>857</v>
      </c>
      <c r="P2622">
        <f t="shared" si="40"/>
        <v>27</v>
      </c>
    </row>
    <row r="2623" spans="1:16" x14ac:dyDescent="0.25">
      <c r="A2623" t="s">
        <v>669</v>
      </c>
      <c r="B2623">
        <v>1347</v>
      </c>
      <c r="C2623" t="s">
        <v>669</v>
      </c>
      <c r="D2623" t="s">
        <v>865</v>
      </c>
      <c r="E2623" t="s">
        <v>910</v>
      </c>
      <c r="F2623">
        <v>5</v>
      </c>
      <c r="H2623" t="s">
        <v>684</v>
      </c>
      <c r="K2623">
        <v>1347</v>
      </c>
      <c r="L2623" t="s">
        <v>920</v>
      </c>
      <c r="N2623">
        <v>1347</v>
      </c>
      <c r="O2623" t="s">
        <v>931</v>
      </c>
      <c r="P2623">
        <f t="shared" si="40"/>
        <v>0</v>
      </c>
    </row>
    <row r="2624" spans="1:16" x14ac:dyDescent="0.25">
      <c r="A2624" t="s">
        <v>669</v>
      </c>
      <c r="B2624">
        <v>1354</v>
      </c>
      <c r="C2624">
        <v>1400</v>
      </c>
      <c r="D2624" t="s">
        <v>857</v>
      </c>
      <c r="E2624">
        <v>5</v>
      </c>
      <c r="F2624">
        <v>5</v>
      </c>
      <c r="G2624" t="s">
        <v>684</v>
      </c>
      <c r="H2624" t="s">
        <v>684</v>
      </c>
      <c r="J2624">
        <v>1400</v>
      </c>
      <c r="K2624">
        <v>1354</v>
      </c>
      <c r="L2624" t="s">
        <v>921</v>
      </c>
      <c r="M2624">
        <v>1400</v>
      </c>
      <c r="N2624">
        <v>1354</v>
      </c>
      <c r="O2624" t="s">
        <v>921</v>
      </c>
      <c r="P2624">
        <f t="shared" si="40"/>
        <v>0</v>
      </c>
    </row>
    <row r="2625" spans="1:16" x14ac:dyDescent="0.25">
      <c r="A2625" t="s">
        <v>669</v>
      </c>
      <c r="B2625">
        <v>161</v>
      </c>
      <c r="C2625">
        <v>176</v>
      </c>
      <c r="D2625" t="s">
        <v>303</v>
      </c>
      <c r="E2625" t="s">
        <v>910</v>
      </c>
      <c r="F2625" t="s">
        <v>910</v>
      </c>
      <c r="J2625">
        <v>176</v>
      </c>
      <c r="K2625">
        <v>161</v>
      </c>
      <c r="L2625" t="s">
        <v>303</v>
      </c>
      <c r="M2625">
        <v>176</v>
      </c>
      <c r="N2625">
        <v>161</v>
      </c>
      <c r="O2625" t="s">
        <v>303</v>
      </c>
      <c r="P2625">
        <f t="shared" si="40"/>
        <v>0</v>
      </c>
    </row>
    <row r="2626" spans="1:16" x14ac:dyDescent="0.25">
      <c r="A2626" t="s">
        <v>669</v>
      </c>
      <c r="B2626">
        <v>176</v>
      </c>
      <c r="C2626">
        <v>161</v>
      </c>
      <c r="D2626" t="s">
        <v>303</v>
      </c>
      <c r="E2626" t="s">
        <v>910</v>
      </c>
      <c r="F2626" t="s">
        <v>910</v>
      </c>
      <c r="J2626">
        <v>176</v>
      </c>
      <c r="K2626">
        <v>161</v>
      </c>
      <c r="L2626" t="s">
        <v>303</v>
      </c>
      <c r="M2626">
        <v>176</v>
      </c>
      <c r="N2626">
        <v>161</v>
      </c>
      <c r="O2626" t="s">
        <v>303</v>
      </c>
      <c r="P2626">
        <f t="shared" si="40"/>
        <v>0</v>
      </c>
    </row>
    <row r="2627" spans="1:16" x14ac:dyDescent="0.25">
      <c r="A2627" t="s">
        <v>669</v>
      </c>
      <c r="B2627">
        <v>1357</v>
      </c>
      <c r="C2627">
        <v>1375</v>
      </c>
      <c r="D2627" t="s">
        <v>857</v>
      </c>
      <c r="E2627">
        <v>5</v>
      </c>
      <c r="F2627">
        <v>5</v>
      </c>
      <c r="G2627" t="s">
        <v>684</v>
      </c>
      <c r="H2627" t="s">
        <v>684</v>
      </c>
      <c r="J2627">
        <v>1375</v>
      </c>
      <c r="K2627">
        <v>1357</v>
      </c>
      <c r="L2627" t="s">
        <v>921</v>
      </c>
      <c r="M2627">
        <v>1375</v>
      </c>
      <c r="N2627">
        <v>1357</v>
      </c>
      <c r="O2627" t="s">
        <v>921</v>
      </c>
      <c r="P2627">
        <f t="shared" ref="P2627:P2690" si="41">LEN(I2627)</f>
        <v>0</v>
      </c>
    </row>
    <row r="2628" spans="1:16" x14ac:dyDescent="0.25">
      <c r="A2628" t="s">
        <v>669</v>
      </c>
      <c r="B2628">
        <v>1396</v>
      </c>
      <c r="C2628" t="s">
        <v>669</v>
      </c>
      <c r="D2628" t="s">
        <v>865</v>
      </c>
      <c r="E2628" t="s">
        <v>910</v>
      </c>
      <c r="F2628">
        <v>5</v>
      </c>
      <c r="H2628" t="s">
        <v>684</v>
      </c>
      <c r="K2628">
        <v>1396</v>
      </c>
      <c r="L2628" t="s">
        <v>920</v>
      </c>
      <c r="N2628">
        <v>1396</v>
      </c>
      <c r="O2628" t="s">
        <v>931</v>
      </c>
      <c r="P2628">
        <f t="shared" si="41"/>
        <v>0</v>
      </c>
    </row>
    <row r="2629" spans="1:16" x14ac:dyDescent="0.25">
      <c r="A2629" t="s">
        <v>669</v>
      </c>
      <c r="B2629">
        <v>1405</v>
      </c>
      <c r="C2629">
        <v>1530</v>
      </c>
      <c r="D2629" t="s">
        <v>866</v>
      </c>
      <c r="E2629">
        <v>5</v>
      </c>
      <c r="F2629">
        <v>5</v>
      </c>
      <c r="G2629" t="s">
        <v>684</v>
      </c>
      <c r="H2629" t="s">
        <v>684</v>
      </c>
      <c r="J2629">
        <v>1530</v>
      </c>
      <c r="K2629">
        <v>1405</v>
      </c>
      <c r="L2629" t="s">
        <v>920</v>
      </c>
      <c r="M2629">
        <v>1530</v>
      </c>
      <c r="N2629">
        <v>1405</v>
      </c>
      <c r="O2629" t="s">
        <v>920</v>
      </c>
      <c r="P2629">
        <f t="shared" si="41"/>
        <v>0</v>
      </c>
    </row>
    <row r="2630" spans="1:16" x14ac:dyDescent="0.25">
      <c r="A2630" t="s">
        <v>335</v>
      </c>
      <c r="B2630">
        <v>172</v>
      </c>
      <c r="C2630">
        <v>176</v>
      </c>
      <c r="D2630" t="s">
        <v>303</v>
      </c>
      <c r="E2630">
        <v>62</v>
      </c>
      <c r="F2630">
        <v>62</v>
      </c>
      <c r="G2630" t="s">
        <v>751</v>
      </c>
      <c r="H2630" t="s">
        <v>751</v>
      </c>
      <c r="J2630">
        <v>176</v>
      </c>
      <c r="K2630">
        <v>172</v>
      </c>
      <c r="L2630" t="s">
        <v>303</v>
      </c>
      <c r="M2630">
        <v>176</v>
      </c>
      <c r="N2630">
        <v>172</v>
      </c>
      <c r="O2630" t="s">
        <v>303</v>
      </c>
      <c r="P2630">
        <f t="shared" si="41"/>
        <v>0</v>
      </c>
    </row>
    <row r="2631" spans="1:16" x14ac:dyDescent="0.25">
      <c r="A2631" t="s">
        <v>669</v>
      </c>
      <c r="B2631">
        <v>179</v>
      </c>
      <c r="C2631">
        <v>179</v>
      </c>
      <c r="D2631" t="s">
        <v>669</v>
      </c>
      <c r="E2631" t="s">
        <v>910</v>
      </c>
      <c r="F2631" t="s">
        <v>910</v>
      </c>
      <c r="I2631" t="s">
        <v>927</v>
      </c>
      <c r="J2631">
        <v>179</v>
      </c>
      <c r="K2631">
        <v>179</v>
      </c>
      <c r="L2631" t="s">
        <v>930</v>
      </c>
      <c r="M2631">
        <v>179</v>
      </c>
      <c r="N2631">
        <v>179</v>
      </c>
      <c r="P2631">
        <f t="shared" si="41"/>
        <v>14</v>
      </c>
    </row>
    <row r="2632" spans="1:16" x14ac:dyDescent="0.25">
      <c r="A2632" t="s">
        <v>669</v>
      </c>
      <c r="B2632">
        <v>175</v>
      </c>
      <c r="C2632">
        <v>183</v>
      </c>
      <c r="D2632" t="s">
        <v>303</v>
      </c>
      <c r="E2632" t="s">
        <v>910</v>
      </c>
      <c r="F2632" t="s">
        <v>910</v>
      </c>
      <c r="J2632">
        <v>183</v>
      </c>
      <c r="K2632">
        <v>175</v>
      </c>
      <c r="L2632" t="s">
        <v>303</v>
      </c>
      <c r="M2632">
        <v>183</v>
      </c>
      <c r="N2632">
        <v>175</v>
      </c>
      <c r="O2632" t="s">
        <v>303</v>
      </c>
      <c r="P2632">
        <f t="shared" si="41"/>
        <v>0</v>
      </c>
    </row>
    <row r="2633" spans="1:16" x14ac:dyDescent="0.25">
      <c r="A2633" t="s">
        <v>329</v>
      </c>
      <c r="B2633">
        <v>176</v>
      </c>
      <c r="C2633">
        <v>183</v>
      </c>
      <c r="D2633" t="s">
        <v>303</v>
      </c>
      <c r="E2633">
        <v>64</v>
      </c>
      <c r="F2633">
        <v>64</v>
      </c>
      <c r="G2633" t="s">
        <v>750</v>
      </c>
      <c r="H2633" t="s">
        <v>750</v>
      </c>
      <c r="J2633">
        <v>183</v>
      </c>
      <c r="K2633">
        <v>176</v>
      </c>
      <c r="L2633" t="s">
        <v>303</v>
      </c>
      <c r="M2633">
        <v>183</v>
      </c>
      <c r="N2633">
        <v>176</v>
      </c>
      <c r="O2633" t="s">
        <v>303</v>
      </c>
      <c r="P2633">
        <f t="shared" si="41"/>
        <v>0</v>
      </c>
    </row>
    <row r="2634" spans="1:16" x14ac:dyDescent="0.25">
      <c r="A2634">
        <v>137.9</v>
      </c>
      <c r="B2634">
        <v>103.5</v>
      </c>
      <c r="C2634">
        <v>183.6</v>
      </c>
      <c r="D2634" t="s">
        <v>303</v>
      </c>
      <c r="E2634" t="s">
        <v>910</v>
      </c>
      <c r="F2634" t="s">
        <v>910</v>
      </c>
      <c r="J2634">
        <v>183.6</v>
      </c>
      <c r="K2634">
        <v>103.5</v>
      </c>
      <c r="L2634" t="s">
        <v>303</v>
      </c>
      <c r="M2634">
        <v>183.6</v>
      </c>
      <c r="N2634">
        <v>103.5</v>
      </c>
      <c r="O2634" t="s">
        <v>303</v>
      </c>
      <c r="P2634">
        <f t="shared" si="41"/>
        <v>0</v>
      </c>
    </row>
    <row r="2635" spans="1:16" x14ac:dyDescent="0.25">
      <c r="A2635" t="s">
        <v>669</v>
      </c>
      <c r="B2635">
        <v>183</v>
      </c>
      <c r="C2635">
        <v>189</v>
      </c>
      <c r="D2635" t="s">
        <v>303</v>
      </c>
      <c r="E2635" t="s">
        <v>910</v>
      </c>
      <c r="F2635" t="s">
        <v>910</v>
      </c>
      <c r="J2635">
        <v>189</v>
      </c>
      <c r="K2635">
        <v>183</v>
      </c>
      <c r="L2635" t="s">
        <v>303</v>
      </c>
      <c r="M2635">
        <v>189</v>
      </c>
      <c r="N2635">
        <v>183</v>
      </c>
      <c r="O2635" t="s">
        <v>303</v>
      </c>
      <c r="P2635">
        <f t="shared" si="41"/>
        <v>0</v>
      </c>
    </row>
    <row r="2636" spans="1:16" x14ac:dyDescent="0.25">
      <c r="A2636" t="s">
        <v>327</v>
      </c>
      <c r="B2636">
        <v>183</v>
      </c>
      <c r="C2636">
        <v>190</v>
      </c>
      <c r="D2636" t="s">
        <v>303</v>
      </c>
      <c r="E2636">
        <v>65</v>
      </c>
      <c r="F2636">
        <v>65</v>
      </c>
      <c r="G2636" t="s">
        <v>733</v>
      </c>
      <c r="H2636" t="s">
        <v>733</v>
      </c>
      <c r="J2636">
        <v>190</v>
      </c>
      <c r="K2636">
        <v>183</v>
      </c>
      <c r="L2636" t="s">
        <v>303</v>
      </c>
      <c r="M2636">
        <v>190</v>
      </c>
      <c r="N2636">
        <v>183</v>
      </c>
      <c r="O2636" t="s">
        <v>303</v>
      </c>
      <c r="P2636">
        <f t="shared" si="41"/>
        <v>0</v>
      </c>
    </row>
    <row r="2637" spans="1:16" x14ac:dyDescent="0.25">
      <c r="A2637" t="s">
        <v>328</v>
      </c>
      <c r="B2637">
        <v>190</v>
      </c>
      <c r="C2637">
        <v>197</v>
      </c>
      <c r="D2637" t="s">
        <v>303</v>
      </c>
      <c r="E2637">
        <v>66</v>
      </c>
      <c r="F2637">
        <v>66</v>
      </c>
      <c r="G2637" t="s">
        <v>734</v>
      </c>
      <c r="H2637" t="s">
        <v>734</v>
      </c>
      <c r="J2637">
        <v>197</v>
      </c>
      <c r="K2637">
        <v>190</v>
      </c>
      <c r="L2637" t="s">
        <v>303</v>
      </c>
      <c r="M2637">
        <v>197</v>
      </c>
      <c r="N2637">
        <v>190</v>
      </c>
      <c r="O2637" t="s">
        <v>303</v>
      </c>
      <c r="P2637">
        <f t="shared" si="41"/>
        <v>0</v>
      </c>
    </row>
    <row r="2638" spans="1:16" x14ac:dyDescent="0.25">
      <c r="A2638" t="s">
        <v>669</v>
      </c>
      <c r="B2638">
        <v>1412</v>
      </c>
      <c r="C2638" t="s">
        <v>669</v>
      </c>
      <c r="D2638" t="s">
        <v>865</v>
      </c>
      <c r="E2638" t="s">
        <v>910</v>
      </c>
      <c r="F2638">
        <v>5</v>
      </c>
      <c r="H2638" t="s">
        <v>684</v>
      </c>
      <c r="K2638">
        <v>1412</v>
      </c>
      <c r="L2638" t="s">
        <v>920</v>
      </c>
      <c r="N2638">
        <v>1412</v>
      </c>
      <c r="O2638" t="s">
        <v>931</v>
      </c>
      <c r="P2638">
        <f t="shared" si="41"/>
        <v>0</v>
      </c>
    </row>
    <row r="2639" spans="1:16" x14ac:dyDescent="0.25">
      <c r="A2639" t="s">
        <v>669</v>
      </c>
      <c r="B2639">
        <v>65</v>
      </c>
      <c r="C2639">
        <v>199</v>
      </c>
      <c r="D2639" t="s">
        <v>303</v>
      </c>
      <c r="E2639" t="s">
        <v>910</v>
      </c>
      <c r="F2639" t="s">
        <v>910</v>
      </c>
      <c r="J2639">
        <v>199</v>
      </c>
      <c r="K2639">
        <v>65</v>
      </c>
      <c r="L2639" t="s">
        <v>303</v>
      </c>
      <c r="M2639">
        <v>199</v>
      </c>
      <c r="N2639">
        <v>65</v>
      </c>
      <c r="O2639" t="s">
        <v>303</v>
      </c>
      <c r="P2639">
        <f t="shared" si="41"/>
        <v>0</v>
      </c>
    </row>
    <row r="2640" spans="1:16" x14ac:dyDescent="0.25">
      <c r="A2640" t="s">
        <v>669</v>
      </c>
      <c r="B2640">
        <v>194</v>
      </c>
      <c r="C2640">
        <v>199</v>
      </c>
      <c r="D2640" t="s">
        <v>860</v>
      </c>
      <c r="E2640" t="s">
        <v>910</v>
      </c>
      <c r="F2640" t="s">
        <v>910</v>
      </c>
      <c r="J2640">
        <v>199</v>
      </c>
      <c r="K2640">
        <v>194</v>
      </c>
      <c r="L2640" t="s">
        <v>303</v>
      </c>
      <c r="M2640">
        <v>199</v>
      </c>
      <c r="N2640">
        <v>194</v>
      </c>
      <c r="O2640" t="s">
        <v>303</v>
      </c>
      <c r="P2640">
        <f t="shared" si="41"/>
        <v>0</v>
      </c>
    </row>
    <row r="2641" spans="1:16" x14ac:dyDescent="0.25">
      <c r="A2641" t="s">
        <v>669</v>
      </c>
      <c r="B2641">
        <v>65.5</v>
      </c>
      <c r="C2641">
        <v>201</v>
      </c>
      <c r="D2641" t="s">
        <v>303</v>
      </c>
      <c r="E2641" t="s">
        <v>910</v>
      </c>
      <c r="F2641" t="s">
        <v>910</v>
      </c>
      <c r="J2641">
        <v>201</v>
      </c>
      <c r="K2641">
        <v>65.5</v>
      </c>
      <c r="L2641" t="s">
        <v>303</v>
      </c>
      <c r="M2641">
        <v>201</v>
      </c>
      <c r="N2641">
        <v>65.5</v>
      </c>
      <c r="O2641" t="s">
        <v>303</v>
      </c>
      <c r="P2641">
        <f t="shared" si="41"/>
        <v>0</v>
      </c>
    </row>
    <row r="2642" spans="1:16" x14ac:dyDescent="0.25">
      <c r="A2642" t="s">
        <v>669</v>
      </c>
      <c r="B2642">
        <v>145</v>
      </c>
      <c r="C2642">
        <v>201</v>
      </c>
      <c r="D2642" t="s">
        <v>303</v>
      </c>
      <c r="E2642" t="s">
        <v>910</v>
      </c>
      <c r="F2642" t="s">
        <v>910</v>
      </c>
      <c r="J2642">
        <v>201</v>
      </c>
      <c r="K2642">
        <v>145</v>
      </c>
      <c r="L2642" t="s">
        <v>303</v>
      </c>
      <c r="M2642">
        <v>201</v>
      </c>
      <c r="N2642">
        <v>145</v>
      </c>
      <c r="O2642" t="s">
        <v>303</v>
      </c>
      <c r="P2642">
        <f t="shared" si="41"/>
        <v>0</v>
      </c>
    </row>
    <row r="2643" spans="1:16" x14ac:dyDescent="0.25">
      <c r="A2643" t="s">
        <v>669</v>
      </c>
      <c r="B2643">
        <v>176</v>
      </c>
      <c r="C2643">
        <v>201</v>
      </c>
      <c r="D2643" t="s">
        <v>303</v>
      </c>
      <c r="E2643" t="s">
        <v>910</v>
      </c>
      <c r="F2643" t="s">
        <v>910</v>
      </c>
      <c r="J2643">
        <v>201</v>
      </c>
      <c r="K2643">
        <v>176</v>
      </c>
      <c r="L2643" t="s">
        <v>303</v>
      </c>
      <c r="M2643">
        <v>201</v>
      </c>
      <c r="N2643">
        <v>176</v>
      </c>
      <c r="O2643" t="s">
        <v>303</v>
      </c>
      <c r="P2643">
        <f t="shared" si="41"/>
        <v>0</v>
      </c>
    </row>
    <row r="2644" spans="1:16" x14ac:dyDescent="0.25">
      <c r="A2644" t="s">
        <v>669</v>
      </c>
      <c r="B2644">
        <v>200</v>
      </c>
      <c r="C2644">
        <v>201</v>
      </c>
      <c r="D2644" t="s">
        <v>669</v>
      </c>
      <c r="E2644" t="s">
        <v>910</v>
      </c>
      <c r="F2644" t="s">
        <v>910</v>
      </c>
      <c r="I2644" t="s">
        <v>927</v>
      </c>
      <c r="J2644">
        <v>201</v>
      </c>
      <c r="K2644">
        <v>200</v>
      </c>
      <c r="L2644" t="s">
        <v>930</v>
      </c>
      <c r="M2644">
        <v>201</v>
      </c>
      <c r="N2644">
        <v>200</v>
      </c>
      <c r="P2644">
        <f t="shared" si="41"/>
        <v>14</v>
      </c>
    </row>
    <row r="2645" spans="1:16" x14ac:dyDescent="0.25">
      <c r="A2645" t="s">
        <v>171</v>
      </c>
      <c r="B2645">
        <v>200</v>
      </c>
      <c r="C2645">
        <v>201.2</v>
      </c>
      <c r="D2645" t="s">
        <v>860</v>
      </c>
      <c r="E2645">
        <v>63</v>
      </c>
      <c r="F2645">
        <v>63</v>
      </c>
      <c r="G2645" t="s">
        <v>813</v>
      </c>
      <c r="H2645" t="s">
        <v>813</v>
      </c>
      <c r="J2645">
        <v>201.2</v>
      </c>
      <c r="K2645">
        <v>200</v>
      </c>
      <c r="L2645" t="s">
        <v>303</v>
      </c>
      <c r="M2645">
        <v>201.2</v>
      </c>
      <c r="N2645">
        <v>200</v>
      </c>
      <c r="O2645" t="s">
        <v>303</v>
      </c>
      <c r="P2645">
        <f t="shared" si="41"/>
        <v>0</v>
      </c>
    </row>
    <row r="2646" spans="1:16" x14ac:dyDescent="0.25">
      <c r="A2646" t="s">
        <v>325</v>
      </c>
      <c r="B2646">
        <v>145.5</v>
      </c>
      <c r="C2646">
        <v>201.5</v>
      </c>
      <c r="D2646" t="s">
        <v>303</v>
      </c>
      <c r="E2646">
        <v>53</v>
      </c>
      <c r="F2646">
        <v>53</v>
      </c>
      <c r="G2646" t="s">
        <v>711</v>
      </c>
      <c r="H2646" t="s">
        <v>711</v>
      </c>
      <c r="J2646">
        <v>201.5</v>
      </c>
      <c r="K2646">
        <v>145.5</v>
      </c>
      <c r="L2646" t="s">
        <v>303</v>
      </c>
      <c r="M2646">
        <v>201.5</v>
      </c>
      <c r="N2646">
        <v>145.5</v>
      </c>
      <c r="O2646" t="s">
        <v>303</v>
      </c>
      <c r="P2646">
        <f t="shared" si="41"/>
        <v>0</v>
      </c>
    </row>
    <row r="2647" spans="1:16" x14ac:dyDescent="0.25">
      <c r="A2647" t="s">
        <v>669</v>
      </c>
      <c r="B2647">
        <v>145.5</v>
      </c>
      <c r="C2647">
        <v>201.6</v>
      </c>
      <c r="D2647" t="s">
        <v>303</v>
      </c>
      <c r="E2647" t="s">
        <v>910</v>
      </c>
      <c r="F2647" t="s">
        <v>910</v>
      </c>
      <c r="J2647">
        <v>201.6</v>
      </c>
      <c r="K2647">
        <v>145.5</v>
      </c>
      <c r="L2647" t="s">
        <v>303</v>
      </c>
      <c r="M2647">
        <v>201.6</v>
      </c>
      <c r="N2647">
        <v>145.5</v>
      </c>
      <c r="O2647" t="s">
        <v>303</v>
      </c>
      <c r="P2647">
        <f t="shared" si="41"/>
        <v>0</v>
      </c>
    </row>
    <row r="2648" spans="1:16" x14ac:dyDescent="0.25">
      <c r="A2648" t="s">
        <v>326</v>
      </c>
      <c r="B2648">
        <v>176</v>
      </c>
      <c r="C2648">
        <v>201.6</v>
      </c>
      <c r="D2648" t="s">
        <v>303</v>
      </c>
      <c r="E2648">
        <v>63</v>
      </c>
      <c r="F2648">
        <v>63</v>
      </c>
      <c r="G2648" t="s">
        <v>813</v>
      </c>
      <c r="H2648" t="s">
        <v>813</v>
      </c>
      <c r="J2648">
        <v>201.6</v>
      </c>
      <c r="K2648">
        <v>176</v>
      </c>
      <c r="L2648" t="s">
        <v>303</v>
      </c>
      <c r="M2648">
        <v>201.6</v>
      </c>
      <c r="N2648">
        <v>176</v>
      </c>
      <c r="O2648" t="s">
        <v>303</v>
      </c>
      <c r="P2648">
        <f t="shared" si="41"/>
        <v>0</v>
      </c>
    </row>
    <row r="2649" spans="1:16" x14ac:dyDescent="0.25">
      <c r="A2649" t="s">
        <v>341</v>
      </c>
      <c r="B2649">
        <v>201.6</v>
      </c>
      <c r="C2649">
        <v>204</v>
      </c>
      <c r="D2649" t="s">
        <v>303</v>
      </c>
      <c r="E2649">
        <v>70</v>
      </c>
      <c r="F2649">
        <v>70</v>
      </c>
      <c r="G2649" t="s">
        <v>754</v>
      </c>
      <c r="H2649" t="s">
        <v>754</v>
      </c>
      <c r="J2649">
        <v>204</v>
      </c>
      <c r="K2649">
        <v>201.6</v>
      </c>
      <c r="L2649" t="s">
        <v>303</v>
      </c>
      <c r="M2649">
        <v>204</v>
      </c>
      <c r="N2649">
        <v>201.6</v>
      </c>
      <c r="O2649" t="s">
        <v>303</v>
      </c>
      <c r="P2649">
        <f t="shared" si="41"/>
        <v>0</v>
      </c>
    </row>
    <row r="2650" spans="1:16" x14ac:dyDescent="0.25">
      <c r="A2650" t="s">
        <v>633</v>
      </c>
      <c r="B2650">
        <v>180</v>
      </c>
      <c r="C2650">
        <v>205</v>
      </c>
      <c r="D2650" t="s">
        <v>860</v>
      </c>
      <c r="E2650">
        <v>68</v>
      </c>
      <c r="F2650">
        <v>53</v>
      </c>
      <c r="G2650" t="s">
        <v>717</v>
      </c>
      <c r="H2650" t="s">
        <v>711</v>
      </c>
      <c r="J2650">
        <v>205</v>
      </c>
      <c r="K2650">
        <v>180</v>
      </c>
      <c r="L2650" t="s">
        <v>303</v>
      </c>
      <c r="M2650">
        <v>205</v>
      </c>
      <c r="N2650">
        <v>180</v>
      </c>
      <c r="O2650" t="s">
        <v>303</v>
      </c>
      <c r="P2650">
        <f t="shared" si="41"/>
        <v>0</v>
      </c>
    </row>
    <row r="2651" spans="1:16" x14ac:dyDescent="0.25">
      <c r="A2651" t="s">
        <v>578</v>
      </c>
      <c r="B2651">
        <v>1.4300000000000001E-3</v>
      </c>
      <c r="C2651">
        <v>1.5100000000000001E-3</v>
      </c>
      <c r="D2651" t="s">
        <v>669</v>
      </c>
      <c r="E2651">
        <v>5</v>
      </c>
      <c r="F2651">
        <v>5</v>
      </c>
      <c r="G2651" t="s">
        <v>684</v>
      </c>
      <c r="H2651" t="s">
        <v>684</v>
      </c>
      <c r="I2651" t="s">
        <v>927</v>
      </c>
      <c r="J2651">
        <v>1510</v>
      </c>
      <c r="K2651">
        <v>1430</v>
      </c>
      <c r="L2651" t="s">
        <v>921</v>
      </c>
      <c r="M2651">
        <v>1.5100000000000001E-3</v>
      </c>
      <c r="N2651">
        <v>1.4300000000000001E-3</v>
      </c>
      <c r="P2651">
        <f t="shared" si="41"/>
        <v>14</v>
      </c>
    </row>
    <row r="2652" spans="1:16" x14ac:dyDescent="0.25">
      <c r="A2652" t="s">
        <v>669</v>
      </c>
      <c r="B2652">
        <v>1458</v>
      </c>
      <c r="C2652">
        <v>1460</v>
      </c>
      <c r="D2652" t="s">
        <v>857</v>
      </c>
      <c r="E2652">
        <v>5</v>
      </c>
      <c r="F2652">
        <v>5</v>
      </c>
      <c r="G2652" t="s">
        <v>684</v>
      </c>
      <c r="H2652" t="s">
        <v>684</v>
      </c>
      <c r="J2652">
        <v>1460</v>
      </c>
      <c r="K2652">
        <v>1458</v>
      </c>
      <c r="L2652" t="s">
        <v>921</v>
      </c>
      <c r="M2652">
        <v>1460</v>
      </c>
      <c r="N2652">
        <v>1458</v>
      </c>
      <c r="O2652" t="s">
        <v>921</v>
      </c>
      <c r="P2652">
        <f t="shared" si="41"/>
        <v>0</v>
      </c>
    </row>
    <row r="2653" spans="1:16" x14ac:dyDescent="0.25">
      <c r="A2653">
        <v>198</v>
      </c>
      <c r="B2653">
        <v>198</v>
      </c>
      <c r="C2653">
        <v>205</v>
      </c>
      <c r="D2653" t="s">
        <v>860</v>
      </c>
      <c r="E2653" t="s">
        <v>910</v>
      </c>
      <c r="F2653" t="s">
        <v>910</v>
      </c>
      <c r="J2653">
        <v>205</v>
      </c>
      <c r="K2653">
        <v>198</v>
      </c>
      <c r="L2653" t="s">
        <v>303</v>
      </c>
      <c r="M2653">
        <v>205</v>
      </c>
      <c r="N2653">
        <v>198</v>
      </c>
      <c r="O2653" t="s">
        <v>303</v>
      </c>
      <c r="P2653">
        <f t="shared" si="41"/>
        <v>0</v>
      </c>
    </row>
    <row r="2654" spans="1:16" x14ac:dyDescent="0.25">
      <c r="A2654" t="s">
        <v>669</v>
      </c>
      <c r="B2654">
        <v>201</v>
      </c>
      <c r="C2654">
        <v>206</v>
      </c>
      <c r="D2654" t="s">
        <v>860</v>
      </c>
      <c r="E2654" t="s">
        <v>910</v>
      </c>
      <c r="F2654" t="s">
        <v>910</v>
      </c>
      <c r="J2654">
        <v>206</v>
      </c>
      <c r="K2654">
        <v>201</v>
      </c>
      <c r="L2654" t="s">
        <v>303</v>
      </c>
      <c r="M2654">
        <v>206</v>
      </c>
      <c r="N2654">
        <v>201</v>
      </c>
      <c r="O2654" t="s">
        <v>303</v>
      </c>
      <c r="P2654">
        <f t="shared" si="41"/>
        <v>0</v>
      </c>
    </row>
    <row r="2655" spans="1:16" x14ac:dyDescent="0.25">
      <c r="A2655" t="s">
        <v>669</v>
      </c>
      <c r="B2655">
        <v>200</v>
      </c>
      <c r="C2655">
        <v>210</v>
      </c>
      <c r="D2655" t="s">
        <v>860</v>
      </c>
      <c r="E2655" t="s">
        <v>910</v>
      </c>
      <c r="F2655" t="s">
        <v>910</v>
      </c>
      <c r="J2655">
        <v>210</v>
      </c>
      <c r="K2655">
        <v>200</v>
      </c>
      <c r="L2655" t="s">
        <v>303</v>
      </c>
      <c r="M2655">
        <v>210</v>
      </c>
      <c r="N2655">
        <v>200</v>
      </c>
      <c r="O2655" t="s">
        <v>303</v>
      </c>
      <c r="P2655">
        <f t="shared" si="41"/>
        <v>0</v>
      </c>
    </row>
    <row r="2656" spans="1:16" x14ac:dyDescent="0.25">
      <c r="A2656" t="s">
        <v>272</v>
      </c>
      <c r="B2656">
        <v>212.1</v>
      </c>
      <c r="C2656">
        <v>214.5</v>
      </c>
      <c r="D2656" t="s">
        <v>303</v>
      </c>
      <c r="E2656">
        <v>69</v>
      </c>
      <c r="F2656">
        <v>69</v>
      </c>
      <c r="G2656" t="s">
        <v>817</v>
      </c>
      <c r="H2656" t="s">
        <v>817</v>
      </c>
      <c r="J2656">
        <v>214.5</v>
      </c>
      <c r="K2656">
        <v>212.1</v>
      </c>
      <c r="L2656" t="s">
        <v>303</v>
      </c>
      <c r="M2656">
        <v>214.5</v>
      </c>
      <c r="N2656">
        <v>212.1</v>
      </c>
      <c r="O2656" t="s">
        <v>303</v>
      </c>
      <c r="P2656">
        <f t="shared" si="41"/>
        <v>0</v>
      </c>
    </row>
    <row r="2657" spans="1:16" x14ac:dyDescent="0.25">
      <c r="A2657" t="s">
        <v>669</v>
      </c>
      <c r="B2657">
        <v>205</v>
      </c>
      <c r="C2657">
        <v>216</v>
      </c>
      <c r="D2657" t="s">
        <v>303</v>
      </c>
      <c r="E2657" t="s">
        <v>910</v>
      </c>
      <c r="F2657" t="s">
        <v>910</v>
      </c>
      <c r="J2657">
        <v>216</v>
      </c>
      <c r="K2657">
        <v>205</v>
      </c>
      <c r="L2657" t="s">
        <v>303</v>
      </c>
      <c r="M2657">
        <v>216</v>
      </c>
      <c r="N2657">
        <v>205</v>
      </c>
      <c r="O2657" t="s">
        <v>303</v>
      </c>
      <c r="P2657">
        <f t="shared" si="41"/>
        <v>0</v>
      </c>
    </row>
    <row r="2658" spans="1:16" x14ac:dyDescent="0.25">
      <c r="A2658" t="s">
        <v>669</v>
      </c>
      <c r="B2658">
        <v>1460</v>
      </c>
      <c r="C2658" t="s">
        <v>669</v>
      </c>
      <c r="D2658" t="s">
        <v>865</v>
      </c>
      <c r="E2658" t="s">
        <v>910</v>
      </c>
      <c r="F2658">
        <v>5</v>
      </c>
      <c r="H2658" t="s">
        <v>684</v>
      </c>
      <c r="K2658">
        <v>1460</v>
      </c>
      <c r="L2658" t="s">
        <v>920</v>
      </c>
      <c r="N2658">
        <v>1460</v>
      </c>
      <c r="O2658" t="s">
        <v>931</v>
      </c>
      <c r="P2658">
        <f t="shared" si="41"/>
        <v>0</v>
      </c>
    </row>
    <row r="2659" spans="1:16" x14ac:dyDescent="0.25">
      <c r="A2659" t="s">
        <v>625</v>
      </c>
      <c r="B2659">
        <v>214</v>
      </c>
      <c r="C2659">
        <v>216</v>
      </c>
      <c r="D2659" t="s">
        <v>303</v>
      </c>
      <c r="E2659">
        <v>68</v>
      </c>
      <c r="F2659">
        <v>68</v>
      </c>
      <c r="G2659" t="s">
        <v>717</v>
      </c>
      <c r="H2659" t="s">
        <v>717</v>
      </c>
      <c r="J2659">
        <v>216</v>
      </c>
      <c r="K2659">
        <v>214</v>
      </c>
      <c r="L2659" t="s">
        <v>303</v>
      </c>
      <c r="M2659">
        <v>216</v>
      </c>
      <c r="N2659">
        <v>214</v>
      </c>
      <c r="O2659" t="s">
        <v>303</v>
      </c>
      <c r="P2659">
        <f t="shared" si="41"/>
        <v>0</v>
      </c>
    </row>
    <row r="2660" spans="1:16" x14ac:dyDescent="0.25">
      <c r="A2660" t="s">
        <v>657</v>
      </c>
      <c r="B2660">
        <v>214.4</v>
      </c>
      <c r="C2660">
        <v>217.4</v>
      </c>
      <c r="D2660" t="s">
        <v>303</v>
      </c>
      <c r="E2660">
        <v>69</v>
      </c>
      <c r="F2660">
        <v>69</v>
      </c>
      <c r="G2660" t="s">
        <v>817</v>
      </c>
      <c r="H2660" t="s">
        <v>817</v>
      </c>
      <c r="J2660">
        <v>217.4</v>
      </c>
      <c r="K2660">
        <v>214.4</v>
      </c>
      <c r="L2660" t="s">
        <v>303</v>
      </c>
      <c r="M2660">
        <v>217.4</v>
      </c>
      <c r="N2660">
        <v>214.4</v>
      </c>
      <c r="O2660" t="s">
        <v>303</v>
      </c>
      <c r="P2660">
        <f t="shared" si="41"/>
        <v>0</v>
      </c>
    </row>
    <row r="2661" spans="1:16" x14ac:dyDescent="0.25">
      <c r="A2661" t="s">
        <v>625</v>
      </c>
      <c r="B2661">
        <v>216</v>
      </c>
      <c r="C2661">
        <v>218</v>
      </c>
      <c r="D2661" t="s">
        <v>303</v>
      </c>
      <c r="E2661">
        <v>68</v>
      </c>
      <c r="F2661">
        <v>68</v>
      </c>
      <c r="G2661" t="s">
        <v>717</v>
      </c>
      <c r="H2661" t="s">
        <v>717</v>
      </c>
      <c r="J2661">
        <v>218</v>
      </c>
      <c r="K2661">
        <v>216</v>
      </c>
      <c r="L2661" t="s">
        <v>303</v>
      </c>
      <c r="M2661">
        <v>218</v>
      </c>
      <c r="N2661">
        <v>216</v>
      </c>
      <c r="O2661" t="s">
        <v>303</v>
      </c>
      <c r="P2661">
        <f t="shared" si="41"/>
        <v>0</v>
      </c>
    </row>
    <row r="2662" spans="1:16" x14ac:dyDescent="0.25">
      <c r="A2662" t="s">
        <v>625</v>
      </c>
      <c r="B2662">
        <v>218</v>
      </c>
      <c r="C2662">
        <v>218</v>
      </c>
      <c r="D2662" t="s">
        <v>860</v>
      </c>
      <c r="E2662">
        <v>68</v>
      </c>
      <c r="F2662">
        <v>68</v>
      </c>
      <c r="G2662" t="s">
        <v>717</v>
      </c>
      <c r="H2662" t="s">
        <v>717</v>
      </c>
      <c r="J2662">
        <v>218</v>
      </c>
      <c r="K2662">
        <v>218</v>
      </c>
      <c r="L2662" t="s">
        <v>303</v>
      </c>
      <c r="M2662">
        <v>218</v>
      </c>
      <c r="N2662">
        <v>218</v>
      </c>
      <c r="O2662" t="s">
        <v>303</v>
      </c>
      <c r="P2662">
        <f t="shared" si="41"/>
        <v>0</v>
      </c>
    </row>
    <row r="2663" spans="1:16" x14ac:dyDescent="0.25">
      <c r="A2663" t="s">
        <v>657</v>
      </c>
      <c r="B2663">
        <v>216.9</v>
      </c>
      <c r="C2663">
        <v>219.1</v>
      </c>
      <c r="D2663" t="s">
        <v>303</v>
      </c>
      <c r="E2663">
        <v>69</v>
      </c>
      <c r="F2663">
        <v>69</v>
      </c>
      <c r="G2663" t="s">
        <v>817</v>
      </c>
      <c r="H2663" t="s">
        <v>817</v>
      </c>
      <c r="J2663">
        <v>219.1</v>
      </c>
      <c r="K2663">
        <v>216.9</v>
      </c>
      <c r="L2663" t="s">
        <v>303</v>
      </c>
      <c r="M2663">
        <v>219.1</v>
      </c>
      <c r="N2663">
        <v>216.9</v>
      </c>
      <c r="O2663" t="s">
        <v>303</v>
      </c>
      <c r="P2663">
        <f t="shared" si="41"/>
        <v>0</v>
      </c>
    </row>
    <row r="2664" spans="1:16" x14ac:dyDescent="0.25">
      <c r="A2664" t="s">
        <v>272</v>
      </c>
      <c r="B2664">
        <v>210</v>
      </c>
      <c r="C2664">
        <v>220</v>
      </c>
      <c r="D2664" t="s">
        <v>860</v>
      </c>
      <c r="E2664">
        <v>69</v>
      </c>
      <c r="F2664">
        <v>69</v>
      </c>
      <c r="G2664" t="s">
        <v>817</v>
      </c>
      <c r="H2664" t="s">
        <v>817</v>
      </c>
      <c r="J2664">
        <v>220</v>
      </c>
      <c r="K2664">
        <v>210</v>
      </c>
      <c r="L2664" t="s">
        <v>303</v>
      </c>
      <c r="M2664">
        <v>220</v>
      </c>
      <c r="N2664">
        <v>210</v>
      </c>
      <c r="O2664" t="s">
        <v>303</v>
      </c>
      <c r="P2664">
        <f t="shared" si="41"/>
        <v>0</v>
      </c>
    </row>
    <row r="2665" spans="1:16" x14ac:dyDescent="0.25">
      <c r="A2665" t="s">
        <v>625</v>
      </c>
      <c r="B2665">
        <v>218</v>
      </c>
      <c r="C2665">
        <v>220</v>
      </c>
      <c r="D2665" t="s">
        <v>303</v>
      </c>
      <c r="E2665">
        <v>68</v>
      </c>
      <c r="F2665">
        <v>68</v>
      </c>
      <c r="G2665" t="s">
        <v>717</v>
      </c>
      <c r="H2665" t="s">
        <v>717</v>
      </c>
      <c r="J2665">
        <v>220</v>
      </c>
      <c r="K2665">
        <v>218</v>
      </c>
      <c r="L2665" t="s">
        <v>303</v>
      </c>
      <c r="M2665">
        <v>220</v>
      </c>
      <c r="N2665">
        <v>218</v>
      </c>
      <c r="O2665" t="s">
        <v>303</v>
      </c>
      <c r="P2665">
        <f t="shared" si="41"/>
        <v>0</v>
      </c>
    </row>
    <row r="2666" spans="1:16" x14ac:dyDescent="0.25">
      <c r="A2666" t="s">
        <v>272</v>
      </c>
      <c r="B2666">
        <v>216.2</v>
      </c>
      <c r="C2666">
        <v>220.6</v>
      </c>
      <c r="D2666" t="s">
        <v>303</v>
      </c>
      <c r="E2666">
        <v>69</v>
      </c>
      <c r="F2666">
        <v>69</v>
      </c>
      <c r="G2666" t="s">
        <v>817</v>
      </c>
      <c r="H2666" t="s">
        <v>817</v>
      </c>
      <c r="J2666">
        <v>220.6</v>
      </c>
      <c r="K2666">
        <v>216.2</v>
      </c>
      <c r="L2666" t="s">
        <v>303</v>
      </c>
      <c r="M2666">
        <v>220.6</v>
      </c>
      <c r="N2666">
        <v>216.2</v>
      </c>
      <c r="O2666" t="s">
        <v>303</v>
      </c>
      <c r="P2666">
        <f t="shared" si="41"/>
        <v>0</v>
      </c>
    </row>
    <row r="2667" spans="1:16" x14ac:dyDescent="0.25">
      <c r="A2667" t="s">
        <v>657</v>
      </c>
      <c r="B2667">
        <v>218.3</v>
      </c>
      <c r="C2667">
        <v>223.3</v>
      </c>
      <c r="D2667" t="s">
        <v>303</v>
      </c>
      <c r="E2667">
        <v>69</v>
      </c>
      <c r="F2667">
        <v>69</v>
      </c>
      <c r="G2667" t="s">
        <v>817</v>
      </c>
      <c r="H2667" t="s">
        <v>817</v>
      </c>
      <c r="J2667">
        <v>223.3</v>
      </c>
      <c r="K2667">
        <v>218.3</v>
      </c>
      <c r="L2667" t="s">
        <v>303</v>
      </c>
      <c r="M2667">
        <v>223.3</v>
      </c>
      <c r="N2667">
        <v>218.3</v>
      </c>
      <c r="O2667" t="s">
        <v>303</v>
      </c>
      <c r="P2667">
        <f t="shared" si="41"/>
        <v>0</v>
      </c>
    </row>
    <row r="2668" spans="1:16" x14ac:dyDescent="0.25">
      <c r="A2668" t="s">
        <v>657</v>
      </c>
      <c r="B2668">
        <v>219.2</v>
      </c>
      <c r="C2668">
        <v>223.4</v>
      </c>
      <c r="D2668" t="s">
        <v>303</v>
      </c>
      <c r="E2668">
        <v>69</v>
      </c>
      <c r="F2668">
        <v>69</v>
      </c>
      <c r="G2668" t="s">
        <v>817</v>
      </c>
      <c r="H2668" t="s">
        <v>817</v>
      </c>
      <c r="J2668">
        <v>223.4</v>
      </c>
      <c r="K2668">
        <v>219.2</v>
      </c>
      <c r="L2668" t="s">
        <v>303</v>
      </c>
      <c r="M2668">
        <v>223.4</v>
      </c>
      <c r="N2668">
        <v>219.2</v>
      </c>
      <c r="O2668" t="s">
        <v>303</v>
      </c>
      <c r="P2668">
        <f t="shared" si="41"/>
        <v>0</v>
      </c>
    </row>
    <row r="2669" spans="1:16" x14ac:dyDescent="0.25">
      <c r="A2669" t="s">
        <v>272</v>
      </c>
      <c r="B2669">
        <v>218.5</v>
      </c>
      <c r="C2669">
        <v>224.9</v>
      </c>
      <c r="D2669" t="s">
        <v>303</v>
      </c>
      <c r="E2669">
        <v>69</v>
      </c>
      <c r="F2669">
        <v>69</v>
      </c>
      <c r="G2669" t="s">
        <v>817</v>
      </c>
      <c r="H2669" t="s">
        <v>817</v>
      </c>
      <c r="J2669">
        <v>224.9</v>
      </c>
      <c r="K2669">
        <v>218.5</v>
      </c>
      <c r="L2669" t="s">
        <v>303</v>
      </c>
      <c r="M2669">
        <v>224.9</v>
      </c>
      <c r="N2669">
        <v>218.5</v>
      </c>
      <c r="O2669" t="s">
        <v>303</v>
      </c>
      <c r="P2669">
        <f t="shared" si="41"/>
        <v>0</v>
      </c>
    </row>
    <row r="2670" spans="1:16" x14ac:dyDescent="0.25">
      <c r="A2670" t="s">
        <v>311</v>
      </c>
      <c r="B2670">
        <v>66</v>
      </c>
      <c r="C2670">
        <v>225</v>
      </c>
      <c r="D2670" t="s">
        <v>303</v>
      </c>
      <c r="E2670">
        <v>37</v>
      </c>
      <c r="F2670">
        <v>37</v>
      </c>
      <c r="G2670" t="s">
        <v>747</v>
      </c>
      <c r="H2670" t="s">
        <v>747</v>
      </c>
      <c r="J2670">
        <v>225</v>
      </c>
      <c r="K2670">
        <v>66</v>
      </c>
      <c r="L2670" t="s">
        <v>303</v>
      </c>
      <c r="M2670">
        <v>225</v>
      </c>
      <c r="N2670">
        <v>66</v>
      </c>
      <c r="O2670" t="s">
        <v>303</v>
      </c>
      <c r="P2670">
        <f t="shared" si="41"/>
        <v>0</v>
      </c>
    </row>
    <row r="2671" spans="1:16" x14ac:dyDescent="0.25">
      <c r="A2671" t="s">
        <v>272</v>
      </c>
      <c r="B2671">
        <v>210</v>
      </c>
      <c r="C2671">
        <v>225</v>
      </c>
      <c r="D2671" t="s">
        <v>860</v>
      </c>
      <c r="E2671">
        <v>69</v>
      </c>
      <c r="F2671">
        <v>69</v>
      </c>
      <c r="G2671" t="s">
        <v>817</v>
      </c>
      <c r="H2671" t="s">
        <v>817</v>
      </c>
      <c r="J2671">
        <v>225</v>
      </c>
      <c r="K2671">
        <v>210</v>
      </c>
      <c r="L2671" t="s">
        <v>303</v>
      </c>
      <c r="M2671">
        <v>225</v>
      </c>
      <c r="N2671">
        <v>210</v>
      </c>
      <c r="O2671" t="s">
        <v>303</v>
      </c>
      <c r="P2671">
        <f t="shared" si="41"/>
        <v>0</v>
      </c>
    </row>
    <row r="2672" spans="1:16" x14ac:dyDescent="0.25">
      <c r="A2672" t="s">
        <v>657</v>
      </c>
      <c r="B2672">
        <v>217.5</v>
      </c>
      <c r="C2672">
        <v>225.5</v>
      </c>
      <c r="D2672" t="s">
        <v>303</v>
      </c>
      <c r="E2672">
        <v>69</v>
      </c>
      <c r="F2672">
        <v>69</v>
      </c>
      <c r="G2672" t="s">
        <v>817</v>
      </c>
      <c r="H2672" t="s">
        <v>817</v>
      </c>
      <c r="J2672">
        <v>225.5</v>
      </c>
      <c r="K2672">
        <v>217.5</v>
      </c>
      <c r="L2672" t="s">
        <v>303</v>
      </c>
      <c r="M2672">
        <v>225.5</v>
      </c>
      <c r="N2672">
        <v>217.5</v>
      </c>
      <c r="O2672" t="s">
        <v>303</v>
      </c>
      <c r="P2672">
        <f t="shared" si="41"/>
        <v>0</v>
      </c>
    </row>
    <row r="2673" spans="1:16" x14ac:dyDescent="0.25">
      <c r="A2673" t="s">
        <v>669</v>
      </c>
      <c r="B2673">
        <v>201</v>
      </c>
      <c r="C2673">
        <v>228</v>
      </c>
      <c r="D2673" t="s">
        <v>303</v>
      </c>
      <c r="E2673" t="s">
        <v>910</v>
      </c>
      <c r="F2673" t="s">
        <v>910</v>
      </c>
      <c r="J2673">
        <v>228</v>
      </c>
      <c r="K2673">
        <v>201</v>
      </c>
      <c r="L2673" t="s">
        <v>303</v>
      </c>
      <c r="M2673">
        <v>228</v>
      </c>
      <c r="N2673">
        <v>201</v>
      </c>
      <c r="O2673" t="s">
        <v>303</v>
      </c>
      <c r="P2673">
        <f t="shared" si="41"/>
        <v>0</v>
      </c>
    </row>
    <row r="2674" spans="1:16" x14ac:dyDescent="0.25">
      <c r="A2674" t="s">
        <v>669</v>
      </c>
      <c r="B2674">
        <v>204</v>
      </c>
      <c r="C2674">
        <v>228</v>
      </c>
      <c r="D2674" t="s">
        <v>303</v>
      </c>
      <c r="E2674" t="s">
        <v>910</v>
      </c>
      <c r="F2674" t="s">
        <v>910</v>
      </c>
      <c r="J2674">
        <v>228</v>
      </c>
      <c r="K2674">
        <v>204</v>
      </c>
      <c r="L2674" t="s">
        <v>303</v>
      </c>
      <c r="M2674">
        <v>228</v>
      </c>
      <c r="N2674">
        <v>204</v>
      </c>
      <c r="O2674" t="s">
        <v>303</v>
      </c>
      <c r="P2674">
        <f t="shared" si="41"/>
        <v>0</v>
      </c>
    </row>
    <row r="2675" spans="1:16" x14ac:dyDescent="0.25">
      <c r="A2675" t="s">
        <v>669</v>
      </c>
      <c r="B2675">
        <v>216</v>
      </c>
      <c r="C2675">
        <v>228</v>
      </c>
      <c r="D2675" t="s">
        <v>303</v>
      </c>
      <c r="E2675" t="s">
        <v>910</v>
      </c>
      <c r="F2675" t="s">
        <v>910</v>
      </c>
      <c r="J2675">
        <v>228</v>
      </c>
      <c r="K2675">
        <v>216</v>
      </c>
      <c r="L2675" t="s">
        <v>303</v>
      </c>
      <c r="M2675">
        <v>228</v>
      </c>
      <c r="N2675">
        <v>216</v>
      </c>
      <c r="O2675" t="s">
        <v>303</v>
      </c>
      <c r="P2675">
        <f t="shared" si="41"/>
        <v>0</v>
      </c>
    </row>
    <row r="2676" spans="1:16" x14ac:dyDescent="0.25">
      <c r="A2676" t="s">
        <v>669</v>
      </c>
      <c r="B2676">
        <v>215.8</v>
      </c>
      <c r="C2676">
        <v>229.8</v>
      </c>
      <c r="D2676" t="s">
        <v>303</v>
      </c>
      <c r="E2676" t="s">
        <v>910</v>
      </c>
      <c r="F2676" t="s">
        <v>910</v>
      </c>
      <c r="J2676">
        <v>229.8</v>
      </c>
      <c r="K2676">
        <v>215.8</v>
      </c>
      <c r="L2676" t="s">
        <v>303</v>
      </c>
      <c r="M2676">
        <v>229.8</v>
      </c>
      <c r="N2676">
        <v>215.8</v>
      </c>
      <c r="O2676" t="s">
        <v>303</v>
      </c>
      <c r="P2676">
        <f t="shared" si="41"/>
        <v>0</v>
      </c>
    </row>
    <row r="2677" spans="1:16" x14ac:dyDescent="0.25">
      <c r="A2677" t="s">
        <v>657</v>
      </c>
      <c r="B2677">
        <v>226.6</v>
      </c>
      <c r="C2677">
        <v>231.2</v>
      </c>
      <c r="D2677" t="s">
        <v>303</v>
      </c>
      <c r="E2677">
        <v>69</v>
      </c>
      <c r="F2677">
        <v>69</v>
      </c>
      <c r="G2677" t="s">
        <v>817</v>
      </c>
      <c r="H2677" t="s">
        <v>817</v>
      </c>
      <c r="J2677">
        <v>231.2</v>
      </c>
      <c r="K2677">
        <v>226.6</v>
      </c>
      <c r="L2677" t="s">
        <v>303</v>
      </c>
      <c r="M2677">
        <v>231.2</v>
      </c>
      <c r="N2677">
        <v>226.6</v>
      </c>
      <c r="O2677" t="s">
        <v>303</v>
      </c>
      <c r="P2677">
        <f t="shared" si="41"/>
        <v>0</v>
      </c>
    </row>
    <row r="2678" spans="1:16" x14ac:dyDescent="0.25">
      <c r="A2678" t="s">
        <v>669</v>
      </c>
      <c r="B2678">
        <v>216.5</v>
      </c>
      <c r="C2678">
        <v>231.5</v>
      </c>
      <c r="D2678" t="s">
        <v>303</v>
      </c>
      <c r="E2678" t="s">
        <v>910</v>
      </c>
      <c r="F2678" t="s">
        <v>910</v>
      </c>
      <c r="J2678">
        <v>231.5</v>
      </c>
      <c r="K2678">
        <v>216.5</v>
      </c>
      <c r="L2678" t="s">
        <v>303</v>
      </c>
      <c r="M2678">
        <v>231.5</v>
      </c>
      <c r="N2678">
        <v>216.5</v>
      </c>
      <c r="O2678" t="s">
        <v>303</v>
      </c>
      <c r="P2678">
        <f t="shared" si="41"/>
        <v>0</v>
      </c>
    </row>
    <row r="2679" spans="1:16" x14ac:dyDescent="0.25">
      <c r="A2679" t="s">
        <v>272</v>
      </c>
      <c r="B2679">
        <v>231.7</v>
      </c>
      <c r="C2679">
        <v>234.1</v>
      </c>
      <c r="D2679" t="s">
        <v>303</v>
      </c>
      <c r="E2679">
        <v>69</v>
      </c>
      <c r="F2679">
        <v>69</v>
      </c>
      <c r="G2679" t="s">
        <v>817</v>
      </c>
      <c r="H2679" t="s">
        <v>817</v>
      </c>
      <c r="J2679">
        <v>234.1</v>
      </c>
      <c r="K2679">
        <v>231.7</v>
      </c>
      <c r="L2679" t="s">
        <v>303</v>
      </c>
      <c r="M2679">
        <v>234.1</v>
      </c>
      <c r="N2679">
        <v>231.7</v>
      </c>
      <c r="O2679" t="s">
        <v>303</v>
      </c>
      <c r="P2679">
        <f t="shared" si="41"/>
        <v>0</v>
      </c>
    </row>
    <row r="2680" spans="1:16" x14ac:dyDescent="0.25">
      <c r="A2680" t="s">
        <v>669</v>
      </c>
      <c r="B2680">
        <v>220.2</v>
      </c>
      <c r="C2680">
        <v>234.6</v>
      </c>
      <c r="D2680" t="s">
        <v>303</v>
      </c>
      <c r="E2680" t="s">
        <v>910</v>
      </c>
      <c r="F2680" t="s">
        <v>910</v>
      </c>
      <c r="J2680">
        <v>234.6</v>
      </c>
      <c r="K2680">
        <v>220.2</v>
      </c>
      <c r="L2680" t="s">
        <v>303</v>
      </c>
      <c r="M2680">
        <v>234.6</v>
      </c>
      <c r="N2680">
        <v>220.2</v>
      </c>
      <c r="O2680" t="s">
        <v>303</v>
      </c>
      <c r="P2680">
        <f t="shared" si="41"/>
        <v>0</v>
      </c>
    </row>
    <row r="2681" spans="1:16" x14ac:dyDescent="0.25">
      <c r="A2681" t="s">
        <v>669</v>
      </c>
      <c r="B2681">
        <v>220.4</v>
      </c>
      <c r="C2681">
        <v>234.6</v>
      </c>
      <c r="D2681" t="s">
        <v>669</v>
      </c>
      <c r="E2681" t="s">
        <v>910</v>
      </c>
      <c r="F2681" t="s">
        <v>910</v>
      </c>
      <c r="I2681" t="s">
        <v>927</v>
      </c>
      <c r="J2681">
        <v>234.6</v>
      </c>
      <c r="K2681">
        <v>220.4</v>
      </c>
      <c r="L2681" t="s">
        <v>930</v>
      </c>
      <c r="M2681">
        <v>234.6</v>
      </c>
      <c r="N2681">
        <v>220.4</v>
      </c>
      <c r="P2681">
        <f t="shared" si="41"/>
        <v>14</v>
      </c>
    </row>
    <row r="2682" spans="1:16" x14ac:dyDescent="0.25">
      <c r="A2682" t="s">
        <v>669</v>
      </c>
      <c r="B2682">
        <v>99.6</v>
      </c>
      <c r="C2682">
        <v>235</v>
      </c>
      <c r="D2682" t="s">
        <v>303</v>
      </c>
      <c r="E2682" t="s">
        <v>910</v>
      </c>
      <c r="F2682" t="s">
        <v>910</v>
      </c>
      <c r="J2682">
        <v>235</v>
      </c>
      <c r="K2682">
        <v>99.6</v>
      </c>
      <c r="L2682" t="s">
        <v>303</v>
      </c>
      <c r="M2682">
        <v>235</v>
      </c>
      <c r="N2682">
        <v>99.6</v>
      </c>
      <c r="O2682" t="s">
        <v>303</v>
      </c>
      <c r="P2682">
        <f t="shared" si="41"/>
        <v>0</v>
      </c>
    </row>
    <row r="2683" spans="1:16" x14ac:dyDescent="0.25">
      <c r="A2683" t="s">
        <v>669</v>
      </c>
      <c r="B2683">
        <v>201</v>
      </c>
      <c r="C2683">
        <v>235</v>
      </c>
      <c r="D2683" t="s">
        <v>303</v>
      </c>
      <c r="E2683" t="s">
        <v>910</v>
      </c>
      <c r="F2683" t="s">
        <v>910</v>
      </c>
      <c r="J2683">
        <v>235</v>
      </c>
      <c r="K2683">
        <v>201</v>
      </c>
      <c r="L2683" t="s">
        <v>303</v>
      </c>
      <c r="M2683">
        <v>235</v>
      </c>
      <c r="N2683">
        <v>201</v>
      </c>
      <c r="O2683" t="s">
        <v>303</v>
      </c>
      <c r="P2683">
        <f t="shared" si="41"/>
        <v>0</v>
      </c>
    </row>
    <row r="2684" spans="1:16" x14ac:dyDescent="0.25">
      <c r="A2684" t="s">
        <v>340</v>
      </c>
      <c r="B2684">
        <v>201.6</v>
      </c>
      <c r="C2684">
        <v>235</v>
      </c>
      <c r="D2684" t="s">
        <v>303</v>
      </c>
      <c r="E2684">
        <v>69</v>
      </c>
      <c r="F2684">
        <v>69</v>
      </c>
      <c r="G2684" t="s">
        <v>817</v>
      </c>
      <c r="H2684" t="s">
        <v>817</v>
      </c>
      <c r="J2684">
        <v>235</v>
      </c>
      <c r="K2684">
        <v>201.6</v>
      </c>
      <c r="L2684" t="s">
        <v>303</v>
      </c>
      <c r="M2684">
        <v>235</v>
      </c>
      <c r="N2684">
        <v>201.6</v>
      </c>
      <c r="O2684" t="s">
        <v>303</v>
      </c>
      <c r="P2684">
        <f t="shared" si="41"/>
        <v>0</v>
      </c>
    </row>
    <row r="2685" spans="1:16" x14ac:dyDescent="0.25">
      <c r="A2685" t="s">
        <v>669</v>
      </c>
      <c r="B2685">
        <v>201.6</v>
      </c>
      <c r="C2685">
        <v>235</v>
      </c>
      <c r="D2685" t="s">
        <v>303</v>
      </c>
      <c r="E2685" t="s">
        <v>910</v>
      </c>
      <c r="F2685" t="s">
        <v>910</v>
      </c>
      <c r="J2685">
        <v>235</v>
      </c>
      <c r="K2685">
        <v>201.6</v>
      </c>
      <c r="L2685" t="s">
        <v>303</v>
      </c>
      <c r="M2685">
        <v>235</v>
      </c>
      <c r="N2685">
        <v>201.6</v>
      </c>
      <c r="O2685" t="s">
        <v>303</v>
      </c>
      <c r="P2685">
        <f t="shared" si="41"/>
        <v>0</v>
      </c>
    </row>
    <row r="2686" spans="1:16" x14ac:dyDescent="0.25">
      <c r="A2686" t="s">
        <v>669</v>
      </c>
      <c r="B2686">
        <v>201.8</v>
      </c>
      <c r="C2686">
        <v>235</v>
      </c>
      <c r="D2686" t="s">
        <v>303</v>
      </c>
      <c r="E2686" t="s">
        <v>910</v>
      </c>
      <c r="F2686" t="s">
        <v>910</v>
      </c>
      <c r="J2686">
        <v>235</v>
      </c>
      <c r="K2686">
        <v>201.8</v>
      </c>
      <c r="L2686" t="s">
        <v>303</v>
      </c>
      <c r="M2686">
        <v>235</v>
      </c>
      <c r="N2686">
        <v>201.8</v>
      </c>
      <c r="O2686" t="s">
        <v>303</v>
      </c>
      <c r="P2686">
        <f t="shared" si="41"/>
        <v>0</v>
      </c>
    </row>
    <row r="2687" spans="1:16" x14ac:dyDescent="0.25">
      <c r="A2687" t="s">
        <v>669</v>
      </c>
      <c r="B2687">
        <v>228</v>
      </c>
      <c r="C2687">
        <v>235</v>
      </c>
      <c r="D2687" t="s">
        <v>303</v>
      </c>
      <c r="E2687" t="s">
        <v>910</v>
      </c>
      <c r="F2687" t="s">
        <v>910</v>
      </c>
      <c r="J2687">
        <v>235</v>
      </c>
      <c r="K2687">
        <v>228</v>
      </c>
      <c r="L2687" t="s">
        <v>303</v>
      </c>
      <c r="M2687">
        <v>235</v>
      </c>
      <c r="N2687">
        <v>228</v>
      </c>
      <c r="O2687" t="s">
        <v>303</v>
      </c>
      <c r="P2687">
        <f t="shared" si="41"/>
        <v>0</v>
      </c>
    </row>
    <row r="2688" spans="1:16" x14ac:dyDescent="0.25">
      <c r="A2688" t="s">
        <v>669</v>
      </c>
      <c r="B2688">
        <v>224</v>
      </c>
      <c r="C2688">
        <v>238.4</v>
      </c>
      <c r="D2688" t="s">
        <v>303</v>
      </c>
      <c r="E2688" t="s">
        <v>910</v>
      </c>
      <c r="F2688" t="s">
        <v>910</v>
      </c>
      <c r="J2688">
        <v>238.4</v>
      </c>
      <c r="K2688">
        <v>224</v>
      </c>
      <c r="L2688" t="s">
        <v>303</v>
      </c>
      <c r="M2688">
        <v>238.4</v>
      </c>
      <c r="N2688">
        <v>224</v>
      </c>
      <c r="O2688" t="s">
        <v>303</v>
      </c>
      <c r="P2688">
        <f t="shared" si="41"/>
        <v>0</v>
      </c>
    </row>
    <row r="2689" spans="1:16" x14ac:dyDescent="0.25">
      <c r="A2689" t="s">
        <v>669</v>
      </c>
      <c r="B2689">
        <v>1525</v>
      </c>
      <c r="C2689">
        <v>1688</v>
      </c>
      <c r="D2689" t="s">
        <v>866</v>
      </c>
      <c r="E2689">
        <v>5</v>
      </c>
      <c r="F2689">
        <v>5</v>
      </c>
      <c r="G2689" t="s">
        <v>684</v>
      </c>
      <c r="H2689" t="s">
        <v>684</v>
      </c>
      <c r="J2689">
        <v>1688</v>
      </c>
      <c r="K2689">
        <v>1525</v>
      </c>
      <c r="L2689" t="s">
        <v>920</v>
      </c>
      <c r="M2689">
        <v>1688</v>
      </c>
      <c r="N2689">
        <v>1525</v>
      </c>
      <c r="O2689" t="s">
        <v>920</v>
      </c>
      <c r="P2689">
        <f t="shared" si="41"/>
        <v>0</v>
      </c>
    </row>
    <row r="2690" spans="1:16" x14ac:dyDescent="0.25">
      <c r="A2690" t="s">
        <v>669</v>
      </c>
      <c r="B2690">
        <v>225.7</v>
      </c>
      <c r="C2690">
        <v>240.1</v>
      </c>
      <c r="D2690" t="s">
        <v>303</v>
      </c>
      <c r="E2690" t="s">
        <v>910</v>
      </c>
      <c r="F2690" t="s">
        <v>910</v>
      </c>
      <c r="J2690">
        <v>240.1</v>
      </c>
      <c r="K2690">
        <v>225.7</v>
      </c>
      <c r="L2690" t="s">
        <v>303</v>
      </c>
      <c r="M2690">
        <v>240.1</v>
      </c>
      <c r="N2690">
        <v>225.7</v>
      </c>
      <c r="O2690" t="s">
        <v>303</v>
      </c>
      <c r="P2690">
        <f t="shared" si="41"/>
        <v>0</v>
      </c>
    </row>
    <row r="2691" spans="1:16" x14ac:dyDescent="0.25">
      <c r="A2691" t="s">
        <v>669</v>
      </c>
      <c r="B2691">
        <v>226.9</v>
      </c>
      <c r="C2691">
        <v>240.7</v>
      </c>
      <c r="D2691" t="s">
        <v>303</v>
      </c>
      <c r="E2691" t="s">
        <v>910</v>
      </c>
      <c r="F2691" t="s">
        <v>910</v>
      </c>
      <c r="J2691">
        <v>240.7</v>
      </c>
      <c r="K2691">
        <v>226.9</v>
      </c>
      <c r="L2691" t="s">
        <v>303</v>
      </c>
      <c r="M2691">
        <v>240.7</v>
      </c>
      <c r="N2691">
        <v>226.9</v>
      </c>
      <c r="O2691" t="s">
        <v>303</v>
      </c>
      <c r="P2691">
        <f t="shared" ref="P2691:P2754" si="42">LEN(I2691)</f>
        <v>0</v>
      </c>
    </row>
    <row r="2692" spans="1:16" x14ac:dyDescent="0.25">
      <c r="A2692" t="s">
        <v>343</v>
      </c>
      <c r="B2692">
        <v>235</v>
      </c>
      <c r="C2692">
        <v>241</v>
      </c>
      <c r="D2692" t="s">
        <v>303</v>
      </c>
      <c r="E2692">
        <v>74</v>
      </c>
      <c r="F2692">
        <v>74</v>
      </c>
      <c r="G2692" t="s">
        <v>683</v>
      </c>
      <c r="H2692" t="s">
        <v>683</v>
      </c>
      <c r="J2692">
        <v>241</v>
      </c>
      <c r="K2692">
        <v>235</v>
      </c>
      <c r="L2692" t="s">
        <v>303</v>
      </c>
      <c r="M2692">
        <v>241</v>
      </c>
      <c r="N2692">
        <v>235</v>
      </c>
      <c r="O2692" t="s">
        <v>303</v>
      </c>
      <c r="P2692">
        <f t="shared" si="42"/>
        <v>0</v>
      </c>
    </row>
    <row r="2693" spans="1:16" x14ac:dyDescent="0.25">
      <c r="A2693" t="s">
        <v>669</v>
      </c>
      <c r="B2693">
        <v>226.9</v>
      </c>
      <c r="C2693">
        <v>241.5</v>
      </c>
      <c r="D2693" t="s">
        <v>303</v>
      </c>
      <c r="E2693" t="s">
        <v>910</v>
      </c>
      <c r="F2693" t="s">
        <v>910</v>
      </c>
      <c r="J2693">
        <v>241.5</v>
      </c>
      <c r="K2693">
        <v>226.9</v>
      </c>
      <c r="L2693" t="s">
        <v>303</v>
      </c>
      <c r="M2693">
        <v>241.5</v>
      </c>
      <c r="N2693">
        <v>226.9</v>
      </c>
      <c r="O2693" t="s">
        <v>303</v>
      </c>
      <c r="P2693">
        <f t="shared" si="42"/>
        <v>0</v>
      </c>
    </row>
    <row r="2694" spans="1:16" x14ac:dyDescent="0.25">
      <c r="A2694" t="s">
        <v>669</v>
      </c>
      <c r="B2694">
        <v>229.4</v>
      </c>
      <c r="C2694">
        <v>243.2</v>
      </c>
      <c r="D2694" t="s">
        <v>303</v>
      </c>
      <c r="E2694" t="s">
        <v>910</v>
      </c>
      <c r="F2694" t="s">
        <v>910</v>
      </c>
      <c r="J2694">
        <v>243.2</v>
      </c>
      <c r="K2694">
        <v>229.4</v>
      </c>
      <c r="L2694" t="s">
        <v>303</v>
      </c>
      <c r="M2694">
        <v>243.2</v>
      </c>
      <c r="N2694">
        <v>229.4</v>
      </c>
      <c r="O2694" t="s">
        <v>303</v>
      </c>
      <c r="P2694">
        <f t="shared" si="42"/>
        <v>0</v>
      </c>
    </row>
    <row r="2695" spans="1:16" x14ac:dyDescent="0.25">
      <c r="A2695" t="s">
        <v>669</v>
      </c>
      <c r="B2695">
        <v>229.4</v>
      </c>
      <c r="C2695">
        <v>243.4</v>
      </c>
      <c r="D2695" t="s">
        <v>303</v>
      </c>
      <c r="E2695" t="s">
        <v>910</v>
      </c>
      <c r="F2695" t="s">
        <v>910</v>
      </c>
      <c r="J2695">
        <v>243.4</v>
      </c>
      <c r="K2695">
        <v>229.4</v>
      </c>
      <c r="L2695" t="s">
        <v>303</v>
      </c>
      <c r="M2695">
        <v>243.4</v>
      </c>
      <c r="N2695">
        <v>229.4</v>
      </c>
      <c r="O2695" t="s">
        <v>303</v>
      </c>
      <c r="P2695">
        <f t="shared" si="42"/>
        <v>0</v>
      </c>
    </row>
    <row r="2696" spans="1:16" x14ac:dyDescent="0.25">
      <c r="A2696" t="s">
        <v>669</v>
      </c>
      <c r="B2696">
        <v>229.78418820367</v>
      </c>
      <c r="C2696">
        <v>243.61581179633001</v>
      </c>
      <c r="D2696" t="s">
        <v>303</v>
      </c>
      <c r="E2696" t="s">
        <v>910</v>
      </c>
      <c r="F2696" t="s">
        <v>910</v>
      </c>
      <c r="J2696">
        <v>243.61581179633001</v>
      </c>
      <c r="K2696">
        <v>229.78418820367</v>
      </c>
      <c r="L2696" t="s">
        <v>303</v>
      </c>
      <c r="M2696">
        <v>243.61581179633001</v>
      </c>
      <c r="N2696">
        <v>229.78418820367</v>
      </c>
      <c r="O2696" t="s">
        <v>303</v>
      </c>
      <c r="P2696">
        <f t="shared" si="42"/>
        <v>0</v>
      </c>
    </row>
    <row r="2697" spans="1:16" x14ac:dyDescent="0.25">
      <c r="A2697" t="s">
        <v>669</v>
      </c>
      <c r="B2697">
        <v>1525</v>
      </c>
      <c r="C2697" t="s">
        <v>669</v>
      </c>
      <c r="D2697" t="s">
        <v>865</v>
      </c>
      <c r="E2697" t="s">
        <v>910</v>
      </c>
      <c r="F2697">
        <v>5</v>
      </c>
      <c r="H2697" t="s">
        <v>684</v>
      </c>
      <c r="K2697">
        <v>1525</v>
      </c>
      <c r="L2697" t="s">
        <v>920</v>
      </c>
      <c r="N2697">
        <v>1525</v>
      </c>
      <c r="O2697" t="s">
        <v>931</v>
      </c>
      <c r="P2697">
        <f t="shared" si="42"/>
        <v>0</v>
      </c>
    </row>
    <row r="2698" spans="1:16" x14ac:dyDescent="0.25">
      <c r="A2698" t="s">
        <v>669</v>
      </c>
      <c r="B2698">
        <v>230.1</v>
      </c>
      <c r="C2698">
        <v>244.3</v>
      </c>
      <c r="D2698" t="s">
        <v>303</v>
      </c>
      <c r="E2698" t="s">
        <v>910</v>
      </c>
      <c r="F2698" t="s">
        <v>910</v>
      </c>
      <c r="J2698">
        <v>244.3</v>
      </c>
      <c r="K2698">
        <v>230.1</v>
      </c>
      <c r="L2698" t="s">
        <v>303</v>
      </c>
      <c r="M2698">
        <v>244.3</v>
      </c>
      <c r="N2698">
        <v>230.1</v>
      </c>
      <c r="O2698" t="s">
        <v>303</v>
      </c>
      <c r="P2698">
        <f t="shared" si="42"/>
        <v>0</v>
      </c>
    </row>
    <row r="2699" spans="1:16" x14ac:dyDescent="0.25">
      <c r="A2699" t="s">
        <v>669</v>
      </c>
      <c r="B2699">
        <v>235</v>
      </c>
      <c r="C2699">
        <v>245</v>
      </c>
      <c r="D2699" t="s">
        <v>303</v>
      </c>
      <c r="E2699" t="s">
        <v>910</v>
      </c>
      <c r="F2699" t="s">
        <v>910</v>
      </c>
      <c r="J2699">
        <v>245</v>
      </c>
      <c r="K2699">
        <v>235</v>
      </c>
      <c r="L2699" t="s">
        <v>303</v>
      </c>
      <c r="M2699">
        <v>245</v>
      </c>
      <c r="N2699">
        <v>235</v>
      </c>
      <c r="O2699" t="s">
        <v>303</v>
      </c>
      <c r="P2699">
        <f t="shared" si="42"/>
        <v>0</v>
      </c>
    </row>
    <row r="2700" spans="1:16" x14ac:dyDescent="0.25">
      <c r="A2700" t="s">
        <v>342</v>
      </c>
      <c r="B2700">
        <v>241</v>
      </c>
      <c r="C2700">
        <v>245</v>
      </c>
      <c r="D2700" t="s">
        <v>303</v>
      </c>
      <c r="E2700">
        <v>75</v>
      </c>
      <c r="F2700">
        <v>75</v>
      </c>
      <c r="G2700" t="s">
        <v>682</v>
      </c>
      <c r="H2700" t="s">
        <v>682</v>
      </c>
      <c r="J2700">
        <v>245</v>
      </c>
      <c r="K2700">
        <v>241</v>
      </c>
      <c r="L2700" t="s">
        <v>303</v>
      </c>
      <c r="M2700">
        <v>245</v>
      </c>
      <c r="N2700">
        <v>241</v>
      </c>
      <c r="O2700" t="s">
        <v>303</v>
      </c>
      <c r="P2700">
        <f t="shared" si="42"/>
        <v>0</v>
      </c>
    </row>
    <row r="2701" spans="1:16" x14ac:dyDescent="0.25">
      <c r="A2701" t="s">
        <v>669</v>
      </c>
      <c r="B2701">
        <v>232.2</v>
      </c>
      <c r="C2701">
        <v>246</v>
      </c>
      <c r="D2701" t="s">
        <v>303</v>
      </c>
      <c r="E2701" t="s">
        <v>910</v>
      </c>
      <c r="F2701" t="s">
        <v>910</v>
      </c>
      <c r="J2701">
        <v>246</v>
      </c>
      <c r="K2701">
        <v>232.2</v>
      </c>
      <c r="L2701" t="s">
        <v>303</v>
      </c>
      <c r="M2701">
        <v>246</v>
      </c>
      <c r="N2701">
        <v>232.2</v>
      </c>
      <c r="O2701" t="s">
        <v>303</v>
      </c>
      <c r="P2701">
        <f t="shared" si="42"/>
        <v>0</v>
      </c>
    </row>
    <row r="2702" spans="1:16" x14ac:dyDescent="0.25">
      <c r="A2702" t="s">
        <v>669</v>
      </c>
      <c r="B2702">
        <v>232.8</v>
      </c>
      <c r="C2702">
        <v>246.8</v>
      </c>
      <c r="D2702" t="s">
        <v>303</v>
      </c>
      <c r="E2702" t="s">
        <v>910</v>
      </c>
      <c r="F2702" t="s">
        <v>910</v>
      </c>
      <c r="J2702">
        <v>246.8</v>
      </c>
      <c r="K2702">
        <v>232.8</v>
      </c>
      <c r="L2702" t="s">
        <v>303</v>
      </c>
      <c r="M2702">
        <v>246.8</v>
      </c>
      <c r="N2702">
        <v>232.8</v>
      </c>
      <c r="O2702" t="s">
        <v>303</v>
      </c>
      <c r="P2702">
        <f t="shared" si="42"/>
        <v>0</v>
      </c>
    </row>
    <row r="2703" spans="1:16" x14ac:dyDescent="0.25">
      <c r="A2703" t="s">
        <v>669</v>
      </c>
      <c r="B2703">
        <v>232.3</v>
      </c>
      <c r="C2703">
        <v>247.1</v>
      </c>
      <c r="D2703" t="s">
        <v>303</v>
      </c>
      <c r="E2703" t="s">
        <v>910</v>
      </c>
      <c r="F2703" t="s">
        <v>910</v>
      </c>
      <c r="J2703">
        <v>247.1</v>
      </c>
      <c r="K2703">
        <v>232.3</v>
      </c>
      <c r="L2703" t="s">
        <v>303</v>
      </c>
      <c r="M2703">
        <v>247.1</v>
      </c>
      <c r="N2703">
        <v>232.3</v>
      </c>
      <c r="O2703" t="s">
        <v>303</v>
      </c>
      <c r="P2703">
        <f t="shared" si="42"/>
        <v>0</v>
      </c>
    </row>
    <row r="2704" spans="1:16" x14ac:dyDescent="0.25">
      <c r="A2704" t="s">
        <v>669</v>
      </c>
      <c r="B2704">
        <v>235</v>
      </c>
      <c r="C2704">
        <v>249.2</v>
      </c>
      <c r="D2704" t="s">
        <v>303</v>
      </c>
      <c r="E2704" t="s">
        <v>910</v>
      </c>
      <c r="F2704" t="s">
        <v>910</v>
      </c>
      <c r="J2704">
        <v>249.2</v>
      </c>
      <c r="K2704">
        <v>235</v>
      </c>
      <c r="L2704" t="s">
        <v>303</v>
      </c>
      <c r="M2704">
        <v>249.2</v>
      </c>
      <c r="N2704">
        <v>235</v>
      </c>
      <c r="O2704" t="s">
        <v>303</v>
      </c>
      <c r="P2704">
        <f t="shared" si="42"/>
        <v>0</v>
      </c>
    </row>
    <row r="2705" spans="1:16" x14ac:dyDescent="0.25">
      <c r="A2705" t="s">
        <v>625</v>
      </c>
      <c r="B2705">
        <v>201</v>
      </c>
      <c r="C2705">
        <v>250</v>
      </c>
      <c r="D2705" t="s">
        <v>860</v>
      </c>
      <c r="E2705">
        <v>68</v>
      </c>
      <c r="F2705">
        <v>68</v>
      </c>
      <c r="G2705" t="s">
        <v>717</v>
      </c>
      <c r="H2705" t="s">
        <v>717</v>
      </c>
      <c r="J2705">
        <v>250</v>
      </c>
      <c r="K2705">
        <v>201</v>
      </c>
      <c r="L2705" t="s">
        <v>303</v>
      </c>
      <c r="M2705">
        <v>250</v>
      </c>
      <c r="N2705">
        <v>201</v>
      </c>
      <c r="O2705" t="s">
        <v>303</v>
      </c>
      <c r="P2705">
        <f t="shared" si="42"/>
        <v>0</v>
      </c>
    </row>
    <row r="2706" spans="1:16" x14ac:dyDescent="0.25">
      <c r="A2706" t="s">
        <v>669</v>
      </c>
      <c r="B2706">
        <v>236.8</v>
      </c>
      <c r="C2706">
        <v>250.8</v>
      </c>
      <c r="D2706" t="s">
        <v>303</v>
      </c>
      <c r="E2706" t="s">
        <v>910</v>
      </c>
      <c r="F2706" t="s">
        <v>910</v>
      </c>
      <c r="J2706">
        <v>250.8</v>
      </c>
      <c r="K2706">
        <v>236.8</v>
      </c>
      <c r="L2706" t="s">
        <v>303</v>
      </c>
      <c r="M2706">
        <v>250.8</v>
      </c>
      <c r="N2706">
        <v>236.8</v>
      </c>
      <c r="O2706" t="s">
        <v>303</v>
      </c>
      <c r="P2706">
        <f t="shared" si="42"/>
        <v>0</v>
      </c>
    </row>
    <row r="2707" spans="1:16" x14ac:dyDescent="0.25">
      <c r="A2707" t="s">
        <v>669</v>
      </c>
      <c r="B2707">
        <v>251</v>
      </c>
      <c r="C2707">
        <v>26</v>
      </c>
      <c r="D2707" t="s">
        <v>303</v>
      </c>
      <c r="E2707" t="s">
        <v>910</v>
      </c>
      <c r="F2707" t="s">
        <v>910</v>
      </c>
      <c r="J2707">
        <v>251</v>
      </c>
      <c r="K2707">
        <v>26</v>
      </c>
      <c r="L2707" t="s">
        <v>303</v>
      </c>
      <c r="M2707">
        <v>251</v>
      </c>
      <c r="N2707">
        <v>26</v>
      </c>
      <c r="O2707" t="s">
        <v>303</v>
      </c>
      <c r="P2707">
        <f t="shared" si="42"/>
        <v>0</v>
      </c>
    </row>
    <row r="2708" spans="1:16" x14ac:dyDescent="0.25">
      <c r="A2708" t="s">
        <v>310</v>
      </c>
      <c r="B2708">
        <v>65.5</v>
      </c>
      <c r="C2708">
        <v>251</v>
      </c>
      <c r="D2708" t="s">
        <v>303</v>
      </c>
      <c r="E2708">
        <v>37</v>
      </c>
      <c r="F2708">
        <v>37</v>
      </c>
      <c r="G2708" t="s">
        <v>747</v>
      </c>
      <c r="H2708" t="s">
        <v>747</v>
      </c>
      <c r="J2708">
        <v>251</v>
      </c>
      <c r="K2708">
        <v>65.5</v>
      </c>
      <c r="L2708" t="s">
        <v>303</v>
      </c>
      <c r="M2708">
        <v>251</v>
      </c>
      <c r="N2708">
        <v>65.5</v>
      </c>
      <c r="O2708" t="s">
        <v>303</v>
      </c>
      <c r="P2708">
        <f t="shared" si="42"/>
        <v>0</v>
      </c>
    </row>
    <row r="2709" spans="1:16" x14ac:dyDescent="0.25">
      <c r="A2709" t="s">
        <v>669</v>
      </c>
      <c r="B2709">
        <v>65.5</v>
      </c>
      <c r="C2709">
        <v>251</v>
      </c>
      <c r="D2709" t="s">
        <v>303</v>
      </c>
      <c r="E2709" t="s">
        <v>910</v>
      </c>
      <c r="F2709" t="s">
        <v>910</v>
      </c>
      <c r="J2709">
        <v>251</v>
      </c>
      <c r="K2709">
        <v>65.5</v>
      </c>
      <c r="L2709" t="s">
        <v>303</v>
      </c>
      <c r="M2709">
        <v>251</v>
      </c>
      <c r="N2709">
        <v>65.5</v>
      </c>
      <c r="O2709" t="s">
        <v>303</v>
      </c>
      <c r="P2709">
        <f t="shared" si="42"/>
        <v>0</v>
      </c>
    </row>
    <row r="2710" spans="1:16" x14ac:dyDescent="0.25">
      <c r="A2710" t="s">
        <v>669</v>
      </c>
      <c r="B2710">
        <v>201</v>
      </c>
      <c r="C2710">
        <v>251</v>
      </c>
      <c r="D2710" t="s">
        <v>303</v>
      </c>
      <c r="E2710" t="s">
        <v>910</v>
      </c>
      <c r="F2710" t="s">
        <v>910</v>
      </c>
      <c r="J2710">
        <v>251</v>
      </c>
      <c r="K2710">
        <v>201</v>
      </c>
      <c r="L2710" t="s">
        <v>303</v>
      </c>
      <c r="M2710">
        <v>251</v>
      </c>
      <c r="N2710">
        <v>201</v>
      </c>
      <c r="O2710" t="s">
        <v>303</v>
      </c>
      <c r="P2710">
        <f t="shared" si="42"/>
        <v>0</v>
      </c>
    </row>
    <row r="2711" spans="1:16" x14ac:dyDescent="0.25">
      <c r="A2711" t="s">
        <v>669</v>
      </c>
      <c r="B2711">
        <v>1589</v>
      </c>
      <c r="C2711" t="s">
        <v>669</v>
      </c>
      <c r="D2711" t="s">
        <v>865</v>
      </c>
      <c r="E2711" t="s">
        <v>910</v>
      </c>
      <c r="F2711">
        <v>5</v>
      </c>
      <c r="H2711" t="s">
        <v>684</v>
      </c>
      <c r="K2711">
        <v>1589</v>
      </c>
      <c r="L2711" t="s">
        <v>920</v>
      </c>
      <c r="N2711">
        <v>1589</v>
      </c>
      <c r="O2711" t="s">
        <v>931</v>
      </c>
      <c r="P2711">
        <f t="shared" si="42"/>
        <v>0</v>
      </c>
    </row>
    <row r="2712" spans="1:16" x14ac:dyDescent="0.25">
      <c r="A2712" t="s">
        <v>338</v>
      </c>
      <c r="B2712">
        <v>201.6</v>
      </c>
      <c r="C2712">
        <v>251</v>
      </c>
      <c r="D2712" t="s">
        <v>303</v>
      </c>
      <c r="E2712">
        <v>68</v>
      </c>
      <c r="F2712">
        <v>68</v>
      </c>
      <c r="G2712" t="s">
        <v>717</v>
      </c>
      <c r="H2712" t="s">
        <v>717</v>
      </c>
      <c r="J2712">
        <v>251</v>
      </c>
      <c r="K2712">
        <v>201.6</v>
      </c>
      <c r="L2712" t="s">
        <v>303</v>
      </c>
      <c r="M2712">
        <v>251</v>
      </c>
      <c r="N2712">
        <v>201.6</v>
      </c>
      <c r="O2712" t="s">
        <v>303</v>
      </c>
      <c r="P2712">
        <f t="shared" si="42"/>
        <v>0</v>
      </c>
    </row>
    <row r="2713" spans="1:16" x14ac:dyDescent="0.25">
      <c r="A2713" t="s">
        <v>669</v>
      </c>
      <c r="B2713">
        <v>235</v>
      </c>
      <c r="C2713">
        <v>251</v>
      </c>
      <c r="D2713" t="s">
        <v>303</v>
      </c>
      <c r="E2713" t="s">
        <v>910</v>
      </c>
      <c r="F2713" t="s">
        <v>910</v>
      </c>
      <c r="J2713">
        <v>251</v>
      </c>
      <c r="K2713">
        <v>235</v>
      </c>
      <c r="L2713" t="s">
        <v>303</v>
      </c>
      <c r="M2713">
        <v>251</v>
      </c>
      <c r="N2713">
        <v>235</v>
      </c>
      <c r="O2713" t="s">
        <v>303</v>
      </c>
      <c r="P2713">
        <f t="shared" si="42"/>
        <v>0</v>
      </c>
    </row>
    <row r="2714" spans="1:16" x14ac:dyDescent="0.25">
      <c r="A2714" t="s">
        <v>339</v>
      </c>
      <c r="B2714">
        <v>245</v>
      </c>
      <c r="C2714">
        <v>251</v>
      </c>
      <c r="D2714" t="s">
        <v>303</v>
      </c>
      <c r="E2714">
        <v>76</v>
      </c>
      <c r="F2714">
        <v>76</v>
      </c>
      <c r="G2714" t="s">
        <v>819</v>
      </c>
      <c r="H2714" t="s">
        <v>819</v>
      </c>
      <c r="J2714">
        <v>251</v>
      </c>
      <c r="K2714">
        <v>245</v>
      </c>
      <c r="L2714" t="s">
        <v>303</v>
      </c>
      <c r="M2714">
        <v>251</v>
      </c>
      <c r="N2714">
        <v>245</v>
      </c>
      <c r="O2714" t="s">
        <v>303</v>
      </c>
      <c r="P2714">
        <f t="shared" si="42"/>
        <v>0</v>
      </c>
    </row>
    <row r="2715" spans="1:16" x14ac:dyDescent="0.25">
      <c r="A2715" t="s">
        <v>669</v>
      </c>
      <c r="B2715">
        <v>245</v>
      </c>
      <c r="C2715">
        <v>251</v>
      </c>
      <c r="D2715" t="s">
        <v>303</v>
      </c>
      <c r="E2715" t="s">
        <v>910</v>
      </c>
      <c r="F2715" t="s">
        <v>910</v>
      </c>
      <c r="J2715">
        <v>251</v>
      </c>
      <c r="K2715">
        <v>245</v>
      </c>
      <c r="L2715" t="s">
        <v>303</v>
      </c>
      <c r="M2715">
        <v>251</v>
      </c>
      <c r="N2715">
        <v>245</v>
      </c>
      <c r="O2715" t="s">
        <v>303</v>
      </c>
      <c r="P2715">
        <f t="shared" si="42"/>
        <v>0</v>
      </c>
    </row>
    <row r="2716" spans="1:16" x14ac:dyDescent="0.25">
      <c r="A2716" t="s">
        <v>625</v>
      </c>
      <c r="B2716">
        <v>201</v>
      </c>
      <c r="C2716">
        <v>252</v>
      </c>
      <c r="D2716" t="s">
        <v>860</v>
      </c>
      <c r="E2716">
        <v>68</v>
      </c>
      <c r="F2716">
        <v>68</v>
      </c>
      <c r="G2716" t="s">
        <v>717</v>
      </c>
      <c r="H2716" t="s">
        <v>717</v>
      </c>
      <c r="J2716">
        <v>252</v>
      </c>
      <c r="K2716">
        <v>201</v>
      </c>
      <c r="L2716" t="s">
        <v>303</v>
      </c>
      <c r="M2716">
        <v>252</v>
      </c>
      <c r="N2716">
        <v>201</v>
      </c>
      <c r="O2716" t="s">
        <v>303</v>
      </c>
      <c r="P2716">
        <f t="shared" si="42"/>
        <v>0</v>
      </c>
    </row>
    <row r="2717" spans="1:16" x14ac:dyDescent="0.25">
      <c r="A2717" t="s">
        <v>272</v>
      </c>
      <c r="B2717">
        <v>210</v>
      </c>
      <c r="C2717">
        <v>255</v>
      </c>
      <c r="D2717" t="s">
        <v>860</v>
      </c>
      <c r="E2717">
        <v>69</v>
      </c>
      <c r="F2717">
        <v>69</v>
      </c>
      <c r="G2717" t="s">
        <v>817</v>
      </c>
      <c r="H2717" t="s">
        <v>817</v>
      </c>
      <c r="J2717">
        <v>255</v>
      </c>
      <c r="K2717">
        <v>210</v>
      </c>
      <c r="L2717" t="s">
        <v>303</v>
      </c>
      <c r="M2717">
        <v>255</v>
      </c>
      <c r="N2717">
        <v>210</v>
      </c>
      <c r="O2717" t="s">
        <v>303</v>
      </c>
      <c r="P2717">
        <f t="shared" si="42"/>
        <v>0</v>
      </c>
    </row>
    <row r="2718" spans="1:16" x14ac:dyDescent="0.25">
      <c r="A2718" t="s">
        <v>669</v>
      </c>
      <c r="B2718">
        <v>251</v>
      </c>
      <c r="C2718">
        <v>260</v>
      </c>
      <c r="D2718" t="s">
        <v>303</v>
      </c>
      <c r="E2718" t="s">
        <v>910</v>
      </c>
      <c r="F2718" t="s">
        <v>910</v>
      </c>
      <c r="J2718">
        <v>260</v>
      </c>
      <c r="K2718">
        <v>251</v>
      </c>
      <c r="L2718" t="s">
        <v>303</v>
      </c>
      <c r="M2718">
        <v>260</v>
      </c>
      <c r="N2718">
        <v>251</v>
      </c>
      <c r="O2718" t="s">
        <v>303</v>
      </c>
      <c r="P2718">
        <f t="shared" si="42"/>
        <v>0</v>
      </c>
    </row>
    <row r="2719" spans="1:16" x14ac:dyDescent="0.25">
      <c r="A2719" t="s">
        <v>669</v>
      </c>
      <c r="B2719">
        <v>249.4</v>
      </c>
      <c r="C2719">
        <v>264.60000000000002</v>
      </c>
      <c r="D2719" t="s">
        <v>303</v>
      </c>
      <c r="E2719" t="s">
        <v>910</v>
      </c>
      <c r="F2719" t="s">
        <v>910</v>
      </c>
      <c r="J2719">
        <v>264.60000000000002</v>
      </c>
      <c r="K2719">
        <v>249.4</v>
      </c>
      <c r="L2719" t="s">
        <v>303</v>
      </c>
      <c r="M2719">
        <v>264.60000000000002</v>
      </c>
      <c r="N2719">
        <v>249.4</v>
      </c>
      <c r="O2719" t="s">
        <v>303</v>
      </c>
      <c r="P2719">
        <f t="shared" si="42"/>
        <v>0</v>
      </c>
    </row>
    <row r="2720" spans="1:16" x14ac:dyDescent="0.25">
      <c r="A2720" t="s">
        <v>669</v>
      </c>
      <c r="B2720">
        <v>260</v>
      </c>
      <c r="C2720">
        <v>270</v>
      </c>
      <c r="D2720" t="s">
        <v>303</v>
      </c>
      <c r="E2720" t="s">
        <v>910</v>
      </c>
      <c r="F2720" t="s">
        <v>910</v>
      </c>
      <c r="J2720">
        <v>270</v>
      </c>
      <c r="K2720">
        <v>260</v>
      </c>
      <c r="L2720" t="s">
        <v>303</v>
      </c>
      <c r="M2720">
        <v>270</v>
      </c>
      <c r="N2720">
        <v>260</v>
      </c>
      <c r="O2720" t="s">
        <v>303</v>
      </c>
      <c r="P2720">
        <f t="shared" si="42"/>
        <v>0</v>
      </c>
    </row>
    <row r="2721" spans="1:16" x14ac:dyDescent="0.25">
      <c r="A2721" t="s">
        <v>483</v>
      </c>
      <c r="B2721">
        <v>260</v>
      </c>
      <c r="C2721">
        <v>271</v>
      </c>
      <c r="D2721" t="s">
        <v>303</v>
      </c>
      <c r="E2721">
        <v>84</v>
      </c>
      <c r="F2721">
        <v>84</v>
      </c>
      <c r="G2721" t="s">
        <v>842</v>
      </c>
      <c r="H2721" t="s">
        <v>842</v>
      </c>
      <c r="J2721">
        <v>271</v>
      </c>
      <c r="K2721">
        <v>260</v>
      </c>
      <c r="L2721" t="s">
        <v>303</v>
      </c>
      <c r="M2721">
        <v>271</v>
      </c>
      <c r="N2721">
        <v>260</v>
      </c>
      <c r="O2721" t="s">
        <v>303</v>
      </c>
      <c r="P2721">
        <f t="shared" si="42"/>
        <v>0</v>
      </c>
    </row>
    <row r="2722" spans="1:16" x14ac:dyDescent="0.25">
      <c r="A2722" t="s">
        <v>482</v>
      </c>
      <c r="B2722">
        <v>271</v>
      </c>
      <c r="C2722">
        <v>276</v>
      </c>
      <c r="D2722" t="s">
        <v>303</v>
      </c>
      <c r="E2722">
        <v>89</v>
      </c>
      <c r="F2722">
        <v>89</v>
      </c>
      <c r="G2722" t="s">
        <v>764</v>
      </c>
      <c r="H2722" t="s">
        <v>764</v>
      </c>
      <c r="J2722">
        <v>276</v>
      </c>
      <c r="K2722">
        <v>271</v>
      </c>
      <c r="L2722" t="s">
        <v>303</v>
      </c>
      <c r="M2722">
        <v>276</v>
      </c>
      <c r="N2722">
        <v>271</v>
      </c>
      <c r="O2722" t="s">
        <v>303</v>
      </c>
      <c r="P2722">
        <f t="shared" si="42"/>
        <v>0</v>
      </c>
    </row>
    <row r="2723" spans="1:16" x14ac:dyDescent="0.25">
      <c r="A2723" t="s">
        <v>669</v>
      </c>
      <c r="B2723">
        <v>270</v>
      </c>
      <c r="C2723">
        <v>280</v>
      </c>
      <c r="D2723" t="s">
        <v>303</v>
      </c>
      <c r="E2723" t="s">
        <v>910</v>
      </c>
      <c r="F2723" t="s">
        <v>910</v>
      </c>
      <c r="J2723">
        <v>280</v>
      </c>
      <c r="K2723">
        <v>270</v>
      </c>
      <c r="L2723" t="s">
        <v>303</v>
      </c>
      <c r="M2723">
        <v>280</v>
      </c>
      <c r="N2723">
        <v>270</v>
      </c>
      <c r="O2723" t="s">
        <v>303</v>
      </c>
      <c r="P2723">
        <f t="shared" si="42"/>
        <v>0</v>
      </c>
    </row>
    <row r="2724" spans="1:16" x14ac:dyDescent="0.25">
      <c r="A2724" t="s">
        <v>669</v>
      </c>
      <c r="B2724">
        <v>1654</v>
      </c>
      <c r="C2724" t="s">
        <v>669</v>
      </c>
      <c r="D2724" t="s">
        <v>865</v>
      </c>
      <c r="E2724" t="s">
        <v>910</v>
      </c>
      <c r="F2724">
        <v>5</v>
      </c>
      <c r="H2724" t="s">
        <v>684</v>
      </c>
      <c r="K2724">
        <v>1654</v>
      </c>
      <c r="L2724" t="s">
        <v>920</v>
      </c>
      <c r="N2724">
        <v>1654</v>
      </c>
      <c r="O2724" t="s">
        <v>931</v>
      </c>
      <c r="P2724">
        <f t="shared" si="42"/>
        <v>0</v>
      </c>
    </row>
    <row r="2725" spans="1:16" x14ac:dyDescent="0.25">
      <c r="A2725" t="s">
        <v>481</v>
      </c>
      <c r="B2725">
        <v>276</v>
      </c>
      <c r="C2725">
        <v>284</v>
      </c>
      <c r="D2725" t="s">
        <v>303</v>
      </c>
      <c r="E2725">
        <v>90</v>
      </c>
      <c r="F2725">
        <v>90</v>
      </c>
      <c r="G2725" t="s">
        <v>763</v>
      </c>
      <c r="H2725" t="s">
        <v>763</v>
      </c>
      <c r="J2725">
        <v>284</v>
      </c>
      <c r="K2725">
        <v>276</v>
      </c>
      <c r="L2725" t="s">
        <v>303</v>
      </c>
      <c r="M2725">
        <v>284</v>
      </c>
      <c r="N2725">
        <v>276</v>
      </c>
      <c r="O2725" t="s">
        <v>303</v>
      </c>
      <c r="P2725">
        <f t="shared" si="42"/>
        <v>0</v>
      </c>
    </row>
    <row r="2726" spans="1:16" x14ac:dyDescent="0.25">
      <c r="A2726" t="s">
        <v>669</v>
      </c>
      <c r="B2726">
        <v>280</v>
      </c>
      <c r="C2726">
        <v>284</v>
      </c>
      <c r="D2726" t="s">
        <v>303</v>
      </c>
      <c r="E2726" t="s">
        <v>910</v>
      </c>
      <c r="F2726" t="s">
        <v>910</v>
      </c>
      <c r="J2726">
        <v>284</v>
      </c>
      <c r="K2726">
        <v>280</v>
      </c>
      <c r="L2726" t="s">
        <v>303</v>
      </c>
      <c r="M2726">
        <v>284</v>
      </c>
      <c r="N2726">
        <v>280</v>
      </c>
      <c r="O2726" t="s">
        <v>303</v>
      </c>
      <c r="P2726">
        <f t="shared" si="42"/>
        <v>0</v>
      </c>
    </row>
    <row r="2727" spans="1:16" x14ac:dyDescent="0.25">
      <c r="A2727" t="s">
        <v>956</v>
      </c>
      <c r="B2727">
        <v>287.39</v>
      </c>
      <c r="C2727">
        <v>288.95</v>
      </c>
      <c r="D2727" t="s">
        <v>860</v>
      </c>
      <c r="E2727" t="s">
        <v>910</v>
      </c>
      <c r="F2727" t="s">
        <v>910</v>
      </c>
      <c r="J2727">
        <v>288.95</v>
      </c>
      <c r="K2727">
        <v>287.39</v>
      </c>
      <c r="L2727" t="s">
        <v>303</v>
      </c>
      <c r="M2727">
        <v>288.95</v>
      </c>
      <c r="N2727">
        <v>287.39</v>
      </c>
      <c r="O2727" t="s">
        <v>303</v>
      </c>
      <c r="P2727">
        <f t="shared" si="42"/>
        <v>0</v>
      </c>
    </row>
    <row r="2728" spans="1:16" x14ac:dyDescent="0.25">
      <c r="A2728" t="s">
        <v>25</v>
      </c>
      <c r="B2728">
        <v>1657</v>
      </c>
      <c r="C2728">
        <v>2017</v>
      </c>
      <c r="D2728" t="s">
        <v>857</v>
      </c>
      <c r="E2728">
        <v>5</v>
      </c>
      <c r="F2728">
        <v>5</v>
      </c>
      <c r="G2728" t="s">
        <v>684</v>
      </c>
      <c r="H2728" t="s">
        <v>684</v>
      </c>
      <c r="J2728">
        <v>2017</v>
      </c>
      <c r="K2728">
        <v>1657</v>
      </c>
      <c r="L2728" t="s">
        <v>921</v>
      </c>
      <c r="M2728">
        <v>2017</v>
      </c>
      <c r="N2728">
        <v>1657</v>
      </c>
      <c r="O2728" t="s">
        <v>921</v>
      </c>
      <c r="P2728">
        <f t="shared" si="42"/>
        <v>0</v>
      </c>
    </row>
    <row r="2729" spans="1:16" x14ac:dyDescent="0.25">
      <c r="A2729" t="s">
        <v>957</v>
      </c>
      <c r="B2729">
        <v>287.74</v>
      </c>
      <c r="C2729">
        <v>289.14</v>
      </c>
      <c r="D2729" t="s">
        <v>860</v>
      </c>
      <c r="E2729" t="s">
        <v>910</v>
      </c>
      <c r="F2729" t="s">
        <v>910</v>
      </c>
      <c r="J2729">
        <v>289.14</v>
      </c>
      <c r="K2729">
        <v>287.74</v>
      </c>
      <c r="L2729" t="s">
        <v>303</v>
      </c>
      <c r="M2729">
        <v>289.14</v>
      </c>
      <c r="N2729">
        <v>287.74</v>
      </c>
      <c r="O2729" t="s">
        <v>303</v>
      </c>
      <c r="P2729">
        <f t="shared" si="42"/>
        <v>0</v>
      </c>
    </row>
    <row r="2730" spans="1:16" x14ac:dyDescent="0.25">
      <c r="A2730" t="s">
        <v>178</v>
      </c>
      <c r="B2730">
        <v>275</v>
      </c>
      <c r="C2730">
        <v>295</v>
      </c>
      <c r="D2730" t="s">
        <v>860</v>
      </c>
      <c r="E2730">
        <v>88</v>
      </c>
      <c r="F2730">
        <v>88</v>
      </c>
      <c r="G2730" t="s">
        <v>703</v>
      </c>
      <c r="H2730" t="s">
        <v>703</v>
      </c>
      <c r="J2730">
        <v>295</v>
      </c>
      <c r="K2730">
        <v>275</v>
      </c>
      <c r="L2730" t="s">
        <v>303</v>
      </c>
      <c r="M2730">
        <v>295</v>
      </c>
      <c r="N2730">
        <v>275</v>
      </c>
      <c r="O2730" t="s">
        <v>303</v>
      </c>
      <c r="P2730">
        <f t="shared" si="42"/>
        <v>0</v>
      </c>
    </row>
    <row r="2731" spans="1:16" x14ac:dyDescent="0.25">
      <c r="A2731" t="s">
        <v>480</v>
      </c>
      <c r="B2731">
        <v>251</v>
      </c>
      <c r="C2731">
        <v>299</v>
      </c>
      <c r="D2731" t="s">
        <v>303</v>
      </c>
      <c r="E2731">
        <v>80</v>
      </c>
      <c r="F2731">
        <v>80</v>
      </c>
      <c r="G2731" t="s">
        <v>721</v>
      </c>
      <c r="H2731" t="s">
        <v>721</v>
      </c>
      <c r="J2731">
        <v>299</v>
      </c>
      <c r="K2731">
        <v>251</v>
      </c>
      <c r="L2731" t="s">
        <v>303</v>
      </c>
      <c r="M2731">
        <v>299</v>
      </c>
      <c r="N2731">
        <v>251</v>
      </c>
      <c r="O2731" t="s">
        <v>303</v>
      </c>
      <c r="P2731">
        <f t="shared" si="42"/>
        <v>0</v>
      </c>
    </row>
    <row r="2732" spans="1:16" x14ac:dyDescent="0.25">
      <c r="A2732" t="s">
        <v>669</v>
      </c>
      <c r="B2732">
        <v>251</v>
      </c>
      <c r="C2732">
        <v>299</v>
      </c>
      <c r="D2732" t="s">
        <v>303</v>
      </c>
      <c r="E2732" t="s">
        <v>910</v>
      </c>
      <c r="F2732" t="s">
        <v>910</v>
      </c>
      <c r="J2732">
        <v>299</v>
      </c>
      <c r="K2732">
        <v>251</v>
      </c>
      <c r="L2732" t="s">
        <v>303</v>
      </c>
      <c r="M2732">
        <v>299</v>
      </c>
      <c r="N2732">
        <v>251</v>
      </c>
      <c r="O2732" t="s">
        <v>303</v>
      </c>
      <c r="P2732">
        <f t="shared" si="42"/>
        <v>0</v>
      </c>
    </row>
    <row r="2733" spans="1:16" x14ac:dyDescent="0.25">
      <c r="A2733" t="s">
        <v>669</v>
      </c>
      <c r="B2733">
        <v>271</v>
      </c>
      <c r="C2733">
        <v>299</v>
      </c>
      <c r="D2733" t="s">
        <v>303</v>
      </c>
      <c r="E2733" t="s">
        <v>910</v>
      </c>
      <c r="F2733" t="s">
        <v>910</v>
      </c>
      <c r="J2733">
        <v>299</v>
      </c>
      <c r="K2733">
        <v>271</v>
      </c>
      <c r="L2733" t="s">
        <v>303</v>
      </c>
      <c r="M2733">
        <v>299</v>
      </c>
      <c r="N2733">
        <v>271</v>
      </c>
      <c r="O2733" t="s">
        <v>303</v>
      </c>
      <c r="P2733">
        <f t="shared" si="42"/>
        <v>0</v>
      </c>
    </row>
    <row r="2734" spans="1:16" x14ac:dyDescent="0.25">
      <c r="A2734" t="s">
        <v>669</v>
      </c>
      <c r="B2734">
        <v>284</v>
      </c>
      <c r="C2734">
        <v>299</v>
      </c>
      <c r="D2734" t="s">
        <v>303</v>
      </c>
      <c r="E2734" t="s">
        <v>910</v>
      </c>
      <c r="F2734" t="s">
        <v>910</v>
      </c>
      <c r="J2734">
        <v>299</v>
      </c>
      <c r="K2734">
        <v>284</v>
      </c>
      <c r="L2734" t="s">
        <v>303</v>
      </c>
      <c r="M2734">
        <v>299</v>
      </c>
      <c r="N2734">
        <v>284</v>
      </c>
      <c r="O2734" t="s">
        <v>303</v>
      </c>
      <c r="P2734">
        <f t="shared" si="42"/>
        <v>0</v>
      </c>
    </row>
    <row r="2735" spans="1:16" x14ac:dyDescent="0.25">
      <c r="A2735" t="s">
        <v>669</v>
      </c>
      <c r="B2735">
        <v>295</v>
      </c>
      <c r="C2735">
        <v>300</v>
      </c>
      <c r="D2735" t="s">
        <v>860</v>
      </c>
      <c r="E2735" t="s">
        <v>910</v>
      </c>
      <c r="F2735" t="s">
        <v>910</v>
      </c>
      <c r="J2735">
        <v>300</v>
      </c>
      <c r="K2735">
        <v>295</v>
      </c>
      <c r="L2735" t="s">
        <v>303</v>
      </c>
      <c r="M2735">
        <v>300</v>
      </c>
      <c r="N2735">
        <v>295</v>
      </c>
      <c r="O2735" t="s">
        <v>303</v>
      </c>
      <c r="P2735">
        <f t="shared" si="42"/>
        <v>0</v>
      </c>
    </row>
    <row r="2736" spans="1:16" x14ac:dyDescent="0.25">
      <c r="A2736" t="s">
        <v>496</v>
      </c>
      <c r="B2736">
        <v>290</v>
      </c>
      <c r="C2736">
        <v>305</v>
      </c>
      <c r="D2736" t="s">
        <v>860</v>
      </c>
      <c r="E2736">
        <v>80</v>
      </c>
      <c r="F2736">
        <v>80</v>
      </c>
      <c r="G2736" t="s">
        <v>721</v>
      </c>
      <c r="H2736" t="s">
        <v>721</v>
      </c>
      <c r="J2736">
        <v>305</v>
      </c>
      <c r="K2736">
        <v>290</v>
      </c>
      <c r="L2736" t="s">
        <v>303</v>
      </c>
      <c r="M2736">
        <v>305</v>
      </c>
      <c r="N2736">
        <v>290</v>
      </c>
      <c r="O2736" t="s">
        <v>303</v>
      </c>
      <c r="P2736">
        <f t="shared" si="42"/>
        <v>0</v>
      </c>
    </row>
    <row r="2737" spans="1:16" x14ac:dyDescent="0.25">
      <c r="A2737" t="s">
        <v>669</v>
      </c>
      <c r="B2737">
        <v>300</v>
      </c>
      <c r="C2737">
        <v>306</v>
      </c>
      <c r="D2737" t="s">
        <v>303</v>
      </c>
      <c r="E2737" t="s">
        <v>910</v>
      </c>
      <c r="F2737" t="s">
        <v>910</v>
      </c>
      <c r="J2737">
        <v>306</v>
      </c>
      <c r="K2737">
        <v>300</v>
      </c>
      <c r="L2737" t="s">
        <v>303</v>
      </c>
      <c r="M2737">
        <v>306</v>
      </c>
      <c r="N2737">
        <v>300</v>
      </c>
      <c r="O2737" t="s">
        <v>303</v>
      </c>
      <c r="P2737">
        <f t="shared" si="42"/>
        <v>0</v>
      </c>
    </row>
    <row r="2738" spans="1:16" x14ac:dyDescent="0.25">
      <c r="A2738" t="s">
        <v>510</v>
      </c>
      <c r="B2738">
        <v>294</v>
      </c>
      <c r="C2738">
        <v>307</v>
      </c>
      <c r="D2738" t="s">
        <v>860</v>
      </c>
      <c r="E2738">
        <v>93</v>
      </c>
      <c r="F2738">
        <v>80</v>
      </c>
      <c r="G2738" t="s">
        <v>739</v>
      </c>
      <c r="H2738" t="s">
        <v>721</v>
      </c>
      <c r="J2738">
        <v>307</v>
      </c>
      <c r="K2738">
        <v>294</v>
      </c>
      <c r="L2738" t="s">
        <v>303</v>
      </c>
      <c r="M2738">
        <v>307</v>
      </c>
      <c r="N2738">
        <v>294</v>
      </c>
      <c r="O2738" t="s">
        <v>303</v>
      </c>
      <c r="P2738">
        <f t="shared" si="42"/>
        <v>0</v>
      </c>
    </row>
    <row r="2739" spans="1:16" x14ac:dyDescent="0.25">
      <c r="A2739" t="s">
        <v>669</v>
      </c>
      <c r="B2739">
        <v>309</v>
      </c>
      <c r="C2739">
        <v>300</v>
      </c>
      <c r="D2739" t="s">
        <v>860</v>
      </c>
      <c r="E2739" t="s">
        <v>910</v>
      </c>
      <c r="F2739" t="s">
        <v>910</v>
      </c>
      <c r="J2739">
        <v>309</v>
      </c>
      <c r="K2739">
        <v>300</v>
      </c>
      <c r="L2739" t="s">
        <v>303</v>
      </c>
      <c r="M2739">
        <v>309</v>
      </c>
      <c r="N2739">
        <v>300</v>
      </c>
      <c r="O2739" t="s">
        <v>303</v>
      </c>
      <c r="P2739">
        <f t="shared" si="42"/>
        <v>0</v>
      </c>
    </row>
    <row r="2740" spans="1:16" x14ac:dyDescent="0.25">
      <c r="A2740" t="s">
        <v>669</v>
      </c>
      <c r="B2740">
        <v>304</v>
      </c>
      <c r="C2740">
        <v>312</v>
      </c>
      <c r="D2740" t="s">
        <v>303</v>
      </c>
      <c r="E2740" t="s">
        <v>910</v>
      </c>
      <c r="F2740" t="s">
        <v>910</v>
      </c>
      <c r="J2740">
        <v>312</v>
      </c>
      <c r="K2740">
        <v>304</v>
      </c>
      <c r="L2740" t="s">
        <v>303</v>
      </c>
      <c r="M2740">
        <v>312</v>
      </c>
      <c r="N2740">
        <v>304</v>
      </c>
      <c r="O2740" t="s">
        <v>303</v>
      </c>
      <c r="P2740">
        <f t="shared" si="42"/>
        <v>0</v>
      </c>
    </row>
    <row r="2741" spans="1:16" x14ac:dyDescent="0.25">
      <c r="A2741" t="s">
        <v>669</v>
      </c>
      <c r="B2741">
        <v>313</v>
      </c>
      <c r="C2741">
        <v>315</v>
      </c>
      <c r="D2741" t="s">
        <v>303</v>
      </c>
      <c r="E2741" t="s">
        <v>910</v>
      </c>
      <c r="F2741" t="s">
        <v>910</v>
      </c>
      <c r="J2741">
        <v>315</v>
      </c>
      <c r="K2741">
        <v>313</v>
      </c>
      <c r="L2741" t="s">
        <v>303</v>
      </c>
      <c r="M2741">
        <v>315</v>
      </c>
      <c r="N2741">
        <v>313</v>
      </c>
      <c r="O2741" t="s">
        <v>303</v>
      </c>
      <c r="P2741">
        <f t="shared" si="42"/>
        <v>0</v>
      </c>
    </row>
    <row r="2742" spans="1:16" x14ac:dyDescent="0.25">
      <c r="A2742" t="s">
        <v>470</v>
      </c>
      <c r="B2742">
        <v>299</v>
      </c>
      <c r="C2742">
        <v>318</v>
      </c>
      <c r="D2742" t="s">
        <v>303</v>
      </c>
      <c r="E2742">
        <v>94</v>
      </c>
      <c r="F2742">
        <v>94</v>
      </c>
      <c r="G2742" t="s">
        <v>735</v>
      </c>
      <c r="H2742" t="s">
        <v>735</v>
      </c>
      <c r="J2742">
        <v>318</v>
      </c>
      <c r="K2742">
        <v>299</v>
      </c>
      <c r="L2742" t="s">
        <v>303</v>
      </c>
      <c r="M2742">
        <v>318</v>
      </c>
      <c r="N2742">
        <v>299</v>
      </c>
      <c r="O2742" t="s">
        <v>303</v>
      </c>
      <c r="P2742">
        <f t="shared" si="42"/>
        <v>0</v>
      </c>
    </row>
    <row r="2743" spans="1:16" x14ac:dyDescent="0.25">
      <c r="A2743" t="s">
        <v>669</v>
      </c>
      <c r="B2743">
        <v>299</v>
      </c>
      <c r="C2743">
        <v>318</v>
      </c>
      <c r="D2743" t="s">
        <v>303</v>
      </c>
      <c r="E2743" t="s">
        <v>910</v>
      </c>
      <c r="F2743" t="s">
        <v>910</v>
      </c>
      <c r="J2743">
        <v>318</v>
      </c>
      <c r="K2743">
        <v>299</v>
      </c>
      <c r="L2743" t="s">
        <v>303</v>
      </c>
      <c r="M2743">
        <v>318</v>
      </c>
      <c r="N2743">
        <v>299</v>
      </c>
      <c r="O2743" t="s">
        <v>303</v>
      </c>
      <c r="P2743">
        <f t="shared" si="42"/>
        <v>0</v>
      </c>
    </row>
    <row r="2744" spans="1:16" x14ac:dyDescent="0.25">
      <c r="A2744" t="s">
        <v>669</v>
      </c>
      <c r="B2744">
        <v>306</v>
      </c>
      <c r="C2744">
        <v>318</v>
      </c>
      <c r="D2744" t="s">
        <v>303</v>
      </c>
      <c r="E2744" t="s">
        <v>910</v>
      </c>
      <c r="F2744" t="s">
        <v>910</v>
      </c>
      <c r="J2744">
        <v>318</v>
      </c>
      <c r="K2744">
        <v>306</v>
      </c>
      <c r="L2744" t="s">
        <v>303</v>
      </c>
      <c r="M2744">
        <v>318</v>
      </c>
      <c r="N2744">
        <v>306</v>
      </c>
      <c r="O2744" t="s">
        <v>303</v>
      </c>
      <c r="P2744">
        <f t="shared" si="42"/>
        <v>0</v>
      </c>
    </row>
    <row r="2745" spans="1:16" x14ac:dyDescent="0.25">
      <c r="A2745" t="s">
        <v>669</v>
      </c>
      <c r="B2745">
        <v>312</v>
      </c>
      <c r="C2745">
        <v>318</v>
      </c>
      <c r="D2745" t="s">
        <v>303</v>
      </c>
      <c r="E2745" t="s">
        <v>910</v>
      </c>
      <c r="F2745" t="s">
        <v>910</v>
      </c>
      <c r="J2745">
        <v>318</v>
      </c>
      <c r="K2745">
        <v>312</v>
      </c>
      <c r="L2745" t="s">
        <v>303</v>
      </c>
      <c r="M2745">
        <v>318</v>
      </c>
      <c r="N2745">
        <v>312</v>
      </c>
      <c r="O2745" t="s">
        <v>303</v>
      </c>
      <c r="P2745">
        <f t="shared" si="42"/>
        <v>0</v>
      </c>
    </row>
    <row r="2746" spans="1:16" x14ac:dyDescent="0.25">
      <c r="A2746" t="s">
        <v>669</v>
      </c>
      <c r="B2746">
        <v>313</v>
      </c>
      <c r="C2746">
        <v>318</v>
      </c>
      <c r="D2746" t="s">
        <v>303</v>
      </c>
      <c r="E2746" t="s">
        <v>910</v>
      </c>
      <c r="F2746" t="s">
        <v>910</v>
      </c>
      <c r="J2746">
        <v>318</v>
      </c>
      <c r="K2746">
        <v>313</v>
      </c>
      <c r="L2746" t="s">
        <v>303</v>
      </c>
      <c r="M2746">
        <v>318</v>
      </c>
      <c r="N2746">
        <v>313</v>
      </c>
      <c r="O2746" t="s">
        <v>303</v>
      </c>
      <c r="P2746">
        <f t="shared" si="42"/>
        <v>0</v>
      </c>
    </row>
    <row r="2747" spans="1:16" x14ac:dyDescent="0.25">
      <c r="A2747" t="s">
        <v>669</v>
      </c>
      <c r="B2747">
        <v>316</v>
      </c>
      <c r="C2747">
        <v>319</v>
      </c>
      <c r="D2747" t="s">
        <v>303</v>
      </c>
      <c r="E2747" t="s">
        <v>910</v>
      </c>
      <c r="F2747" t="s">
        <v>910</v>
      </c>
      <c r="J2747">
        <v>319</v>
      </c>
      <c r="K2747">
        <v>316</v>
      </c>
      <c r="L2747" t="s">
        <v>303</v>
      </c>
      <c r="M2747">
        <v>319</v>
      </c>
      <c r="N2747">
        <v>316</v>
      </c>
      <c r="O2747" t="s">
        <v>303</v>
      </c>
      <c r="P2747">
        <f t="shared" si="42"/>
        <v>0</v>
      </c>
    </row>
    <row r="2748" spans="1:16" x14ac:dyDescent="0.25">
      <c r="A2748" t="s">
        <v>405</v>
      </c>
      <c r="B2748" t="s">
        <v>669</v>
      </c>
      <c r="C2748">
        <v>322.60000000000002</v>
      </c>
      <c r="D2748" t="s">
        <v>860</v>
      </c>
      <c r="E2748">
        <v>103</v>
      </c>
      <c r="F2748">
        <v>100</v>
      </c>
      <c r="G2748" t="s">
        <v>837</v>
      </c>
      <c r="H2748" t="s">
        <v>835</v>
      </c>
      <c r="J2748">
        <v>322.60000000000002</v>
      </c>
      <c r="L2748" t="s">
        <v>303</v>
      </c>
      <c r="M2748">
        <v>322.60000000000002</v>
      </c>
      <c r="O2748" t="s">
        <v>303</v>
      </c>
      <c r="P2748">
        <f t="shared" si="42"/>
        <v>0</v>
      </c>
    </row>
    <row r="2749" spans="1:16" x14ac:dyDescent="0.25">
      <c r="A2749" t="s">
        <v>669</v>
      </c>
      <c r="B2749">
        <v>1684</v>
      </c>
      <c r="C2749" t="s">
        <v>669</v>
      </c>
      <c r="D2749" t="s">
        <v>865</v>
      </c>
      <c r="E2749" t="s">
        <v>910</v>
      </c>
      <c r="F2749">
        <v>5</v>
      </c>
      <c r="H2749" t="s">
        <v>684</v>
      </c>
      <c r="K2749">
        <v>1684</v>
      </c>
      <c r="L2749" t="s">
        <v>920</v>
      </c>
      <c r="N2749">
        <v>1684</v>
      </c>
      <c r="O2749" t="s">
        <v>931</v>
      </c>
      <c r="P2749">
        <f t="shared" si="42"/>
        <v>0</v>
      </c>
    </row>
    <row r="2750" spans="1:16" x14ac:dyDescent="0.25">
      <c r="A2750" t="s">
        <v>665</v>
      </c>
      <c r="B2750" t="s">
        <v>669</v>
      </c>
      <c r="C2750">
        <v>322.8</v>
      </c>
      <c r="D2750" t="s">
        <v>860</v>
      </c>
      <c r="E2750">
        <v>98</v>
      </c>
      <c r="F2750">
        <v>98</v>
      </c>
      <c r="G2750" t="s">
        <v>794</v>
      </c>
      <c r="H2750" t="s">
        <v>794</v>
      </c>
      <c r="J2750">
        <v>322.8</v>
      </c>
      <c r="L2750" t="s">
        <v>303</v>
      </c>
      <c r="M2750">
        <v>322.8</v>
      </c>
      <c r="O2750" t="s">
        <v>303</v>
      </c>
      <c r="P2750">
        <f t="shared" si="42"/>
        <v>0</v>
      </c>
    </row>
    <row r="2751" spans="1:16" x14ac:dyDescent="0.25">
      <c r="A2751" t="s">
        <v>669</v>
      </c>
      <c r="B2751">
        <v>320</v>
      </c>
      <c r="C2751">
        <v>324</v>
      </c>
      <c r="D2751" t="s">
        <v>303</v>
      </c>
      <c r="E2751" t="s">
        <v>910</v>
      </c>
      <c r="F2751" t="s">
        <v>910</v>
      </c>
      <c r="J2751">
        <v>324</v>
      </c>
      <c r="K2751">
        <v>320</v>
      </c>
      <c r="L2751" t="s">
        <v>303</v>
      </c>
      <c r="M2751">
        <v>324</v>
      </c>
      <c r="N2751">
        <v>320</v>
      </c>
      <c r="O2751" t="s">
        <v>303</v>
      </c>
      <c r="P2751">
        <f t="shared" si="42"/>
        <v>0</v>
      </c>
    </row>
    <row r="2752" spans="1:16" x14ac:dyDescent="0.25">
      <c r="A2752" t="s">
        <v>669</v>
      </c>
      <c r="B2752">
        <v>312</v>
      </c>
      <c r="C2752">
        <v>326</v>
      </c>
      <c r="D2752" t="s">
        <v>303</v>
      </c>
      <c r="E2752" t="s">
        <v>910</v>
      </c>
      <c r="F2752" t="s">
        <v>910</v>
      </c>
      <c r="J2752">
        <v>326</v>
      </c>
      <c r="K2752">
        <v>312</v>
      </c>
      <c r="L2752" t="s">
        <v>303</v>
      </c>
      <c r="M2752">
        <v>326</v>
      </c>
      <c r="N2752">
        <v>312</v>
      </c>
      <c r="O2752" t="s">
        <v>303</v>
      </c>
      <c r="P2752">
        <f t="shared" si="42"/>
        <v>0</v>
      </c>
    </row>
    <row r="2753" spans="1:16" x14ac:dyDescent="0.25">
      <c r="A2753" t="s">
        <v>669</v>
      </c>
      <c r="B2753">
        <v>318</v>
      </c>
      <c r="C2753">
        <v>326</v>
      </c>
      <c r="D2753" t="s">
        <v>303</v>
      </c>
      <c r="E2753" t="s">
        <v>910</v>
      </c>
      <c r="F2753" t="s">
        <v>910</v>
      </c>
      <c r="J2753">
        <v>326</v>
      </c>
      <c r="K2753">
        <v>318</v>
      </c>
      <c r="L2753" t="s">
        <v>303</v>
      </c>
      <c r="M2753">
        <v>326</v>
      </c>
      <c r="N2753">
        <v>318</v>
      </c>
      <c r="O2753" t="s">
        <v>303</v>
      </c>
      <c r="P2753">
        <f t="shared" si="42"/>
        <v>0</v>
      </c>
    </row>
    <row r="2754" spans="1:16" x14ac:dyDescent="0.25">
      <c r="A2754" t="s">
        <v>669</v>
      </c>
      <c r="B2754">
        <v>3025</v>
      </c>
      <c r="C2754">
        <v>3085</v>
      </c>
      <c r="D2754" t="s">
        <v>669</v>
      </c>
      <c r="E2754" t="s">
        <v>910</v>
      </c>
      <c r="F2754" t="s">
        <v>910</v>
      </c>
      <c r="I2754" t="s">
        <v>928</v>
      </c>
      <c r="J2754">
        <v>3085</v>
      </c>
      <c r="K2754">
        <v>3025</v>
      </c>
      <c r="L2754" t="s">
        <v>851</v>
      </c>
      <c r="M2754">
        <v>3085</v>
      </c>
      <c r="N2754">
        <v>3025</v>
      </c>
      <c r="P2754">
        <f t="shared" si="42"/>
        <v>21</v>
      </c>
    </row>
    <row r="2755" spans="1:16" x14ac:dyDescent="0.25">
      <c r="A2755" t="s">
        <v>669</v>
      </c>
      <c r="B2755">
        <v>310</v>
      </c>
      <c r="C2755">
        <v>330</v>
      </c>
      <c r="D2755" t="s">
        <v>303</v>
      </c>
      <c r="E2755" t="s">
        <v>910</v>
      </c>
      <c r="F2755" t="s">
        <v>910</v>
      </c>
      <c r="J2755">
        <v>330</v>
      </c>
      <c r="K2755">
        <v>310</v>
      </c>
      <c r="L2755" t="s">
        <v>303</v>
      </c>
      <c r="M2755">
        <v>330</v>
      </c>
      <c r="N2755">
        <v>310</v>
      </c>
      <c r="O2755" t="s">
        <v>303</v>
      </c>
      <c r="P2755">
        <f t="shared" ref="P2755:P2818" si="43">LEN(I2755)</f>
        <v>0</v>
      </c>
    </row>
    <row r="2756" spans="1:16" x14ac:dyDescent="0.25">
      <c r="A2756" t="s">
        <v>669</v>
      </c>
      <c r="B2756">
        <v>312</v>
      </c>
      <c r="C2756">
        <v>330</v>
      </c>
      <c r="D2756" t="s">
        <v>303</v>
      </c>
      <c r="E2756" t="s">
        <v>910</v>
      </c>
      <c r="F2756" t="s">
        <v>910</v>
      </c>
      <c r="J2756">
        <v>330</v>
      </c>
      <c r="K2756">
        <v>312</v>
      </c>
      <c r="L2756" t="s">
        <v>303</v>
      </c>
      <c r="M2756">
        <v>330</v>
      </c>
      <c r="N2756">
        <v>312</v>
      </c>
      <c r="O2756" t="s">
        <v>303</v>
      </c>
      <c r="P2756">
        <f t="shared" si="43"/>
        <v>0</v>
      </c>
    </row>
    <row r="2757" spans="1:16" x14ac:dyDescent="0.25">
      <c r="A2757" t="s">
        <v>669</v>
      </c>
      <c r="B2757">
        <v>314</v>
      </c>
      <c r="C2757">
        <v>334</v>
      </c>
      <c r="D2757" t="s">
        <v>303</v>
      </c>
      <c r="E2757" t="s">
        <v>910</v>
      </c>
      <c r="F2757" t="s">
        <v>910</v>
      </c>
      <c r="J2757">
        <v>334</v>
      </c>
      <c r="K2757">
        <v>314</v>
      </c>
      <c r="L2757" t="s">
        <v>303</v>
      </c>
      <c r="M2757">
        <v>334</v>
      </c>
      <c r="N2757">
        <v>314</v>
      </c>
      <c r="O2757" t="s">
        <v>303</v>
      </c>
      <c r="P2757">
        <f t="shared" si="43"/>
        <v>0</v>
      </c>
    </row>
    <row r="2758" spans="1:16" x14ac:dyDescent="0.25">
      <c r="A2758" t="s">
        <v>669</v>
      </c>
      <c r="B2758">
        <v>320.7</v>
      </c>
      <c r="C2758">
        <v>334.7</v>
      </c>
      <c r="D2758" t="s">
        <v>303</v>
      </c>
      <c r="E2758" t="s">
        <v>910</v>
      </c>
      <c r="F2758" t="s">
        <v>910</v>
      </c>
      <c r="J2758">
        <v>334.7</v>
      </c>
      <c r="K2758">
        <v>320.7</v>
      </c>
      <c r="L2758" t="s">
        <v>303</v>
      </c>
      <c r="M2758">
        <v>334.7</v>
      </c>
      <c r="N2758">
        <v>320.7</v>
      </c>
      <c r="O2758" t="s">
        <v>303</v>
      </c>
      <c r="P2758">
        <f t="shared" si="43"/>
        <v>0</v>
      </c>
    </row>
    <row r="2759" spans="1:16" x14ac:dyDescent="0.25">
      <c r="A2759" t="s">
        <v>669</v>
      </c>
      <c r="B2759">
        <v>322</v>
      </c>
      <c r="C2759">
        <v>335.8</v>
      </c>
      <c r="D2759" t="s">
        <v>303</v>
      </c>
      <c r="E2759" t="s">
        <v>910</v>
      </c>
      <c r="F2759" t="s">
        <v>910</v>
      </c>
      <c r="J2759">
        <v>335.8</v>
      </c>
      <c r="K2759">
        <v>322</v>
      </c>
      <c r="L2759" t="s">
        <v>303</v>
      </c>
      <c r="M2759">
        <v>335.8</v>
      </c>
      <c r="N2759">
        <v>322</v>
      </c>
      <c r="O2759" t="s">
        <v>303</v>
      </c>
      <c r="P2759">
        <f t="shared" si="43"/>
        <v>0</v>
      </c>
    </row>
    <row r="2760" spans="1:16" x14ac:dyDescent="0.25">
      <c r="A2760" t="s">
        <v>669</v>
      </c>
      <c r="B2760">
        <v>322.39999999999998</v>
      </c>
      <c r="C2760">
        <v>335.8</v>
      </c>
      <c r="D2760" t="s">
        <v>303</v>
      </c>
      <c r="E2760" t="s">
        <v>910</v>
      </c>
      <c r="F2760" t="s">
        <v>910</v>
      </c>
      <c r="J2760">
        <v>335.8</v>
      </c>
      <c r="K2760">
        <v>322.39999999999998</v>
      </c>
      <c r="L2760" t="s">
        <v>303</v>
      </c>
      <c r="M2760">
        <v>335.8</v>
      </c>
      <c r="N2760">
        <v>322.39999999999998</v>
      </c>
      <c r="O2760" t="s">
        <v>303</v>
      </c>
      <c r="P2760">
        <f t="shared" si="43"/>
        <v>0</v>
      </c>
    </row>
    <row r="2761" spans="1:16" x14ac:dyDescent="0.25">
      <c r="A2761" t="s">
        <v>669</v>
      </c>
      <c r="B2761">
        <v>336.76</v>
      </c>
      <c r="C2761">
        <v>337.5</v>
      </c>
      <c r="D2761" t="s">
        <v>303</v>
      </c>
      <c r="E2761" t="s">
        <v>910</v>
      </c>
      <c r="F2761" t="s">
        <v>910</v>
      </c>
      <c r="J2761">
        <v>337.5</v>
      </c>
      <c r="K2761">
        <v>336.76</v>
      </c>
      <c r="L2761" t="s">
        <v>303</v>
      </c>
      <c r="M2761">
        <v>337.5</v>
      </c>
      <c r="N2761">
        <v>336.76</v>
      </c>
      <c r="O2761" t="s">
        <v>303</v>
      </c>
      <c r="P2761">
        <f t="shared" si="43"/>
        <v>0</v>
      </c>
    </row>
    <row r="2762" spans="1:16" x14ac:dyDescent="0.25">
      <c r="A2762" t="s">
        <v>669</v>
      </c>
      <c r="B2762">
        <v>320</v>
      </c>
      <c r="C2762">
        <v>339</v>
      </c>
      <c r="D2762" t="s">
        <v>303</v>
      </c>
      <c r="E2762" t="s">
        <v>910</v>
      </c>
      <c r="F2762" t="s">
        <v>910</v>
      </c>
      <c r="J2762">
        <v>339</v>
      </c>
      <c r="K2762">
        <v>320</v>
      </c>
      <c r="L2762" t="s">
        <v>303</v>
      </c>
      <c r="M2762">
        <v>339</v>
      </c>
      <c r="N2762">
        <v>320</v>
      </c>
      <c r="O2762" t="s">
        <v>303</v>
      </c>
      <c r="P2762">
        <f t="shared" si="43"/>
        <v>0</v>
      </c>
    </row>
    <row r="2763" spans="1:16" x14ac:dyDescent="0.25">
      <c r="A2763" t="s">
        <v>665</v>
      </c>
      <c r="B2763" t="s">
        <v>669</v>
      </c>
      <c r="C2763">
        <v>339.3</v>
      </c>
      <c r="D2763" t="s">
        <v>860</v>
      </c>
      <c r="E2763">
        <v>98</v>
      </c>
      <c r="F2763">
        <v>98</v>
      </c>
      <c r="G2763" t="s">
        <v>794</v>
      </c>
      <c r="H2763" t="s">
        <v>794</v>
      </c>
      <c r="J2763">
        <v>339.3</v>
      </c>
      <c r="L2763" t="s">
        <v>303</v>
      </c>
      <c r="M2763">
        <v>339.3</v>
      </c>
      <c r="O2763" t="s">
        <v>303</v>
      </c>
      <c r="P2763">
        <f t="shared" si="43"/>
        <v>0</v>
      </c>
    </row>
    <row r="2764" spans="1:16" x14ac:dyDescent="0.25">
      <c r="A2764" t="s">
        <v>669</v>
      </c>
      <c r="B2764">
        <v>343</v>
      </c>
      <c r="C2764">
        <v>343</v>
      </c>
      <c r="D2764" t="s">
        <v>303</v>
      </c>
      <c r="E2764" t="s">
        <v>910</v>
      </c>
      <c r="F2764" t="s">
        <v>910</v>
      </c>
      <c r="J2764">
        <v>343</v>
      </c>
      <c r="K2764">
        <v>343</v>
      </c>
      <c r="L2764" t="s">
        <v>303</v>
      </c>
      <c r="M2764">
        <v>343</v>
      </c>
      <c r="N2764">
        <v>343</v>
      </c>
      <c r="O2764" t="s">
        <v>303</v>
      </c>
      <c r="P2764">
        <f t="shared" si="43"/>
        <v>0</v>
      </c>
    </row>
    <row r="2765" spans="1:16" x14ac:dyDescent="0.25">
      <c r="A2765" t="s">
        <v>669</v>
      </c>
      <c r="B2765">
        <v>344</v>
      </c>
      <c r="C2765">
        <v>344</v>
      </c>
      <c r="D2765" t="s">
        <v>303</v>
      </c>
      <c r="E2765" t="s">
        <v>910</v>
      </c>
      <c r="F2765" t="s">
        <v>910</v>
      </c>
      <c r="J2765">
        <v>344</v>
      </c>
      <c r="K2765">
        <v>344</v>
      </c>
      <c r="L2765" t="s">
        <v>303</v>
      </c>
      <c r="M2765">
        <v>344</v>
      </c>
      <c r="N2765">
        <v>344</v>
      </c>
      <c r="O2765" t="s">
        <v>303</v>
      </c>
      <c r="P2765">
        <f t="shared" si="43"/>
        <v>0</v>
      </c>
    </row>
    <row r="2766" spans="1:16" x14ac:dyDescent="0.25">
      <c r="A2766" t="s">
        <v>669</v>
      </c>
      <c r="B2766">
        <v>318</v>
      </c>
      <c r="C2766">
        <v>345</v>
      </c>
      <c r="D2766" t="s">
        <v>303</v>
      </c>
      <c r="E2766" t="s">
        <v>910</v>
      </c>
      <c r="F2766" t="s">
        <v>910</v>
      </c>
      <c r="J2766">
        <v>345</v>
      </c>
      <c r="K2766">
        <v>318</v>
      </c>
      <c r="L2766" t="s">
        <v>303</v>
      </c>
      <c r="M2766">
        <v>345</v>
      </c>
      <c r="N2766">
        <v>318</v>
      </c>
      <c r="O2766" t="s">
        <v>303</v>
      </c>
      <c r="P2766">
        <f t="shared" si="43"/>
        <v>0</v>
      </c>
    </row>
    <row r="2767" spans="1:16" x14ac:dyDescent="0.25">
      <c r="A2767" t="s">
        <v>469</v>
      </c>
      <c r="B2767">
        <v>326</v>
      </c>
      <c r="C2767">
        <v>345</v>
      </c>
      <c r="D2767" t="s">
        <v>303</v>
      </c>
      <c r="E2767">
        <v>105</v>
      </c>
      <c r="F2767">
        <v>105</v>
      </c>
      <c r="G2767" t="s">
        <v>762</v>
      </c>
      <c r="H2767" t="s">
        <v>762</v>
      </c>
      <c r="J2767">
        <v>345</v>
      </c>
      <c r="K2767">
        <v>326</v>
      </c>
      <c r="L2767" t="s">
        <v>303</v>
      </c>
      <c r="M2767">
        <v>345</v>
      </c>
      <c r="N2767">
        <v>326</v>
      </c>
      <c r="O2767" t="s">
        <v>303</v>
      </c>
      <c r="P2767">
        <f t="shared" si="43"/>
        <v>0</v>
      </c>
    </row>
    <row r="2768" spans="1:16" x14ac:dyDescent="0.25">
      <c r="A2768" t="s">
        <v>669</v>
      </c>
      <c r="B2768">
        <v>320</v>
      </c>
      <c r="C2768">
        <v>350</v>
      </c>
      <c r="D2768" t="s">
        <v>303</v>
      </c>
      <c r="E2768" t="s">
        <v>910</v>
      </c>
      <c r="F2768" t="s">
        <v>910</v>
      </c>
      <c r="J2768">
        <v>350</v>
      </c>
      <c r="K2768">
        <v>320</v>
      </c>
      <c r="L2768" t="s">
        <v>303</v>
      </c>
      <c r="M2768">
        <v>350</v>
      </c>
      <c r="N2768">
        <v>320</v>
      </c>
      <c r="O2768" t="s">
        <v>303</v>
      </c>
      <c r="P2768">
        <f t="shared" si="43"/>
        <v>0</v>
      </c>
    </row>
    <row r="2769" spans="1:16" x14ac:dyDescent="0.25">
      <c r="A2769" t="s">
        <v>669</v>
      </c>
      <c r="B2769">
        <v>3050</v>
      </c>
      <c r="C2769">
        <v>3110</v>
      </c>
      <c r="D2769" t="s">
        <v>669</v>
      </c>
      <c r="E2769" t="s">
        <v>910</v>
      </c>
      <c r="F2769" t="s">
        <v>910</v>
      </c>
      <c r="I2769" t="s">
        <v>928</v>
      </c>
      <c r="J2769">
        <v>3110</v>
      </c>
      <c r="K2769">
        <v>3050</v>
      </c>
      <c r="L2769" t="s">
        <v>851</v>
      </c>
      <c r="M2769">
        <v>3110</v>
      </c>
      <c r="N2769">
        <v>3050</v>
      </c>
      <c r="P2769">
        <f t="shared" si="43"/>
        <v>21</v>
      </c>
    </row>
    <row r="2770" spans="1:16" x14ac:dyDescent="0.25">
      <c r="A2770" t="s">
        <v>669</v>
      </c>
      <c r="B2770">
        <v>337.1</v>
      </c>
      <c r="C2770">
        <v>352.1</v>
      </c>
      <c r="D2770" t="s">
        <v>303</v>
      </c>
      <c r="E2770" t="s">
        <v>910</v>
      </c>
      <c r="F2770" t="s">
        <v>910</v>
      </c>
      <c r="J2770">
        <v>352.1</v>
      </c>
      <c r="K2770">
        <v>337.1</v>
      </c>
      <c r="L2770" t="s">
        <v>303</v>
      </c>
      <c r="M2770">
        <v>352.1</v>
      </c>
      <c r="N2770">
        <v>337.1</v>
      </c>
      <c r="O2770" t="s">
        <v>303</v>
      </c>
      <c r="P2770">
        <f t="shared" si="43"/>
        <v>0</v>
      </c>
    </row>
    <row r="2771" spans="1:16" x14ac:dyDescent="0.25">
      <c r="A2771" t="s">
        <v>669</v>
      </c>
      <c r="B2771">
        <v>341.6</v>
      </c>
      <c r="C2771">
        <v>357</v>
      </c>
      <c r="D2771" t="s">
        <v>303</v>
      </c>
      <c r="E2771" t="s">
        <v>910</v>
      </c>
      <c r="F2771" t="s">
        <v>910</v>
      </c>
      <c r="J2771">
        <v>357</v>
      </c>
      <c r="K2771">
        <v>341.6</v>
      </c>
      <c r="L2771" t="s">
        <v>303</v>
      </c>
      <c r="M2771">
        <v>357</v>
      </c>
      <c r="N2771">
        <v>341.6</v>
      </c>
      <c r="O2771" t="s">
        <v>303</v>
      </c>
      <c r="P2771">
        <f t="shared" si="43"/>
        <v>0</v>
      </c>
    </row>
    <row r="2772" spans="1:16" x14ac:dyDescent="0.25">
      <c r="A2772" t="s">
        <v>669</v>
      </c>
      <c r="B2772">
        <v>201</v>
      </c>
      <c r="C2772">
        <v>359</v>
      </c>
      <c r="D2772" t="s">
        <v>303</v>
      </c>
      <c r="E2772" t="s">
        <v>910</v>
      </c>
      <c r="F2772" t="s">
        <v>910</v>
      </c>
      <c r="J2772">
        <v>359</v>
      </c>
      <c r="K2772">
        <v>201</v>
      </c>
      <c r="L2772" t="s">
        <v>303</v>
      </c>
      <c r="M2772">
        <v>359</v>
      </c>
      <c r="N2772">
        <v>201</v>
      </c>
      <c r="O2772" t="s">
        <v>303</v>
      </c>
      <c r="P2772">
        <f t="shared" si="43"/>
        <v>0</v>
      </c>
    </row>
    <row r="2773" spans="1:16" x14ac:dyDescent="0.25">
      <c r="A2773" t="s">
        <v>669</v>
      </c>
      <c r="B2773">
        <v>251</v>
      </c>
      <c r="C2773">
        <v>359</v>
      </c>
      <c r="D2773" t="s">
        <v>303</v>
      </c>
      <c r="E2773" t="s">
        <v>910</v>
      </c>
      <c r="F2773" t="s">
        <v>910</v>
      </c>
      <c r="J2773">
        <v>359</v>
      </c>
      <c r="K2773">
        <v>251</v>
      </c>
      <c r="L2773" t="s">
        <v>303</v>
      </c>
      <c r="M2773">
        <v>359</v>
      </c>
      <c r="N2773">
        <v>251</v>
      </c>
      <c r="O2773" t="s">
        <v>303</v>
      </c>
      <c r="P2773">
        <f t="shared" si="43"/>
        <v>0</v>
      </c>
    </row>
    <row r="2774" spans="1:16" x14ac:dyDescent="0.25">
      <c r="A2774" t="s">
        <v>466</v>
      </c>
      <c r="B2774">
        <v>299</v>
      </c>
      <c r="C2774">
        <v>359</v>
      </c>
      <c r="D2774" t="s">
        <v>303</v>
      </c>
      <c r="E2774">
        <v>93</v>
      </c>
      <c r="F2774">
        <v>93</v>
      </c>
      <c r="G2774" t="s">
        <v>739</v>
      </c>
      <c r="H2774" t="s">
        <v>739</v>
      </c>
      <c r="J2774">
        <v>359</v>
      </c>
      <c r="K2774">
        <v>299</v>
      </c>
      <c r="L2774" t="s">
        <v>303</v>
      </c>
      <c r="M2774">
        <v>359</v>
      </c>
      <c r="N2774">
        <v>299</v>
      </c>
      <c r="O2774" t="s">
        <v>303</v>
      </c>
      <c r="P2774">
        <f t="shared" si="43"/>
        <v>0</v>
      </c>
    </row>
    <row r="2775" spans="1:16" x14ac:dyDescent="0.25">
      <c r="A2775" t="s">
        <v>669</v>
      </c>
      <c r="B2775">
        <v>299</v>
      </c>
      <c r="C2775">
        <v>359</v>
      </c>
      <c r="D2775" t="s">
        <v>303</v>
      </c>
      <c r="E2775" t="s">
        <v>910</v>
      </c>
      <c r="F2775" t="s">
        <v>910</v>
      </c>
      <c r="J2775">
        <v>359</v>
      </c>
      <c r="K2775">
        <v>299</v>
      </c>
      <c r="L2775" t="s">
        <v>303</v>
      </c>
      <c r="M2775">
        <v>359</v>
      </c>
      <c r="N2775">
        <v>299</v>
      </c>
      <c r="O2775" t="s">
        <v>303</v>
      </c>
      <c r="P2775">
        <f t="shared" si="43"/>
        <v>0</v>
      </c>
    </row>
    <row r="2776" spans="1:16" x14ac:dyDescent="0.25">
      <c r="A2776" t="s">
        <v>467</v>
      </c>
      <c r="B2776">
        <v>318</v>
      </c>
      <c r="C2776">
        <v>359</v>
      </c>
      <c r="D2776" t="s">
        <v>303</v>
      </c>
      <c r="E2776">
        <v>102</v>
      </c>
      <c r="F2776">
        <v>102</v>
      </c>
      <c r="G2776" t="s">
        <v>716</v>
      </c>
      <c r="H2776" t="s">
        <v>716</v>
      </c>
      <c r="J2776">
        <v>359</v>
      </c>
      <c r="K2776">
        <v>318</v>
      </c>
      <c r="L2776" t="s">
        <v>303</v>
      </c>
      <c r="M2776">
        <v>359</v>
      </c>
      <c r="N2776">
        <v>318</v>
      </c>
      <c r="O2776" t="s">
        <v>303</v>
      </c>
      <c r="P2776">
        <f t="shared" si="43"/>
        <v>0</v>
      </c>
    </row>
    <row r="2777" spans="1:16" x14ac:dyDescent="0.25">
      <c r="A2777" t="s">
        <v>669</v>
      </c>
      <c r="B2777">
        <v>318</v>
      </c>
      <c r="C2777">
        <v>359</v>
      </c>
      <c r="D2777" t="s">
        <v>303</v>
      </c>
      <c r="E2777" t="s">
        <v>910</v>
      </c>
      <c r="F2777" t="s">
        <v>910</v>
      </c>
      <c r="J2777">
        <v>359</v>
      </c>
      <c r="K2777">
        <v>318</v>
      </c>
      <c r="L2777" t="s">
        <v>303</v>
      </c>
      <c r="M2777">
        <v>359</v>
      </c>
      <c r="N2777">
        <v>318</v>
      </c>
      <c r="O2777" t="s">
        <v>303</v>
      </c>
      <c r="P2777">
        <f t="shared" si="43"/>
        <v>0</v>
      </c>
    </row>
    <row r="2778" spans="1:16" x14ac:dyDescent="0.25">
      <c r="A2778" t="s">
        <v>468</v>
      </c>
      <c r="B2778">
        <v>345</v>
      </c>
      <c r="C2778">
        <v>359</v>
      </c>
      <c r="D2778" t="s">
        <v>303</v>
      </c>
      <c r="E2778">
        <v>107</v>
      </c>
      <c r="F2778">
        <v>107</v>
      </c>
      <c r="G2778" t="s">
        <v>761</v>
      </c>
      <c r="H2778" t="s">
        <v>761</v>
      </c>
      <c r="J2778">
        <v>359</v>
      </c>
      <c r="K2778">
        <v>345</v>
      </c>
      <c r="L2778" t="s">
        <v>303</v>
      </c>
      <c r="M2778">
        <v>359</v>
      </c>
      <c r="N2778">
        <v>345</v>
      </c>
      <c r="O2778" t="s">
        <v>303</v>
      </c>
      <c r="P2778">
        <f t="shared" si="43"/>
        <v>0</v>
      </c>
    </row>
    <row r="2779" spans="1:16" x14ac:dyDescent="0.25">
      <c r="A2779" t="s">
        <v>669</v>
      </c>
      <c r="B2779">
        <v>349</v>
      </c>
      <c r="C2779">
        <v>359</v>
      </c>
      <c r="D2779" t="s">
        <v>303</v>
      </c>
      <c r="E2779" t="s">
        <v>910</v>
      </c>
      <c r="F2779" t="s">
        <v>910</v>
      </c>
      <c r="J2779">
        <v>359</v>
      </c>
      <c r="K2779">
        <v>349</v>
      </c>
      <c r="L2779" t="s">
        <v>303</v>
      </c>
      <c r="M2779">
        <v>359</v>
      </c>
      <c r="N2779">
        <v>349</v>
      </c>
      <c r="O2779" t="s">
        <v>303</v>
      </c>
      <c r="P2779">
        <f t="shared" si="43"/>
        <v>0</v>
      </c>
    </row>
    <row r="2780" spans="1:16" x14ac:dyDescent="0.25">
      <c r="A2780" t="s">
        <v>669</v>
      </c>
      <c r="B2780">
        <v>344.5</v>
      </c>
      <c r="C2780">
        <v>359.3</v>
      </c>
      <c r="D2780" t="s">
        <v>303</v>
      </c>
      <c r="E2780" t="s">
        <v>910</v>
      </c>
      <c r="F2780" t="s">
        <v>910</v>
      </c>
      <c r="J2780">
        <v>359.3</v>
      </c>
      <c r="K2780">
        <v>344.5</v>
      </c>
      <c r="L2780" t="s">
        <v>303</v>
      </c>
      <c r="M2780">
        <v>359.3</v>
      </c>
      <c r="N2780">
        <v>344.5</v>
      </c>
      <c r="O2780" t="s">
        <v>303</v>
      </c>
      <c r="P2780">
        <f t="shared" si="43"/>
        <v>0</v>
      </c>
    </row>
    <row r="2781" spans="1:16" x14ac:dyDescent="0.25">
      <c r="A2781" t="s">
        <v>669</v>
      </c>
      <c r="B2781">
        <v>344.7</v>
      </c>
      <c r="C2781">
        <v>359.3</v>
      </c>
      <c r="D2781" t="s">
        <v>303</v>
      </c>
      <c r="E2781" t="s">
        <v>910</v>
      </c>
      <c r="F2781" t="s">
        <v>910</v>
      </c>
      <c r="J2781">
        <v>359.3</v>
      </c>
      <c r="K2781">
        <v>344.7</v>
      </c>
      <c r="L2781" t="s">
        <v>303</v>
      </c>
      <c r="M2781">
        <v>359.3</v>
      </c>
      <c r="N2781">
        <v>344.7</v>
      </c>
      <c r="O2781" t="s">
        <v>303</v>
      </c>
      <c r="P2781">
        <f t="shared" si="43"/>
        <v>0</v>
      </c>
    </row>
    <row r="2782" spans="1:16" x14ac:dyDescent="0.25">
      <c r="A2782" t="s">
        <v>669</v>
      </c>
      <c r="B2782">
        <v>343.6</v>
      </c>
      <c r="C2782">
        <v>359.6</v>
      </c>
      <c r="D2782" t="s">
        <v>303</v>
      </c>
      <c r="E2782" t="s">
        <v>910</v>
      </c>
      <c r="F2782" t="s">
        <v>910</v>
      </c>
      <c r="J2782">
        <v>359.6</v>
      </c>
      <c r="K2782">
        <v>343.6</v>
      </c>
      <c r="L2782" t="s">
        <v>303</v>
      </c>
      <c r="M2782">
        <v>359.6</v>
      </c>
      <c r="N2782">
        <v>343.6</v>
      </c>
      <c r="O2782" t="s">
        <v>303</v>
      </c>
      <c r="P2782">
        <f t="shared" si="43"/>
        <v>0</v>
      </c>
    </row>
    <row r="2783" spans="1:16" x14ac:dyDescent="0.25">
      <c r="A2783" t="s">
        <v>669</v>
      </c>
      <c r="B2783">
        <v>344.9</v>
      </c>
      <c r="C2783">
        <v>359.9</v>
      </c>
      <c r="D2783" t="s">
        <v>303</v>
      </c>
      <c r="E2783" t="s">
        <v>910</v>
      </c>
      <c r="F2783" t="s">
        <v>910</v>
      </c>
      <c r="J2783">
        <v>359.9</v>
      </c>
      <c r="K2783">
        <v>344.9</v>
      </c>
      <c r="L2783" t="s">
        <v>303</v>
      </c>
      <c r="M2783">
        <v>359.9</v>
      </c>
      <c r="N2783">
        <v>344.9</v>
      </c>
      <c r="O2783" t="s">
        <v>303</v>
      </c>
      <c r="P2783">
        <f t="shared" si="43"/>
        <v>0</v>
      </c>
    </row>
    <row r="2784" spans="1:16" x14ac:dyDescent="0.25">
      <c r="A2784" t="s">
        <v>669</v>
      </c>
      <c r="B2784">
        <v>78</v>
      </c>
      <c r="C2784">
        <v>360</v>
      </c>
      <c r="D2784" t="s">
        <v>303</v>
      </c>
      <c r="E2784" t="s">
        <v>910</v>
      </c>
      <c r="F2784" t="s">
        <v>910</v>
      </c>
      <c r="J2784">
        <v>360</v>
      </c>
      <c r="K2784">
        <v>78</v>
      </c>
      <c r="L2784" t="s">
        <v>303</v>
      </c>
      <c r="M2784">
        <v>360</v>
      </c>
      <c r="N2784">
        <v>78</v>
      </c>
      <c r="O2784" t="s">
        <v>303</v>
      </c>
      <c r="P2784">
        <f t="shared" si="43"/>
        <v>0</v>
      </c>
    </row>
    <row r="2785" spans="1:16" x14ac:dyDescent="0.25">
      <c r="A2785" t="s">
        <v>254</v>
      </c>
      <c r="B2785" t="s">
        <v>669</v>
      </c>
      <c r="C2785">
        <v>360</v>
      </c>
      <c r="D2785" t="s">
        <v>860</v>
      </c>
      <c r="E2785">
        <v>110</v>
      </c>
      <c r="F2785">
        <v>102</v>
      </c>
      <c r="G2785" t="s">
        <v>811</v>
      </c>
      <c r="H2785" t="s">
        <v>716</v>
      </c>
      <c r="J2785">
        <v>360</v>
      </c>
      <c r="K2785">
        <v>360</v>
      </c>
      <c r="L2785" t="s">
        <v>303</v>
      </c>
      <c r="M2785">
        <v>360</v>
      </c>
      <c r="N2785">
        <v>360</v>
      </c>
      <c r="O2785" t="s">
        <v>303</v>
      </c>
      <c r="P2785">
        <f t="shared" si="43"/>
        <v>0</v>
      </c>
    </row>
    <row r="2786" spans="1:16" x14ac:dyDescent="0.25">
      <c r="A2786" t="s">
        <v>669</v>
      </c>
      <c r="B2786">
        <v>347.9</v>
      </c>
      <c r="C2786">
        <v>362.3</v>
      </c>
      <c r="D2786" t="s">
        <v>303</v>
      </c>
      <c r="E2786" t="s">
        <v>910</v>
      </c>
      <c r="F2786" t="s">
        <v>910</v>
      </c>
      <c r="J2786">
        <v>362.3</v>
      </c>
      <c r="K2786">
        <v>347.9</v>
      </c>
      <c r="L2786" t="s">
        <v>303</v>
      </c>
      <c r="M2786">
        <v>362.3</v>
      </c>
      <c r="N2786">
        <v>347.9</v>
      </c>
      <c r="O2786" t="s">
        <v>303</v>
      </c>
      <c r="P2786">
        <f t="shared" si="43"/>
        <v>0</v>
      </c>
    </row>
    <row r="2787" spans="1:16" x14ac:dyDescent="0.25">
      <c r="A2787" t="s">
        <v>669</v>
      </c>
      <c r="B2787">
        <v>350.3</v>
      </c>
      <c r="C2787">
        <v>364.5</v>
      </c>
      <c r="D2787" t="s">
        <v>303</v>
      </c>
      <c r="E2787" t="s">
        <v>910</v>
      </c>
      <c r="F2787" t="s">
        <v>910</v>
      </c>
      <c r="J2787">
        <v>364.5</v>
      </c>
      <c r="K2787">
        <v>350.3</v>
      </c>
      <c r="L2787" t="s">
        <v>303</v>
      </c>
      <c r="M2787">
        <v>364.5</v>
      </c>
      <c r="N2787">
        <v>350.3</v>
      </c>
      <c r="O2787" t="s">
        <v>303</v>
      </c>
      <c r="P2787">
        <f t="shared" si="43"/>
        <v>0</v>
      </c>
    </row>
    <row r="2788" spans="1:16" x14ac:dyDescent="0.25">
      <c r="A2788" t="s">
        <v>669</v>
      </c>
      <c r="B2788">
        <v>351.6</v>
      </c>
      <c r="C2788">
        <v>366.8</v>
      </c>
      <c r="D2788" t="s">
        <v>303</v>
      </c>
      <c r="E2788" t="s">
        <v>910</v>
      </c>
      <c r="F2788" t="s">
        <v>910</v>
      </c>
      <c r="J2788">
        <v>366.8</v>
      </c>
      <c r="K2788">
        <v>351.6</v>
      </c>
      <c r="L2788" t="s">
        <v>303</v>
      </c>
      <c r="M2788">
        <v>366.8</v>
      </c>
      <c r="N2788">
        <v>351.6</v>
      </c>
      <c r="O2788" t="s">
        <v>303</v>
      </c>
      <c r="P2788">
        <f t="shared" si="43"/>
        <v>0</v>
      </c>
    </row>
    <row r="2789" spans="1:16" x14ac:dyDescent="0.25">
      <c r="A2789" t="s">
        <v>254</v>
      </c>
      <c r="B2789" t="s">
        <v>669</v>
      </c>
      <c r="C2789">
        <v>370</v>
      </c>
      <c r="D2789" t="s">
        <v>860</v>
      </c>
      <c r="E2789">
        <v>110</v>
      </c>
      <c r="F2789">
        <v>102</v>
      </c>
      <c r="G2789" t="s">
        <v>811</v>
      </c>
      <c r="H2789" t="s">
        <v>716</v>
      </c>
      <c r="J2789">
        <v>370</v>
      </c>
      <c r="L2789" t="s">
        <v>303</v>
      </c>
      <c r="M2789">
        <v>370</v>
      </c>
      <c r="O2789" t="s">
        <v>303</v>
      </c>
      <c r="P2789">
        <f t="shared" si="43"/>
        <v>0</v>
      </c>
    </row>
    <row r="2790" spans="1:16" x14ac:dyDescent="0.25">
      <c r="A2790" t="s">
        <v>669</v>
      </c>
      <c r="B2790">
        <v>356.2</v>
      </c>
      <c r="C2790">
        <v>370.4</v>
      </c>
      <c r="D2790" t="s">
        <v>303</v>
      </c>
      <c r="E2790" t="s">
        <v>910</v>
      </c>
      <c r="F2790" t="s">
        <v>910</v>
      </c>
      <c r="J2790">
        <v>370.4</v>
      </c>
      <c r="K2790">
        <v>356.2</v>
      </c>
      <c r="L2790" t="s">
        <v>303</v>
      </c>
      <c r="M2790">
        <v>370.4</v>
      </c>
      <c r="N2790">
        <v>356.2</v>
      </c>
      <c r="O2790" t="s">
        <v>303</v>
      </c>
      <c r="P2790">
        <f t="shared" si="43"/>
        <v>0</v>
      </c>
    </row>
    <row r="2791" spans="1:16" x14ac:dyDescent="0.25">
      <c r="A2791" t="s">
        <v>623</v>
      </c>
      <c r="B2791" t="s">
        <v>669</v>
      </c>
      <c r="C2791">
        <v>373.6</v>
      </c>
      <c r="D2791" t="s">
        <v>860</v>
      </c>
      <c r="E2791">
        <v>107</v>
      </c>
      <c r="F2791">
        <v>105</v>
      </c>
      <c r="G2791" t="s">
        <v>761</v>
      </c>
      <c r="H2791" t="s">
        <v>762</v>
      </c>
      <c r="J2791">
        <v>373.6</v>
      </c>
      <c r="L2791" t="s">
        <v>303</v>
      </c>
      <c r="M2791">
        <v>373.6</v>
      </c>
      <c r="O2791" t="s">
        <v>303</v>
      </c>
      <c r="P2791">
        <f t="shared" si="43"/>
        <v>0</v>
      </c>
    </row>
    <row r="2792" spans="1:16" x14ac:dyDescent="0.25">
      <c r="A2792" t="s">
        <v>669</v>
      </c>
      <c r="B2792">
        <v>345</v>
      </c>
      <c r="C2792">
        <v>374</v>
      </c>
      <c r="D2792" t="s">
        <v>303</v>
      </c>
      <c r="E2792" t="s">
        <v>910</v>
      </c>
      <c r="F2792" t="s">
        <v>910</v>
      </c>
      <c r="J2792">
        <v>374</v>
      </c>
      <c r="K2792">
        <v>345</v>
      </c>
      <c r="L2792" t="s">
        <v>303</v>
      </c>
      <c r="M2792">
        <v>374</v>
      </c>
      <c r="N2792">
        <v>345</v>
      </c>
      <c r="O2792" t="s">
        <v>303</v>
      </c>
      <c r="P2792">
        <f t="shared" si="43"/>
        <v>0</v>
      </c>
    </row>
    <row r="2793" spans="1:16" x14ac:dyDescent="0.25">
      <c r="A2793" t="s">
        <v>474</v>
      </c>
      <c r="B2793">
        <v>359</v>
      </c>
      <c r="C2793">
        <v>374</v>
      </c>
      <c r="D2793" t="s">
        <v>303</v>
      </c>
      <c r="E2793">
        <v>111</v>
      </c>
      <c r="F2793">
        <v>111</v>
      </c>
      <c r="G2793" t="s">
        <v>724</v>
      </c>
      <c r="H2793" t="s">
        <v>724</v>
      </c>
      <c r="J2793">
        <v>374</v>
      </c>
      <c r="K2793">
        <v>359</v>
      </c>
      <c r="L2793" t="s">
        <v>303</v>
      </c>
      <c r="M2793">
        <v>374</v>
      </c>
      <c r="N2793">
        <v>359</v>
      </c>
      <c r="O2793" t="s">
        <v>303</v>
      </c>
      <c r="P2793">
        <f t="shared" si="43"/>
        <v>0</v>
      </c>
    </row>
    <row r="2794" spans="1:16" x14ac:dyDescent="0.25">
      <c r="A2794" t="s">
        <v>669</v>
      </c>
      <c r="B2794">
        <v>359</v>
      </c>
      <c r="C2794">
        <v>374</v>
      </c>
      <c r="D2794" t="s">
        <v>303</v>
      </c>
      <c r="E2794" t="s">
        <v>910</v>
      </c>
      <c r="F2794" t="s">
        <v>910</v>
      </c>
      <c r="J2794">
        <v>374</v>
      </c>
      <c r="K2794">
        <v>359</v>
      </c>
      <c r="L2794" t="s">
        <v>303</v>
      </c>
      <c r="M2794">
        <v>374</v>
      </c>
      <c r="N2794">
        <v>359</v>
      </c>
      <c r="O2794" t="s">
        <v>303</v>
      </c>
      <c r="P2794">
        <f t="shared" si="43"/>
        <v>0</v>
      </c>
    </row>
    <row r="2795" spans="1:16" x14ac:dyDescent="0.25">
      <c r="A2795" t="s">
        <v>473</v>
      </c>
      <c r="B2795">
        <v>359</v>
      </c>
      <c r="C2795">
        <v>385</v>
      </c>
      <c r="D2795" t="s">
        <v>303</v>
      </c>
      <c r="E2795">
        <v>110</v>
      </c>
      <c r="F2795">
        <v>110</v>
      </c>
      <c r="G2795" t="s">
        <v>811</v>
      </c>
      <c r="H2795" t="s">
        <v>811</v>
      </c>
      <c r="J2795">
        <v>385</v>
      </c>
      <c r="K2795">
        <v>359</v>
      </c>
      <c r="L2795" t="s">
        <v>303</v>
      </c>
      <c r="M2795">
        <v>385</v>
      </c>
      <c r="N2795">
        <v>359</v>
      </c>
      <c r="O2795" t="s">
        <v>303</v>
      </c>
      <c r="P2795">
        <f t="shared" si="43"/>
        <v>0</v>
      </c>
    </row>
    <row r="2796" spans="1:16" x14ac:dyDescent="0.25">
      <c r="A2796" t="s">
        <v>669</v>
      </c>
      <c r="B2796">
        <v>359</v>
      </c>
      <c r="C2796">
        <v>385</v>
      </c>
      <c r="D2796" t="s">
        <v>303</v>
      </c>
      <c r="E2796" t="s">
        <v>910</v>
      </c>
      <c r="F2796" t="s">
        <v>910</v>
      </c>
      <c r="J2796">
        <v>385</v>
      </c>
      <c r="K2796">
        <v>359</v>
      </c>
      <c r="L2796" t="s">
        <v>303</v>
      </c>
      <c r="M2796">
        <v>385</v>
      </c>
      <c r="N2796">
        <v>359</v>
      </c>
      <c r="O2796" t="s">
        <v>303</v>
      </c>
      <c r="P2796">
        <f t="shared" si="43"/>
        <v>0</v>
      </c>
    </row>
    <row r="2797" spans="1:16" x14ac:dyDescent="0.25">
      <c r="A2797" t="s">
        <v>669</v>
      </c>
      <c r="B2797">
        <v>374</v>
      </c>
      <c r="C2797">
        <v>385</v>
      </c>
      <c r="D2797" t="s">
        <v>303</v>
      </c>
      <c r="E2797" t="s">
        <v>910</v>
      </c>
      <c r="F2797" t="s">
        <v>910</v>
      </c>
      <c r="J2797">
        <v>385</v>
      </c>
      <c r="K2797">
        <v>374</v>
      </c>
      <c r="L2797" t="s">
        <v>303</v>
      </c>
      <c r="M2797">
        <v>385</v>
      </c>
      <c r="N2797">
        <v>374</v>
      </c>
      <c r="O2797" t="s">
        <v>303</v>
      </c>
      <c r="P2797">
        <f t="shared" si="43"/>
        <v>0</v>
      </c>
    </row>
    <row r="2798" spans="1:16" x14ac:dyDescent="0.25">
      <c r="A2798" t="s">
        <v>669</v>
      </c>
      <c r="B2798">
        <v>375</v>
      </c>
      <c r="C2798">
        <v>385</v>
      </c>
      <c r="D2798" t="s">
        <v>303</v>
      </c>
      <c r="E2798" t="s">
        <v>910</v>
      </c>
      <c r="F2798" t="s">
        <v>910</v>
      </c>
      <c r="J2798">
        <v>385</v>
      </c>
      <c r="K2798">
        <v>375</v>
      </c>
      <c r="L2798" t="s">
        <v>303</v>
      </c>
      <c r="M2798">
        <v>385</v>
      </c>
      <c r="N2798">
        <v>375</v>
      </c>
      <c r="O2798" t="s">
        <v>303</v>
      </c>
      <c r="P2798">
        <f t="shared" si="43"/>
        <v>0</v>
      </c>
    </row>
    <row r="2799" spans="1:16" x14ac:dyDescent="0.25">
      <c r="A2799" t="s">
        <v>653</v>
      </c>
      <c r="B2799">
        <v>326.39999999999998</v>
      </c>
      <c r="C2799">
        <v>385.3</v>
      </c>
      <c r="D2799" t="s">
        <v>860</v>
      </c>
      <c r="E2799">
        <v>110</v>
      </c>
      <c r="F2799">
        <v>103</v>
      </c>
      <c r="G2799" t="s">
        <v>811</v>
      </c>
      <c r="H2799" t="s">
        <v>837</v>
      </c>
      <c r="J2799">
        <v>385.3</v>
      </c>
      <c r="K2799">
        <v>326.39999999999998</v>
      </c>
      <c r="L2799" t="s">
        <v>303</v>
      </c>
      <c r="M2799">
        <v>385.3</v>
      </c>
      <c r="N2799">
        <v>326.39999999999998</v>
      </c>
      <c r="O2799" t="s">
        <v>303</v>
      </c>
      <c r="P2799">
        <f t="shared" si="43"/>
        <v>0</v>
      </c>
    </row>
    <row r="2800" spans="1:16" x14ac:dyDescent="0.25">
      <c r="A2800" t="s">
        <v>669</v>
      </c>
      <c r="B2800">
        <v>385</v>
      </c>
      <c r="C2800">
        <v>392</v>
      </c>
      <c r="D2800" t="s">
        <v>303</v>
      </c>
      <c r="E2800" t="s">
        <v>910</v>
      </c>
      <c r="F2800" t="s">
        <v>910</v>
      </c>
      <c r="J2800">
        <v>392</v>
      </c>
      <c r="K2800">
        <v>385</v>
      </c>
      <c r="L2800" t="s">
        <v>303</v>
      </c>
      <c r="M2800">
        <v>392</v>
      </c>
      <c r="N2800">
        <v>385</v>
      </c>
      <c r="O2800" t="s">
        <v>303</v>
      </c>
      <c r="P2800">
        <f t="shared" si="43"/>
        <v>0</v>
      </c>
    </row>
    <row r="2801" spans="1:16" x14ac:dyDescent="0.25">
      <c r="A2801" t="s">
        <v>357</v>
      </c>
      <c r="B2801">
        <v>382.5</v>
      </c>
      <c r="C2801">
        <v>393.3</v>
      </c>
      <c r="D2801" t="s">
        <v>303</v>
      </c>
      <c r="E2801">
        <v>113</v>
      </c>
      <c r="F2801">
        <v>113</v>
      </c>
      <c r="G2801" t="s">
        <v>812</v>
      </c>
      <c r="H2801" t="s">
        <v>812</v>
      </c>
      <c r="J2801">
        <v>393.3</v>
      </c>
      <c r="K2801">
        <v>382.5</v>
      </c>
      <c r="L2801" t="s">
        <v>303</v>
      </c>
      <c r="M2801">
        <v>393.3</v>
      </c>
      <c r="N2801">
        <v>382.5</v>
      </c>
      <c r="O2801" t="s">
        <v>303</v>
      </c>
      <c r="P2801">
        <f t="shared" si="43"/>
        <v>0</v>
      </c>
    </row>
    <row r="2802" spans="1:16" x14ac:dyDescent="0.25">
      <c r="A2802" t="s">
        <v>669</v>
      </c>
      <c r="B2802">
        <v>337</v>
      </c>
      <c r="C2802">
        <v>395</v>
      </c>
      <c r="D2802" t="s">
        <v>303</v>
      </c>
      <c r="E2802" t="s">
        <v>910</v>
      </c>
      <c r="F2802" t="s">
        <v>910</v>
      </c>
      <c r="J2802">
        <v>395</v>
      </c>
      <c r="K2802">
        <v>337</v>
      </c>
      <c r="L2802" t="s">
        <v>303</v>
      </c>
      <c r="M2802">
        <v>395</v>
      </c>
      <c r="N2802">
        <v>337</v>
      </c>
      <c r="O2802" t="s">
        <v>303</v>
      </c>
      <c r="P2802">
        <f t="shared" si="43"/>
        <v>0</v>
      </c>
    </row>
    <row r="2803" spans="1:16" x14ac:dyDescent="0.25">
      <c r="A2803" t="s">
        <v>669</v>
      </c>
      <c r="B2803">
        <v>359</v>
      </c>
      <c r="C2803">
        <v>398</v>
      </c>
      <c r="D2803" t="s">
        <v>303</v>
      </c>
      <c r="E2803" t="s">
        <v>910</v>
      </c>
      <c r="F2803" t="s">
        <v>910</v>
      </c>
      <c r="J2803">
        <v>398</v>
      </c>
      <c r="K2803">
        <v>359</v>
      </c>
      <c r="L2803" t="s">
        <v>303</v>
      </c>
      <c r="M2803">
        <v>398</v>
      </c>
      <c r="N2803">
        <v>359</v>
      </c>
      <c r="O2803" t="s">
        <v>303</v>
      </c>
      <c r="P2803">
        <f t="shared" si="43"/>
        <v>0</v>
      </c>
    </row>
    <row r="2804" spans="1:16" x14ac:dyDescent="0.25">
      <c r="A2804" t="s">
        <v>475</v>
      </c>
      <c r="B2804">
        <v>385</v>
      </c>
      <c r="C2804">
        <v>398</v>
      </c>
      <c r="D2804" t="s">
        <v>303</v>
      </c>
      <c r="E2804">
        <v>113</v>
      </c>
      <c r="F2804">
        <v>113</v>
      </c>
      <c r="G2804" t="s">
        <v>812</v>
      </c>
      <c r="H2804" t="s">
        <v>812</v>
      </c>
      <c r="J2804">
        <v>398</v>
      </c>
      <c r="K2804">
        <v>385</v>
      </c>
      <c r="L2804" t="s">
        <v>303</v>
      </c>
      <c r="M2804">
        <v>398</v>
      </c>
      <c r="N2804">
        <v>385</v>
      </c>
      <c r="O2804" t="s">
        <v>303</v>
      </c>
      <c r="P2804">
        <f t="shared" si="43"/>
        <v>0</v>
      </c>
    </row>
    <row r="2805" spans="1:16" x14ac:dyDescent="0.25">
      <c r="A2805" t="s">
        <v>669</v>
      </c>
      <c r="B2805">
        <v>385</v>
      </c>
      <c r="C2805">
        <v>398</v>
      </c>
      <c r="D2805" t="s">
        <v>303</v>
      </c>
      <c r="E2805" t="s">
        <v>910</v>
      </c>
      <c r="F2805" t="s">
        <v>910</v>
      </c>
      <c r="J2805">
        <v>398</v>
      </c>
      <c r="K2805">
        <v>385</v>
      </c>
      <c r="L2805" t="s">
        <v>303</v>
      </c>
      <c r="M2805">
        <v>398</v>
      </c>
      <c r="N2805">
        <v>385</v>
      </c>
      <c r="O2805" t="s">
        <v>303</v>
      </c>
      <c r="P2805">
        <f t="shared" si="43"/>
        <v>0</v>
      </c>
    </row>
    <row r="2806" spans="1:16" x14ac:dyDescent="0.25">
      <c r="A2806" t="s">
        <v>669</v>
      </c>
      <c r="B2806">
        <v>392</v>
      </c>
      <c r="C2806">
        <v>398</v>
      </c>
      <c r="D2806" t="s">
        <v>303</v>
      </c>
      <c r="E2806" t="s">
        <v>910</v>
      </c>
      <c r="F2806" t="s">
        <v>910</v>
      </c>
      <c r="J2806">
        <v>398</v>
      </c>
      <c r="K2806">
        <v>392</v>
      </c>
      <c r="L2806" t="s">
        <v>303</v>
      </c>
      <c r="M2806">
        <v>398</v>
      </c>
      <c r="N2806">
        <v>392</v>
      </c>
      <c r="O2806" t="s">
        <v>303</v>
      </c>
      <c r="P2806">
        <f t="shared" si="43"/>
        <v>0</v>
      </c>
    </row>
    <row r="2807" spans="1:16" x14ac:dyDescent="0.25">
      <c r="A2807" t="s">
        <v>186</v>
      </c>
      <c r="B2807">
        <v>387.7</v>
      </c>
      <c r="C2807">
        <v>404</v>
      </c>
      <c r="D2807" t="s">
        <v>303</v>
      </c>
      <c r="E2807">
        <v>117</v>
      </c>
      <c r="F2807">
        <v>117</v>
      </c>
      <c r="G2807" t="s">
        <v>723</v>
      </c>
      <c r="H2807" t="s">
        <v>723</v>
      </c>
      <c r="J2807">
        <v>404</v>
      </c>
      <c r="K2807">
        <v>387.7</v>
      </c>
      <c r="L2807" t="s">
        <v>303</v>
      </c>
      <c r="M2807">
        <v>404</v>
      </c>
      <c r="N2807">
        <v>387.7</v>
      </c>
      <c r="O2807" t="s">
        <v>303</v>
      </c>
      <c r="P2807">
        <f t="shared" si="43"/>
        <v>0</v>
      </c>
    </row>
    <row r="2808" spans="1:16" x14ac:dyDescent="0.25">
      <c r="A2808" t="s">
        <v>669</v>
      </c>
      <c r="B2808">
        <v>387.7</v>
      </c>
      <c r="C2808">
        <v>404</v>
      </c>
      <c r="D2808" t="s">
        <v>303</v>
      </c>
      <c r="E2808" t="s">
        <v>910</v>
      </c>
      <c r="F2808" t="s">
        <v>910</v>
      </c>
      <c r="J2808">
        <v>404</v>
      </c>
      <c r="K2808">
        <v>387.7</v>
      </c>
      <c r="L2808" t="s">
        <v>303</v>
      </c>
      <c r="M2808">
        <v>404</v>
      </c>
      <c r="N2808">
        <v>387.7</v>
      </c>
      <c r="O2808" t="s">
        <v>303</v>
      </c>
      <c r="P2808">
        <f t="shared" si="43"/>
        <v>0</v>
      </c>
    </row>
    <row r="2809" spans="1:16" x14ac:dyDescent="0.25">
      <c r="A2809" t="s">
        <v>669</v>
      </c>
      <c r="B2809">
        <v>405</v>
      </c>
      <c r="C2809">
        <v>405</v>
      </c>
      <c r="D2809" t="s">
        <v>303</v>
      </c>
      <c r="E2809" t="s">
        <v>910</v>
      </c>
      <c r="F2809" t="s">
        <v>910</v>
      </c>
      <c r="J2809">
        <v>405</v>
      </c>
      <c r="K2809">
        <v>405</v>
      </c>
      <c r="L2809" t="s">
        <v>303</v>
      </c>
      <c r="M2809">
        <v>405</v>
      </c>
      <c r="N2809">
        <v>405</v>
      </c>
      <c r="O2809" t="s">
        <v>303</v>
      </c>
      <c r="P2809">
        <f t="shared" si="43"/>
        <v>0</v>
      </c>
    </row>
    <row r="2810" spans="1:16" x14ac:dyDescent="0.25">
      <c r="A2810" t="s">
        <v>669</v>
      </c>
      <c r="B2810">
        <v>392</v>
      </c>
      <c r="C2810">
        <v>407</v>
      </c>
      <c r="D2810" t="s">
        <v>303</v>
      </c>
      <c r="E2810" t="s">
        <v>910</v>
      </c>
      <c r="F2810" t="s">
        <v>910</v>
      </c>
      <c r="J2810">
        <v>407</v>
      </c>
      <c r="K2810">
        <v>392</v>
      </c>
      <c r="L2810" t="s">
        <v>303</v>
      </c>
      <c r="M2810">
        <v>407</v>
      </c>
      <c r="N2810">
        <v>392</v>
      </c>
      <c r="O2810" t="s">
        <v>303</v>
      </c>
      <c r="P2810">
        <f t="shared" si="43"/>
        <v>0</v>
      </c>
    </row>
    <row r="2811" spans="1:16" x14ac:dyDescent="0.25">
      <c r="A2811" t="s">
        <v>186</v>
      </c>
      <c r="B2811">
        <v>404</v>
      </c>
      <c r="C2811">
        <v>410.8</v>
      </c>
      <c r="D2811" t="s">
        <v>303</v>
      </c>
      <c r="E2811">
        <v>117</v>
      </c>
      <c r="F2811">
        <v>117</v>
      </c>
      <c r="G2811" t="s">
        <v>723</v>
      </c>
      <c r="H2811" t="s">
        <v>723</v>
      </c>
      <c r="J2811">
        <v>410.8</v>
      </c>
      <c r="K2811">
        <v>404</v>
      </c>
      <c r="L2811" t="s">
        <v>303</v>
      </c>
      <c r="M2811">
        <v>410.8</v>
      </c>
      <c r="N2811">
        <v>404</v>
      </c>
      <c r="O2811" t="s">
        <v>303</v>
      </c>
      <c r="P2811">
        <f t="shared" si="43"/>
        <v>0</v>
      </c>
    </row>
    <row r="2812" spans="1:16" x14ac:dyDescent="0.25">
      <c r="A2812" t="s">
        <v>548</v>
      </c>
      <c r="B2812">
        <v>404</v>
      </c>
      <c r="C2812">
        <v>410.8</v>
      </c>
      <c r="D2812" t="s">
        <v>303</v>
      </c>
      <c r="E2812">
        <v>118</v>
      </c>
      <c r="F2812">
        <v>118</v>
      </c>
      <c r="G2812" t="s">
        <v>767</v>
      </c>
      <c r="H2812" t="s">
        <v>767</v>
      </c>
      <c r="J2812">
        <v>410.8</v>
      </c>
      <c r="K2812">
        <v>404</v>
      </c>
      <c r="L2812" t="s">
        <v>303</v>
      </c>
      <c r="M2812">
        <v>410.8</v>
      </c>
      <c r="N2812">
        <v>404</v>
      </c>
      <c r="O2812" t="s">
        <v>303</v>
      </c>
      <c r="P2812">
        <f t="shared" si="43"/>
        <v>0</v>
      </c>
    </row>
    <row r="2813" spans="1:16" x14ac:dyDescent="0.25">
      <c r="A2813" t="s">
        <v>669</v>
      </c>
      <c r="B2813">
        <v>404</v>
      </c>
      <c r="C2813">
        <v>410.8</v>
      </c>
      <c r="D2813" t="s">
        <v>303</v>
      </c>
      <c r="E2813" t="s">
        <v>910</v>
      </c>
      <c r="F2813" t="s">
        <v>910</v>
      </c>
      <c r="J2813">
        <v>410.8</v>
      </c>
      <c r="K2813">
        <v>404</v>
      </c>
      <c r="L2813" t="s">
        <v>303</v>
      </c>
      <c r="M2813">
        <v>410.8</v>
      </c>
      <c r="N2813">
        <v>404</v>
      </c>
      <c r="O2813" t="s">
        <v>303</v>
      </c>
      <c r="P2813">
        <f t="shared" si="43"/>
        <v>0</v>
      </c>
    </row>
    <row r="2814" spans="1:16" x14ac:dyDescent="0.25">
      <c r="A2814" t="s">
        <v>669</v>
      </c>
      <c r="B2814">
        <v>407</v>
      </c>
      <c r="C2814">
        <v>411</v>
      </c>
      <c r="D2814" t="s">
        <v>303</v>
      </c>
      <c r="E2814" t="s">
        <v>910</v>
      </c>
      <c r="F2814" t="s">
        <v>910</v>
      </c>
      <c r="J2814">
        <v>411</v>
      </c>
      <c r="K2814">
        <v>407</v>
      </c>
      <c r="L2814" t="s">
        <v>303</v>
      </c>
      <c r="M2814">
        <v>411</v>
      </c>
      <c r="N2814">
        <v>407</v>
      </c>
      <c r="O2814" t="s">
        <v>303</v>
      </c>
      <c r="P2814">
        <f t="shared" si="43"/>
        <v>0</v>
      </c>
    </row>
    <row r="2815" spans="1:16" x14ac:dyDescent="0.25">
      <c r="A2815" t="s">
        <v>669</v>
      </c>
      <c r="B2815">
        <v>299</v>
      </c>
      <c r="C2815">
        <v>416</v>
      </c>
      <c r="D2815" t="s">
        <v>303</v>
      </c>
      <c r="E2815" t="s">
        <v>910</v>
      </c>
      <c r="F2815" t="s">
        <v>910</v>
      </c>
      <c r="J2815">
        <v>416</v>
      </c>
      <c r="K2815">
        <v>299</v>
      </c>
      <c r="L2815" t="s">
        <v>303</v>
      </c>
      <c r="M2815">
        <v>416</v>
      </c>
      <c r="N2815">
        <v>299</v>
      </c>
      <c r="O2815" t="s">
        <v>303</v>
      </c>
      <c r="P2815">
        <f t="shared" si="43"/>
        <v>0</v>
      </c>
    </row>
    <row r="2816" spans="1:16" x14ac:dyDescent="0.25">
      <c r="A2816" t="s">
        <v>151</v>
      </c>
      <c r="B2816">
        <v>358</v>
      </c>
      <c r="C2816">
        <v>416</v>
      </c>
      <c r="D2816" t="s">
        <v>860</v>
      </c>
      <c r="E2816">
        <v>109</v>
      </c>
      <c r="F2816">
        <v>109</v>
      </c>
      <c r="G2816" t="s">
        <v>715</v>
      </c>
      <c r="H2816" t="s">
        <v>715</v>
      </c>
      <c r="J2816">
        <v>416</v>
      </c>
      <c r="K2816">
        <v>358</v>
      </c>
      <c r="L2816" t="s">
        <v>303</v>
      </c>
      <c r="M2816">
        <v>416</v>
      </c>
      <c r="N2816">
        <v>358</v>
      </c>
      <c r="O2816" t="s">
        <v>303</v>
      </c>
      <c r="P2816">
        <f t="shared" si="43"/>
        <v>0</v>
      </c>
    </row>
    <row r="2817" spans="1:16" x14ac:dyDescent="0.25">
      <c r="A2817" t="s">
        <v>152</v>
      </c>
      <c r="B2817">
        <v>358</v>
      </c>
      <c r="C2817">
        <v>416</v>
      </c>
      <c r="D2817" t="s">
        <v>860</v>
      </c>
      <c r="E2817">
        <v>109</v>
      </c>
      <c r="F2817">
        <v>109</v>
      </c>
      <c r="G2817" t="s">
        <v>715</v>
      </c>
      <c r="H2817" t="s">
        <v>715</v>
      </c>
      <c r="J2817">
        <v>416</v>
      </c>
      <c r="K2817">
        <v>358</v>
      </c>
      <c r="L2817" t="s">
        <v>303</v>
      </c>
      <c r="M2817">
        <v>416</v>
      </c>
      <c r="N2817">
        <v>358</v>
      </c>
      <c r="O2817" t="s">
        <v>303</v>
      </c>
      <c r="P2817">
        <f t="shared" si="43"/>
        <v>0</v>
      </c>
    </row>
    <row r="2818" spans="1:16" x14ac:dyDescent="0.25">
      <c r="A2818" t="s">
        <v>471</v>
      </c>
      <c r="B2818">
        <v>359</v>
      </c>
      <c r="C2818">
        <v>416</v>
      </c>
      <c r="D2818" t="s">
        <v>303</v>
      </c>
      <c r="E2818">
        <v>109</v>
      </c>
      <c r="F2818">
        <v>109</v>
      </c>
      <c r="G2818" t="s">
        <v>715</v>
      </c>
      <c r="H2818" t="s">
        <v>715</v>
      </c>
      <c r="J2818">
        <v>416</v>
      </c>
      <c r="K2818">
        <v>359</v>
      </c>
      <c r="L2818" t="s">
        <v>303</v>
      </c>
      <c r="M2818">
        <v>416</v>
      </c>
      <c r="N2818">
        <v>359</v>
      </c>
      <c r="O2818" t="s">
        <v>303</v>
      </c>
      <c r="P2818">
        <f t="shared" si="43"/>
        <v>0</v>
      </c>
    </row>
    <row r="2819" spans="1:16" x14ac:dyDescent="0.25">
      <c r="A2819" t="s">
        <v>669</v>
      </c>
      <c r="B2819">
        <v>359</v>
      </c>
      <c r="C2819">
        <v>416</v>
      </c>
      <c r="D2819" t="s">
        <v>303</v>
      </c>
      <c r="E2819" t="s">
        <v>910</v>
      </c>
      <c r="F2819" t="s">
        <v>910</v>
      </c>
      <c r="J2819">
        <v>416</v>
      </c>
      <c r="K2819">
        <v>359</v>
      </c>
      <c r="L2819" t="s">
        <v>303</v>
      </c>
      <c r="M2819">
        <v>416</v>
      </c>
      <c r="N2819">
        <v>359</v>
      </c>
      <c r="O2819" t="s">
        <v>303</v>
      </c>
      <c r="P2819">
        <f t="shared" ref="P2819:P2882" si="44">LEN(I2819)</f>
        <v>0</v>
      </c>
    </row>
    <row r="2820" spans="1:16" x14ac:dyDescent="0.25">
      <c r="A2820" t="s">
        <v>669</v>
      </c>
      <c r="B2820">
        <v>385</v>
      </c>
      <c r="C2820">
        <v>416</v>
      </c>
      <c r="D2820" t="s">
        <v>303</v>
      </c>
      <c r="E2820" t="s">
        <v>910</v>
      </c>
      <c r="F2820" t="s">
        <v>910</v>
      </c>
      <c r="J2820">
        <v>416</v>
      </c>
      <c r="K2820">
        <v>385</v>
      </c>
      <c r="L2820" t="s">
        <v>303</v>
      </c>
      <c r="M2820">
        <v>416</v>
      </c>
      <c r="N2820">
        <v>385</v>
      </c>
      <c r="O2820" t="s">
        <v>303</v>
      </c>
      <c r="P2820">
        <f t="shared" si="44"/>
        <v>0</v>
      </c>
    </row>
    <row r="2821" spans="1:16" x14ac:dyDescent="0.25">
      <c r="A2821" t="s">
        <v>472</v>
      </c>
      <c r="B2821">
        <v>398</v>
      </c>
      <c r="C2821">
        <v>416</v>
      </c>
      <c r="D2821" t="s">
        <v>303</v>
      </c>
      <c r="E2821">
        <v>116</v>
      </c>
      <c r="F2821">
        <v>116</v>
      </c>
      <c r="G2821" t="s">
        <v>810</v>
      </c>
      <c r="H2821" t="s">
        <v>810</v>
      </c>
      <c r="J2821">
        <v>416</v>
      </c>
      <c r="K2821">
        <v>398</v>
      </c>
      <c r="L2821" t="s">
        <v>303</v>
      </c>
      <c r="M2821">
        <v>416</v>
      </c>
      <c r="N2821">
        <v>398</v>
      </c>
      <c r="O2821" t="s">
        <v>303</v>
      </c>
      <c r="P2821">
        <f t="shared" si="44"/>
        <v>0</v>
      </c>
    </row>
    <row r="2822" spans="1:16" x14ac:dyDescent="0.25">
      <c r="A2822" t="s">
        <v>669</v>
      </c>
      <c r="B2822">
        <v>398</v>
      </c>
      <c r="C2822">
        <v>416</v>
      </c>
      <c r="D2822" t="s">
        <v>303</v>
      </c>
      <c r="E2822" t="s">
        <v>910</v>
      </c>
      <c r="F2822" t="s">
        <v>910</v>
      </c>
      <c r="J2822">
        <v>416</v>
      </c>
      <c r="K2822">
        <v>398</v>
      </c>
      <c r="L2822" t="s">
        <v>303</v>
      </c>
      <c r="M2822">
        <v>416</v>
      </c>
      <c r="N2822">
        <v>398</v>
      </c>
      <c r="O2822" t="s">
        <v>303</v>
      </c>
      <c r="P2822">
        <f t="shared" si="44"/>
        <v>0</v>
      </c>
    </row>
    <row r="2823" spans="1:16" x14ac:dyDescent="0.25">
      <c r="A2823" t="s">
        <v>669</v>
      </c>
      <c r="B2823">
        <v>411</v>
      </c>
      <c r="C2823">
        <v>416</v>
      </c>
      <c r="D2823" t="s">
        <v>303</v>
      </c>
      <c r="E2823" t="s">
        <v>910</v>
      </c>
      <c r="F2823" t="s">
        <v>910</v>
      </c>
      <c r="J2823">
        <v>416</v>
      </c>
      <c r="K2823">
        <v>411</v>
      </c>
      <c r="L2823" t="s">
        <v>303</v>
      </c>
      <c r="M2823">
        <v>416</v>
      </c>
      <c r="N2823">
        <v>411</v>
      </c>
      <c r="O2823" t="s">
        <v>303</v>
      </c>
      <c r="P2823">
        <f t="shared" si="44"/>
        <v>0</v>
      </c>
    </row>
    <row r="2824" spans="1:16" x14ac:dyDescent="0.25">
      <c r="A2824" t="s">
        <v>669</v>
      </c>
      <c r="B2824">
        <v>415.5</v>
      </c>
      <c r="C2824">
        <v>418.1</v>
      </c>
      <c r="D2824" t="s">
        <v>303</v>
      </c>
      <c r="E2824" t="s">
        <v>910</v>
      </c>
      <c r="F2824" t="s">
        <v>910</v>
      </c>
      <c r="J2824">
        <v>418.1</v>
      </c>
      <c r="K2824">
        <v>415.5</v>
      </c>
      <c r="L2824" t="s">
        <v>303</v>
      </c>
      <c r="M2824">
        <v>418.1</v>
      </c>
      <c r="N2824">
        <v>415.5</v>
      </c>
      <c r="O2824" t="s">
        <v>303</v>
      </c>
      <c r="P2824">
        <f t="shared" si="44"/>
        <v>0</v>
      </c>
    </row>
    <row r="2825" spans="1:16" x14ac:dyDescent="0.25">
      <c r="A2825" t="s">
        <v>548</v>
      </c>
      <c r="B2825">
        <v>415</v>
      </c>
      <c r="C2825">
        <v>419.2</v>
      </c>
      <c r="D2825" t="s">
        <v>303</v>
      </c>
      <c r="E2825">
        <v>118</v>
      </c>
      <c r="F2825">
        <v>118</v>
      </c>
      <c r="G2825" t="s">
        <v>767</v>
      </c>
      <c r="H2825" t="s">
        <v>767</v>
      </c>
      <c r="J2825">
        <v>419.2</v>
      </c>
      <c r="K2825">
        <v>415</v>
      </c>
      <c r="L2825" t="s">
        <v>303</v>
      </c>
      <c r="M2825">
        <v>419.2</v>
      </c>
      <c r="N2825">
        <v>415</v>
      </c>
      <c r="O2825" t="s">
        <v>303</v>
      </c>
      <c r="P2825">
        <f t="shared" si="44"/>
        <v>0</v>
      </c>
    </row>
    <row r="2826" spans="1:16" x14ac:dyDescent="0.25">
      <c r="A2826" t="s">
        <v>669</v>
      </c>
      <c r="B2826">
        <v>415</v>
      </c>
      <c r="C2826">
        <v>419.2</v>
      </c>
      <c r="D2826" t="s">
        <v>303</v>
      </c>
      <c r="E2826" t="s">
        <v>910</v>
      </c>
      <c r="F2826" t="s">
        <v>910</v>
      </c>
      <c r="J2826">
        <v>419.2</v>
      </c>
      <c r="K2826">
        <v>415</v>
      </c>
      <c r="L2826" t="s">
        <v>303</v>
      </c>
      <c r="M2826">
        <v>419.2</v>
      </c>
      <c r="N2826">
        <v>415</v>
      </c>
      <c r="O2826" t="s">
        <v>303</v>
      </c>
      <c r="P2826">
        <f t="shared" si="44"/>
        <v>0</v>
      </c>
    </row>
    <row r="2827" spans="1:16" x14ac:dyDescent="0.25">
      <c r="A2827" t="s">
        <v>486</v>
      </c>
      <c r="B2827">
        <v>416</v>
      </c>
      <c r="C2827">
        <v>423</v>
      </c>
      <c r="D2827" t="s">
        <v>303</v>
      </c>
      <c r="E2827">
        <v>122</v>
      </c>
      <c r="F2827">
        <v>121</v>
      </c>
      <c r="G2827" t="s">
        <v>741</v>
      </c>
      <c r="H2827" t="s">
        <v>776</v>
      </c>
      <c r="J2827">
        <v>423</v>
      </c>
      <c r="K2827">
        <v>416</v>
      </c>
      <c r="L2827" t="s">
        <v>303</v>
      </c>
      <c r="M2827">
        <v>423</v>
      </c>
      <c r="N2827">
        <v>416</v>
      </c>
      <c r="O2827" t="s">
        <v>303</v>
      </c>
      <c r="P2827">
        <f t="shared" si="44"/>
        <v>0</v>
      </c>
    </row>
    <row r="2828" spans="1:16" x14ac:dyDescent="0.25">
      <c r="A2828" t="s">
        <v>570</v>
      </c>
      <c r="B2828">
        <v>419.2</v>
      </c>
      <c r="C2828">
        <v>423</v>
      </c>
      <c r="D2828" t="s">
        <v>303</v>
      </c>
      <c r="E2828">
        <v>121</v>
      </c>
      <c r="F2828">
        <v>121</v>
      </c>
      <c r="G2828" t="s">
        <v>776</v>
      </c>
      <c r="H2828" t="s">
        <v>776</v>
      </c>
      <c r="J2828">
        <v>423</v>
      </c>
      <c r="K2828">
        <v>419.2</v>
      </c>
      <c r="L2828" t="s">
        <v>303</v>
      </c>
      <c r="M2828">
        <v>423</v>
      </c>
      <c r="N2828">
        <v>419.2</v>
      </c>
      <c r="O2828" t="s">
        <v>303</v>
      </c>
      <c r="P2828">
        <f t="shared" si="44"/>
        <v>0</v>
      </c>
    </row>
    <row r="2829" spans="1:16" x14ac:dyDescent="0.25">
      <c r="A2829" t="s">
        <v>669</v>
      </c>
      <c r="B2829">
        <v>424</v>
      </c>
      <c r="C2829">
        <v>424</v>
      </c>
      <c r="D2829" t="s">
        <v>669</v>
      </c>
      <c r="E2829" t="s">
        <v>910</v>
      </c>
      <c r="F2829" t="s">
        <v>910</v>
      </c>
      <c r="I2829" t="s">
        <v>927</v>
      </c>
      <c r="J2829">
        <v>424</v>
      </c>
      <c r="K2829">
        <v>424</v>
      </c>
      <c r="L2829" t="s">
        <v>930</v>
      </c>
      <c r="M2829">
        <v>424</v>
      </c>
      <c r="N2829">
        <v>424</v>
      </c>
      <c r="P2829">
        <f t="shared" si="44"/>
        <v>14</v>
      </c>
    </row>
    <row r="2830" spans="1:16" x14ac:dyDescent="0.25">
      <c r="A2830" t="s">
        <v>300</v>
      </c>
      <c r="B2830">
        <v>423</v>
      </c>
      <c r="C2830">
        <v>427.4</v>
      </c>
      <c r="D2830" t="s">
        <v>303</v>
      </c>
      <c r="E2830">
        <v>122</v>
      </c>
      <c r="F2830">
        <v>122</v>
      </c>
      <c r="G2830" t="s">
        <v>741</v>
      </c>
      <c r="H2830" t="s">
        <v>741</v>
      </c>
      <c r="J2830">
        <v>427.4</v>
      </c>
      <c r="K2830">
        <v>423</v>
      </c>
      <c r="L2830" t="s">
        <v>303</v>
      </c>
      <c r="M2830">
        <v>427.4</v>
      </c>
      <c r="N2830">
        <v>423</v>
      </c>
      <c r="O2830" t="s">
        <v>303</v>
      </c>
      <c r="P2830">
        <f t="shared" si="44"/>
        <v>0</v>
      </c>
    </row>
    <row r="2831" spans="1:16" x14ac:dyDescent="0.25">
      <c r="A2831" t="s">
        <v>669</v>
      </c>
      <c r="B2831" t="s">
        <v>669</v>
      </c>
      <c r="C2831">
        <v>428</v>
      </c>
      <c r="D2831" t="s">
        <v>860</v>
      </c>
      <c r="E2831" t="s">
        <v>910</v>
      </c>
      <c r="F2831" t="s">
        <v>910</v>
      </c>
      <c r="J2831">
        <v>428</v>
      </c>
      <c r="L2831" t="s">
        <v>303</v>
      </c>
      <c r="M2831">
        <v>428</v>
      </c>
      <c r="O2831" t="s">
        <v>303</v>
      </c>
      <c r="P2831">
        <f t="shared" si="44"/>
        <v>0</v>
      </c>
    </row>
    <row r="2832" spans="1:16" x14ac:dyDescent="0.25">
      <c r="A2832" t="s">
        <v>602</v>
      </c>
      <c r="B2832">
        <v>426</v>
      </c>
      <c r="C2832">
        <v>429</v>
      </c>
      <c r="D2832" t="s">
        <v>860</v>
      </c>
      <c r="E2832">
        <v>120</v>
      </c>
      <c r="F2832">
        <v>120</v>
      </c>
      <c r="G2832" t="s">
        <v>740</v>
      </c>
      <c r="H2832" t="s">
        <v>740</v>
      </c>
      <c r="J2832">
        <v>429</v>
      </c>
      <c r="K2832">
        <v>426</v>
      </c>
      <c r="L2832" t="s">
        <v>303</v>
      </c>
      <c r="M2832">
        <v>429</v>
      </c>
      <c r="N2832">
        <v>426</v>
      </c>
      <c r="O2832" t="s">
        <v>303</v>
      </c>
      <c r="P2832">
        <f t="shared" si="44"/>
        <v>0</v>
      </c>
    </row>
    <row r="2833" spans="1:16" x14ac:dyDescent="0.25">
      <c r="A2833" t="s">
        <v>669</v>
      </c>
      <c r="B2833">
        <v>1731</v>
      </c>
      <c r="C2833" t="s">
        <v>669</v>
      </c>
      <c r="D2833" t="s">
        <v>865</v>
      </c>
      <c r="E2833" t="s">
        <v>910</v>
      </c>
      <c r="F2833">
        <v>5</v>
      </c>
      <c r="H2833" t="s">
        <v>684</v>
      </c>
      <c r="K2833">
        <v>1731</v>
      </c>
      <c r="L2833" t="s">
        <v>920</v>
      </c>
      <c r="N2833">
        <v>1731</v>
      </c>
      <c r="O2833" t="s">
        <v>931</v>
      </c>
      <c r="P2833">
        <f t="shared" si="44"/>
        <v>0</v>
      </c>
    </row>
    <row r="2834" spans="1:16" x14ac:dyDescent="0.25">
      <c r="A2834" t="s">
        <v>669</v>
      </c>
      <c r="B2834">
        <v>415</v>
      </c>
      <c r="C2834">
        <v>430</v>
      </c>
      <c r="D2834" t="s">
        <v>860</v>
      </c>
      <c r="E2834" t="s">
        <v>910</v>
      </c>
      <c r="F2834" t="s">
        <v>910</v>
      </c>
      <c r="J2834">
        <v>430</v>
      </c>
      <c r="K2834">
        <v>415</v>
      </c>
      <c r="L2834" t="s">
        <v>303</v>
      </c>
      <c r="M2834">
        <v>430</v>
      </c>
      <c r="N2834">
        <v>415</v>
      </c>
      <c r="O2834" t="s">
        <v>303</v>
      </c>
      <c r="P2834">
        <f t="shared" si="44"/>
        <v>0</v>
      </c>
    </row>
    <row r="2835" spans="1:16" x14ac:dyDescent="0.25">
      <c r="A2835" t="s">
        <v>669</v>
      </c>
      <c r="B2835">
        <v>420</v>
      </c>
      <c r="C2835">
        <v>430</v>
      </c>
      <c r="D2835" t="s">
        <v>303</v>
      </c>
      <c r="E2835" t="s">
        <v>910</v>
      </c>
      <c r="F2835" t="s">
        <v>910</v>
      </c>
      <c r="J2835">
        <v>430</v>
      </c>
      <c r="K2835">
        <v>420</v>
      </c>
      <c r="L2835" t="s">
        <v>303</v>
      </c>
      <c r="M2835">
        <v>430</v>
      </c>
      <c r="N2835">
        <v>420</v>
      </c>
      <c r="O2835" t="s">
        <v>303</v>
      </c>
      <c r="P2835">
        <f t="shared" si="44"/>
        <v>0</v>
      </c>
    </row>
    <row r="2836" spans="1:16" x14ac:dyDescent="0.25">
      <c r="A2836" t="s">
        <v>217</v>
      </c>
      <c r="B2836">
        <v>427.4</v>
      </c>
      <c r="C2836">
        <v>430.5</v>
      </c>
      <c r="D2836" t="s">
        <v>303</v>
      </c>
      <c r="E2836">
        <v>126</v>
      </c>
      <c r="F2836">
        <v>126</v>
      </c>
      <c r="G2836" t="s">
        <v>730</v>
      </c>
      <c r="H2836" t="s">
        <v>730</v>
      </c>
      <c r="J2836">
        <v>430.5</v>
      </c>
      <c r="K2836">
        <v>427.4</v>
      </c>
      <c r="L2836" t="s">
        <v>303</v>
      </c>
      <c r="M2836">
        <v>430.5</v>
      </c>
      <c r="N2836">
        <v>427.4</v>
      </c>
      <c r="O2836" t="s">
        <v>303</v>
      </c>
      <c r="P2836">
        <f t="shared" si="44"/>
        <v>0</v>
      </c>
    </row>
    <row r="2837" spans="1:16" x14ac:dyDescent="0.25">
      <c r="A2837" t="s">
        <v>669</v>
      </c>
      <c r="B2837">
        <v>431</v>
      </c>
      <c r="C2837">
        <v>433</v>
      </c>
      <c r="D2837" t="s">
        <v>860</v>
      </c>
      <c r="E2837" t="s">
        <v>910</v>
      </c>
      <c r="F2837" t="s">
        <v>910</v>
      </c>
      <c r="J2837">
        <v>433</v>
      </c>
      <c r="K2837">
        <v>431</v>
      </c>
      <c r="L2837" t="s">
        <v>303</v>
      </c>
      <c r="M2837">
        <v>433</v>
      </c>
      <c r="N2837">
        <v>431</v>
      </c>
      <c r="O2837" t="s">
        <v>303</v>
      </c>
      <c r="P2837">
        <f t="shared" si="44"/>
        <v>0</v>
      </c>
    </row>
    <row r="2838" spans="1:16" x14ac:dyDescent="0.25">
      <c r="A2838" t="s">
        <v>600</v>
      </c>
      <c r="B2838">
        <v>430.5</v>
      </c>
      <c r="C2838">
        <v>433.4</v>
      </c>
      <c r="D2838" t="s">
        <v>303</v>
      </c>
      <c r="E2838">
        <v>127</v>
      </c>
      <c r="F2838">
        <v>127</v>
      </c>
      <c r="G2838" t="s">
        <v>780</v>
      </c>
      <c r="H2838" t="s">
        <v>780</v>
      </c>
      <c r="J2838">
        <v>433.4</v>
      </c>
      <c r="K2838">
        <v>430.5</v>
      </c>
      <c r="L2838" t="s">
        <v>303</v>
      </c>
      <c r="M2838">
        <v>433.4</v>
      </c>
      <c r="N2838">
        <v>430.5</v>
      </c>
      <c r="O2838" t="s">
        <v>303</v>
      </c>
      <c r="P2838">
        <f t="shared" si="44"/>
        <v>0</v>
      </c>
    </row>
    <row r="2839" spans="1:16" x14ac:dyDescent="0.25">
      <c r="A2839" t="s">
        <v>669</v>
      </c>
      <c r="B2839">
        <v>409</v>
      </c>
      <c r="C2839">
        <v>437</v>
      </c>
      <c r="D2839" t="s">
        <v>860</v>
      </c>
      <c r="E2839" t="s">
        <v>910</v>
      </c>
      <c r="F2839" t="s">
        <v>910</v>
      </c>
      <c r="J2839">
        <v>437</v>
      </c>
      <c r="K2839">
        <v>409</v>
      </c>
      <c r="L2839" t="s">
        <v>303</v>
      </c>
      <c r="M2839">
        <v>437</v>
      </c>
      <c r="N2839">
        <v>409</v>
      </c>
      <c r="O2839" t="s">
        <v>303</v>
      </c>
      <c r="P2839">
        <f t="shared" si="44"/>
        <v>0</v>
      </c>
    </row>
    <row r="2840" spans="1:16" x14ac:dyDescent="0.25">
      <c r="A2840" t="s">
        <v>613</v>
      </c>
      <c r="B2840">
        <v>433.4</v>
      </c>
      <c r="C2840">
        <v>438.5</v>
      </c>
      <c r="D2840" t="s">
        <v>303</v>
      </c>
      <c r="E2840">
        <v>129</v>
      </c>
      <c r="F2840">
        <v>129</v>
      </c>
      <c r="G2840" t="s">
        <v>781</v>
      </c>
      <c r="H2840" t="s">
        <v>781</v>
      </c>
      <c r="J2840">
        <v>438.5</v>
      </c>
      <c r="K2840">
        <v>433.4</v>
      </c>
      <c r="L2840" t="s">
        <v>303</v>
      </c>
      <c r="M2840">
        <v>438.5</v>
      </c>
      <c r="N2840">
        <v>433.4</v>
      </c>
      <c r="O2840" t="s">
        <v>303</v>
      </c>
      <c r="P2840">
        <f t="shared" si="44"/>
        <v>0</v>
      </c>
    </row>
    <row r="2841" spans="1:16" x14ac:dyDescent="0.25">
      <c r="A2841" t="s">
        <v>669</v>
      </c>
      <c r="B2841">
        <v>340</v>
      </c>
      <c r="C2841">
        <v>440</v>
      </c>
      <c r="D2841" t="s">
        <v>860</v>
      </c>
      <c r="E2841" t="s">
        <v>910</v>
      </c>
      <c r="F2841" t="s">
        <v>910</v>
      </c>
      <c r="J2841">
        <v>440</v>
      </c>
      <c r="K2841">
        <v>340</v>
      </c>
      <c r="L2841" t="s">
        <v>303</v>
      </c>
      <c r="M2841">
        <v>440</v>
      </c>
      <c r="N2841">
        <v>340</v>
      </c>
      <c r="O2841" t="s">
        <v>303</v>
      </c>
      <c r="P2841">
        <f t="shared" si="44"/>
        <v>0</v>
      </c>
    </row>
    <row r="2842" spans="1:16" x14ac:dyDescent="0.25">
      <c r="A2842" t="s">
        <v>669</v>
      </c>
      <c r="B2842">
        <v>430</v>
      </c>
      <c r="C2842">
        <v>440</v>
      </c>
      <c r="D2842" t="s">
        <v>303</v>
      </c>
      <c r="E2842" t="s">
        <v>910</v>
      </c>
      <c r="F2842" t="s">
        <v>910</v>
      </c>
      <c r="J2842">
        <v>440</v>
      </c>
      <c r="K2842">
        <v>430</v>
      </c>
      <c r="L2842" t="s">
        <v>303</v>
      </c>
      <c r="M2842">
        <v>440</v>
      </c>
      <c r="N2842">
        <v>430</v>
      </c>
      <c r="O2842" t="s">
        <v>303</v>
      </c>
      <c r="P2842">
        <f t="shared" si="44"/>
        <v>0</v>
      </c>
    </row>
    <row r="2843" spans="1:16" x14ac:dyDescent="0.25">
      <c r="A2843" t="s">
        <v>13</v>
      </c>
      <c r="B2843">
        <v>438.5</v>
      </c>
      <c r="C2843">
        <v>440.8</v>
      </c>
      <c r="D2843" t="s">
        <v>303</v>
      </c>
      <c r="E2843">
        <v>130</v>
      </c>
      <c r="F2843">
        <v>130</v>
      </c>
      <c r="G2843" t="s">
        <v>787</v>
      </c>
      <c r="H2843" t="s">
        <v>787</v>
      </c>
      <c r="J2843">
        <v>440.8</v>
      </c>
      <c r="K2843">
        <v>438.5</v>
      </c>
      <c r="L2843" t="s">
        <v>303</v>
      </c>
      <c r="M2843">
        <v>440.8</v>
      </c>
      <c r="N2843">
        <v>438.5</v>
      </c>
      <c r="O2843" t="s">
        <v>303</v>
      </c>
      <c r="P2843">
        <f t="shared" si="44"/>
        <v>0</v>
      </c>
    </row>
    <row r="2844" spans="1:16" x14ac:dyDescent="0.25">
      <c r="A2844" t="s">
        <v>669</v>
      </c>
      <c r="B2844">
        <v>410</v>
      </c>
      <c r="C2844">
        <v>443</v>
      </c>
      <c r="D2844" t="s">
        <v>303</v>
      </c>
      <c r="E2844" t="s">
        <v>910</v>
      </c>
      <c r="F2844" t="s">
        <v>910</v>
      </c>
      <c r="J2844">
        <v>443</v>
      </c>
      <c r="K2844">
        <v>410</v>
      </c>
      <c r="L2844" t="s">
        <v>303</v>
      </c>
      <c r="M2844">
        <v>443</v>
      </c>
      <c r="N2844">
        <v>410</v>
      </c>
      <c r="O2844" t="s">
        <v>303</v>
      </c>
      <c r="P2844">
        <f t="shared" si="44"/>
        <v>0</v>
      </c>
    </row>
    <row r="2845" spans="1:16" x14ac:dyDescent="0.25">
      <c r="A2845" t="s">
        <v>594</v>
      </c>
      <c r="B2845">
        <v>440.8</v>
      </c>
      <c r="C2845">
        <v>443.8</v>
      </c>
      <c r="D2845" t="s">
        <v>303</v>
      </c>
      <c r="E2845">
        <v>131</v>
      </c>
      <c r="F2845">
        <v>131</v>
      </c>
      <c r="G2845" t="s">
        <v>777</v>
      </c>
      <c r="H2845" t="s">
        <v>777</v>
      </c>
      <c r="J2845">
        <v>443.8</v>
      </c>
      <c r="K2845">
        <v>440.8</v>
      </c>
      <c r="L2845" t="s">
        <v>303</v>
      </c>
      <c r="M2845">
        <v>443.8</v>
      </c>
      <c r="N2845">
        <v>440.8</v>
      </c>
      <c r="O2845" t="s">
        <v>303</v>
      </c>
      <c r="P2845">
        <f t="shared" si="44"/>
        <v>0</v>
      </c>
    </row>
    <row r="2846" spans="1:16" x14ac:dyDescent="0.25">
      <c r="A2846" t="s">
        <v>669</v>
      </c>
      <c r="B2846">
        <v>299</v>
      </c>
      <c r="C2846">
        <v>444</v>
      </c>
      <c r="D2846" t="s">
        <v>303</v>
      </c>
      <c r="E2846" t="s">
        <v>910</v>
      </c>
      <c r="F2846" t="s">
        <v>910</v>
      </c>
      <c r="J2846">
        <v>444</v>
      </c>
      <c r="K2846">
        <v>299</v>
      </c>
      <c r="L2846" t="s">
        <v>303</v>
      </c>
      <c r="M2846">
        <v>444</v>
      </c>
      <c r="N2846">
        <v>299</v>
      </c>
      <c r="O2846" t="s">
        <v>303</v>
      </c>
      <c r="P2846">
        <f t="shared" si="44"/>
        <v>0</v>
      </c>
    </row>
    <row r="2847" spans="1:16" x14ac:dyDescent="0.25">
      <c r="A2847" t="s">
        <v>669</v>
      </c>
      <c r="B2847">
        <v>359</v>
      </c>
      <c r="C2847">
        <v>444</v>
      </c>
      <c r="D2847" t="s">
        <v>303</v>
      </c>
      <c r="E2847" t="s">
        <v>910</v>
      </c>
      <c r="F2847" t="s">
        <v>910</v>
      </c>
      <c r="J2847">
        <v>444</v>
      </c>
      <c r="K2847">
        <v>359</v>
      </c>
      <c r="L2847" t="s">
        <v>303</v>
      </c>
      <c r="M2847">
        <v>444</v>
      </c>
      <c r="N2847">
        <v>359</v>
      </c>
      <c r="O2847" t="s">
        <v>303</v>
      </c>
      <c r="P2847">
        <f t="shared" si="44"/>
        <v>0</v>
      </c>
    </row>
    <row r="2848" spans="1:16" x14ac:dyDescent="0.25">
      <c r="A2848" t="s">
        <v>484</v>
      </c>
      <c r="B2848">
        <v>416</v>
      </c>
      <c r="C2848">
        <v>444</v>
      </c>
      <c r="D2848" t="s">
        <v>303</v>
      </c>
      <c r="E2848">
        <v>120</v>
      </c>
      <c r="F2848">
        <v>120</v>
      </c>
      <c r="G2848" t="s">
        <v>740</v>
      </c>
      <c r="H2848" t="s">
        <v>740</v>
      </c>
      <c r="J2848">
        <v>444</v>
      </c>
      <c r="K2848">
        <v>416</v>
      </c>
      <c r="L2848" t="s">
        <v>303</v>
      </c>
      <c r="M2848">
        <v>444</v>
      </c>
      <c r="N2848">
        <v>416</v>
      </c>
      <c r="O2848" t="s">
        <v>303</v>
      </c>
      <c r="P2848">
        <f t="shared" si="44"/>
        <v>0</v>
      </c>
    </row>
    <row r="2849" spans="1:16" x14ac:dyDescent="0.25">
      <c r="A2849" t="s">
        <v>669</v>
      </c>
      <c r="B2849">
        <v>1770</v>
      </c>
      <c r="C2849" t="s">
        <v>669</v>
      </c>
      <c r="D2849" t="s">
        <v>865</v>
      </c>
      <c r="E2849" t="s">
        <v>910</v>
      </c>
      <c r="F2849">
        <v>5</v>
      </c>
      <c r="H2849" t="s">
        <v>684</v>
      </c>
      <c r="K2849">
        <v>1770</v>
      </c>
      <c r="L2849" t="s">
        <v>920</v>
      </c>
      <c r="N2849">
        <v>1770</v>
      </c>
      <c r="O2849" t="s">
        <v>931</v>
      </c>
      <c r="P2849">
        <f t="shared" si="44"/>
        <v>0</v>
      </c>
    </row>
    <row r="2850" spans="1:16" x14ac:dyDescent="0.25">
      <c r="A2850" t="s">
        <v>485</v>
      </c>
      <c r="B2850">
        <v>428</v>
      </c>
      <c r="C2850">
        <v>444</v>
      </c>
      <c r="D2850" t="s">
        <v>303</v>
      </c>
      <c r="E2850">
        <v>128</v>
      </c>
      <c r="F2850">
        <v>128</v>
      </c>
      <c r="G2850" t="s">
        <v>833</v>
      </c>
      <c r="H2850" t="s">
        <v>833</v>
      </c>
      <c r="J2850">
        <v>444</v>
      </c>
      <c r="K2850">
        <v>428</v>
      </c>
      <c r="L2850" t="s">
        <v>303</v>
      </c>
      <c r="M2850">
        <v>444</v>
      </c>
      <c r="N2850">
        <v>428</v>
      </c>
      <c r="O2850" t="s">
        <v>303</v>
      </c>
      <c r="P2850">
        <f t="shared" si="44"/>
        <v>0</v>
      </c>
    </row>
    <row r="2851" spans="1:16" x14ac:dyDescent="0.25">
      <c r="A2851" t="s">
        <v>669</v>
      </c>
      <c r="B2851">
        <v>3515</v>
      </c>
      <c r="C2851">
        <v>3575</v>
      </c>
      <c r="D2851" t="s">
        <v>669</v>
      </c>
      <c r="E2851" t="s">
        <v>910</v>
      </c>
      <c r="F2851" t="s">
        <v>910</v>
      </c>
      <c r="I2851" t="s">
        <v>928</v>
      </c>
      <c r="J2851">
        <v>3575</v>
      </c>
      <c r="K2851">
        <v>3515</v>
      </c>
      <c r="L2851" t="s">
        <v>851</v>
      </c>
      <c r="M2851">
        <v>3575</v>
      </c>
      <c r="N2851">
        <v>3515</v>
      </c>
      <c r="P2851">
        <f t="shared" si="44"/>
        <v>21</v>
      </c>
    </row>
    <row r="2852" spans="1:16" x14ac:dyDescent="0.25">
      <c r="A2852" t="s">
        <v>669</v>
      </c>
      <c r="B2852">
        <v>1820</v>
      </c>
      <c r="C2852" t="s">
        <v>669</v>
      </c>
      <c r="D2852" t="s">
        <v>865</v>
      </c>
      <c r="E2852" t="s">
        <v>910</v>
      </c>
      <c r="F2852">
        <v>5</v>
      </c>
      <c r="H2852" t="s">
        <v>684</v>
      </c>
      <c r="K2852">
        <v>1820</v>
      </c>
      <c r="L2852" t="s">
        <v>920</v>
      </c>
      <c r="N2852">
        <v>1820</v>
      </c>
      <c r="O2852" t="s">
        <v>931</v>
      </c>
      <c r="P2852">
        <f t="shared" si="44"/>
        <v>0</v>
      </c>
    </row>
    <row r="2853" spans="1:16" x14ac:dyDescent="0.25">
      <c r="A2853" t="s">
        <v>403</v>
      </c>
      <c r="B2853">
        <v>1854</v>
      </c>
      <c r="C2853" t="s">
        <v>669</v>
      </c>
      <c r="D2853" t="s">
        <v>857</v>
      </c>
      <c r="E2853" t="s">
        <v>910</v>
      </c>
      <c r="F2853">
        <v>5</v>
      </c>
      <c r="H2853" t="s">
        <v>684</v>
      </c>
      <c r="I2853" t="s">
        <v>932</v>
      </c>
      <c r="K2853">
        <v>1854</v>
      </c>
      <c r="L2853" t="s">
        <v>920</v>
      </c>
      <c r="N2853">
        <v>1854</v>
      </c>
      <c r="O2853" t="s">
        <v>857</v>
      </c>
      <c r="P2853">
        <f t="shared" si="44"/>
        <v>27</v>
      </c>
    </row>
    <row r="2854" spans="1:16" x14ac:dyDescent="0.25">
      <c r="A2854" t="s">
        <v>669</v>
      </c>
      <c r="B2854">
        <v>432</v>
      </c>
      <c r="C2854">
        <v>447</v>
      </c>
      <c r="D2854" t="s">
        <v>860</v>
      </c>
      <c r="E2854" t="s">
        <v>910</v>
      </c>
      <c r="F2854" t="s">
        <v>910</v>
      </c>
      <c r="J2854">
        <v>447</v>
      </c>
      <c r="K2854">
        <v>432</v>
      </c>
      <c r="L2854" t="s">
        <v>303</v>
      </c>
      <c r="M2854">
        <v>447</v>
      </c>
      <c r="N2854">
        <v>432</v>
      </c>
      <c r="O2854" t="s">
        <v>303</v>
      </c>
      <c r="P2854">
        <f t="shared" si="44"/>
        <v>0</v>
      </c>
    </row>
    <row r="2855" spans="1:16" x14ac:dyDescent="0.25">
      <c r="A2855" t="s">
        <v>669</v>
      </c>
      <c r="B2855">
        <v>440</v>
      </c>
      <c r="C2855">
        <v>450</v>
      </c>
      <c r="D2855" t="s">
        <v>303</v>
      </c>
      <c r="E2855" t="s">
        <v>910</v>
      </c>
      <c r="F2855" t="s">
        <v>910</v>
      </c>
      <c r="J2855">
        <v>450</v>
      </c>
      <c r="K2855">
        <v>440</v>
      </c>
      <c r="L2855" t="s">
        <v>303</v>
      </c>
      <c r="M2855">
        <v>450</v>
      </c>
      <c r="N2855">
        <v>440</v>
      </c>
      <c r="O2855" t="s">
        <v>303</v>
      </c>
      <c r="P2855">
        <f t="shared" si="44"/>
        <v>0</v>
      </c>
    </row>
    <row r="2856" spans="1:16" x14ac:dyDescent="0.25">
      <c r="A2856" t="s">
        <v>237</v>
      </c>
      <c r="B2856">
        <v>445.2</v>
      </c>
      <c r="C2856">
        <v>453</v>
      </c>
      <c r="D2856" t="s">
        <v>303</v>
      </c>
      <c r="E2856">
        <v>135</v>
      </c>
      <c r="F2856">
        <v>135</v>
      </c>
      <c r="G2856" t="s">
        <v>736</v>
      </c>
      <c r="H2856" t="s">
        <v>736</v>
      </c>
      <c r="J2856">
        <v>453</v>
      </c>
      <c r="K2856">
        <v>445.2</v>
      </c>
      <c r="L2856" t="s">
        <v>303</v>
      </c>
      <c r="M2856">
        <v>453</v>
      </c>
      <c r="N2856">
        <v>445.2</v>
      </c>
      <c r="O2856" t="s">
        <v>303</v>
      </c>
      <c r="P2856">
        <f t="shared" si="44"/>
        <v>0</v>
      </c>
    </row>
    <row r="2857" spans="1:16" x14ac:dyDescent="0.25">
      <c r="A2857" t="s">
        <v>669</v>
      </c>
      <c r="B2857">
        <v>1891</v>
      </c>
      <c r="C2857">
        <v>1898</v>
      </c>
      <c r="D2857" t="s">
        <v>857</v>
      </c>
      <c r="E2857">
        <v>5</v>
      </c>
      <c r="F2857">
        <v>5</v>
      </c>
      <c r="G2857" t="s">
        <v>684</v>
      </c>
      <c r="H2857" t="s">
        <v>684</v>
      </c>
      <c r="J2857">
        <v>1898</v>
      </c>
      <c r="K2857">
        <v>1891</v>
      </c>
      <c r="L2857" t="s">
        <v>921</v>
      </c>
      <c r="M2857">
        <v>1898</v>
      </c>
      <c r="N2857">
        <v>1891</v>
      </c>
      <c r="O2857" t="s">
        <v>921</v>
      </c>
      <c r="P2857">
        <f t="shared" si="44"/>
        <v>0</v>
      </c>
    </row>
    <row r="2858" spans="1:16" x14ac:dyDescent="0.25">
      <c r="A2858" t="s">
        <v>669</v>
      </c>
      <c r="B2858">
        <v>411</v>
      </c>
      <c r="C2858">
        <v>457</v>
      </c>
      <c r="D2858" t="s">
        <v>860</v>
      </c>
      <c r="E2858" t="s">
        <v>910</v>
      </c>
      <c r="F2858" t="s">
        <v>910</v>
      </c>
      <c r="J2858">
        <v>457</v>
      </c>
      <c r="K2858">
        <v>411</v>
      </c>
      <c r="L2858" t="s">
        <v>303</v>
      </c>
      <c r="M2858">
        <v>457</v>
      </c>
      <c r="N2858">
        <v>411</v>
      </c>
      <c r="O2858" t="s">
        <v>303</v>
      </c>
      <c r="P2858">
        <f t="shared" si="44"/>
        <v>0</v>
      </c>
    </row>
    <row r="2859" spans="1:16" x14ac:dyDescent="0.25">
      <c r="A2859" t="s">
        <v>669</v>
      </c>
      <c r="B2859">
        <v>342</v>
      </c>
      <c r="C2859">
        <v>458</v>
      </c>
      <c r="D2859" t="s">
        <v>669</v>
      </c>
      <c r="E2859" t="s">
        <v>910</v>
      </c>
      <c r="F2859" t="s">
        <v>910</v>
      </c>
      <c r="I2859" t="s">
        <v>927</v>
      </c>
      <c r="J2859">
        <v>458</v>
      </c>
      <c r="K2859">
        <v>342</v>
      </c>
      <c r="L2859" t="s">
        <v>930</v>
      </c>
      <c r="M2859">
        <v>458</v>
      </c>
      <c r="N2859">
        <v>342</v>
      </c>
      <c r="P2859">
        <f t="shared" si="44"/>
        <v>14</v>
      </c>
    </row>
    <row r="2860" spans="1:16" x14ac:dyDescent="0.25">
      <c r="A2860" t="s">
        <v>596</v>
      </c>
      <c r="B2860">
        <v>453</v>
      </c>
      <c r="C2860">
        <v>458.4</v>
      </c>
      <c r="D2860" t="s">
        <v>303</v>
      </c>
      <c r="E2860">
        <v>136</v>
      </c>
      <c r="F2860">
        <v>136</v>
      </c>
      <c r="G2860" t="s">
        <v>779</v>
      </c>
      <c r="H2860" t="s">
        <v>779</v>
      </c>
      <c r="J2860">
        <v>458.4</v>
      </c>
      <c r="K2860">
        <v>453</v>
      </c>
      <c r="L2860" t="s">
        <v>303</v>
      </c>
      <c r="M2860">
        <v>458.4</v>
      </c>
      <c r="N2860">
        <v>453</v>
      </c>
      <c r="O2860" t="s">
        <v>303</v>
      </c>
      <c r="P2860">
        <f t="shared" si="44"/>
        <v>0</v>
      </c>
    </row>
    <row r="2861" spans="1:16" x14ac:dyDescent="0.25">
      <c r="A2861" t="s">
        <v>669</v>
      </c>
      <c r="B2861">
        <v>442</v>
      </c>
      <c r="C2861">
        <v>459</v>
      </c>
      <c r="D2861" t="s">
        <v>860</v>
      </c>
      <c r="E2861" t="s">
        <v>910</v>
      </c>
      <c r="F2861" t="s">
        <v>910</v>
      </c>
      <c r="J2861">
        <v>459</v>
      </c>
      <c r="K2861">
        <v>442</v>
      </c>
      <c r="L2861" t="s">
        <v>303</v>
      </c>
      <c r="M2861">
        <v>459</v>
      </c>
      <c r="N2861">
        <v>442</v>
      </c>
      <c r="O2861" t="s">
        <v>303</v>
      </c>
      <c r="P2861">
        <f t="shared" si="44"/>
        <v>0</v>
      </c>
    </row>
    <row r="2862" spans="1:16" x14ac:dyDescent="0.25">
      <c r="A2862" t="s">
        <v>265</v>
      </c>
      <c r="B2862">
        <v>423</v>
      </c>
      <c r="C2862">
        <v>460</v>
      </c>
      <c r="D2862" t="s">
        <v>860</v>
      </c>
      <c r="E2862">
        <v>133</v>
      </c>
      <c r="F2862">
        <v>120</v>
      </c>
      <c r="G2862" t="s">
        <v>816</v>
      </c>
      <c r="H2862" t="s">
        <v>740</v>
      </c>
      <c r="J2862">
        <v>460</v>
      </c>
      <c r="K2862">
        <v>423</v>
      </c>
      <c r="L2862" t="s">
        <v>303</v>
      </c>
      <c r="M2862">
        <v>460</v>
      </c>
      <c r="N2862">
        <v>423</v>
      </c>
      <c r="O2862" t="s">
        <v>303</v>
      </c>
      <c r="P2862">
        <f t="shared" si="44"/>
        <v>0</v>
      </c>
    </row>
    <row r="2863" spans="1:16" x14ac:dyDescent="0.25">
      <c r="A2863" t="s">
        <v>669</v>
      </c>
      <c r="B2863">
        <v>3800</v>
      </c>
      <c r="C2863">
        <v>3860</v>
      </c>
      <c r="D2863" t="s">
        <v>669</v>
      </c>
      <c r="E2863" t="s">
        <v>910</v>
      </c>
      <c r="F2863" t="s">
        <v>910</v>
      </c>
      <c r="I2863" t="s">
        <v>928</v>
      </c>
      <c r="J2863">
        <v>3860</v>
      </c>
      <c r="K2863">
        <v>3800</v>
      </c>
      <c r="L2863" t="s">
        <v>851</v>
      </c>
      <c r="M2863">
        <v>3860</v>
      </c>
      <c r="N2863">
        <v>3800</v>
      </c>
      <c r="P2863">
        <f t="shared" si="44"/>
        <v>21</v>
      </c>
    </row>
    <row r="2864" spans="1:16" x14ac:dyDescent="0.25">
      <c r="A2864" t="s">
        <v>669</v>
      </c>
      <c r="B2864">
        <v>450</v>
      </c>
      <c r="C2864">
        <v>460</v>
      </c>
      <c r="D2864" t="s">
        <v>303</v>
      </c>
      <c r="E2864" t="s">
        <v>910</v>
      </c>
      <c r="F2864" t="s">
        <v>910</v>
      </c>
      <c r="J2864">
        <v>460</v>
      </c>
      <c r="K2864">
        <v>450</v>
      </c>
      <c r="L2864" t="s">
        <v>303</v>
      </c>
      <c r="M2864">
        <v>460</v>
      </c>
      <c r="N2864">
        <v>450</v>
      </c>
      <c r="O2864" t="s">
        <v>303</v>
      </c>
      <c r="P2864">
        <f t="shared" si="44"/>
        <v>0</v>
      </c>
    </row>
    <row r="2865" spans="1:16" x14ac:dyDescent="0.25">
      <c r="A2865" t="s">
        <v>478</v>
      </c>
      <c r="B2865">
        <v>444</v>
      </c>
      <c r="C2865">
        <v>461</v>
      </c>
      <c r="D2865" t="s">
        <v>303</v>
      </c>
      <c r="E2865">
        <v>133</v>
      </c>
      <c r="F2865">
        <v>133</v>
      </c>
      <c r="G2865" t="s">
        <v>816</v>
      </c>
      <c r="H2865" t="s">
        <v>816</v>
      </c>
      <c r="J2865">
        <v>461</v>
      </c>
      <c r="K2865">
        <v>444</v>
      </c>
      <c r="L2865" t="s">
        <v>303</v>
      </c>
      <c r="M2865">
        <v>461</v>
      </c>
      <c r="N2865">
        <v>444</v>
      </c>
      <c r="O2865" t="s">
        <v>303</v>
      </c>
      <c r="P2865">
        <f t="shared" si="44"/>
        <v>0</v>
      </c>
    </row>
    <row r="2866" spans="1:16" x14ac:dyDescent="0.25">
      <c r="A2866" t="s">
        <v>669</v>
      </c>
      <c r="B2866">
        <v>1907</v>
      </c>
      <c r="C2866" t="s">
        <v>669</v>
      </c>
      <c r="D2866" t="s">
        <v>865</v>
      </c>
      <c r="E2866" t="s">
        <v>910</v>
      </c>
      <c r="F2866">
        <v>5</v>
      </c>
      <c r="H2866" t="s">
        <v>684</v>
      </c>
      <c r="K2866">
        <v>1907</v>
      </c>
      <c r="L2866" t="s">
        <v>920</v>
      </c>
      <c r="N2866">
        <v>1907</v>
      </c>
      <c r="O2866" t="s">
        <v>931</v>
      </c>
      <c r="P2866">
        <f t="shared" si="44"/>
        <v>0</v>
      </c>
    </row>
    <row r="2867" spans="1:16" x14ac:dyDescent="0.25">
      <c r="A2867" t="s">
        <v>669</v>
      </c>
      <c r="B2867">
        <v>444</v>
      </c>
      <c r="C2867">
        <v>461</v>
      </c>
      <c r="D2867" t="s">
        <v>303</v>
      </c>
      <c r="E2867" t="s">
        <v>910</v>
      </c>
      <c r="F2867" t="s">
        <v>910</v>
      </c>
      <c r="J2867">
        <v>461</v>
      </c>
      <c r="K2867">
        <v>444</v>
      </c>
      <c r="L2867" t="s">
        <v>303</v>
      </c>
      <c r="M2867">
        <v>461</v>
      </c>
      <c r="N2867">
        <v>444</v>
      </c>
      <c r="O2867" t="s">
        <v>303</v>
      </c>
      <c r="P2867">
        <f t="shared" si="44"/>
        <v>0</v>
      </c>
    </row>
    <row r="2868" spans="1:16" x14ac:dyDescent="0.25">
      <c r="A2868" t="s">
        <v>669</v>
      </c>
      <c r="B2868">
        <v>1909</v>
      </c>
      <c r="C2868" t="s">
        <v>669</v>
      </c>
      <c r="D2868" t="s">
        <v>865</v>
      </c>
      <c r="E2868" t="s">
        <v>910</v>
      </c>
      <c r="F2868">
        <v>5</v>
      </c>
      <c r="H2868" t="s">
        <v>684</v>
      </c>
      <c r="K2868">
        <v>1909</v>
      </c>
      <c r="L2868" t="s">
        <v>920</v>
      </c>
      <c r="N2868">
        <v>1909</v>
      </c>
      <c r="O2868" t="s">
        <v>931</v>
      </c>
      <c r="P2868">
        <f t="shared" si="44"/>
        <v>0</v>
      </c>
    </row>
    <row r="2869" spans="1:16" x14ac:dyDescent="0.25">
      <c r="A2869" t="s">
        <v>958</v>
      </c>
      <c r="B2869" t="s">
        <v>669</v>
      </c>
      <c r="C2869">
        <v>465</v>
      </c>
      <c r="D2869" t="s">
        <v>860</v>
      </c>
      <c r="E2869">
        <v>93</v>
      </c>
      <c r="F2869">
        <v>80</v>
      </c>
      <c r="G2869" t="s">
        <v>739</v>
      </c>
      <c r="H2869" t="s">
        <v>721</v>
      </c>
      <c r="J2869">
        <v>465</v>
      </c>
      <c r="L2869" t="s">
        <v>303</v>
      </c>
      <c r="M2869">
        <v>465</v>
      </c>
      <c r="O2869" t="s">
        <v>303</v>
      </c>
      <c r="P2869">
        <f t="shared" si="44"/>
        <v>0</v>
      </c>
    </row>
    <row r="2870" spans="1:16" x14ac:dyDescent="0.25">
      <c r="A2870" t="s">
        <v>669</v>
      </c>
      <c r="B2870">
        <v>1914</v>
      </c>
      <c r="C2870">
        <v>1921</v>
      </c>
      <c r="D2870" t="s">
        <v>857</v>
      </c>
      <c r="E2870">
        <v>5</v>
      </c>
      <c r="F2870">
        <v>5</v>
      </c>
      <c r="G2870" t="s">
        <v>684</v>
      </c>
      <c r="H2870" t="s">
        <v>684</v>
      </c>
      <c r="J2870">
        <v>1921</v>
      </c>
      <c r="K2870">
        <v>1914</v>
      </c>
      <c r="L2870" t="s">
        <v>921</v>
      </c>
      <c r="M2870">
        <v>1921</v>
      </c>
      <c r="N2870">
        <v>1914</v>
      </c>
      <c r="O2870" t="s">
        <v>921</v>
      </c>
      <c r="P2870">
        <f t="shared" si="44"/>
        <v>0</v>
      </c>
    </row>
    <row r="2871" spans="1:16" x14ac:dyDescent="0.25">
      <c r="A2871" t="s">
        <v>669</v>
      </c>
      <c r="B2871">
        <v>1923</v>
      </c>
      <c r="C2871">
        <v>1928</v>
      </c>
      <c r="D2871" t="s">
        <v>857</v>
      </c>
      <c r="E2871">
        <v>5</v>
      </c>
      <c r="F2871">
        <v>5</v>
      </c>
      <c r="G2871" t="s">
        <v>684</v>
      </c>
      <c r="H2871" t="s">
        <v>684</v>
      </c>
      <c r="J2871">
        <v>1928</v>
      </c>
      <c r="K2871">
        <v>1923</v>
      </c>
      <c r="L2871" t="s">
        <v>921</v>
      </c>
      <c r="M2871">
        <v>1928</v>
      </c>
      <c r="N2871">
        <v>1923</v>
      </c>
      <c r="O2871" t="s">
        <v>921</v>
      </c>
      <c r="P2871">
        <f t="shared" si="44"/>
        <v>0</v>
      </c>
    </row>
    <row r="2872" spans="1:16" x14ac:dyDescent="0.25">
      <c r="A2872" t="s">
        <v>669</v>
      </c>
      <c r="B2872">
        <v>1925</v>
      </c>
      <c r="C2872">
        <v>1985</v>
      </c>
      <c r="D2872" t="s">
        <v>857</v>
      </c>
      <c r="E2872">
        <v>5</v>
      </c>
      <c r="F2872">
        <v>5</v>
      </c>
      <c r="G2872" t="s">
        <v>684</v>
      </c>
      <c r="H2872" t="s">
        <v>684</v>
      </c>
      <c r="J2872">
        <v>1985</v>
      </c>
      <c r="K2872">
        <v>1925</v>
      </c>
      <c r="L2872" t="s">
        <v>921</v>
      </c>
      <c r="M2872">
        <v>1985</v>
      </c>
      <c r="N2872">
        <v>1925</v>
      </c>
      <c r="O2872" t="s">
        <v>921</v>
      </c>
      <c r="P2872">
        <f t="shared" si="44"/>
        <v>0</v>
      </c>
    </row>
    <row r="2873" spans="1:16" x14ac:dyDescent="0.25">
      <c r="A2873" t="s">
        <v>669</v>
      </c>
      <c r="B2873">
        <v>446.4</v>
      </c>
      <c r="C2873">
        <v>467.2</v>
      </c>
      <c r="D2873" t="s">
        <v>303</v>
      </c>
      <c r="E2873" t="s">
        <v>910</v>
      </c>
      <c r="F2873" t="s">
        <v>910</v>
      </c>
      <c r="J2873">
        <v>467.2</v>
      </c>
      <c r="K2873">
        <v>446.4</v>
      </c>
      <c r="L2873" t="s">
        <v>303</v>
      </c>
      <c r="M2873">
        <v>467.2</v>
      </c>
      <c r="N2873">
        <v>446.4</v>
      </c>
      <c r="O2873" t="s">
        <v>303</v>
      </c>
      <c r="P2873">
        <f t="shared" si="44"/>
        <v>0</v>
      </c>
    </row>
    <row r="2874" spans="1:16" x14ac:dyDescent="0.25">
      <c r="A2874" t="s">
        <v>669</v>
      </c>
      <c r="B2874">
        <v>1929</v>
      </c>
      <c r="C2874">
        <v>1938</v>
      </c>
      <c r="D2874" t="s">
        <v>857</v>
      </c>
      <c r="E2874">
        <v>5</v>
      </c>
      <c r="F2874">
        <v>5</v>
      </c>
      <c r="G2874" t="s">
        <v>684</v>
      </c>
      <c r="H2874" t="s">
        <v>684</v>
      </c>
      <c r="J2874">
        <v>1938</v>
      </c>
      <c r="K2874">
        <v>1929</v>
      </c>
      <c r="L2874" t="s">
        <v>921</v>
      </c>
      <c r="M2874">
        <v>1938</v>
      </c>
      <c r="N2874">
        <v>1929</v>
      </c>
      <c r="O2874" t="s">
        <v>921</v>
      </c>
      <c r="P2874">
        <f t="shared" si="44"/>
        <v>0</v>
      </c>
    </row>
    <row r="2875" spans="1:16" x14ac:dyDescent="0.25">
      <c r="A2875" t="s">
        <v>669</v>
      </c>
      <c r="B2875">
        <v>4220</v>
      </c>
      <c r="C2875">
        <v>4453</v>
      </c>
      <c r="D2875" t="s">
        <v>669</v>
      </c>
      <c r="E2875" t="s">
        <v>910</v>
      </c>
      <c r="F2875" t="s">
        <v>910</v>
      </c>
      <c r="I2875" t="s">
        <v>928</v>
      </c>
      <c r="J2875">
        <v>4453</v>
      </c>
      <c r="K2875">
        <v>4220</v>
      </c>
      <c r="L2875" t="s">
        <v>851</v>
      </c>
      <c r="M2875">
        <v>4453</v>
      </c>
      <c r="N2875">
        <v>4220</v>
      </c>
      <c r="P2875">
        <f t="shared" si="44"/>
        <v>21</v>
      </c>
    </row>
    <row r="2876" spans="1:16" x14ac:dyDescent="0.25">
      <c r="A2876" t="s">
        <v>147</v>
      </c>
      <c r="B2876">
        <v>458.4</v>
      </c>
      <c r="C2876">
        <v>467.3</v>
      </c>
      <c r="D2876" t="s">
        <v>303</v>
      </c>
      <c r="E2876">
        <v>138</v>
      </c>
      <c r="F2876">
        <v>138</v>
      </c>
      <c r="G2876" t="s">
        <v>912</v>
      </c>
      <c r="H2876" t="s">
        <v>912</v>
      </c>
      <c r="J2876">
        <v>467.3</v>
      </c>
      <c r="K2876">
        <v>458.4</v>
      </c>
      <c r="L2876" t="s">
        <v>303</v>
      </c>
      <c r="M2876">
        <v>467.3</v>
      </c>
      <c r="N2876">
        <v>458.4</v>
      </c>
      <c r="O2876" t="s">
        <v>303</v>
      </c>
      <c r="P2876">
        <f t="shared" si="44"/>
        <v>0</v>
      </c>
    </row>
    <row r="2877" spans="1:16" x14ac:dyDescent="0.25">
      <c r="A2877" t="s">
        <v>147</v>
      </c>
      <c r="B2877">
        <v>465</v>
      </c>
      <c r="C2877">
        <v>467.3</v>
      </c>
      <c r="D2877" t="s">
        <v>303</v>
      </c>
      <c r="E2877">
        <v>138</v>
      </c>
      <c r="F2877">
        <v>138</v>
      </c>
      <c r="G2877" t="s">
        <v>912</v>
      </c>
      <c r="H2877" t="s">
        <v>912</v>
      </c>
      <c r="J2877">
        <v>467.3</v>
      </c>
      <c r="K2877">
        <v>465</v>
      </c>
      <c r="L2877" t="s">
        <v>303</v>
      </c>
      <c r="M2877">
        <v>467.3</v>
      </c>
      <c r="N2877">
        <v>465</v>
      </c>
      <c r="O2877" t="s">
        <v>303</v>
      </c>
      <c r="P2877">
        <f t="shared" si="44"/>
        <v>0</v>
      </c>
    </row>
    <row r="2878" spans="1:16" x14ac:dyDescent="0.25">
      <c r="A2878" t="s">
        <v>669</v>
      </c>
      <c r="B2878">
        <v>1930</v>
      </c>
      <c r="C2878">
        <v>2017</v>
      </c>
      <c r="D2878" t="s">
        <v>857</v>
      </c>
      <c r="E2878">
        <v>5</v>
      </c>
      <c r="F2878">
        <v>5</v>
      </c>
      <c r="G2878" t="s">
        <v>684</v>
      </c>
      <c r="H2878" t="s">
        <v>684</v>
      </c>
      <c r="J2878">
        <v>2017</v>
      </c>
      <c r="K2878">
        <v>1930</v>
      </c>
      <c r="L2878" t="s">
        <v>921</v>
      </c>
      <c r="M2878">
        <v>2017</v>
      </c>
      <c r="N2878">
        <v>1930</v>
      </c>
      <c r="O2878" t="s">
        <v>921</v>
      </c>
      <c r="P2878">
        <f t="shared" si="44"/>
        <v>0</v>
      </c>
    </row>
    <row r="2879" spans="1:16" x14ac:dyDescent="0.25">
      <c r="A2879" t="s">
        <v>147</v>
      </c>
      <c r="B2879">
        <v>465.5</v>
      </c>
      <c r="C2879">
        <v>467.3</v>
      </c>
      <c r="D2879" t="s">
        <v>303</v>
      </c>
      <c r="E2879">
        <v>138</v>
      </c>
      <c r="F2879">
        <v>138</v>
      </c>
      <c r="G2879" t="s">
        <v>912</v>
      </c>
      <c r="H2879" t="s">
        <v>912</v>
      </c>
      <c r="J2879">
        <v>467.3</v>
      </c>
      <c r="K2879">
        <v>465.5</v>
      </c>
      <c r="L2879" t="s">
        <v>303</v>
      </c>
      <c r="M2879">
        <v>467.3</v>
      </c>
      <c r="N2879">
        <v>465.5</v>
      </c>
      <c r="O2879" t="s">
        <v>303</v>
      </c>
      <c r="P2879">
        <f t="shared" si="44"/>
        <v>0</v>
      </c>
    </row>
    <row r="2880" spans="1:16" x14ac:dyDescent="0.25">
      <c r="A2880" t="s">
        <v>662</v>
      </c>
      <c r="B2880" t="s">
        <v>669</v>
      </c>
      <c r="C2880">
        <v>468.9</v>
      </c>
      <c r="D2880" t="s">
        <v>860</v>
      </c>
      <c r="E2880">
        <v>105</v>
      </c>
      <c r="F2880">
        <v>105</v>
      </c>
      <c r="G2880" t="s">
        <v>762</v>
      </c>
      <c r="H2880" t="s">
        <v>762</v>
      </c>
      <c r="J2880">
        <v>468.9</v>
      </c>
      <c r="L2880" t="s">
        <v>303</v>
      </c>
      <c r="M2880">
        <v>468.9</v>
      </c>
      <c r="O2880" t="s">
        <v>303</v>
      </c>
      <c r="P2880">
        <f t="shared" si="44"/>
        <v>0</v>
      </c>
    </row>
    <row r="2881" spans="1:16" x14ac:dyDescent="0.25">
      <c r="A2881" t="s">
        <v>403</v>
      </c>
      <c r="B2881">
        <v>1942</v>
      </c>
      <c r="C2881" t="s">
        <v>669</v>
      </c>
      <c r="D2881" t="s">
        <v>857</v>
      </c>
      <c r="E2881" t="s">
        <v>910</v>
      </c>
      <c r="F2881">
        <v>5</v>
      </c>
      <c r="H2881" t="s">
        <v>684</v>
      </c>
      <c r="I2881" t="s">
        <v>932</v>
      </c>
      <c r="K2881">
        <v>1942</v>
      </c>
      <c r="L2881" t="s">
        <v>920</v>
      </c>
      <c r="N2881">
        <v>1942</v>
      </c>
      <c r="O2881" t="s">
        <v>857</v>
      </c>
      <c r="P2881">
        <f t="shared" si="44"/>
        <v>27</v>
      </c>
    </row>
    <row r="2882" spans="1:16" x14ac:dyDescent="0.25">
      <c r="A2882" t="s">
        <v>669</v>
      </c>
      <c r="B2882">
        <v>1951</v>
      </c>
      <c r="C2882">
        <v>1963</v>
      </c>
      <c r="D2882" t="s">
        <v>857</v>
      </c>
      <c r="E2882">
        <v>5</v>
      </c>
      <c r="F2882">
        <v>5</v>
      </c>
      <c r="G2882" t="s">
        <v>684</v>
      </c>
      <c r="H2882" t="s">
        <v>684</v>
      </c>
      <c r="J2882">
        <v>1963</v>
      </c>
      <c r="K2882">
        <v>1951</v>
      </c>
      <c r="L2882" t="s">
        <v>921</v>
      </c>
      <c r="M2882">
        <v>1963</v>
      </c>
      <c r="N2882">
        <v>1951</v>
      </c>
      <c r="O2882" t="s">
        <v>921</v>
      </c>
      <c r="P2882">
        <f t="shared" si="44"/>
        <v>0</v>
      </c>
    </row>
    <row r="2883" spans="1:16" x14ac:dyDescent="0.25">
      <c r="A2883" t="s">
        <v>403</v>
      </c>
      <c r="B2883">
        <v>1953</v>
      </c>
      <c r="C2883" t="s">
        <v>669</v>
      </c>
      <c r="D2883" t="s">
        <v>857</v>
      </c>
      <c r="E2883" t="s">
        <v>910</v>
      </c>
      <c r="F2883">
        <v>5</v>
      </c>
      <c r="H2883" t="s">
        <v>684</v>
      </c>
      <c r="I2883" t="s">
        <v>932</v>
      </c>
      <c r="K2883">
        <v>1953</v>
      </c>
      <c r="L2883" t="s">
        <v>920</v>
      </c>
      <c r="N2883">
        <v>1953</v>
      </c>
      <c r="O2883" t="s">
        <v>857</v>
      </c>
      <c r="P2883">
        <f t="shared" ref="P2883:P2946" si="45">LEN(I2883)</f>
        <v>27</v>
      </c>
    </row>
    <row r="2884" spans="1:16" x14ac:dyDescent="0.25">
      <c r="A2884" t="s">
        <v>669</v>
      </c>
      <c r="B2884">
        <v>1959</v>
      </c>
      <c r="C2884">
        <v>1972</v>
      </c>
      <c r="D2884" t="s">
        <v>857</v>
      </c>
      <c r="E2884">
        <v>5</v>
      </c>
      <c r="F2884">
        <v>5</v>
      </c>
      <c r="G2884" t="s">
        <v>684</v>
      </c>
      <c r="H2884" t="s">
        <v>684</v>
      </c>
      <c r="J2884">
        <v>1972</v>
      </c>
      <c r="K2884">
        <v>1959</v>
      </c>
      <c r="L2884" t="s">
        <v>921</v>
      </c>
      <c r="M2884">
        <v>1972</v>
      </c>
      <c r="N2884">
        <v>1959</v>
      </c>
      <c r="O2884" t="s">
        <v>921</v>
      </c>
      <c r="P2884">
        <f t="shared" si="45"/>
        <v>0</v>
      </c>
    </row>
    <row r="2885" spans="1:16" x14ac:dyDescent="0.25">
      <c r="A2885" t="s">
        <v>402</v>
      </c>
      <c r="B2885">
        <v>1960</v>
      </c>
      <c r="C2885">
        <v>2016</v>
      </c>
      <c r="D2885" t="s">
        <v>857</v>
      </c>
      <c r="E2885">
        <v>5</v>
      </c>
      <c r="F2885">
        <v>5</v>
      </c>
      <c r="G2885" t="s">
        <v>684</v>
      </c>
      <c r="H2885" t="s">
        <v>684</v>
      </c>
      <c r="J2885">
        <v>2016</v>
      </c>
      <c r="K2885">
        <v>1960</v>
      </c>
      <c r="L2885" t="s">
        <v>921</v>
      </c>
      <c r="M2885">
        <v>2016</v>
      </c>
      <c r="N2885">
        <v>1960</v>
      </c>
      <c r="O2885" t="s">
        <v>921</v>
      </c>
      <c r="P2885">
        <f t="shared" si="45"/>
        <v>0</v>
      </c>
    </row>
    <row r="2886" spans="1:16" x14ac:dyDescent="0.25">
      <c r="A2886" t="s">
        <v>402</v>
      </c>
      <c r="B2886">
        <v>1970</v>
      </c>
      <c r="C2886">
        <v>2016</v>
      </c>
      <c r="D2886" t="s">
        <v>857</v>
      </c>
      <c r="E2886">
        <v>5</v>
      </c>
      <c r="F2886">
        <v>5</v>
      </c>
      <c r="G2886" t="s">
        <v>684</v>
      </c>
      <c r="H2886" t="s">
        <v>684</v>
      </c>
      <c r="J2886">
        <v>2016</v>
      </c>
      <c r="K2886">
        <v>1970</v>
      </c>
      <c r="L2886" t="s">
        <v>921</v>
      </c>
      <c r="M2886">
        <v>2016</v>
      </c>
      <c r="N2886">
        <v>1970</v>
      </c>
      <c r="O2886" t="s">
        <v>921</v>
      </c>
      <c r="P2886">
        <f t="shared" si="45"/>
        <v>0</v>
      </c>
    </row>
    <row r="2887" spans="1:16" x14ac:dyDescent="0.25">
      <c r="A2887" t="s">
        <v>669</v>
      </c>
      <c r="B2887">
        <v>1978</v>
      </c>
      <c r="C2887">
        <v>1991</v>
      </c>
      <c r="D2887" t="s">
        <v>857</v>
      </c>
      <c r="E2887">
        <v>5</v>
      </c>
      <c r="F2887">
        <v>5</v>
      </c>
      <c r="G2887" t="s">
        <v>684</v>
      </c>
      <c r="H2887" t="s">
        <v>684</v>
      </c>
      <c r="J2887">
        <v>1991</v>
      </c>
      <c r="K2887">
        <v>1978</v>
      </c>
      <c r="L2887" t="s">
        <v>921</v>
      </c>
      <c r="M2887">
        <v>1991</v>
      </c>
      <c r="N2887">
        <v>1978</v>
      </c>
      <c r="O2887" t="s">
        <v>921</v>
      </c>
      <c r="P2887">
        <f t="shared" si="45"/>
        <v>0</v>
      </c>
    </row>
    <row r="2888" spans="1:16" x14ac:dyDescent="0.25">
      <c r="A2888" t="s">
        <v>669</v>
      </c>
      <c r="B2888">
        <v>1982</v>
      </c>
      <c r="C2888">
        <v>2012</v>
      </c>
      <c r="D2888" t="s">
        <v>857</v>
      </c>
      <c r="E2888">
        <v>5</v>
      </c>
      <c r="F2888">
        <v>5</v>
      </c>
      <c r="G2888" t="s">
        <v>684</v>
      </c>
      <c r="H2888" t="s">
        <v>684</v>
      </c>
      <c r="J2888">
        <v>2012</v>
      </c>
      <c r="K2888">
        <v>1982</v>
      </c>
      <c r="L2888" t="s">
        <v>921</v>
      </c>
      <c r="M2888">
        <v>2012</v>
      </c>
      <c r="N2888">
        <v>1982</v>
      </c>
      <c r="O2888" t="s">
        <v>921</v>
      </c>
      <c r="P2888">
        <f t="shared" si="45"/>
        <v>0</v>
      </c>
    </row>
    <row r="2889" spans="1:16" x14ac:dyDescent="0.25">
      <c r="A2889" t="s">
        <v>669</v>
      </c>
      <c r="B2889">
        <v>1988</v>
      </c>
      <c r="C2889">
        <v>2003</v>
      </c>
      <c r="D2889" t="s">
        <v>857</v>
      </c>
      <c r="E2889">
        <v>5</v>
      </c>
      <c r="F2889">
        <v>5</v>
      </c>
      <c r="G2889" t="s">
        <v>684</v>
      </c>
      <c r="H2889" t="s">
        <v>684</v>
      </c>
      <c r="J2889">
        <v>2003</v>
      </c>
      <c r="K2889">
        <v>1988</v>
      </c>
      <c r="L2889" t="s">
        <v>921</v>
      </c>
      <c r="M2889">
        <v>2003</v>
      </c>
      <c r="N2889">
        <v>1988</v>
      </c>
      <c r="O2889" t="s">
        <v>921</v>
      </c>
      <c r="P2889">
        <f t="shared" si="45"/>
        <v>0</v>
      </c>
    </row>
    <row r="2890" spans="1:16" x14ac:dyDescent="0.25">
      <c r="A2890" t="s">
        <v>669</v>
      </c>
      <c r="B2890">
        <v>1989</v>
      </c>
      <c r="C2890" t="s">
        <v>669</v>
      </c>
      <c r="D2890" t="s">
        <v>857</v>
      </c>
      <c r="E2890" t="s">
        <v>910</v>
      </c>
      <c r="F2890">
        <v>5</v>
      </c>
      <c r="H2890" t="s">
        <v>684</v>
      </c>
      <c r="I2890" t="s">
        <v>932</v>
      </c>
      <c r="K2890">
        <v>1989</v>
      </c>
      <c r="L2890" t="s">
        <v>920</v>
      </c>
      <c r="N2890">
        <v>1989</v>
      </c>
      <c r="O2890" t="s">
        <v>857</v>
      </c>
      <c r="P2890">
        <f t="shared" si="45"/>
        <v>27</v>
      </c>
    </row>
    <row r="2891" spans="1:16" x14ac:dyDescent="0.25">
      <c r="A2891" t="s">
        <v>403</v>
      </c>
      <c r="B2891">
        <v>1990</v>
      </c>
      <c r="C2891" t="s">
        <v>669</v>
      </c>
      <c r="D2891" t="s">
        <v>857</v>
      </c>
      <c r="E2891" t="s">
        <v>910</v>
      </c>
      <c r="F2891">
        <v>5</v>
      </c>
      <c r="H2891" t="s">
        <v>684</v>
      </c>
      <c r="I2891" t="s">
        <v>932</v>
      </c>
      <c r="K2891">
        <v>1990</v>
      </c>
      <c r="L2891" t="s">
        <v>920</v>
      </c>
      <c r="N2891">
        <v>1990</v>
      </c>
      <c r="O2891" t="s">
        <v>857</v>
      </c>
      <c r="P2891">
        <f t="shared" si="45"/>
        <v>27</v>
      </c>
    </row>
    <row r="2892" spans="1:16" x14ac:dyDescent="0.25">
      <c r="A2892" t="s">
        <v>669</v>
      </c>
      <c r="B2892">
        <v>1991</v>
      </c>
      <c r="C2892" t="s">
        <v>669</v>
      </c>
      <c r="D2892" t="s">
        <v>857</v>
      </c>
      <c r="E2892" t="s">
        <v>910</v>
      </c>
      <c r="F2892">
        <v>5</v>
      </c>
      <c r="H2892" t="s">
        <v>684</v>
      </c>
      <c r="I2892" t="s">
        <v>932</v>
      </c>
      <c r="K2892">
        <v>1991</v>
      </c>
      <c r="L2892" t="s">
        <v>920</v>
      </c>
      <c r="N2892">
        <v>1991</v>
      </c>
      <c r="O2892" t="s">
        <v>857</v>
      </c>
      <c r="P2892">
        <f t="shared" si="45"/>
        <v>27</v>
      </c>
    </row>
    <row r="2893" spans="1:16" x14ac:dyDescent="0.25">
      <c r="A2893" t="s">
        <v>669</v>
      </c>
      <c r="B2893">
        <v>1996</v>
      </c>
      <c r="C2893">
        <v>2005</v>
      </c>
      <c r="D2893" t="s">
        <v>857</v>
      </c>
      <c r="E2893">
        <v>5</v>
      </c>
      <c r="F2893">
        <v>5</v>
      </c>
      <c r="G2893" t="s">
        <v>684</v>
      </c>
      <c r="H2893" t="s">
        <v>684</v>
      </c>
      <c r="J2893">
        <v>2005</v>
      </c>
      <c r="K2893">
        <v>1996</v>
      </c>
      <c r="L2893" t="s">
        <v>921</v>
      </c>
      <c r="M2893">
        <v>2005</v>
      </c>
      <c r="N2893">
        <v>1996</v>
      </c>
      <c r="O2893" t="s">
        <v>921</v>
      </c>
      <c r="P2893">
        <f t="shared" si="45"/>
        <v>0</v>
      </c>
    </row>
    <row r="2894" spans="1:16" x14ac:dyDescent="0.25">
      <c r="A2894" t="s">
        <v>669</v>
      </c>
      <c r="B2894">
        <v>1996</v>
      </c>
      <c r="C2894">
        <v>2006</v>
      </c>
      <c r="D2894" t="s">
        <v>857</v>
      </c>
      <c r="E2894">
        <v>5</v>
      </c>
      <c r="F2894">
        <v>5</v>
      </c>
      <c r="G2894" t="s">
        <v>684</v>
      </c>
      <c r="H2894" t="s">
        <v>684</v>
      </c>
      <c r="J2894">
        <v>2006</v>
      </c>
      <c r="K2894">
        <v>1996</v>
      </c>
      <c r="L2894" t="s">
        <v>921</v>
      </c>
      <c r="M2894">
        <v>2006</v>
      </c>
      <c r="N2894">
        <v>1996</v>
      </c>
      <c r="O2894" t="s">
        <v>921</v>
      </c>
      <c r="P2894">
        <f t="shared" si="45"/>
        <v>0</v>
      </c>
    </row>
    <row r="2895" spans="1:16" x14ac:dyDescent="0.25">
      <c r="A2895" t="s">
        <v>669</v>
      </c>
      <c r="B2895">
        <v>1998</v>
      </c>
      <c r="C2895" t="s">
        <v>669</v>
      </c>
      <c r="D2895" t="s">
        <v>865</v>
      </c>
      <c r="E2895" t="s">
        <v>910</v>
      </c>
      <c r="F2895">
        <v>5</v>
      </c>
      <c r="H2895" t="s">
        <v>684</v>
      </c>
      <c r="K2895">
        <v>1998</v>
      </c>
      <c r="L2895" t="s">
        <v>920</v>
      </c>
      <c r="N2895">
        <v>1998</v>
      </c>
      <c r="O2895" t="s">
        <v>931</v>
      </c>
      <c r="P2895">
        <f t="shared" si="45"/>
        <v>0</v>
      </c>
    </row>
    <row r="2896" spans="1:16" x14ac:dyDescent="0.25">
      <c r="A2896" t="s">
        <v>213</v>
      </c>
      <c r="B2896">
        <v>2000</v>
      </c>
      <c r="C2896" t="s">
        <v>669</v>
      </c>
      <c r="D2896" t="s">
        <v>857</v>
      </c>
      <c r="E2896" t="s">
        <v>910</v>
      </c>
      <c r="F2896">
        <v>5</v>
      </c>
      <c r="H2896" t="s">
        <v>684</v>
      </c>
      <c r="I2896" t="s">
        <v>932</v>
      </c>
      <c r="K2896">
        <v>2000</v>
      </c>
      <c r="L2896" t="s">
        <v>920</v>
      </c>
      <c r="N2896">
        <v>2000</v>
      </c>
      <c r="O2896" t="s">
        <v>857</v>
      </c>
      <c r="P2896">
        <f t="shared" si="45"/>
        <v>27</v>
      </c>
    </row>
    <row r="2897" spans="1:16" x14ac:dyDescent="0.25">
      <c r="A2897" t="s">
        <v>669</v>
      </c>
      <c r="B2897">
        <v>2006.625</v>
      </c>
      <c r="C2897">
        <v>2016.875</v>
      </c>
      <c r="D2897" t="s">
        <v>857</v>
      </c>
      <c r="E2897">
        <v>5</v>
      </c>
      <c r="F2897">
        <v>5</v>
      </c>
      <c r="G2897" t="s">
        <v>684</v>
      </c>
      <c r="H2897" t="s">
        <v>684</v>
      </c>
      <c r="J2897">
        <v>2016.875</v>
      </c>
      <c r="K2897">
        <v>2006.625</v>
      </c>
      <c r="L2897" t="s">
        <v>921</v>
      </c>
      <c r="M2897">
        <v>2016.875</v>
      </c>
      <c r="N2897">
        <v>2006.625</v>
      </c>
      <c r="O2897" t="s">
        <v>921</v>
      </c>
      <c r="P2897">
        <f t="shared" si="45"/>
        <v>0</v>
      </c>
    </row>
    <row r="2898" spans="1:16" x14ac:dyDescent="0.25">
      <c r="A2898" t="s">
        <v>669</v>
      </c>
      <c r="B2898">
        <v>2008</v>
      </c>
      <c r="C2898">
        <v>2017</v>
      </c>
      <c r="D2898" t="s">
        <v>857</v>
      </c>
      <c r="E2898">
        <v>5</v>
      </c>
      <c r="F2898">
        <v>5</v>
      </c>
      <c r="G2898" t="s">
        <v>684</v>
      </c>
      <c r="H2898" t="s">
        <v>684</v>
      </c>
      <c r="J2898">
        <v>2017</v>
      </c>
      <c r="K2898">
        <v>2008</v>
      </c>
      <c r="L2898" t="s">
        <v>921</v>
      </c>
      <c r="M2898">
        <v>2017</v>
      </c>
      <c r="N2898">
        <v>2008</v>
      </c>
      <c r="O2898" t="s">
        <v>921</v>
      </c>
      <c r="P2898">
        <f t="shared" si="45"/>
        <v>0</v>
      </c>
    </row>
    <row r="2899" spans="1:16" x14ac:dyDescent="0.25">
      <c r="A2899" t="s">
        <v>669</v>
      </c>
      <c r="B2899">
        <v>2010</v>
      </c>
      <c r="C2899">
        <v>2012</v>
      </c>
      <c r="D2899" t="s">
        <v>857</v>
      </c>
      <c r="E2899">
        <v>5</v>
      </c>
      <c r="F2899">
        <v>5</v>
      </c>
      <c r="G2899" t="s">
        <v>684</v>
      </c>
      <c r="H2899" t="s">
        <v>684</v>
      </c>
      <c r="J2899">
        <v>2012</v>
      </c>
      <c r="K2899">
        <v>2010</v>
      </c>
      <c r="L2899" t="s">
        <v>921</v>
      </c>
      <c r="M2899">
        <v>2012</v>
      </c>
      <c r="N2899">
        <v>2010</v>
      </c>
      <c r="O2899" t="s">
        <v>921</v>
      </c>
      <c r="P2899">
        <f t="shared" si="45"/>
        <v>0</v>
      </c>
    </row>
    <row r="2900" spans="1:16" x14ac:dyDescent="0.25">
      <c r="A2900" t="s">
        <v>669</v>
      </c>
      <c r="B2900">
        <v>2011</v>
      </c>
      <c r="C2900">
        <v>2018</v>
      </c>
      <c r="D2900" t="s">
        <v>857</v>
      </c>
      <c r="E2900">
        <v>5</v>
      </c>
      <c r="F2900">
        <v>5</v>
      </c>
      <c r="G2900" t="s">
        <v>684</v>
      </c>
      <c r="H2900" t="s">
        <v>684</v>
      </c>
      <c r="J2900">
        <v>2018</v>
      </c>
      <c r="K2900">
        <v>2011</v>
      </c>
      <c r="L2900" t="s">
        <v>921</v>
      </c>
      <c r="M2900">
        <v>2018</v>
      </c>
      <c r="N2900">
        <v>2011</v>
      </c>
      <c r="O2900" t="s">
        <v>921</v>
      </c>
      <c r="P2900">
        <f t="shared" si="45"/>
        <v>0</v>
      </c>
    </row>
    <row r="2901" spans="1:16" x14ac:dyDescent="0.25">
      <c r="A2901" t="s">
        <v>669</v>
      </c>
      <c r="B2901">
        <v>2011.7080000000001</v>
      </c>
      <c r="C2901">
        <v>2016.7080000000001</v>
      </c>
      <c r="D2901" t="s">
        <v>857</v>
      </c>
      <c r="E2901">
        <v>5</v>
      </c>
      <c r="F2901">
        <v>5</v>
      </c>
      <c r="G2901" t="s">
        <v>684</v>
      </c>
      <c r="H2901" t="s">
        <v>684</v>
      </c>
      <c r="J2901">
        <v>2016.7080000000001</v>
      </c>
      <c r="K2901">
        <v>2011.7080000000001</v>
      </c>
      <c r="L2901" t="s">
        <v>921</v>
      </c>
      <c r="M2901">
        <v>2016.7080000000001</v>
      </c>
      <c r="N2901">
        <v>2011.7080000000001</v>
      </c>
      <c r="O2901" t="s">
        <v>921</v>
      </c>
      <c r="P2901">
        <f t="shared" si="45"/>
        <v>0</v>
      </c>
    </row>
    <row r="2902" spans="1:16" x14ac:dyDescent="0.25">
      <c r="A2902" t="s">
        <v>669</v>
      </c>
      <c r="B2902">
        <v>2012.2919999999999</v>
      </c>
      <c r="C2902">
        <v>2016.875</v>
      </c>
      <c r="D2902" t="s">
        <v>857</v>
      </c>
      <c r="E2902">
        <v>5</v>
      </c>
      <c r="F2902">
        <v>5</v>
      </c>
      <c r="G2902" t="s">
        <v>684</v>
      </c>
      <c r="H2902" t="s">
        <v>684</v>
      </c>
      <c r="J2902">
        <v>2016.875</v>
      </c>
      <c r="K2902">
        <v>2012.2919999999999</v>
      </c>
      <c r="L2902" t="s">
        <v>921</v>
      </c>
      <c r="M2902">
        <v>2016.875</v>
      </c>
      <c r="N2902">
        <v>2012.2919999999999</v>
      </c>
      <c r="O2902" t="s">
        <v>921</v>
      </c>
      <c r="P2902">
        <f t="shared" si="45"/>
        <v>0</v>
      </c>
    </row>
    <row r="2903" spans="1:16" x14ac:dyDescent="0.25">
      <c r="A2903" t="s">
        <v>669</v>
      </c>
      <c r="B2903">
        <v>2012.452</v>
      </c>
      <c r="C2903">
        <v>2016.375</v>
      </c>
      <c r="D2903" t="s">
        <v>857</v>
      </c>
      <c r="E2903">
        <v>5</v>
      </c>
      <c r="F2903">
        <v>5</v>
      </c>
      <c r="G2903" t="s">
        <v>684</v>
      </c>
      <c r="H2903" t="s">
        <v>684</v>
      </c>
      <c r="J2903">
        <v>2016.375</v>
      </c>
      <c r="K2903">
        <v>2012.452</v>
      </c>
      <c r="L2903" t="s">
        <v>921</v>
      </c>
      <c r="M2903">
        <v>2016.375</v>
      </c>
      <c r="N2903">
        <v>2012.452</v>
      </c>
      <c r="O2903" t="s">
        <v>921</v>
      </c>
      <c r="P2903">
        <f t="shared" si="45"/>
        <v>0</v>
      </c>
    </row>
    <row r="2904" spans="1:16" x14ac:dyDescent="0.25">
      <c r="A2904" t="s">
        <v>669</v>
      </c>
      <c r="B2904">
        <v>2012.4580000000001</v>
      </c>
      <c r="C2904">
        <v>2015.875</v>
      </c>
      <c r="D2904" t="s">
        <v>857</v>
      </c>
      <c r="E2904">
        <v>5</v>
      </c>
      <c r="F2904">
        <v>5</v>
      </c>
      <c r="G2904" t="s">
        <v>684</v>
      </c>
      <c r="H2904" t="s">
        <v>684</v>
      </c>
      <c r="J2904">
        <v>2015.875</v>
      </c>
      <c r="K2904">
        <v>2012.4580000000001</v>
      </c>
      <c r="L2904" t="s">
        <v>921</v>
      </c>
      <c r="M2904">
        <v>2015.875</v>
      </c>
      <c r="N2904">
        <v>2012.4580000000001</v>
      </c>
      <c r="O2904" t="s">
        <v>921</v>
      </c>
      <c r="P2904">
        <f t="shared" si="45"/>
        <v>0</v>
      </c>
    </row>
    <row r="2905" spans="1:16" x14ac:dyDescent="0.25">
      <c r="A2905" t="s">
        <v>213</v>
      </c>
      <c r="B2905">
        <v>2017</v>
      </c>
      <c r="C2905" t="s">
        <v>669</v>
      </c>
      <c r="D2905" t="s">
        <v>857</v>
      </c>
      <c r="E2905" t="s">
        <v>910</v>
      </c>
      <c r="F2905">
        <v>5</v>
      </c>
      <c r="H2905" t="s">
        <v>684</v>
      </c>
      <c r="I2905" t="s">
        <v>932</v>
      </c>
      <c r="K2905">
        <v>2017</v>
      </c>
      <c r="L2905" t="s">
        <v>920</v>
      </c>
      <c r="N2905">
        <v>2017</v>
      </c>
      <c r="O2905" t="s">
        <v>857</v>
      </c>
      <c r="P2905">
        <f t="shared" si="45"/>
        <v>27</v>
      </c>
    </row>
    <row r="2906" spans="1:16" x14ac:dyDescent="0.25">
      <c r="A2906" t="s">
        <v>669</v>
      </c>
      <c r="B2906">
        <v>2019</v>
      </c>
      <c r="C2906" t="s">
        <v>669</v>
      </c>
      <c r="D2906" t="s">
        <v>857</v>
      </c>
      <c r="E2906" t="s">
        <v>910</v>
      </c>
      <c r="F2906">
        <v>5</v>
      </c>
      <c r="H2906" t="s">
        <v>684</v>
      </c>
      <c r="I2906" t="s">
        <v>932</v>
      </c>
      <c r="K2906">
        <v>2019</v>
      </c>
      <c r="L2906" t="s">
        <v>920</v>
      </c>
      <c r="N2906">
        <v>2019</v>
      </c>
      <c r="O2906" t="s">
        <v>857</v>
      </c>
      <c r="P2906">
        <f t="shared" si="45"/>
        <v>27</v>
      </c>
    </row>
    <row r="2907" spans="1:16" x14ac:dyDescent="0.25">
      <c r="A2907" t="s">
        <v>669</v>
      </c>
      <c r="B2907">
        <v>2050</v>
      </c>
      <c r="C2907">
        <v>2050</v>
      </c>
      <c r="D2907" t="s">
        <v>857</v>
      </c>
      <c r="E2907">
        <v>5</v>
      </c>
      <c r="F2907">
        <v>5</v>
      </c>
      <c r="G2907" t="s">
        <v>684</v>
      </c>
      <c r="H2907" t="s">
        <v>684</v>
      </c>
      <c r="J2907">
        <v>2050</v>
      </c>
      <c r="K2907">
        <v>2050</v>
      </c>
      <c r="L2907" t="s">
        <v>921</v>
      </c>
      <c r="M2907">
        <v>2050</v>
      </c>
      <c r="N2907">
        <v>2050</v>
      </c>
      <c r="O2907" t="s">
        <v>921</v>
      </c>
      <c r="P2907">
        <f t="shared" si="45"/>
        <v>0</v>
      </c>
    </row>
    <row r="2908" spans="1:16" x14ac:dyDescent="0.25">
      <c r="A2908" t="s">
        <v>669</v>
      </c>
      <c r="B2908">
        <v>2070</v>
      </c>
      <c r="C2908">
        <v>2130</v>
      </c>
      <c r="D2908" t="s">
        <v>857</v>
      </c>
      <c r="E2908">
        <v>5</v>
      </c>
      <c r="F2908">
        <v>5</v>
      </c>
      <c r="G2908" t="s">
        <v>684</v>
      </c>
      <c r="H2908" t="s">
        <v>684</v>
      </c>
      <c r="J2908">
        <v>2130</v>
      </c>
      <c r="K2908">
        <v>2070</v>
      </c>
      <c r="L2908" t="s">
        <v>921</v>
      </c>
      <c r="M2908">
        <v>2130</v>
      </c>
      <c r="N2908">
        <v>2070</v>
      </c>
      <c r="O2908" t="s">
        <v>921</v>
      </c>
      <c r="P2908">
        <f t="shared" si="45"/>
        <v>0</v>
      </c>
    </row>
    <row r="2909" spans="1:16" x14ac:dyDescent="0.25">
      <c r="A2909" t="s">
        <v>669</v>
      </c>
      <c r="B2909">
        <v>2074</v>
      </c>
      <c r="C2909" t="s">
        <v>669</v>
      </c>
      <c r="D2909" t="s">
        <v>865</v>
      </c>
      <c r="E2909" t="s">
        <v>910</v>
      </c>
      <c r="F2909">
        <v>5</v>
      </c>
      <c r="H2909" t="s">
        <v>684</v>
      </c>
      <c r="K2909">
        <v>2074</v>
      </c>
      <c r="L2909" t="s">
        <v>920</v>
      </c>
      <c r="N2909">
        <v>2074</v>
      </c>
      <c r="O2909" t="s">
        <v>931</v>
      </c>
      <c r="P2909">
        <f t="shared" si="45"/>
        <v>0</v>
      </c>
    </row>
    <row r="2910" spans="1:16" x14ac:dyDescent="0.25">
      <c r="A2910" t="s">
        <v>669</v>
      </c>
      <c r="B2910">
        <v>2080</v>
      </c>
      <c r="C2910">
        <v>2140</v>
      </c>
      <c r="D2910" t="s">
        <v>857</v>
      </c>
      <c r="E2910">
        <v>5</v>
      </c>
      <c r="F2910">
        <v>5</v>
      </c>
      <c r="G2910" t="s">
        <v>684</v>
      </c>
      <c r="H2910" t="s">
        <v>684</v>
      </c>
      <c r="J2910">
        <v>2140</v>
      </c>
      <c r="K2910">
        <v>2080</v>
      </c>
      <c r="L2910" t="s">
        <v>921</v>
      </c>
      <c r="M2910">
        <v>2140</v>
      </c>
      <c r="N2910">
        <v>2080</v>
      </c>
      <c r="O2910" t="s">
        <v>921</v>
      </c>
      <c r="P2910">
        <f t="shared" si="45"/>
        <v>0</v>
      </c>
    </row>
    <row r="2911" spans="1:16" x14ac:dyDescent="0.25">
      <c r="A2911" t="s">
        <v>669</v>
      </c>
      <c r="B2911">
        <v>2087</v>
      </c>
      <c r="C2911" t="s">
        <v>669</v>
      </c>
      <c r="D2911" t="s">
        <v>865</v>
      </c>
      <c r="E2911" t="s">
        <v>910</v>
      </c>
      <c r="F2911">
        <v>5</v>
      </c>
      <c r="H2911" t="s">
        <v>684</v>
      </c>
      <c r="K2911">
        <v>2087</v>
      </c>
      <c r="L2911" t="s">
        <v>920</v>
      </c>
      <c r="N2911">
        <v>2087</v>
      </c>
      <c r="O2911" t="s">
        <v>931</v>
      </c>
      <c r="P2911">
        <f t="shared" si="45"/>
        <v>0</v>
      </c>
    </row>
    <row r="2912" spans="1:16" x14ac:dyDescent="0.25">
      <c r="A2912" t="s">
        <v>669</v>
      </c>
      <c r="B2912">
        <v>2090</v>
      </c>
      <c r="C2912">
        <v>2150</v>
      </c>
      <c r="D2912" t="s">
        <v>857</v>
      </c>
      <c r="E2912">
        <v>5</v>
      </c>
      <c r="F2912">
        <v>5</v>
      </c>
      <c r="G2912" t="s">
        <v>684</v>
      </c>
      <c r="H2912" t="s">
        <v>684</v>
      </c>
      <c r="J2912">
        <v>2150</v>
      </c>
      <c r="K2912">
        <v>2090</v>
      </c>
      <c r="L2912" t="s">
        <v>921</v>
      </c>
      <c r="M2912">
        <v>2150</v>
      </c>
      <c r="N2912">
        <v>2090</v>
      </c>
      <c r="O2912" t="s">
        <v>921</v>
      </c>
      <c r="P2912">
        <f t="shared" si="45"/>
        <v>0</v>
      </c>
    </row>
    <row r="2913" spans="1:16" x14ac:dyDescent="0.25">
      <c r="A2913" t="s">
        <v>669</v>
      </c>
      <c r="B2913">
        <v>2095</v>
      </c>
      <c r="C2913">
        <v>2155</v>
      </c>
      <c r="D2913" t="s">
        <v>857</v>
      </c>
      <c r="E2913">
        <v>5</v>
      </c>
      <c r="F2913">
        <v>5</v>
      </c>
      <c r="G2913" t="s">
        <v>684</v>
      </c>
      <c r="H2913" t="s">
        <v>684</v>
      </c>
      <c r="J2913">
        <v>2155</v>
      </c>
      <c r="K2913">
        <v>2095</v>
      </c>
      <c r="L2913" t="s">
        <v>921</v>
      </c>
      <c r="M2913">
        <v>2155</v>
      </c>
      <c r="N2913">
        <v>2095</v>
      </c>
      <c r="O2913" t="s">
        <v>921</v>
      </c>
      <c r="P2913">
        <f t="shared" si="45"/>
        <v>0</v>
      </c>
    </row>
    <row r="2914" spans="1:16" x14ac:dyDescent="0.25">
      <c r="A2914" t="s">
        <v>669</v>
      </c>
      <c r="B2914">
        <v>2100</v>
      </c>
      <c r="C2914">
        <v>2160</v>
      </c>
      <c r="D2914" t="s">
        <v>857</v>
      </c>
      <c r="E2914">
        <v>5</v>
      </c>
      <c r="F2914">
        <v>5</v>
      </c>
      <c r="G2914" t="s">
        <v>684</v>
      </c>
      <c r="H2914" t="s">
        <v>684</v>
      </c>
      <c r="J2914">
        <v>2160</v>
      </c>
      <c r="K2914">
        <v>2100</v>
      </c>
      <c r="L2914" t="s">
        <v>921</v>
      </c>
      <c r="M2914">
        <v>2160</v>
      </c>
      <c r="N2914">
        <v>2100</v>
      </c>
      <c r="O2914" t="s">
        <v>921</v>
      </c>
      <c r="P2914">
        <f t="shared" si="45"/>
        <v>0</v>
      </c>
    </row>
    <row r="2915" spans="1:16" x14ac:dyDescent="0.25">
      <c r="A2915" t="s">
        <v>669</v>
      </c>
      <c r="B2915">
        <v>2105</v>
      </c>
      <c r="C2915">
        <v>2165</v>
      </c>
      <c r="D2915" t="s">
        <v>857</v>
      </c>
      <c r="E2915">
        <v>5</v>
      </c>
      <c r="F2915">
        <v>5</v>
      </c>
      <c r="G2915" t="s">
        <v>684</v>
      </c>
      <c r="H2915" t="s">
        <v>684</v>
      </c>
      <c r="J2915">
        <v>2165</v>
      </c>
      <c r="K2915">
        <v>2105</v>
      </c>
      <c r="L2915" t="s">
        <v>921</v>
      </c>
      <c r="M2915">
        <v>2165</v>
      </c>
      <c r="N2915">
        <v>2105</v>
      </c>
      <c r="O2915" t="s">
        <v>921</v>
      </c>
      <c r="P2915">
        <f t="shared" si="45"/>
        <v>0</v>
      </c>
    </row>
    <row r="2916" spans="1:16" x14ac:dyDescent="0.25">
      <c r="A2916" t="s">
        <v>669</v>
      </c>
      <c r="B2916">
        <v>2110</v>
      </c>
      <c r="C2916">
        <v>2170</v>
      </c>
      <c r="D2916" t="s">
        <v>857</v>
      </c>
      <c r="E2916">
        <v>5</v>
      </c>
      <c r="F2916">
        <v>5</v>
      </c>
      <c r="G2916" t="s">
        <v>684</v>
      </c>
      <c r="H2916" t="s">
        <v>684</v>
      </c>
      <c r="J2916">
        <v>2170</v>
      </c>
      <c r="K2916">
        <v>2110</v>
      </c>
      <c r="L2916" t="s">
        <v>921</v>
      </c>
      <c r="M2916">
        <v>2170</v>
      </c>
      <c r="N2916">
        <v>2110</v>
      </c>
      <c r="O2916" t="s">
        <v>921</v>
      </c>
      <c r="P2916">
        <f t="shared" si="45"/>
        <v>0</v>
      </c>
    </row>
    <row r="2917" spans="1:16" x14ac:dyDescent="0.25">
      <c r="A2917" t="s">
        <v>669</v>
      </c>
      <c r="B2917">
        <v>2115</v>
      </c>
      <c r="C2917">
        <v>2175</v>
      </c>
      <c r="D2917" t="s">
        <v>857</v>
      </c>
      <c r="E2917">
        <v>5</v>
      </c>
      <c r="F2917">
        <v>5</v>
      </c>
      <c r="G2917" t="s">
        <v>684</v>
      </c>
      <c r="H2917" t="s">
        <v>684</v>
      </c>
      <c r="J2917">
        <v>2175</v>
      </c>
      <c r="K2917">
        <v>2115</v>
      </c>
      <c r="L2917" t="s">
        <v>921</v>
      </c>
      <c r="M2917">
        <v>2175</v>
      </c>
      <c r="N2917">
        <v>2115</v>
      </c>
      <c r="O2917" t="s">
        <v>921</v>
      </c>
      <c r="P2917">
        <f t="shared" si="45"/>
        <v>0</v>
      </c>
    </row>
    <row r="2918" spans="1:16" x14ac:dyDescent="0.25">
      <c r="A2918" t="s">
        <v>669</v>
      </c>
      <c r="B2918">
        <v>2120</v>
      </c>
      <c r="C2918">
        <v>2180</v>
      </c>
      <c r="D2918" t="s">
        <v>857</v>
      </c>
      <c r="E2918">
        <v>5</v>
      </c>
      <c r="F2918">
        <v>5</v>
      </c>
      <c r="G2918" t="s">
        <v>684</v>
      </c>
      <c r="H2918" t="s">
        <v>684</v>
      </c>
      <c r="J2918">
        <v>2180</v>
      </c>
      <c r="K2918">
        <v>2120</v>
      </c>
      <c r="L2918" t="s">
        <v>921</v>
      </c>
      <c r="M2918">
        <v>2180</v>
      </c>
      <c r="N2918">
        <v>2120</v>
      </c>
      <c r="O2918" t="s">
        <v>921</v>
      </c>
      <c r="P2918">
        <f t="shared" si="45"/>
        <v>0</v>
      </c>
    </row>
    <row r="2919" spans="1:16" x14ac:dyDescent="0.25">
      <c r="A2919" t="s">
        <v>669</v>
      </c>
      <c r="B2919">
        <v>2121</v>
      </c>
      <c r="C2919">
        <v>2304</v>
      </c>
      <c r="D2919" t="s">
        <v>866</v>
      </c>
      <c r="E2919">
        <v>5</v>
      </c>
      <c r="F2919">
        <v>5</v>
      </c>
      <c r="G2919" t="s">
        <v>684</v>
      </c>
      <c r="H2919" t="s">
        <v>684</v>
      </c>
      <c r="J2919">
        <v>2304</v>
      </c>
      <c r="K2919">
        <v>2121</v>
      </c>
      <c r="L2919" t="s">
        <v>920</v>
      </c>
      <c r="M2919">
        <v>2304</v>
      </c>
      <c r="N2919">
        <v>2121</v>
      </c>
      <c r="O2919" t="s">
        <v>920</v>
      </c>
      <c r="P2919">
        <f t="shared" si="45"/>
        <v>0</v>
      </c>
    </row>
    <row r="2920" spans="1:16" x14ac:dyDescent="0.25">
      <c r="A2920" t="s">
        <v>669</v>
      </c>
      <c r="B2920">
        <v>2140</v>
      </c>
      <c r="C2920">
        <v>2200</v>
      </c>
      <c r="D2920" t="s">
        <v>857</v>
      </c>
      <c r="E2920">
        <v>5</v>
      </c>
      <c r="F2920">
        <v>5</v>
      </c>
      <c r="G2920" t="s">
        <v>684</v>
      </c>
      <c r="H2920" t="s">
        <v>684</v>
      </c>
      <c r="J2920">
        <v>2200</v>
      </c>
      <c r="K2920">
        <v>2140</v>
      </c>
      <c r="L2920" t="s">
        <v>921</v>
      </c>
      <c r="M2920">
        <v>2200</v>
      </c>
      <c r="N2920">
        <v>2140</v>
      </c>
      <c r="O2920" t="s">
        <v>921</v>
      </c>
      <c r="P2920">
        <f t="shared" si="45"/>
        <v>0</v>
      </c>
    </row>
    <row r="2921" spans="1:16" x14ac:dyDescent="0.25">
      <c r="A2921" t="s">
        <v>669</v>
      </c>
      <c r="B2921">
        <v>2150</v>
      </c>
      <c r="C2921">
        <v>2210</v>
      </c>
      <c r="D2921" t="s">
        <v>857</v>
      </c>
      <c r="E2921">
        <v>5</v>
      </c>
      <c r="F2921">
        <v>5</v>
      </c>
      <c r="G2921" t="s">
        <v>684</v>
      </c>
      <c r="H2921" t="s">
        <v>684</v>
      </c>
      <c r="J2921">
        <v>2210</v>
      </c>
      <c r="K2921">
        <v>2150</v>
      </c>
      <c r="L2921" t="s">
        <v>921</v>
      </c>
      <c r="M2921">
        <v>2210</v>
      </c>
      <c r="N2921">
        <v>2150</v>
      </c>
      <c r="O2921" t="s">
        <v>921</v>
      </c>
      <c r="P2921">
        <f t="shared" si="45"/>
        <v>0</v>
      </c>
    </row>
    <row r="2922" spans="1:16" x14ac:dyDescent="0.25">
      <c r="A2922" t="s">
        <v>669</v>
      </c>
      <c r="B2922">
        <v>2171</v>
      </c>
      <c r="C2922" t="s">
        <v>669</v>
      </c>
      <c r="D2922" t="s">
        <v>865</v>
      </c>
      <c r="E2922" t="s">
        <v>910</v>
      </c>
      <c r="F2922">
        <v>5</v>
      </c>
      <c r="H2922" t="s">
        <v>684</v>
      </c>
      <c r="K2922">
        <v>2171</v>
      </c>
      <c r="L2922" t="s">
        <v>920</v>
      </c>
      <c r="N2922">
        <v>2171</v>
      </c>
      <c r="O2922" t="s">
        <v>931</v>
      </c>
      <c r="P2922">
        <f t="shared" si="45"/>
        <v>0</v>
      </c>
    </row>
    <row r="2923" spans="1:16" x14ac:dyDescent="0.25">
      <c r="A2923" t="s">
        <v>669</v>
      </c>
      <c r="B2923">
        <v>2175</v>
      </c>
      <c r="C2923">
        <v>2235</v>
      </c>
      <c r="D2923" t="s">
        <v>857</v>
      </c>
      <c r="E2923">
        <v>5</v>
      </c>
      <c r="F2923">
        <v>5</v>
      </c>
      <c r="G2923" t="s">
        <v>684</v>
      </c>
      <c r="H2923" t="s">
        <v>684</v>
      </c>
      <c r="J2923">
        <v>2235</v>
      </c>
      <c r="K2923">
        <v>2175</v>
      </c>
      <c r="L2923" t="s">
        <v>921</v>
      </c>
      <c r="M2923">
        <v>2235</v>
      </c>
      <c r="N2923">
        <v>2175</v>
      </c>
      <c r="O2923" t="s">
        <v>921</v>
      </c>
      <c r="P2923">
        <f t="shared" si="45"/>
        <v>0</v>
      </c>
    </row>
    <row r="2924" spans="1:16" x14ac:dyDescent="0.25">
      <c r="A2924" t="s">
        <v>669</v>
      </c>
      <c r="B2924">
        <v>2177</v>
      </c>
      <c r="C2924" t="s">
        <v>669</v>
      </c>
      <c r="D2924" t="s">
        <v>865</v>
      </c>
      <c r="E2924" t="s">
        <v>910</v>
      </c>
      <c r="F2924">
        <v>5</v>
      </c>
      <c r="H2924" t="s">
        <v>684</v>
      </c>
      <c r="K2924">
        <v>2177</v>
      </c>
      <c r="L2924" t="s">
        <v>920</v>
      </c>
      <c r="N2924">
        <v>2177</v>
      </c>
      <c r="O2924" t="s">
        <v>931</v>
      </c>
      <c r="P2924">
        <f t="shared" si="45"/>
        <v>0</v>
      </c>
    </row>
    <row r="2925" spans="1:16" x14ac:dyDescent="0.25">
      <c r="A2925" t="s">
        <v>669</v>
      </c>
      <c r="B2925">
        <v>2180</v>
      </c>
      <c r="C2925">
        <v>2240</v>
      </c>
      <c r="D2925" t="s">
        <v>857</v>
      </c>
      <c r="E2925">
        <v>5</v>
      </c>
      <c r="F2925">
        <v>5</v>
      </c>
      <c r="G2925" t="s">
        <v>684</v>
      </c>
      <c r="H2925" t="s">
        <v>684</v>
      </c>
      <c r="J2925">
        <v>2240</v>
      </c>
      <c r="K2925">
        <v>2180</v>
      </c>
      <c r="L2925" t="s">
        <v>921</v>
      </c>
      <c r="M2925">
        <v>2240</v>
      </c>
      <c r="N2925">
        <v>2180</v>
      </c>
      <c r="O2925" t="s">
        <v>921</v>
      </c>
      <c r="P2925">
        <f t="shared" si="45"/>
        <v>0</v>
      </c>
    </row>
    <row r="2926" spans="1:16" x14ac:dyDescent="0.25">
      <c r="A2926" t="s">
        <v>426</v>
      </c>
      <c r="B2926">
        <v>443.8</v>
      </c>
      <c r="C2926">
        <v>470</v>
      </c>
      <c r="D2926" t="s">
        <v>860</v>
      </c>
      <c r="E2926">
        <v>132</v>
      </c>
      <c r="F2926">
        <v>132</v>
      </c>
      <c r="G2926" t="s">
        <v>738</v>
      </c>
      <c r="H2926" t="s">
        <v>738</v>
      </c>
      <c r="J2926">
        <v>470</v>
      </c>
      <c r="K2926">
        <v>443.8</v>
      </c>
      <c r="L2926" t="s">
        <v>303</v>
      </c>
      <c r="M2926">
        <v>470</v>
      </c>
      <c r="N2926">
        <v>443.8</v>
      </c>
      <c r="O2926" t="s">
        <v>303</v>
      </c>
      <c r="P2926">
        <f t="shared" si="45"/>
        <v>0</v>
      </c>
    </row>
    <row r="2927" spans="1:16" x14ac:dyDescent="0.25">
      <c r="A2927" t="s">
        <v>205</v>
      </c>
      <c r="B2927">
        <v>470</v>
      </c>
      <c r="C2927">
        <v>470.5</v>
      </c>
      <c r="D2927" t="s">
        <v>303</v>
      </c>
      <c r="E2927">
        <v>141</v>
      </c>
      <c r="F2927">
        <v>141</v>
      </c>
      <c r="G2927" t="s">
        <v>725</v>
      </c>
      <c r="H2927" t="s">
        <v>725</v>
      </c>
      <c r="J2927">
        <v>470.5</v>
      </c>
      <c r="K2927">
        <v>470</v>
      </c>
      <c r="L2927" t="s">
        <v>303</v>
      </c>
      <c r="M2927">
        <v>470.5</v>
      </c>
      <c r="N2927">
        <v>470</v>
      </c>
      <c r="O2927" t="s">
        <v>303</v>
      </c>
      <c r="P2927">
        <f t="shared" si="45"/>
        <v>0</v>
      </c>
    </row>
    <row r="2928" spans="1:16" x14ac:dyDescent="0.25">
      <c r="A2928" t="s">
        <v>669</v>
      </c>
      <c r="B2928">
        <v>444</v>
      </c>
      <c r="C2928">
        <v>472</v>
      </c>
      <c r="D2928" t="s">
        <v>303</v>
      </c>
      <c r="E2928" t="s">
        <v>910</v>
      </c>
      <c r="F2928" t="s">
        <v>910</v>
      </c>
      <c r="J2928">
        <v>472</v>
      </c>
      <c r="K2928">
        <v>444</v>
      </c>
      <c r="L2928" t="s">
        <v>303</v>
      </c>
      <c r="M2928">
        <v>472</v>
      </c>
      <c r="N2928">
        <v>444</v>
      </c>
      <c r="O2928" t="s">
        <v>303</v>
      </c>
      <c r="P2928">
        <f t="shared" si="45"/>
        <v>0</v>
      </c>
    </row>
    <row r="2929" spans="1:16" x14ac:dyDescent="0.25">
      <c r="A2929" t="s">
        <v>479</v>
      </c>
      <c r="B2929">
        <v>461</v>
      </c>
      <c r="C2929">
        <v>472</v>
      </c>
      <c r="D2929" t="s">
        <v>303</v>
      </c>
      <c r="E2929">
        <v>137</v>
      </c>
      <c r="F2929">
        <v>137</v>
      </c>
      <c r="G2929" t="s">
        <v>815</v>
      </c>
      <c r="H2929" t="s">
        <v>815</v>
      </c>
      <c r="J2929">
        <v>472</v>
      </c>
      <c r="K2929">
        <v>461</v>
      </c>
      <c r="L2929" t="s">
        <v>303</v>
      </c>
      <c r="M2929">
        <v>472</v>
      </c>
      <c r="N2929">
        <v>461</v>
      </c>
      <c r="O2929" t="s">
        <v>303</v>
      </c>
      <c r="P2929">
        <f t="shared" si="45"/>
        <v>0</v>
      </c>
    </row>
    <row r="2930" spans="1:16" x14ac:dyDescent="0.25">
      <c r="A2930" t="s">
        <v>669</v>
      </c>
      <c r="B2930">
        <v>2195</v>
      </c>
      <c r="C2930">
        <v>2255</v>
      </c>
      <c r="D2930" t="s">
        <v>857</v>
      </c>
      <c r="E2930">
        <v>5</v>
      </c>
      <c r="F2930">
        <v>5</v>
      </c>
      <c r="G2930" t="s">
        <v>684</v>
      </c>
      <c r="H2930" t="s">
        <v>684</v>
      </c>
      <c r="J2930">
        <v>2255</v>
      </c>
      <c r="K2930">
        <v>2195</v>
      </c>
      <c r="L2930" t="s">
        <v>921</v>
      </c>
      <c r="M2930">
        <v>2255</v>
      </c>
      <c r="N2930">
        <v>2195</v>
      </c>
      <c r="O2930" t="s">
        <v>921</v>
      </c>
      <c r="P2930">
        <f t="shared" si="45"/>
        <v>0</v>
      </c>
    </row>
    <row r="2931" spans="1:16" x14ac:dyDescent="0.25">
      <c r="A2931" t="s">
        <v>669</v>
      </c>
      <c r="B2931">
        <v>461</v>
      </c>
      <c r="C2931">
        <v>472</v>
      </c>
      <c r="D2931" t="s">
        <v>303</v>
      </c>
      <c r="E2931" t="s">
        <v>910</v>
      </c>
      <c r="F2931" t="s">
        <v>910</v>
      </c>
      <c r="J2931">
        <v>472</v>
      </c>
      <c r="K2931">
        <v>461</v>
      </c>
      <c r="L2931" t="s">
        <v>303</v>
      </c>
      <c r="M2931">
        <v>472</v>
      </c>
      <c r="N2931">
        <v>461</v>
      </c>
      <c r="O2931" t="s">
        <v>303</v>
      </c>
      <c r="P2931">
        <f t="shared" si="45"/>
        <v>0</v>
      </c>
    </row>
    <row r="2932" spans="1:16" x14ac:dyDescent="0.25">
      <c r="A2932" t="s">
        <v>669</v>
      </c>
      <c r="B2932">
        <v>462.3</v>
      </c>
      <c r="C2932">
        <v>472.3</v>
      </c>
      <c r="D2932" t="s">
        <v>303</v>
      </c>
      <c r="E2932" t="s">
        <v>910</v>
      </c>
      <c r="F2932" t="s">
        <v>910</v>
      </c>
      <c r="J2932">
        <v>472.3</v>
      </c>
      <c r="K2932">
        <v>462.3</v>
      </c>
      <c r="L2932" t="s">
        <v>303</v>
      </c>
      <c r="M2932">
        <v>472.3</v>
      </c>
      <c r="N2932">
        <v>462.3</v>
      </c>
      <c r="O2932" t="s">
        <v>303</v>
      </c>
      <c r="P2932">
        <f t="shared" si="45"/>
        <v>0</v>
      </c>
    </row>
    <row r="2933" spans="1:16" x14ac:dyDescent="0.25">
      <c r="A2933" t="s">
        <v>205</v>
      </c>
      <c r="B2933">
        <v>470.5</v>
      </c>
      <c r="C2933">
        <v>472.5</v>
      </c>
      <c r="D2933" t="s">
        <v>303</v>
      </c>
      <c r="E2933">
        <v>141</v>
      </c>
      <c r="F2933">
        <v>141</v>
      </c>
      <c r="G2933" t="s">
        <v>725</v>
      </c>
      <c r="H2933" t="s">
        <v>725</v>
      </c>
      <c r="J2933">
        <v>472.5</v>
      </c>
      <c r="K2933">
        <v>470.5</v>
      </c>
      <c r="L2933" t="s">
        <v>303</v>
      </c>
      <c r="M2933">
        <v>472.5</v>
      </c>
      <c r="N2933">
        <v>470.5</v>
      </c>
      <c r="O2933" t="s">
        <v>303</v>
      </c>
      <c r="P2933">
        <f t="shared" si="45"/>
        <v>0</v>
      </c>
    </row>
    <row r="2934" spans="1:16" x14ac:dyDescent="0.25">
      <c r="A2934" t="s">
        <v>669</v>
      </c>
      <c r="B2934">
        <v>455</v>
      </c>
      <c r="C2934">
        <v>473</v>
      </c>
      <c r="D2934" t="s">
        <v>303</v>
      </c>
      <c r="E2934" t="s">
        <v>910</v>
      </c>
      <c r="F2934" t="s">
        <v>910</v>
      </c>
      <c r="J2934">
        <v>473</v>
      </c>
      <c r="K2934">
        <v>455</v>
      </c>
      <c r="L2934" t="s">
        <v>303</v>
      </c>
      <c r="M2934">
        <v>473</v>
      </c>
      <c r="N2934">
        <v>455</v>
      </c>
      <c r="O2934" t="s">
        <v>303</v>
      </c>
      <c r="P2934">
        <f t="shared" si="45"/>
        <v>0</v>
      </c>
    </row>
    <row r="2935" spans="1:16" x14ac:dyDescent="0.25">
      <c r="A2935" t="s">
        <v>669</v>
      </c>
      <c r="B2935">
        <v>461.6</v>
      </c>
      <c r="C2935">
        <v>473.6</v>
      </c>
      <c r="D2935" t="s">
        <v>303</v>
      </c>
      <c r="E2935" t="s">
        <v>910</v>
      </c>
      <c r="F2935" t="s">
        <v>910</v>
      </c>
      <c r="J2935">
        <v>473.6</v>
      </c>
      <c r="K2935">
        <v>461.6</v>
      </c>
      <c r="L2935" t="s">
        <v>303</v>
      </c>
      <c r="M2935">
        <v>473.6</v>
      </c>
      <c r="N2935">
        <v>461.6</v>
      </c>
      <c r="O2935" t="s">
        <v>303</v>
      </c>
      <c r="P2935">
        <f t="shared" si="45"/>
        <v>0</v>
      </c>
    </row>
    <row r="2936" spans="1:16" x14ac:dyDescent="0.25">
      <c r="A2936" t="s">
        <v>205</v>
      </c>
      <c r="B2936">
        <v>472.5</v>
      </c>
      <c r="C2936">
        <v>476</v>
      </c>
      <c r="D2936" t="s">
        <v>303</v>
      </c>
      <c r="E2936">
        <v>141</v>
      </c>
      <c r="F2936">
        <v>141</v>
      </c>
      <c r="G2936" t="s">
        <v>725</v>
      </c>
      <c r="H2936" t="s">
        <v>725</v>
      </c>
      <c r="J2936">
        <v>476</v>
      </c>
      <c r="K2936">
        <v>472.5</v>
      </c>
      <c r="L2936" t="s">
        <v>303</v>
      </c>
      <c r="M2936">
        <v>476</v>
      </c>
      <c r="N2936">
        <v>472.5</v>
      </c>
      <c r="O2936" t="s">
        <v>303</v>
      </c>
      <c r="P2936">
        <f t="shared" si="45"/>
        <v>0</v>
      </c>
    </row>
    <row r="2937" spans="1:16" x14ac:dyDescent="0.25">
      <c r="A2937" t="s">
        <v>205</v>
      </c>
      <c r="B2937">
        <v>476</v>
      </c>
      <c r="C2937">
        <v>477.7</v>
      </c>
      <c r="D2937" t="s">
        <v>303</v>
      </c>
      <c r="E2937">
        <v>141</v>
      </c>
      <c r="F2937">
        <v>141</v>
      </c>
      <c r="G2937" t="s">
        <v>725</v>
      </c>
      <c r="H2937" t="s">
        <v>725</v>
      </c>
      <c r="J2937">
        <v>477.7</v>
      </c>
      <c r="K2937">
        <v>476</v>
      </c>
      <c r="L2937" t="s">
        <v>303</v>
      </c>
      <c r="M2937">
        <v>477.7</v>
      </c>
      <c r="N2937">
        <v>476</v>
      </c>
      <c r="O2937" t="s">
        <v>303</v>
      </c>
      <c r="P2937">
        <f t="shared" si="45"/>
        <v>0</v>
      </c>
    </row>
    <row r="2938" spans="1:16" x14ac:dyDescent="0.25">
      <c r="A2938" t="s">
        <v>624</v>
      </c>
      <c r="B2938">
        <v>477.7</v>
      </c>
      <c r="C2938">
        <v>478</v>
      </c>
      <c r="D2938" t="s">
        <v>303</v>
      </c>
      <c r="E2938">
        <v>142</v>
      </c>
      <c r="F2938">
        <v>142</v>
      </c>
      <c r="G2938" t="s">
        <v>783</v>
      </c>
      <c r="H2938" t="s">
        <v>783</v>
      </c>
      <c r="J2938">
        <v>478</v>
      </c>
      <c r="K2938">
        <v>477.7</v>
      </c>
      <c r="L2938" t="s">
        <v>303</v>
      </c>
      <c r="M2938">
        <v>478</v>
      </c>
      <c r="N2938">
        <v>477.7</v>
      </c>
      <c r="O2938" t="s">
        <v>303</v>
      </c>
      <c r="P2938">
        <f t="shared" si="45"/>
        <v>0</v>
      </c>
    </row>
    <row r="2939" spans="1:16" x14ac:dyDescent="0.25">
      <c r="A2939" t="s">
        <v>624</v>
      </c>
      <c r="B2939">
        <v>478</v>
      </c>
      <c r="C2939">
        <v>478.5</v>
      </c>
      <c r="D2939" t="s">
        <v>303</v>
      </c>
      <c r="E2939">
        <v>142</v>
      </c>
      <c r="F2939">
        <v>142</v>
      </c>
      <c r="G2939" t="s">
        <v>783</v>
      </c>
      <c r="H2939" t="s">
        <v>783</v>
      </c>
      <c r="J2939">
        <v>478.5</v>
      </c>
      <c r="K2939">
        <v>478</v>
      </c>
      <c r="L2939" t="s">
        <v>303</v>
      </c>
      <c r="M2939">
        <v>478.5</v>
      </c>
      <c r="N2939">
        <v>478</v>
      </c>
      <c r="O2939" t="s">
        <v>303</v>
      </c>
      <c r="P2939">
        <f t="shared" si="45"/>
        <v>0</v>
      </c>
    </row>
    <row r="2940" spans="1:16" x14ac:dyDescent="0.25">
      <c r="A2940" t="s">
        <v>624</v>
      </c>
      <c r="B2940">
        <v>478.5</v>
      </c>
      <c r="C2940">
        <v>480</v>
      </c>
      <c r="D2940" t="s">
        <v>303</v>
      </c>
      <c r="E2940">
        <v>142</v>
      </c>
      <c r="F2940">
        <v>142</v>
      </c>
      <c r="G2940" t="s">
        <v>783</v>
      </c>
      <c r="H2940" t="s">
        <v>783</v>
      </c>
      <c r="J2940">
        <v>480</v>
      </c>
      <c r="K2940">
        <v>478.5</v>
      </c>
      <c r="L2940" t="s">
        <v>303</v>
      </c>
      <c r="M2940">
        <v>480</v>
      </c>
      <c r="N2940">
        <v>478.5</v>
      </c>
      <c r="O2940" t="s">
        <v>303</v>
      </c>
      <c r="P2940">
        <f t="shared" si="45"/>
        <v>0</v>
      </c>
    </row>
    <row r="2941" spans="1:16" x14ac:dyDescent="0.25">
      <c r="A2941" t="s">
        <v>624</v>
      </c>
      <c r="B2941">
        <v>480</v>
      </c>
      <c r="C2941">
        <v>481.7</v>
      </c>
      <c r="D2941" t="s">
        <v>303</v>
      </c>
      <c r="E2941">
        <v>142</v>
      </c>
      <c r="F2941">
        <v>142</v>
      </c>
      <c r="G2941" t="s">
        <v>783</v>
      </c>
      <c r="H2941" t="s">
        <v>783</v>
      </c>
      <c r="J2941">
        <v>481.7</v>
      </c>
      <c r="K2941">
        <v>480</v>
      </c>
      <c r="L2941" t="s">
        <v>303</v>
      </c>
      <c r="M2941">
        <v>481.7</v>
      </c>
      <c r="N2941">
        <v>480</v>
      </c>
      <c r="O2941" t="s">
        <v>303</v>
      </c>
      <c r="P2941">
        <f t="shared" si="45"/>
        <v>0</v>
      </c>
    </row>
    <row r="2942" spans="1:16" x14ac:dyDescent="0.25">
      <c r="A2942" t="s">
        <v>624</v>
      </c>
      <c r="B2942">
        <v>481.7</v>
      </c>
      <c r="C2942">
        <v>482</v>
      </c>
      <c r="D2942" t="s">
        <v>303</v>
      </c>
      <c r="E2942">
        <v>142</v>
      </c>
      <c r="F2942">
        <v>142</v>
      </c>
      <c r="G2942" t="s">
        <v>783</v>
      </c>
      <c r="H2942" t="s">
        <v>783</v>
      </c>
      <c r="J2942">
        <v>482</v>
      </c>
      <c r="K2942">
        <v>481.7</v>
      </c>
      <c r="L2942" t="s">
        <v>303</v>
      </c>
      <c r="M2942">
        <v>482</v>
      </c>
      <c r="N2942">
        <v>481.7</v>
      </c>
      <c r="O2942" t="s">
        <v>303</v>
      </c>
      <c r="P2942">
        <f t="shared" si="45"/>
        <v>0</v>
      </c>
    </row>
    <row r="2943" spans="1:16" x14ac:dyDescent="0.25">
      <c r="A2943" t="s">
        <v>669</v>
      </c>
      <c r="B2943">
        <v>2266</v>
      </c>
      <c r="C2943" t="s">
        <v>669</v>
      </c>
      <c r="D2943" t="s">
        <v>865</v>
      </c>
      <c r="E2943" t="s">
        <v>910</v>
      </c>
      <c r="F2943">
        <v>5</v>
      </c>
      <c r="H2943" t="s">
        <v>684</v>
      </c>
      <c r="K2943">
        <v>2266</v>
      </c>
      <c r="L2943" t="s">
        <v>920</v>
      </c>
      <c r="N2943">
        <v>2266</v>
      </c>
      <c r="O2943" t="s">
        <v>931</v>
      </c>
      <c r="P2943">
        <f t="shared" si="45"/>
        <v>0</v>
      </c>
    </row>
    <row r="2944" spans="1:16" x14ac:dyDescent="0.25">
      <c r="A2944" t="s">
        <v>624</v>
      </c>
      <c r="B2944">
        <v>482</v>
      </c>
      <c r="C2944">
        <v>484.4</v>
      </c>
      <c r="D2944" t="s">
        <v>303</v>
      </c>
      <c r="E2944">
        <v>142</v>
      </c>
      <c r="F2944">
        <v>142</v>
      </c>
      <c r="G2944" t="s">
        <v>783</v>
      </c>
      <c r="H2944" t="s">
        <v>783</v>
      </c>
      <c r="J2944">
        <v>484.4</v>
      </c>
      <c r="K2944">
        <v>482</v>
      </c>
      <c r="L2944" t="s">
        <v>303</v>
      </c>
      <c r="M2944">
        <v>484.4</v>
      </c>
      <c r="N2944">
        <v>482</v>
      </c>
      <c r="O2944" t="s">
        <v>303</v>
      </c>
      <c r="P2944">
        <f t="shared" si="45"/>
        <v>0</v>
      </c>
    </row>
    <row r="2945" spans="1:16" x14ac:dyDescent="0.25">
      <c r="A2945" t="s">
        <v>669</v>
      </c>
      <c r="B2945">
        <v>444</v>
      </c>
      <c r="C2945">
        <v>485</v>
      </c>
      <c r="D2945" t="s">
        <v>303</v>
      </c>
      <c r="E2945" t="s">
        <v>910</v>
      </c>
      <c r="F2945" t="s">
        <v>910</v>
      </c>
      <c r="J2945">
        <v>485</v>
      </c>
      <c r="K2945">
        <v>444</v>
      </c>
      <c r="L2945" t="s">
        <v>303</v>
      </c>
      <c r="M2945">
        <v>485</v>
      </c>
      <c r="N2945">
        <v>444</v>
      </c>
      <c r="O2945" t="s">
        <v>303</v>
      </c>
      <c r="P2945">
        <f t="shared" si="45"/>
        <v>0</v>
      </c>
    </row>
    <row r="2946" spans="1:16" x14ac:dyDescent="0.25">
      <c r="A2946" t="s">
        <v>624</v>
      </c>
      <c r="B2946">
        <v>484.4</v>
      </c>
      <c r="C2946">
        <v>485</v>
      </c>
      <c r="D2946" t="s">
        <v>303</v>
      </c>
      <c r="E2946">
        <v>142</v>
      </c>
      <c r="F2946">
        <v>142</v>
      </c>
      <c r="G2946" t="s">
        <v>783</v>
      </c>
      <c r="H2946" t="s">
        <v>783</v>
      </c>
      <c r="J2946">
        <v>485</v>
      </c>
      <c r="K2946">
        <v>484.4</v>
      </c>
      <c r="L2946" t="s">
        <v>303</v>
      </c>
      <c r="M2946">
        <v>485</v>
      </c>
      <c r="N2946">
        <v>484.4</v>
      </c>
      <c r="O2946" t="s">
        <v>303</v>
      </c>
      <c r="P2946">
        <f t="shared" si="45"/>
        <v>0</v>
      </c>
    </row>
    <row r="2947" spans="1:16" x14ac:dyDescent="0.25">
      <c r="A2947" t="s">
        <v>624</v>
      </c>
      <c r="B2947">
        <v>485</v>
      </c>
      <c r="C2947">
        <v>485.4</v>
      </c>
      <c r="D2947" t="s">
        <v>303</v>
      </c>
      <c r="E2947">
        <v>142</v>
      </c>
      <c r="F2947">
        <v>142</v>
      </c>
      <c r="G2947" t="s">
        <v>783</v>
      </c>
      <c r="H2947" t="s">
        <v>783</v>
      </c>
      <c r="J2947">
        <v>485.4</v>
      </c>
      <c r="K2947">
        <v>485</v>
      </c>
      <c r="L2947" t="s">
        <v>303</v>
      </c>
      <c r="M2947">
        <v>485.4</v>
      </c>
      <c r="N2947">
        <v>485</v>
      </c>
      <c r="O2947" t="s">
        <v>303</v>
      </c>
      <c r="P2947">
        <f t="shared" ref="P2947:P3010" si="46">LEN(I2947)</f>
        <v>0</v>
      </c>
    </row>
    <row r="2948" spans="1:16" x14ac:dyDescent="0.25">
      <c r="A2948" t="s">
        <v>669</v>
      </c>
      <c r="B2948">
        <v>481.64</v>
      </c>
      <c r="C2948">
        <v>487.64</v>
      </c>
      <c r="D2948" t="s">
        <v>303</v>
      </c>
      <c r="E2948" t="s">
        <v>910</v>
      </c>
      <c r="F2948" t="s">
        <v>910</v>
      </c>
      <c r="J2948">
        <v>487.64</v>
      </c>
      <c r="K2948">
        <v>481.64</v>
      </c>
      <c r="L2948" t="s">
        <v>303</v>
      </c>
      <c r="M2948">
        <v>487.64</v>
      </c>
      <c r="N2948">
        <v>481.64</v>
      </c>
      <c r="O2948" t="s">
        <v>303</v>
      </c>
      <c r="P2948">
        <f t="shared" si="46"/>
        <v>0</v>
      </c>
    </row>
    <row r="2949" spans="1:16" x14ac:dyDescent="0.25">
      <c r="A2949" t="s">
        <v>669</v>
      </c>
      <c r="B2949">
        <v>2355</v>
      </c>
      <c r="C2949" t="s">
        <v>669</v>
      </c>
      <c r="D2949" t="s">
        <v>865</v>
      </c>
      <c r="E2949" t="s">
        <v>910</v>
      </c>
      <c r="F2949">
        <v>5</v>
      </c>
      <c r="H2949" t="s">
        <v>684</v>
      </c>
      <c r="K2949">
        <v>2355</v>
      </c>
      <c r="L2949" t="s">
        <v>920</v>
      </c>
      <c r="N2949">
        <v>2355</v>
      </c>
      <c r="O2949" t="s">
        <v>931</v>
      </c>
      <c r="P2949">
        <f t="shared" si="46"/>
        <v>0</v>
      </c>
    </row>
    <row r="2950" spans="1:16" x14ac:dyDescent="0.25">
      <c r="A2950" t="s">
        <v>669</v>
      </c>
      <c r="B2950">
        <v>251</v>
      </c>
      <c r="C2950">
        <v>488</v>
      </c>
      <c r="D2950" t="s">
        <v>303</v>
      </c>
      <c r="E2950" t="s">
        <v>910</v>
      </c>
      <c r="F2950" t="s">
        <v>910</v>
      </c>
      <c r="J2950">
        <v>488</v>
      </c>
      <c r="K2950">
        <v>251</v>
      </c>
      <c r="L2950" t="s">
        <v>303</v>
      </c>
      <c r="M2950">
        <v>488</v>
      </c>
      <c r="N2950">
        <v>251</v>
      </c>
      <c r="O2950" t="s">
        <v>303</v>
      </c>
      <c r="P2950">
        <f t="shared" si="46"/>
        <v>0</v>
      </c>
    </row>
    <row r="2951" spans="1:16" x14ac:dyDescent="0.25">
      <c r="A2951" t="s">
        <v>669</v>
      </c>
      <c r="B2951">
        <v>299</v>
      </c>
      <c r="C2951">
        <v>488</v>
      </c>
      <c r="D2951" t="s">
        <v>303</v>
      </c>
      <c r="E2951" t="s">
        <v>910</v>
      </c>
      <c r="F2951" t="s">
        <v>910</v>
      </c>
      <c r="J2951">
        <v>488</v>
      </c>
      <c r="K2951">
        <v>299</v>
      </c>
      <c r="L2951" t="s">
        <v>303</v>
      </c>
      <c r="M2951">
        <v>488</v>
      </c>
      <c r="N2951">
        <v>299</v>
      </c>
      <c r="O2951" t="s">
        <v>303</v>
      </c>
      <c r="P2951">
        <f t="shared" si="46"/>
        <v>0</v>
      </c>
    </row>
    <row r="2952" spans="1:16" x14ac:dyDescent="0.25">
      <c r="A2952" t="s">
        <v>669</v>
      </c>
      <c r="B2952">
        <v>416</v>
      </c>
      <c r="C2952">
        <v>488</v>
      </c>
      <c r="D2952" t="s">
        <v>303</v>
      </c>
      <c r="E2952" t="s">
        <v>910</v>
      </c>
      <c r="F2952" t="s">
        <v>910</v>
      </c>
      <c r="J2952">
        <v>488</v>
      </c>
      <c r="K2952">
        <v>416</v>
      </c>
      <c r="L2952" t="s">
        <v>303</v>
      </c>
      <c r="M2952">
        <v>488</v>
      </c>
      <c r="N2952">
        <v>416</v>
      </c>
      <c r="O2952" t="s">
        <v>303</v>
      </c>
      <c r="P2952">
        <f t="shared" si="46"/>
        <v>0</v>
      </c>
    </row>
    <row r="2953" spans="1:16" x14ac:dyDescent="0.25">
      <c r="A2953" t="s">
        <v>476</v>
      </c>
      <c r="B2953">
        <v>444</v>
      </c>
      <c r="C2953">
        <v>488</v>
      </c>
      <c r="D2953" t="s">
        <v>303</v>
      </c>
      <c r="E2953">
        <v>132</v>
      </c>
      <c r="F2953">
        <v>132</v>
      </c>
      <c r="G2953" t="s">
        <v>738</v>
      </c>
      <c r="H2953" t="s">
        <v>738</v>
      </c>
      <c r="J2953">
        <v>488</v>
      </c>
      <c r="K2953">
        <v>444</v>
      </c>
      <c r="L2953" t="s">
        <v>303</v>
      </c>
      <c r="M2953">
        <v>488</v>
      </c>
      <c r="N2953">
        <v>444</v>
      </c>
      <c r="O2953" t="s">
        <v>303</v>
      </c>
      <c r="P2953">
        <f t="shared" si="46"/>
        <v>0</v>
      </c>
    </row>
    <row r="2954" spans="1:16" x14ac:dyDescent="0.25">
      <c r="A2954" t="s">
        <v>669</v>
      </c>
      <c r="B2954">
        <v>444</v>
      </c>
      <c r="C2954">
        <v>488</v>
      </c>
      <c r="D2954" t="s">
        <v>303</v>
      </c>
      <c r="E2954" t="s">
        <v>910</v>
      </c>
      <c r="F2954" t="s">
        <v>910</v>
      </c>
      <c r="J2954">
        <v>488</v>
      </c>
      <c r="K2954">
        <v>444</v>
      </c>
      <c r="L2954" t="s">
        <v>303</v>
      </c>
      <c r="M2954">
        <v>488</v>
      </c>
      <c r="N2954">
        <v>444</v>
      </c>
      <c r="O2954" t="s">
        <v>303</v>
      </c>
      <c r="P2954">
        <f t="shared" si="46"/>
        <v>0</v>
      </c>
    </row>
    <row r="2955" spans="1:16" x14ac:dyDescent="0.25">
      <c r="A2955" t="s">
        <v>669</v>
      </c>
      <c r="B2955">
        <v>461</v>
      </c>
      <c r="C2955">
        <v>488</v>
      </c>
      <c r="D2955" t="s">
        <v>303</v>
      </c>
      <c r="E2955" t="s">
        <v>910</v>
      </c>
      <c r="F2955" t="s">
        <v>910</v>
      </c>
      <c r="J2955">
        <v>488</v>
      </c>
      <c r="K2955">
        <v>461</v>
      </c>
      <c r="L2955" t="s">
        <v>303</v>
      </c>
      <c r="M2955">
        <v>488</v>
      </c>
      <c r="N2955">
        <v>461</v>
      </c>
      <c r="O2955" t="s">
        <v>303</v>
      </c>
      <c r="P2955">
        <f t="shared" si="46"/>
        <v>0</v>
      </c>
    </row>
    <row r="2956" spans="1:16" x14ac:dyDescent="0.25">
      <c r="A2956" t="s">
        <v>477</v>
      </c>
      <c r="B2956">
        <v>472</v>
      </c>
      <c r="C2956">
        <v>488</v>
      </c>
      <c r="D2956" t="s">
        <v>303</v>
      </c>
      <c r="E2956">
        <v>140</v>
      </c>
      <c r="F2956">
        <v>140</v>
      </c>
      <c r="G2956" t="s">
        <v>792</v>
      </c>
      <c r="H2956" t="s">
        <v>792</v>
      </c>
      <c r="J2956">
        <v>488</v>
      </c>
      <c r="K2956">
        <v>472</v>
      </c>
      <c r="L2956" t="s">
        <v>303</v>
      </c>
      <c r="M2956">
        <v>488</v>
      </c>
      <c r="N2956">
        <v>472</v>
      </c>
      <c r="O2956" t="s">
        <v>303</v>
      </c>
      <c r="P2956">
        <f t="shared" si="46"/>
        <v>0</v>
      </c>
    </row>
    <row r="2957" spans="1:16" x14ac:dyDescent="0.25">
      <c r="A2957" t="s">
        <v>669</v>
      </c>
      <c r="B2957">
        <v>472</v>
      </c>
      <c r="C2957">
        <v>488</v>
      </c>
      <c r="D2957" t="s">
        <v>303</v>
      </c>
      <c r="E2957" t="s">
        <v>910</v>
      </c>
      <c r="F2957" t="s">
        <v>910</v>
      </c>
      <c r="J2957">
        <v>488</v>
      </c>
      <c r="K2957">
        <v>472</v>
      </c>
      <c r="L2957" t="s">
        <v>303</v>
      </c>
      <c r="M2957">
        <v>488</v>
      </c>
      <c r="N2957">
        <v>472</v>
      </c>
      <c r="O2957" t="s">
        <v>303</v>
      </c>
      <c r="P2957">
        <f t="shared" si="46"/>
        <v>0</v>
      </c>
    </row>
    <row r="2958" spans="1:16" x14ac:dyDescent="0.25">
      <c r="A2958" t="s">
        <v>207</v>
      </c>
      <c r="B2958">
        <v>485.4</v>
      </c>
      <c r="C2958">
        <v>489.5</v>
      </c>
      <c r="D2958" t="s">
        <v>303</v>
      </c>
      <c r="E2958">
        <v>144</v>
      </c>
      <c r="F2958">
        <v>144</v>
      </c>
      <c r="G2958" t="s">
        <v>727</v>
      </c>
      <c r="H2958" t="s">
        <v>727</v>
      </c>
      <c r="J2958">
        <v>489.5</v>
      </c>
      <c r="K2958">
        <v>485.4</v>
      </c>
      <c r="L2958" t="s">
        <v>303</v>
      </c>
      <c r="M2958">
        <v>489.5</v>
      </c>
      <c r="N2958">
        <v>485.4</v>
      </c>
      <c r="O2958" t="s">
        <v>303</v>
      </c>
      <c r="P2958">
        <f t="shared" si="46"/>
        <v>0</v>
      </c>
    </row>
    <row r="2959" spans="1:16" x14ac:dyDescent="0.25">
      <c r="A2959" t="s">
        <v>207</v>
      </c>
      <c r="B2959">
        <v>489.5</v>
      </c>
      <c r="C2959">
        <v>494</v>
      </c>
      <c r="D2959" t="s">
        <v>303</v>
      </c>
      <c r="E2959">
        <v>144</v>
      </c>
      <c r="F2959">
        <v>144</v>
      </c>
      <c r="G2959" t="s">
        <v>727</v>
      </c>
      <c r="H2959" t="s">
        <v>727</v>
      </c>
      <c r="J2959">
        <v>494</v>
      </c>
      <c r="K2959">
        <v>489.5</v>
      </c>
      <c r="L2959" t="s">
        <v>303</v>
      </c>
      <c r="M2959">
        <v>494</v>
      </c>
      <c r="N2959">
        <v>489.5</v>
      </c>
      <c r="O2959" t="s">
        <v>303</v>
      </c>
      <c r="P2959">
        <f t="shared" si="46"/>
        <v>0</v>
      </c>
    </row>
    <row r="2960" spans="1:16" x14ac:dyDescent="0.25">
      <c r="A2960" t="s">
        <v>219</v>
      </c>
      <c r="B2960">
        <v>489.5</v>
      </c>
      <c r="C2960">
        <v>494</v>
      </c>
      <c r="D2960" t="s">
        <v>303</v>
      </c>
      <c r="E2960">
        <v>146</v>
      </c>
      <c r="F2960">
        <v>146</v>
      </c>
      <c r="G2960" t="s">
        <v>914</v>
      </c>
      <c r="H2960" t="s">
        <v>914</v>
      </c>
      <c r="J2960">
        <v>494</v>
      </c>
      <c r="K2960">
        <v>489.5</v>
      </c>
      <c r="L2960" t="s">
        <v>303</v>
      </c>
      <c r="M2960">
        <v>494</v>
      </c>
      <c r="N2960">
        <v>489.5</v>
      </c>
      <c r="O2960" t="s">
        <v>303</v>
      </c>
      <c r="P2960">
        <f t="shared" si="46"/>
        <v>0</v>
      </c>
    </row>
    <row r="2961" spans="1:16" x14ac:dyDescent="0.25">
      <c r="A2961" t="s">
        <v>669</v>
      </c>
      <c r="B2961">
        <v>485</v>
      </c>
      <c r="C2961">
        <v>497</v>
      </c>
      <c r="D2961" t="s">
        <v>303</v>
      </c>
      <c r="E2961" t="s">
        <v>910</v>
      </c>
      <c r="F2961" t="s">
        <v>910</v>
      </c>
      <c r="J2961">
        <v>497</v>
      </c>
      <c r="K2961">
        <v>485</v>
      </c>
      <c r="L2961" t="s">
        <v>303</v>
      </c>
      <c r="M2961">
        <v>497</v>
      </c>
      <c r="N2961">
        <v>485</v>
      </c>
      <c r="O2961" t="s">
        <v>303</v>
      </c>
      <c r="P2961">
        <f t="shared" si="46"/>
        <v>0</v>
      </c>
    </row>
    <row r="2962" spans="1:16" x14ac:dyDescent="0.25">
      <c r="A2962" t="s">
        <v>436</v>
      </c>
      <c r="B2962">
        <v>494</v>
      </c>
      <c r="C2962">
        <v>497</v>
      </c>
      <c r="D2962" t="s">
        <v>303</v>
      </c>
      <c r="E2962">
        <v>147</v>
      </c>
      <c r="F2962">
        <v>147</v>
      </c>
      <c r="G2962" t="s">
        <v>758</v>
      </c>
      <c r="H2962" t="s">
        <v>758</v>
      </c>
      <c r="J2962">
        <v>497</v>
      </c>
      <c r="K2962">
        <v>494</v>
      </c>
      <c r="L2962" t="s">
        <v>303</v>
      </c>
      <c r="M2962">
        <v>497</v>
      </c>
      <c r="N2962">
        <v>494</v>
      </c>
      <c r="O2962" t="s">
        <v>303</v>
      </c>
      <c r="P2962">
        <f t="shared" si="46"/>
        <v>0</v>
      </c>
    </row>
    <row r="2963" spans="1:16" x14ac:dyDescent="0.25">
      <c r="A2963" t="s">
        <v>669</v>
      </c>
      <c r="B2963">
        <v>446</v>
      </c>
      <c r="C2963">
        <v>500</v>
      </c>
      <c r="D2963" t="s">
        <v>303</v>
      </c>
      <c r="E2963" t="s">
        <v>910</v>
      </c>
      <c r="F2963" t="s">
        <v>910</v>
      </c>
      <c r="J2963">
        <v>500</v>
      </c>
      <c r="K2963">
        <v>446</v>
      </c>
      <c r="L2963" t="s">
        <v>303</v>
      </c>
      <c r="M2963">
        <v>500</v>
      </c>
      <c r="N2963">
        <v>446</v>
      </c>
      <c r="O2963" t="s">
        <v>303</v>
      </c>
      <c r="P2963">
        <f t="shared" si="46"/>
        <v>0</v>
      </c>
    </row>
    <row r="2964" spans="1:16" x14ac:dyDescent="0.25">
      <c r="A2964" t="s">
        <v>209</v>
      </c>
      <c r="B2964">
        <v>497</v>
      </c>
      <c r="C2964">
        <v>500.5</v>
      </c>
      <c r="D2964" t="s">
        <v>303</v>
      </c>
      <c r="E2964">
        <v>149</v>
      </c>
      <c r="F2964">
        <v>149</v>
      </c>
      <c r="G2964" t="s">
        <v>729</v>
      </c>
      <c r="H2964" t="s">
        <v>729</v>
      </c>
      <c r="J2964">
        <v>500.5</v>
      </c>
      <c r="K2964">
        <v>497</v>
      </c>
      <c r="L2964" t="s">
        <v>303</v>
      </c>
      <c r="M2964">
        <v>500.5</v>
      </c>
      <c r="N2964">
        <v>497</v>
      </c>
      <c r="O2964" t="s">
        <v>303</v>
      </c>
      <c r="P2964">
        <f t="shared" si="46"/>
        <v>0</v>
      </c>
    </row>
    <row r="2965" spans="1:16" x14ac:dyDescent="0.25">
      <c r="A2965" t="s">
        <v>669</v>
      </c>
      <c r="B2965">
        <v>488</v>
      </c>
      <c r="C2965">
        <v>501</v>
      </c>
      <c r="D2965" t="s">
        <v>303</v>
      </c>
      <c r="E2965" t="s">
        <v>910</v>
      </c>
      <c r="F2965" t="s">
        <v>910</v>
      </c>
      <c r="J2965">
        <v>501</v>
      </c>
      <c r="K2965">
        <v>488</v>
      </c>
      <c r="L2965" t="s">
        <v>303</v>
      </c>
      <c r="M2965">
        <v>501</v>
      </c>
      <c r="N2965">
        <v>488</v>
      </c>
      <c r="O2965" t="s">
        <v>303</v>
      </c>
      <c r="P2965">
        <f t="shared" si="46"/>
        <v>0</v>
      </c>
    </row>
    <row r="2966" spans="1:16" x14ac:dyDescent="0.25">
      <c r="A2966" t="s">
        <v>669</v>
      </c>
      <c r="B2966">
        <v>486</v>
      </c>
      <c r="C2966">
        <v>513</v>
      </c>
      <c r="D2966" t="s">
        <v>303</v>
      </c>
      <c r="E2966" t="s">
        <v>910</v>
      </c>
      <c r="F2966" t="s">
        <v>910</v>
      </c>
      <c r="J2966">
        <v>513</v>
      </c>
      <c r="K2966">
        <v>486</v>
      </c>
      <c r="L2966" t="s">
        <v>303</v>
      </c>
      <c r="M2966">
        <v>513</v>
      </c>
      <c r="N2966">
        <v>486</v>
      </c>
      <c r="O2966" t="s">
        <v>303</v>
      </c>
      <c r="P2966">
        <f t="shared" si="46"/>
        <v>0</v>
      </c>
    </row>
    <row r="2967" spans="1:16" x14ac:dyDescent="0.25">
      <c r="A2967" t="s">
        <v>669</v>
      </c>
      <c r="B2967">
        <v>488</v>
      </c>
      <c r="C2967">
        <v>521</v>
      </c>
      <c r="D2967" t="s">
        <v>303</v>
      </c>
      <c r="E2967" t="s">
        <v>910</v>
      </c>
      <c r="F2967" t="s">
        <v>910</v>
      </c>
      <c r="J2967">
        <v>521</v>
      </c>
      <c r="K2967">
        <v>488</v>
      </c>
      <c r="L2967" t="s">
        <v>303</v>
      </c>
      <c r="M2967">
        <v>521</v>
      </c>
      <c r="N2967">
        <v>488</v>
      </c>
      <c r="O2967" t="s">
        <v>303</v>
      </c>
      <c r="P2967">
        <f t="shared" si="46"/>
        <v>0</v>
      </c>
    </row>
    <row r="2968" spans="1:16" x14ac:dyDescent="0.25">
      <c r="A2968" t="s">
        <v>669</v>
      </c>
      <c r="B2968">
        <v>496</v>
      </c>
      <c r="C2968">
        <v>521</v>
      </c>
      <c r="D2968" t="s">
        <v>303</v>
      </c>
      <c r="E2968" t="s">
        <v>910</v>
      </c>
      <c r="F2968" t="s">
        <v>910</v>
      </c>
      <c r="J2968">
        <v>521</v>
      </c>
      <c r="K2968">
        <v>496</v>
      </c>
      <c r="L2968" t="s">
        <v>303</v>
      </c>
      <c r="M2968">
        <v>521</v>
      </c>
      <c r="N2968">
        <v>496</v>
      </c>
      <c r="O2968" t="s">
        <v>303</v>
      </c>
      <c r="P2968">
        <f t="shared" si="46"/>
        <v>0</v>
      </c>
    </row>
    <row r="2969" spans="1:16" x14ac:dyDescent="0.25">
      <c r="A2969" t="s">
        <v>669</v>
      </c>
      <c r="B2969">
        <v>2360</v>
      </c>
      <c r="C2969">
        <v>2410</v>
      </c>
      <c r="D2969" t="s">
        <v>857</v>
      </c>
      <c r="E2969">
        <v>5</v>
      </c>
      <c r="F2969">
        <v>5</v>
      </c>
      <c r="G2969" t="s">
        <v>684</v>
      </c>
      <c r="H2969" t="s">
        <v>684</v>
      </c>
      <c r="J2969">
        <v>2410</v>
      </c>
      <c r="K2969">
        <v>2360</v>
      </c>
      <c r="L2969" t="s">
        <v>921</v>
      </c>
      <c r="M2969">
        <v>2410</v>
      </c>
      <c r="N2969">
        <v>2360</v>
      </c>
      <c r="O2969" t="s">
        <v>921</v>
      </c>
      <c r="P2969">
        <f t="shared" si="46"/>
        <v>0</v>
      </c>
    </row>
    <row r="2970" spans="1:16" x14ac:dyDescent="0.25">
      <c r="A2970" t="s">
        <v>669</v>
      </c>
      <c r="B2970">
        <v>501</v>
      </c>
      <c r="C2970">
        <v>521</v>
      </c>
      <c r="D2970" t="s">
        <v>303</v>
      </c>
      <c r="E2970" t="s">
        <v>910</v>
      </c>
      <c r="F2970" t="s">
        <v>910</v>
      </c>
      <c r="J2970">
        <v>521</v>
      </c>
      <c r="K2970">
        <v>501</v>
      </c>
      <c r="L2970" t="s">
        <v>303</v>
      </c>
      <c r="M2970">
        <v>521</v>
      </c>
      <c r="N2970">
        <v>501</v>
      </c>
      <c r="O2970" t="s">
        <v>303</v>
      </c>
      <c r="P2970">
        <f t="shared" si="46"/>
        <v>0</v>
      </c>
    </row>
    <row r="2971" spans="1:16" x14ac:dyDescent="0.25">
      <c r="A2971" t="s">
        <v>669</v>
      </c>
      <c r="B2971">
        <v>503</v>
      </c>
      <c r="C2971">
        <v>521</v>
      </c>
      <c r="D2971" t="s">
        <v>303</v>
      </c>
      <c r="E2971" t="s">
        <v>910</v>
      </c>
      <c r="F2971" t="s">
        <v>910</v>
      </c>
      <c r="J2971">
        <v>521</v>
      </c>
      <c r="K2971">
        <v>503</v>
      </c>
      <c r="L2971" t="s">
        <v>303</v>
      </c>
      <c r="M2971">
        <v>521</v>
      </c>
      <c r="N2971">
        <v>503</v>
      </c>
      <c r="O2971" t="s">
        <v>303</v>
      </c>
      <c r="P2971">
        <f t="shared" si="46"/>
        <v>0</v>
      </c>
    </row>
    <row r="2972" spans="1:16" x14ac:dyDescent="0.25">
      <c r="A2972" t="s">
        <v>669</v>
      </c>
      <c r="B2972">
        <v>2360</v>
      </c>
      <c r="C2972">
        <v>2697</v>
      </c>
      <c r="D2972" t="s">
        <v>866</v>
      </c>
      <c r="E2972">
        <v>5</v>
      </c>
      <c r="F2972">
        <v>5</v>
      </c>
      <c r="G2972" t="s">
        <v>684</v>
      </c>
      <c r="H2972" t="s">
        <v>684</v>
      </c>
      <c r="J2972">
        <v>2697</v>
      </c>
      <c r="K2972">
        <v>2360</v>
      </c>
      <c r="L2972" t="s">
        <v>920</v>
      </c>
      <c r="M2972">
        <v>2697</v>
      </c>
      <c r="N2972">
        <v>2360</v>
      </c>
      <c r="O2972" t="s">
        <v>920</v>
      </c>
      <c r="P2972">
        <f t="shared" si="46"/>
        <v>0</v>
      </c>
    </row>
    <row r="2973" spans="1:16" x14ac:dyDescent="0.25">
      <c r="A2973" t="s">
        <v>204</v>
      </c>
      <c r="B2973" t="s">
        <v>669</v>
      </c>
      <c r="C2973">
        <v>538.1</v>
      </c>
      <c r="D2973" t="s">
        <v>860</v>
      </c>
      <c r="E2973">
        <v>111</v>
      </c>
      <c r="F2973">
        <v>111</v>
      </c>
      <c r="G2973" t="s">
        <v>724</v>
      </c>
      <c r="H2973" t="s">
        <v>724</v>
      </c>
      <c r="J2973">
        <v>538.1</v>
      </c>
      <c r="L2973" t="s">
        <v>303</v>
      </c>
      <c r="M2973">
        <v>538.1</v>
      </c>
      <c r="O2973" t="s">
        <v>303</v>
      </c>
      <c r="P2973">
        <f t="shared" si="46"/>
        <v>0</v>
      </c>
    </row>
    <row r="2974" spans="1:16" x14ac:dyDescent="0.25">
      <c r="A2974" t="s">
        <v>213</v>
      </c>
      <c r="B2974">
        <v>2484</v>
      </c>
      <c r="C2974">
        <v>2499</v>
      </c>
      <c r="D2974" t="s">
        <v>873</v>
      </c>
      <c r="E2974">
        <v>5</v>
      </c>
      <c r="F2974">
        <v>5</v>
      </c>
      <c r="G2974" t="s">
        <v>684</v>
      </c>
      <c r="H2974" t="s">
        <v>684</v>
      </c>
      <c r="J2974">
        <v>2499</v>
      </c>
      <c r="K2974">
        <v>2484</v>
      </c>
      <c r="L2974" t="s">
        <v>921</v>
      </c>
      <c r="M2974">
        <v>2499</v>
      </c>
      <c r="N2974">
        <v>2484</v>
      </c>
      <c r="O2974" t="s">
        <v>921</v>
      </c>
      <c r="P2974">
        <f t="shared" si="46"/>
        <v>0</v>
      </c>
    </row>
    <row r="2975" spans="1:16" x14ac:dyDescent="0.25">
      <c r="A2975" t="s">
        <v>669</v>
      </c>
      <c r="B2975">
        <v>2500</v>
      </c>
      <c r="C2975">
        <v>2500</v>
      </c>
      <c r="D2975" t="s">
        <v>857</v>
      </c>
      <c r="E2975">
        <v>5</v>
      </c>
      <c r="F2975">
        <v>5</v>
      </c>
      <c r="G2975" t="s">
        <v>684</v>
      </c>
      <c r="H2975" t="s">
        <v>684</v>
      </c>
      <c r="J2975">
        <v>2500</v>
      </c>
      <c r="K2975">
        <v>2500</v>
      </c>
      <c r="L2975" t="s">
        <v>921</v>
      </c>
      <c r="M2975">
        <v>2500</v>
      </c>
      <c r="N2975">
        <v>2500</v>
      </c>
      <c r="O2975" t="s">
        <v>921</v>
      </c>
      <c r="P2975">
        <f t="shared" si="46"/>
        <v>0</v>
      </c>
    </row>
    <row r="2976" spans="1:16" x14ac:dyDescent="0.25">
      <c r="A2976" t="s">
        <v>669</v>
      </c>
      <c r="B2976">
        <v>2.5</v>
      </c>
      <c r="C2976">
        <v>3.5</v>
      </c>
      <c r="D2976" t="s">
        <v>864</v>
      </c>
      <c r="E2976">
        <v>5</v>
      </c>
      <c r="F2976">
        <v>5</v>
      </c>
      <c r="G2976" t="s">
        <v>684</v>
      </c>
      <c r="H2976" t="s">
        <v>684</v>
      </c>
      <c r="J2976">
        <v>3500</v>
      </c>
      <c r="K2976">
        <v>2500</v>
      </c>
      <c r="L2976" t="s">
        <v>931</v>
      </c>
      <c r="M2976">
        <v>3.5</v>
      </c>
      <c r="N2976">
        <v>2.5</v>
      </c>
      <c r="O2976" t="s">
        <v>862</v>
      </c>
      <c r="P2976">
        <f t="shared" si="46"/>
        <v>0</v>
      </c>
    </row>
    <row r="2977" spans="1:16" x14ac:dyDescent="0.25">
      <c r="A2977" t="s">
        <v>669</v>
      </c>
      <c r="B2977">
        <v>2712</v>
      </c>
      <c r="C2977" t="s">
        <v>669</v>
      </c>
      <c r="D2977" t="s">
        <v>865</v>
      </c>
      <c r="E2977" t="s">
        <v>910</v>
      </c>
      <c r="F2977">
        <v>5</v>
      </c>
      <c r="H2977" t="s">
        <v>684</v>
      </c>
      <c r="K2977">
        <v>2712</v>
      </c>
      <c r="L2977" t="s">
        <v>920</v>
      </c>
      <c r="N2977">
        <v>2712</v>
      </c>
      <c r="O2977" t="s">
        <v>931</v>
      </c>
      <c r="P2977">
        <f t="shared" si="46"/>
        <v>0</v>
      </c>
    </row>
    <row r="2978" spans="1:16" x14ac:dyDescent="0.25">
      <c r="A2978" t="s">
        <v>669</v>
      </c>
      <c r="B2978">
        <v>2752</v>
      </c>
      <c r="C2978" t="s">
        <v>669</v>
      </c>
      <c r="D2978" t="s">
        <v>865</v>
      </c>
      <c r="E2978" t="s">
        <v>910</v>
      </c>
      <c r="F2978">
        <v>5</v>
      </c>
      <c r="H2978" t="s">
        <v>684</v>
      </c>
      <c r="K2978">
        <v>2752</v>
      </c>
      <c r="L2978" t="s">
        <v>920</v>
      </c>
      <c r="N2978">
        <v>2752</v>
      </c>
      <c r="O2978" t="s">
        <v>931</v>
      </c>
      <c r="P2978">
        <f t="shared" si="46"/>
        <v>0</v>
      </c>
    </row>
    <row r="2979" spans="1:16" x14ac:dyDescent="0.25">
      <c r="A2979" t="s">
        <v>669</v>
      </c>
      <c r="B2979">
        <v>2757</v>
      </c>
      <c r="C2979">
        <v>2849</v>
      </c>
      <c r="D2979" t="s">
        <v>866</v>
      </c>
      <c r="E2979">
        <v>5</v>
      </c>
      <c r="F2979">
        <v>5</v>
      </c>
      <c r="G2979" t="s">
        <v>684</v>
      </c>
      <c r="H2979" t="s">
        <v>684</v>
      </c>
      <c r="J2979">
        <v>2849</v>
      </c>
      <c r="K2979">
        <v>2757</v>
      </c>
      <c r="L2979" t="s">
        <v>920</v>
      </c>
      <c r="M2979">
        <v>2849</v>
      </c>
      <c r="N2979">
        <v>2757</v>
      </c>
      <c r="O2979" t="s">
        <v>920</v>
      </c>
      <c r="P2979">
        <f t="shared" si="46"/>
        <v>0</v>
      </c>
    </row>
    <row r="2980" spans="1:16" x14ac:dyDescent="0.25">
      <c r="A2980" t="s">
        <v>669</v>
      </c>
      <c r="B2980">
        <v>2776</v>
      </c>
      <c r="C2980">
        <v>2863</v>
      </c>
      <c r="D2980" t="s">
        <v>866</v>
      </c>
      <c r="E2980">
        <v>5</v>
      </c>
      <c r="F2980">
        <v>5</v>
      </c>
      <c r="G2980" t="s">
        <v>684</v>
      </c>
      <c r="H2980" t="s">
        <v>684</v>
      </c>
      <c r="J2980">
        <v>2863</v>
      </c>
      <c r="K2980">
        <v>2776</v>
      </c>
      <c r="L2980" t="s">
        <v>920</v>
      </c>
      <c r="M2980">
        <v>2863</v>
      </c>
      <c r="N2980">
        <v>2776</v>
      </c>
      <c r="O2980" t="s">
        <v>920</v>
      </c>
      <c r="P2980">
        <f t="shared" si="46"/>
        <v>0</v>
      </c>
    </row>
    <row r="2981" spans="1:16" x14ac:dyDescent="0.25">
      <c r="A2981" t="s">
        <v>369</v>
      </c>
      <c r="B2981">
        <v>470</v>
      </c>
      <c r="C2981">
        <v>540</v>
      </c>
      <c r="D2981" t="s">
        <v>860</v>
      </c>
      <c r="E2981">
        <v>143</v>
      </c>
      <c r="F2981">
        <v>137</v>
      </c>
      <c r="G2981" t="s">
        <v>718</v>
      </c>
      <c r="H2981" t="s">
        <v>815</v>
      </c>
      <c r="J2981">
        <v>540</v>
      </c>
      <c r="K2981">
        <v>470</v>
      </c>
      <c r="L2981" t="s">
        <v>303</v>
      </c>
      <c r="M2981">
        <v>540</v>
      </c>
      <c r="N2981">
        <v>470</v>
      </c>
      <c r="O2981" t="s">
        <v>303</v>
      </c>
      <c r="P2981">
        <f t="shared" si="46"/>
        <v>0</v>
      </c>
    </row>
    <row r="2982" spans="1:16" x14ac:dyDescent="0.25">
      <c r="A2982" t="s">
        <v>213</v>
      </c>
      <c r="B2982">
        <v>2800</v>
      </c>
      <c r="C2982">
        <v>2800</v>
      </c>
      <c r="D2982" t="s">
        <v>857</v>
      </c>
      <c r="E2982">
        <v>5</v>
      </c>
      <c r="F2982">
        <v>5</v>
      </c>
      <c r="G2982" t="s">
        <v>684</v>
      </c>
      <c r="H2982" t="s">
        <v>684</v>
      </c>
      <c r="J2982">
        <v>2800</v>
      </c>
      <c r="K2982">
        <v>2800</v>
      </c>
      <c r="L2982" t="s">
        <v>921</v>
      </c>
      <c r="M2982">
        <v>2800</v>
      </c>
      <c r="N2982">
        <v>2800</v>
      </c>
      <c r="O2982" t="s">
        <v>921</v>
      </c>
      <c r="P2982">
        <f t="shared" si="46"/>
        <v>0</v>
      </c>
    </row>
    <row r="2983" spans="1:16" x14ac:dyDescent="0.25">
      <c r="A2983" t="s">
        <v>669</v>
      </c>
      <c r="B2983">
        <v>2839</v>
      </c>
      <c r="C2983" t="s">
        <v>669</v>
      </c>
      <c r="D2983" t="s">
        <v>865</v>
      </c>
      <c r="E2983" t="s">
        <v>910</v>
      </c>
      <c r="F2983">
        <v>5</v>
      </c>
      <c r="H2983" t="s">
        <v>684</v>
      </c>
      <c r="K2983">
        <v>2839</v>
      </c>
      <c r="L2983" t="s">
        <v>920</v>
      </c>
      <c r="N2983">
        <v>2839</v>
      </c>
      <c r="O2983" t="s">
        <v>931</v>
      </c>
      <c r="P2983">
        <f t="shared" si="46"/>
        <v>0</v>
      </c>
    </row>
    <row r="2984" spans="1:16" x14ac:dyDescent="0.25">
      <c r="A2984" t="s">
        <v>669</v>
      </c>
      <c r="B2984">
        <v>2865</v>
      </c>
      <c r="C2984">
        <v>2964</v>
      </c>
      <c r="D2984" t="s">
        <v>866</v>
      </c>
      <c r="E2984">
        <v>5</v>
      </c>
      <c r="F2984">
        <v>5</v>
      </c>
      <c r="G2984" t="s">
        <v>684</v>
      </c>
      <c r="H2984" t="s">
        <v>684</v>
      </c>
      <c r="J2984">
        <v>2964</v>
      </c>
      <c r="K2984">
        <v>2865</v>
      </c>
      <c r="L2984" t="s">
        <v>920</v>
      </c>
      <c r="M2984">
        <v>2964</v>
      </c>
      <c r="N2984">
        <v>2865</v>
      </c>
      <c r="O2984" t="s">
        <v>920</v>
      </c>
      <c r="P2984">
        <f t="shared" si="46"/>
        <v>0</v>
      </c>
    </row>
    <row r="2985" spans="1:16" x14ac:dyDescent="0.25">
      <c r="A2985" t="s">
        <v>669</v>
      </c>
      <c r="B2985">
        <v>2881</v>
      </c>
      <c r="C2985">
        <v>3064</v>
      </c>
      <c r="D2985" t="s">
        <v>866</v>
      </c>
      <c r="E2985">
        <v>5</v>
      </c>
      <c r="F2985">
        <v>5</v>
      </c>
      <c r="G2985" t="s">
        <v>684</v>
      </c>
      <c r="H2985" t="s">
        <v>684</v>
      </c>
      <c r="J2985">
        <v>3064</v>
      </c>
      <c r="K2985">
        <v>2881</v>
      </c>
      <c r="L2985" t="s">
        <v>920</v>
      </c>
      <c r="M2985">
        <v>3064</v>
      </c>
      <c r="N2985">
        <v>2881</v>
      </c>
      <c r="O2985" t="s">
        <v>920</v>
      </c>
      <c r="P2985">
        <f t="shared" si="46"/>
        <v>0</v>
      </c>
    </row>
    <row r="2986" spans="1:16" x14ac:dyDescent="0.25">
      <c r="A2986" t="s">
        <v>213</v>
      </c>
      <c r="B2986">
        <v>2897</v>
      </c>
      <c r="C2986">
        <v>2909</v>
      </c>
      <c r="D2986" t="s">
        <v>873</v>
      </c>
      <c r="E2986">
        <v>5</v>
      </c>
      <c r="F2986">
        <v>5</v>
      </c>
      <c r="G2986" t="s">
        <v>684</v>
      </c>
      <c r="H2986" t="s">
        <v>684</v>
      </c>
      <c r="J2986">
        <v>2909</v>
      </c>
      <c r="K2986">
        <v>2897</v>
      </c>
      <c r="L2986" t="s">
        <v>921</v>
      </c>
      <c r="M2986">
        <v>2909</v>
      </c>
      <c r="N2986">
        <v>2897</v>
      </c>
      <c r="O2986" t="s">
        <v>921</v>
      </c>
      <c r="P2986">
        <f t="shared" si="46"/>
        <v>0</v>
      </c>
    </row>
    <row r="2987" spans="1:16" x14ac:dyDescent="0.25">
      <c r="A2987" t="s">
        <v>669</v>
      </c>
      <c r="B2987">
        <v>2997</v>
      </c>
      <c r="C2987" t="s">
        <v>669</v>
      </c>
      <c r="D2987" t="s">
        <v>865</v>
      </c>
      <c r="E2987" t="s">
        <v>910</v>
      </c>
      <c r="F2987">
        <v>5</v>
      </c>
      <c r="H2987" t="s">
        <v>684</v>
      </c>
      <c r="K2987">
        <v>2997</v>
      </c>
      <c r="L2987" t="s">
        <v>920</v>
      </c>
      <c r="N2987">
        <v>2997</v>
      </c>
      <c r="O2987" t="s">
        <v>931</v>
      </c>
      <c r="P2987">
        <f t="shared" si="46"/>
        <v>0</v>
      </c>
    </row>
    <row r="2988" spans="1:16" x14ac:dyDescent="0.25">
      <c r="A2988" t="s">
        <v>669</v>
      </c>
      <c r="B2988">
        <v>520</v>
      </c>
      <c r="C2988">
        <v>540</v>
      </c>
      <c r="D2988" t="s">
        <v>669</v>
      </c>
      <c r="E2988">
        <v>143</v>
      </c>
      <c r="F2988">
        <v>143</v>
      </c>
      <c r="G2988" t="s">
        <v>718</v>
      </c>
      <c r="H2988" t="s">
        <v>718</v>
      </c>
      <c r="I2988" t="s">
        <v>927</v>
      </c>
      <c r="J2988">
        <v>540</v>
      </c>
      <c r="K2988">
        <v>520</v>
      </c>
      <c r="L2988" t="s">
        <v>930</v>
      </c>
      <c r="M2988">
        <v>540</v>
      </c>
      <c r="N2988">
        <v>520</v>
      </c>
      <c r="P2988">
        <f t="shared" si="46"/>
        <v>14</v>
      </c>
    </row>
    <row r="2989" spans="1:16" x14ac:dyDescent="0.25">
      <c r="A2989" t="s">
        <v>669</v>
      </c>
      <c r="B2989">
        <v>485</v>
      </c>
      <c r="C2989">
        <v>541</v>
      </c>
      <c r="D2989" t="s">
        <v>303</v>
      </c>
      <c r="E2989" t="s">
        <v>910</v>
      </c>
      <c r="F2989" t="s">
        <v>910</v>
      </c>
      <c r="J2989">
        <v>541</v>
      </c>
      <c r="K2989">
        <v>485</v>
      </c>
      <c r="L2989" t="s">
        <v>303</v>
      </c>
      <c r="M2989">
        <v>541</v>
      </c>
      <c r="N2989">
        <v>485</v>
      </c>
      <c r="O2989" t="s">
        <v>303</v>
      </c>
      <c r="P2989">
        <f t="shared" si="46"/>
        <v>0</v>
      </c>
    </row>
    <row r="2990" spans="1:16" x14ac:dyDescent="0.25">
      <c r="A2990" t="s">
        <v>669</v>
      </c>
      <c r="B2990">
        <v>3000</v>
      </c>
      <c r="C2990">
        <v>3000</v>
      </c>
      <c r="D2990" t="s">
        <v>857</v>
      </c>
      <c r="E2990">
        <v>5</v>
      </c>
      <c r="F2990">
        <v>5</v>
      </c>
      <c r="G2990" t="s">
        <v>684</v>
      </c>
      <c r="H2990" t="s">
        <v>684</v>
      </c>
      <c r="J2990">
        <v>3000</v>
      </c>
      <c r="K2990">
        <v>3000</v>
      </c>
      <c r="L2990" t="s">
        <v>921</v>
      </c>
      <c r="M2990">
        <v>3000</v>
      </c>
      <c r="N2990">
        <v>3000</v>
      </c>
      <c r="O2990" t="s">
        <v>921</v>
      </c>
      <c r="P2990">
        <f t="shared" si="46"/>
        <v>0</v>
      </c>
    </row>
    <row r="2991" spans="1:16" x14ac:dyDescent="0.25">
      <c r="A2991" t="s">
        <v>460</v>
      </c>
      <c r="B2991">
        <v>251</v>
      </c>
      <c r="C2991">
        <v>542</v>
      </c>
      <c r="D2991" t="s">
        <v>303</v>
      </c>
      <c r="E2991">
        <v>79</v>
      </c>
      <c r="F2991">
        <v>79</v>
      </c>
      <c r="G2991" t="s">
        <v>720</v>
      </c>
      <c r="H2991" t="s">
        <v>720</v>
      </c>
      <c r="J2991">
        <v>542</v>
      </c>
      <c r="K2991">
        <v>251</v>
      </c>
      <c r="L2991" t="s">
        <v>303</v>
      </c>
      <c r="M2991">
        <v>542</v>
      </c>
      <c r="N2991">
        <v>251</v>
      </c>
      <c r="O2991" t="s">
        <v>303</v>
      </c>
      <c r="P2991">
        <f t="shared" si="46"/>
        <v>0</v>
      </c>
    </row>
    <row r="2992" spans="1:16" x14ac:dyDescent="0.25">
      <c r="A2992" t="s">
        <v>213</v>
      </c>
      <c r="B2992">
        <v>3</v>
      </c>
      <c r="C2992">
        <v>5.2</v>
      </c>
      <c r="D2992" t="s">
        <v>862</v>
      </c>
      <c r="E2992">
        <v>4</v>
      </c>
      <c r="F2992">
        <v>4</v>
      </c>
      <c r="G2992" t="s">
        <v>701</v>
      </c>
      <c r="H2992" t="s">
        <v>701</v>
      </c>
      <c r="J2992">
        <v>5200</v>
      </c>
      <c r="K2992">
        <v>3000</v>
      </c>
      <c r="L2992" t="s">
        <v>931</v>
      </c>
      <c r="M2992">
        <v>5.2</v>
      </c>
      <c r="N2992">
        <v>3</v>
      </c>
      <c r="O2992" t="s">
        <v>862</v>
      </c>
      <c r="P2992">
        <f t="shared" si="46"/>
        <v>0</v>
      </c>
    </row>
    <row r="2993" spans="1:16" x14ac:dyDescent="0.25">
      <c r="A2993" t="s">
        <v>669</v>
      </c>
      <c r="B2993">
        <v>251</v>
      </c>
      <c r="C2993">
        <v>542</v>
      </c>
      <c r="D2993" t="s">
        <v>303</v>
      </c>
      <c r="E2993" t="s">
        <v>910</v>
      </c>
      <c r="F2993" t="s">
        <v>910</v>
      </c>
      <c r="J2993">
        <v>542</v>
      </c>
      <c r="K2993">
        <v>251</v>
      </c>
      <c r="L2993" t="s">
        <v>303</v>
      </c>
      <c r="M2993">
        <v>542</v>
      </c>
      <c r="N2993">
        <v>251</v>
      </c>
      <c r="O2993" t="s">
        <v>303</v>
      </c>
      <c r="P2993">
        <f t="shared" si="46"/>
        <v>0</v>
      </c>
    </row>
    <row r="2994" spans="1:16" x14ac:dyDescent="0.25">
      <c r="A2994" t="s">
        <v>669</v>
      </c>
      <c r="B2994">
        <v>359</v>
      </c>
      <c r="C2994">
        <v>542</v>
      </c>
      <c r="D2994" t="s">
        <v>303</v>
      </c>
      <c r="E2994" t="s">
        <v>910</v>
      </c>
      <c r="F2994" t="s">
        <v>910</v>
      </c>
      <c r="J2994">
        <v>542</v>
      </c>
      <c r="K2994">
        <v>359</v>
      </c>
      <c r="L2994" t="s">
        <v>303</v>
      </c>
      <c r="M2994">
        <v>542</v>
      </c>
      <c r="N2994">
        <v>359</v>
      </c>
      <c r="O2994" t="s">
        <v>303</v>
      </c>
      <c r="P2994">
        <f t="shared" si="46"/>
        <v>0</v>
      </c>
    </row>
    <row r="2995" spans="1:16" x14ac:dyDescent="0.25">
      <c r="A2995" t="s">
        <v>669</v>
      </c>
      <c r="B2995">
        <v>3</v>
      </c>
      <c r="C2995" t="s">
        <v>669</v>
      </c>
      <c r="D2995" t="s">
        <v>864</v>
      </c>
      <c r="E2995">
        <v>5</v>
      </c>
      <c r="F2995">
        <v>5</v>
      </c>
      <c r="G2995" t="s">
        <v>684</v>
      </c>
      <c r="H2995" t="s">
        <v>684</v>
      </c>
      <c r="K2995">
        <v>3000</v>
      </c>
      <c r="L2995" t="s">
        <v>931</v>
      </c>
      <c r="N2995">
        <v>3</v>
      </c>
      <c r="O2995" t="s">
        <v>862</v>
      </c>
      <c r="P2995">
        <f t="shared" si="46"/>
        <v>0</v>
      </c>
    </row>
    <row r="2996" spans="1:16" x14ac:dyDescent="0.25">
      <c r="A2996" t="s">
        <v>669</v>
      </c>
      <c r="B2996">
        <v>3</v>
      </c>
      <c r="C2996" t="s">
        <v>669</v>
      </c>
      <c r="D2996" t="s">
        <v>862</v>
      </c>
      <c r="E2996">
        <v>5</v>
      </c>
      <c r="F2996">
        <v>5</v>
      </c>
      <c r="G2996" t="s">
        <v>684</v>
      </c>
      <c r="H2996" t="s">
        <v>684</v>
      </c>
      <c r="K2996">
        <v>3000</v>
      </c>
      <c r="L2996" t="s">
        <v>931</v>
      </c>
      <c r="N2996">
        <v>3</v>
      </c>
      <c r="O2996" t="s">
        <v>862</v>
      </c>
      <c r="P2996">
        <f t="shared" si="46"/>
        <v>0</v>
      </c>
    </row>
    <row r="2997" spans="1:16" x14ac:dyDescent="0.25">
      <c r="A2997" t="s">
        <v>669</v>
      </c>
      <c r="B2997">
        <v>444</v>
      </c>
      <c r="C2997">
        <v>542</v>
      </c>
      <c r="D2997" t="s">
        <v>303</v>
      </c>
      <c r="E2997" t="s">
        <v>910</v>
      </c>
      <c r="F2997" t="s">
        <v>910</v>
      </c>
      <c r="J2997">
        <v>542</v>
      </c>
      <c r="K2997">
        <v>444</v>
      </c>
      <c r="L2997" t="s">
        <v>303</v>
      </c>
      <c r="M2997">
        <v>542</v>
      </c>
      <c r="N2997">
        <v>444</v>
      </c>
      <c r="O2997" t="s">
        <v>303</v>
      </c>
      <c r="P2997">
        <f t="shared" si="46"/>
        <v>0</v>
      </c>
    </row>
    <row r="2998" spans="1:16" x14ac:dyDescent="0.25">
      <c r="A2998" t="s">
        <v>669</v>
      </c>
      <c r="B2998">
        <v>3042</v>
      </c>
      <c r="C2998" t="s">
        <v>669</v>
      </c>
      <c r="D2998" t="s">
        <v>865</v>
      </c>
      <c r="E2998" t="s">
        <v>910</v>
      </c>
      <c r="F2998">
        <v>5</v>
      </c>
      <c r="H2998" t="s">
        <v>684</v>
      </c>
      <c r="K2998">
        <v>3042</v>
      </c>
      <c r="L2998" t="s">
        <v>920</v>
      </c>
      <c r="N2998">
        <v>3042</v>
      </c>
      <c r="O2998" t="s">
        <v>931</v>
      </c>
      <c r="P2998">
        <f t="shared" si="46"/>
        <v>0</v>
      </c>
    </row>
    <row r="2999" spans="1:16" x14ac:dyDescent="0.25">
      <c r="A2999" t="s">
        <v>464</v>
      </c>
      <c r="B2999">
        <v>488</v>
      </c>
      <c r="C2999">
        <v>542</v>
      </c>
      <c r="D2999" t="s">
        <v>303</v>
      </c>
      <c r="E2999">
        <v>143</v>
      </c>
      <c r="F2999">
        <v>143</v>
      </c>
      <c r="G2999" t="s">
        <v>718</v>
      </c>
      <c r="H2999" t="s">
        <v>718</v>
      </c>
      <c r="J2999">
        <v>542</v>
      </c>
      <c r="K2999">
        <v>488</v>
      </c>
      <c r="L2999" t="s">
        <v>303</v>
      </c>
      <c r="M2999">
        <v>542</v>
      </c>
      <c r="N2999">
        <v>488</v>
      </c>
      <c r="O2999" t="s">
        <v>303</v>
      </c>
      <c r="P2999">
        <f t="shared" si="46"/>
        <v>0</v>
      </c>
    </row>
    <row r="3000" spans="1:16" x14ac:dyDescent="0.25">
      <c r="A3000" t="s">
        <v>669</v>
      </c>
      <c r="B3000">
        <v>3068</v>
      </c>
      <c r="C3000" t="s">
        <v>669</v>
      </c>
      <c r="D3000" t="s">
        <v>865</v>
      </c>
      <c r="E3000" t="s">
        <v>910</v>
      </c>
      <c r="F3000">
        <v>5</v>
      </c>
      <c r="H3000" t="s">
        <v>684</v>
      </c>
      <c r="K3000">
        <v>3068</v>
      </c>
      <c r="L3000" t="s">
        <v>920</v>
      </c>
      <c r="N3000">
        <v>3068</v>
      </c>
      <c r="O3000" t="s">
        <v>931</v>
      </c>
      <c r="P3000">
        <f t="shared" si="46"/>
        <v>0</v>
      </c>
    </row>
    <row r="3001" spans="1:16" x14ac:dyDescent="0.25">
      <c r="A3001" t="s">
        <v>578</v>
      </c>
      <c r="B3001">
        <v>3.2100000000000002E-3</v>
      </c>
      <c r="C3001">
        <v>3.3700000000000002E-3</v>
      </c>
      <c r="D3001" t="s">
        <v>669</v>
      </c>
      <c r="E3001">
        <v>5</v>
      </c>
      <c r="F3001">
        <v>5</v>
      </c>
      <c r="G3001" t="s">
        <v>684</v>
      </c>
      <c r="H3001" t="s">
        <v>684</v>
      </c>
      <c r="I3001" t="s">
        <v>927</v>
      </c>
      <c r="J3001">
        <v>3370</v>
      </c>
      <c r="K3001">
        <v>3210</v>
      </c>
      <c r="L3001" t="s">
        <v>921</v>
      </c>
      <c r="M3001">
        <v>3.3700000000000002E-3</v>
      </c>
      <c r="N3001">
        <v>3.2100000000000002E-3</v>
      </c>
      <c r="P3001">
        <f t="shared" si="46"/>
        <v>14</v>
      </c>
    </row>
    <row r="3002" spans="1:16" x14ac:dyDescent="0.25">
      <c r="A3002" t="s">
        <v>213</v>
      </c>
      <c r="B3002">
        <v>3228</v>
      </c>
      <c r="C3002">
        <v>3242</v>
      </c>
      <c r="D3002" t="s">
        <v>873</v>
      </c>
      <c r="E3002">
        <v>5</v>
      </c>
      <c r="F3002">
        <v>5</v>
      </c>
      <c r="G3002" t="s">
        <v>684</v>
      </c>
      <c r="H3002" t="s">
        <v>684</v>
      </c>
      <c r="J3002">
        <v>3242</v>
      </c>
      <c r="K3002">
        <v>3228</v>
      </c>
      <c r="L3002" t="s">
        <v>921</v>
      </c>
      <c r="M3002">
        <v>3242</v>
      </c>
      <c r="N3002">
        <v>3228</v>
      </c>
      <c r="O3002" t="s">
        <v>921</v>
      </c>
      <c r="P3002">
        <f t="shared" si="46"/>
        <v>0</v>
      </c>
    </row>
    <row r="3003" spans="1:16" x14ac:dyDescent="0.25">
      <c r="A3003" t="s">
        <v>669</v>
      </c>
      <c r="B3003">
        <v>3336</v>
      </c>
      <c r="C3003" t="s">
        <v>669</v>
      </c>
      <c r="D3003" t="s">
        <v>865</v>
      </c>
      <c r="E3003" t="s">
        <v>910</v>
      </c>
      <c r="F3003">
        <v>5</v>
      </c>
      <c r="H3003" t="s">
        <v>684</v>
      </c>
      <c r="K3003">
        <v>3336</v>
      </c>
      <c r="L3003" t="s">
        <v>920</v>
      </c>
      <c r="N3003">
        <v>3336</v>
      </c>
      <c r="O3003" t="s">
        <v>931</v>
      </c>
      <c r="P3003">
        <f t="shared" si="46"/>
        <v>0</v>
      </c>
    </row>
    <row r="3004" spans="1:16" x14ac:dyDescent="0.25">
      <c r="A3004" t="s">
        <v>213</v>
      </c>
      <c r="B3004">
        <v>3382</v>
      </c>
      <c r="C3004">
        <v>3407</v>
      </c>
      <c r="D3004" t="s">
        <v>873</v>
      </c>
      <c r="E3004">
        <v>5</v>
      </c>
      <c r="F3004">
        <v>5</v>
      </c>
      <c r="G3004" t="s">
        <v>684</v>
      </c>
      <c r="H3004" t="s">
        <v>684</v>
      </c>
      <c r="J3004">
        <v>3407</v>
      </c>
      <c r="K3004">
        <v>3382</v>
      </c>
      <c r="L3004" t="s">
        <v>921</v>
      </c>
      <c r="M3004">
        <v>3407</v>
      </c>
      <c r="N3004">
        <v>3382</v>
      </c>
      <c r="O3004" t="s">
        <v>921</v>
      </c>
      <c r="P3004">
        <f t="shared" si="46"/>
        <v>0</v>
      </c>
    </row>
    <row r="3005" spans="1:16" x14ac:dyDescent="0.25">
      <c r="A3005" t="s">
        <v>669</v>
      </c>
      <c r="B3005">
        <v>3407</v>
      </c>
      <c r="C3005" t="s">
        <v>669</v>
      </c>
      <c r="D3005" t="s">
        <v>865</v>
      </c>
      <c r="E3005" t="s">
        <v>910</v>
      </c>
      <c r="F3005">
        <v>5</v>
      </c>
      <c r="H3005" t="s">
        <v>684</v>
      </c>
      <c r="K3005">
        <v>3407</v>
      </c>
      <c r="L3005" t="s">
        <v>920</v>
      </c>
      <c r="N3005">
        <v>3407</v>
      </c>
      <c r="O3005" t="s">
        <v>931</v>
      </c>
      <c r="P3005">
        <f t="shared" si="46"/>
        <v>0</v>
      </c>
    </row>
    <row r="3006" spans="1:16" x14ac:dyDescent="0.25">
      <c r="A3006" t="s">
        <v>669</v>
      </c>
      <c r="B3006">
        <v>3467</v>
      </c>
      <c r="C3006" t="s">
        <v>669</v>
      </c>
      <c r="D3006" t="s">
        <v>865</v>
      </c>
      <c r="E3006" t="s">
        <v>910</v>
      </c>
      <c r="F3006">
        <v>5</v>
      </c>
      <c r="H3006" t="s">
        <v>684</v>
      </c>
      <c r="K3006">
        <v>3467</v>
      </c>
      <c r="L3006" t="s">
        <v>920</v>
      </c>
      <c r="N3006">
        <v>3467</v>
      </c>
      <c r="O3006" t="s">
        <v>931</v>
      </c>
      <c r="P3006">
        <f t="shared" si="46"/>
        <v>0</v>
      </c>
    </row>
    <row r="3007" spans="1:16" x14ac:dyDescent="0.25">
      <c r="A3007" t="s">
        <v>669</v>
      </c>
      <c r="B3007">
        <v>3480</v>
      </c>
      <c r="C3007" t="s">
        <v>669</v>
      </c>
      <c r="D3007" t="s">
        <v>865</v>
      </c>
      <c r="E3007" t="s">
        <v>910</v>
      </c>
      <c r="F3007">
        <v>5</v>
      </c>
      <c r="H3007" t="s">
        <v>684</v>
      </c>
      <c r="K3007">
        <v>3480</v>
      </c>
      <c r="L3007" t="s">
        <v>920</v>
      </c>
      <c r="N3007">
        <v>3480</v>
      </c>
      <c r="O3007" t="s">
        <v>931</v>
      </c>
      <c r="P3007">
        <f t="shared" si="46"/>
        <v>0</v>
      </c>
    </row>
    <row r="3008" spans="1:16" x14ac:dyDescent="0.25">
      <c r="A3008" t="s">
        <v>669</v>
      </c>
      <c r="B3008">
        <v>3536</v>
      </c>
      <c r="C3008" t="s">
        <v>669</v>
      </c>
      <c r="D3008" t="s">
        <v>865</v>
      </c>
      <c r="E3008" t="s">
        <v>910</v>
      </c>
      <c r="F3008">
        <v>5</v>
      </c>
      <c r="H3008" t="s">
        <v>684</v>
      </c>
      <c r="K3008">
        <v>3536</v>
      </c>
      <c r="L3008" t="s">
        <v>920</v>
      </c>
      <c r="N3008">
        <v>3536</v>
      </c>
      <c r="O3008" t="s">
        <v>931</v>
      </c>
      <c r="P3008">
        <f t="shared" si="46"/>
        <v>0</v>
      </c>
    </row>
    <row r="3009" spans="1:16" x14ac:dyDescent="0.25">
      <c r="A3009" t="s">
        <v>669</v>
      </c>
      <c r="B3009">
        <v>3551</v>
      </c>
      <c r="C3009" t="s">
        <v>669</v>
      </c>
      <c r="D3009" t="s">
        <v>865</v>
      </c>
      <c r="E3009" t="s">
        <v>910</v>
      </c>
      <c r="F3009">
        <v>5</v>
      </c>
      <c r="H3009" t="s">
        <v>684</v>
      </c>
      <c r="K3009">
        <v>3551</v>
      </c>
      <c r="L3009" t="s">
        <v>920</v>
      </c>
      <c r="N3009">
        <v>3551</v>
      </c>
      <c r="O3009" t="s">
        <v>931</v>
      </c>
      <c r="P3009">
        <f t="shared" si="46"/>
        <v>0</v>
      </c>
    </row>
    <row r="3010" spans="1:16" x14ac:dyDescent="0.25">
      <c r="A3010" t="s">
        <v>669</v>
      </c>
      <c r="B3010">
        <v>488</v>
      </c>
      <c r="C3010">
        <v>542</v>
      </c>
      <c r="D3010" t="s">
        <v>303</v>
      </c>
      <c r="E3010" t="s">
        <v>910</v>
      </c>
      <c r="F3010" t="s">
        <v>910</v>
      </c>
      <c r="J3010">
        <v>542</v>
      </c>
      <c r="K3010">
        <v>488</v>
      </c>
      <c r="L3010" t="s">
        <v>303</v>
      </c>
      <c r="M3010">
        <v>542</v>
      </c>
      <c r="N3010">
        <v>488</v>
      </c>
      <c r="O3010" t="s">
        <v>303</v>
      </c>
      <c r="P3010">
        <f t="shared" si="46"/>
        <v>0</v>
      </c>
    </row>
    <row r="3011" spans="1:16" x14ac:dyDescent="0.25">
      <c r="A3011" t="s">
        <v>669</v>
      </c>
      <c r="B3011">
        <v>503</v>
      </c>
      <c r="C3011">
        <v>542</v>
      </c>
      <c r="D3011" t="s">
        <v>303</v>
      </c>
      <c r="E3011" t="s">
        <v>910</v>
      </c>
      <c r="F3011" t="s">
        <v>910</v>
      </c>
      <c r="J3011">
        <v>542</v>
      </c>
      <c r="K3011">
        <v>503</v>
      </c>
      <c r="L3011" t="s">
        <v>303</v>
      </c>
      <c r="M3011">
        <v>542</v>
      </c>
      <c r="N3011">
        <v>503</v>
      </c>
      <c r="O3011" t="s">
        <v>303</v>
      </c>
      <c r="P3011">
        <f t="shared" ref="P3011:P3074" si="47">LEN(I3011)</f>
        <v>0</v>
      </c>
    </row>
    <row r="3012" spans="1:16" x14ac:dyDescent="0.25">
      <c r="A3012" t="s">
        <v>59</v>
      </c>
      <c r="B3012">
        <v>0</v>
      </c>
      <c r="C3012" t="s">
        <v>669</v>
      </c>
      <c r="D3012" t="s">
        <v>669</v>
      </c>
      <c r="E3012" t="s">
        <v>910</v>
      </c>
      <c r="F3012">
        <v>5</v>
      </c>
      <c r="H3012" t="s">
        <v>684</v>
      </c>
      <c r="N3012">
        <v>0</v>
      </c>
      <c r="P3012">
        <f t="shared" si="47"/>
        <v>0</v>
      </c>
    </row>
    <row r="3013" spans="1:16" x14ac:dyDescent="0.25">
      <c r="A3013" t="s">
        <v>465</v>
      </c>
      <c r="B3013">
        <v>521</v>
      </c>
      <c r="C3013">
        <v>542</v>
      </c>
      <c r="D3013" t="s">
        <v>303</v>
      </c>
      <c r="E3013">
        <v>155</v>
      </c>
      <c r="F3013">
        <v>155</v>
      </c>
      <c r="G3013" t="s">
        <v>760</v>
      </c>
      <c r="H3013" t="s">
        <v>760</v>
      </c>
      <c r="J3013">
        <v>542</v>
      </c>
      <c r="K3013">
        <v>521</v>
      </c>
      <c r="L3013" t="s">
        <v>303</v>
      </c>
      <c r="M3013">
        <v>542</v>
      </c>
      <c r="N3013">
        <v>521</v>
      </c>
      <c r="O3013" t="s">
        <v>303</v>
      </c>
      <c r="P3013">
        <f t="shared" si="47"/>
        <v>0</v>
      </c>
    </row>
    <row r="3014" spans="1:16" x14ac:dyDescent="0.25">
      <c r="A3014" t="s">
        <v>578</v>
      </c>
      <c r="B3014">
        <v>0</v>
      </c>
      <c r="C3014" t="s">
        <v>669</v>
      </c>
      <c r="D3014" t="s">
        <v>669</v>
      </c>
      <c r="E3014" t="s">
        <v>910</v>
      </c>
      <c r="F3014">
        <v>5</v>
      </c>
      <c r="H3014" t="s">
        <v>684</v>
      </c>
      <c r="N3014">
        <v>0</v>
      </c>
      <c r="P3014">
        <f t="shared" si="47"/>
        <v>0</v>
      </c>
    </row>
    <row r="3015" spans="1:16" x14ac:dyDescent="0.25">
      <c r="A3015" t="s">
        <v>669</v>
      </c>
      <c r="B3015">
        <v>0</v>
      </c>
      <c r="C3015" t="s">
        <v>669</v>
      </c>
      <c r="D3015" t="s">
        <v>860</v>
      </c>
      <c r="E3015" t="s">
        <v>910</v>
      </c>
      <c r="F3015">
        <v>5</v>
      </c>
      <c r="H3015" t="s">
        <v>684</v>
      </c>
      <c r="N3015">
        <v>0</v>
      </c>
      <c r="O3015" t="s">
        <v>303</v>
      </c>
      <c r="P3015">
        <f t="shared" si="47"/>
        <v>0</v>
      </c>
    </row>
    <row r="3016" spans="1:16" x14ac:dyDescent="0.25">
      <c r="A3016" t="s">
        <v>669</v>
      </c>
      <c r="B3016">
        <v>0</v>
      </c>
      <c r="C3016" t="s">
        <v>669</v>
      </c>
      <c r="D3016" t="s">
        <v>669</v>
      </c>
      <c r="E3016" t="s">
        <v>910</v>
      </c>
      <c r="F3016">
        <v>5</v>
      </c>
      <c r="H3016" t="s">
        <v>684</v>
      </c>
      <c r="N3016">
        <v>0</v>
      </c>
      <c r="P3016">
        <f t="shared" si="47"/>
        <v>0</v>
      </c>
    </row>
    <row r="3017" spans="1:16" x14ac:dyDescent="0.25">
      <c r="A3017" t="s">
        <v>669</v>
      </c>
      <c r="B3017">
        <v>3600</v>
      </c>
      <c r="C3017">
        <v>3600</v>
      </c>
      <c r="D3017" t="s">
        <v>857</v>
      </c>
      <c r="E3017">
        <v>5</v>
      </c>
      <c r="F3017">
        <v>5</v>
      </c>
      <c r="G3017" t="s">
        <v>684</v>
      </c>
      <c r="H3017" t="s">
        <v>684</v>
      </c>
      <c r="J3017">
        <v>3600</v>
      </c>
      <c r="K3017">
        <v>3600</v>
      </c>
      <c r="L3017" t="s">
        <v>921</v>
      </c>
      <c r="M3017">
        <v>3600</v>
      </c>
      <c r="N3017">
        <v>3600</v>
      </c>
      <c r="O3017" t="s">
        <v>921</v>
      </c>
      <c r="P3017">
        <f t="shared" si="47"/>
        <v>0</v>
      </c>
    </row>
    <row r="3018" spans="1:16" x14ac:dyDescent="0.25">
      <c r="A3018" t="s">
        <v>10</v>
      </c>
      <c r="B3018">
        <v>3600</v>
      </c>
      <c r="C3018" t="s">
        <v>669</v>
      </c>
      <c r="D3018" t="s">
        <v>857</v>
      </c>
      <c r="E3018" t="s">
        <v>910</v>
      </c>
      <c r="F3018">
        <v>5</v>
      </c>
      <c r="H3018" t="s">
        <v>684</v>
      </c>
      <c r="I3018" t="s">
        <v>932</v>
      </c>
      <c r="K3018">
        <v>3600</v>
      </c>
      <c r="L3018" t="s">
        <v>920</v>
      </c>
      <c r="N3018">
        <v>3600</v>
      </c>
      <c r="O3018" t="s">
        <v>857</v>
      </c>
      <c r="P3018">
        <f t="shared" si="47"/>
        <v>27</v>
      </c>
    </row>
    <row r="3019" spans="1:16" x14ac:dyDescent="0.25">
      <c r="A3019" t="s">
        <v>669</v>
      </c>
      <c r="B3019" t="s">
        <v>669</v>
      </c>
      <c r="C3019">
        <v>0</v>
      </c>
      <c r="D3019" t="s">
        <v>669</v>
      </c>
      <c r="E3019">
        <v>5</v>
      </c>
      <c r="F3019" t="s">
        <v>910</v>
      </c>
      <c r="G3019" t="s">
        <v>684</v>
      </c>
      <c r="M3019">
        <v>0</v>
      </c>
      <c r="N3019">
        <v>0</v>
      </c>
      <c r="P3019">
        <f t="shared" si="47"/>
        <v>0</v>
      </c>
    </row>
    <row r="3020" spans="1:16" x14ac:dyDescent="0.25">
      <c r="A3020" t="s">
        <v>213</v>
      </c>
      <c r="B3020">
        <v>3650</v>
      </c>
      <c r="C3020">
        <v>3650</v>
      </c>
      <c r="D3020" t="s">
        <v>857</v>
      </c>
      <c r="E3020">
        <v>5</v>
      </c>
      <c r="F3020">
        <v>5</v>
      </c>
      <c r="G3020" t="s">
        <v>684</v>
      </c>
      <c r="H3020" t="s">
        <v>684</v>
      </c>
      <c r="J3020">
        <v>3650</v>
      </c>
      <c r="K3020">
        <v>3650</v>
      </c>
      <c r="L3020" t="s">
        <v>921</v>
      </c>
      <c r="M3020">
        <v>3650</v>
      </c>
      <c r="N3020">
        <v>3650</v>
      </c>
      <c r="O3020" t="s">
        <v>921</v>
      </c>
      <c r="P3020">
        <f t="shared" si="47"/>
        <v>0</v>
      </c>
    </row>
    <row r="3021" spans="1:16" x14ac:dyDescent="0.25">
      <c r="A3021" t="s">
        <v>213</v>
      </c>
      <c r="B3021">
        <v>3733</v>
      </c>
      <c r="C3021">
        <v>3753</v>
      </c>
      <c r="D3021" t="s">
        <v>873</v>
      </c>
      <c r="E3021">
        <v>5</v>
      </c>
      <c r="F3021">
        <v>5</v>
      </c>
      <c r="G3021" t="s">
        <v>684</v>
      </c>
      <c r="H3021" t="s">
        <v>684</v>
      </c>
      <c r="J3021">
        <v>3753</v>
      </c>
      <c r="K3021">
        <v>3733</v>
      </c>
      <c r="L3021" t="s">
        <v>921</v>
      </c>
      <c r="M3021">
        <v>3753</v>
      </c>
      <c r="N3021">
        <v>3733</v>
      </c>
      <c r="O3021" t="s">
        <v>921</v>
      </c>
      <c r="P3021">
        <f t="shared" si="47"/>
        <v>0</v>
      </c>
    </row>
    <row r="3022" spans="1:16" x14ac:dyDescent="0.25">
      <c r="A3022" t="s">
        <v>669</v>
      </c>
      <c r="B3022">
        <v>3734</v>
      </c>
      <c r="C3022" t="s">
        <v>669</v>
      </c>
      <c r="D3022" t="s">
        <v>865</v>
      </c>
      <c r="E3022" t="s">
        <v>910</v>
      </c>
      <c r="F3022">
        <v>5</v>
      </c>
      <c r="H3022" t="s">
        <v>684</v>
      </c>
      <c r="K3022">
        <v>3734</v>
      </c>
      <c r="L3022" t="s">
        <v>920</v>
      </c>
      <c r="N3022">
        <v>3734</v>
      </c>
      <c r="O3022" t="s">
        <v>931</v>
      </c>
      <c r="P3022">
        <f t="shared" si="47"/>
        <v>0</v>
      </c>
    </row>
    <row r="3023" spans="1:16" x14ac:dyDescent="0.25">
      <c r="A3023" t="s">
        <v>578</v>
      </c>
      <c r="B3023">
        <v>3.8500000000000001E-3</v>
      </c>
      <c r="C3023">
        <v>4.0899999999999999E-3</v>
      </c>
      <c r="D3023" t="s">
        <v>669</v>
      </c>
      <c r="E3023">
        <v>5</v>
      </c>
      <c r="F3023">
        <v>5</v>
      </c>
      <c r="G3023" t="s">
        <v>684</v>
      </c>
      <c r="H3023" t="s">
        <v>684</v>
      </c>
      <c r="I3023" t="s">
        <v>927</v>
      </c>
      <c r="J3023">
        <v>4090</v>
      </c>
      <c r="K3023">
        <v>3850</v>
      </c>
      <c r="L3023" t="s">
        <v>921</v>
      </c>
      <c r="M3023">
        <v>4.0899999999999999E-3</v>
      </c>
      <c r="N3023">
        <v>3.8500000000000001E-3</v>
      </c>
      <c r="P3023">
        <f t="shared" si="47"/>
        <v>14</v>
      </c>
    </row>
    <row r="3024" spans="1:16" x14ac:dyDescent="0.25">
      <c r="A3024" t="s">
        <v>669</v>
      </c>
      <c r="B3024">
        <v>4000</v>
      </c>
      <c r="C3024">
        <v>4000</v>
      </c>
      <c r="D3024" t="s">
        <v>857</v>
      </c>
      <c r="E3024">
        <v>5</v>
      </c>
      <c r="F3024">
        <v>5</v>
      </c>
      <c r="G3024" t="s">
        <v>684</v>
      </c>
      <c r="H3024" t="s">
        <v>684</v>
      </c>
      <c r="J3024">
        <v>4000</v>
      </c>
      <c r="K3024">
        <v>4000</v>
      </c>
      <c r="L3024" t="s">
        <v>921</v>
      </c>
      <c r="M3024">
        <v>4000</v>
      </c>
      <c r="N3024">
        <v>4000</v>
      </c>
      <c r="O3024" t="s">
        <v>921</v>
      </c>
      <c r="P3024">
        <f t="shared" si="47"/>
        <v>0</v>
      </c>
    </row>
    <row r="3025" spans="1:16" x14ac:dyDescent="0.25">
      <c r="A3025" t="s">
        <v>669</v>
      </c>
      <c r="B3025">
        <v>4000</v>
      </c>
      <c r="C3025">
        <v>8000</v>
      </c>
      <c r="D3025" t="s">
        <v>669</v>
      </c>
      <c r="E3025">
        <v>4</v>
      </c>
      <c r="F3025">
        <v>4</v>
      </c>
      <c r="G3025" t="s">
        <v>701</v>
      </c>
      <c r="H3025" t="s">
        <v>701</v>
      </c>
      <c r="I3025" t="s">
        <v>927</v>
      </c>
      <c r="J3025">
        <v>8000</v>
      </c>
      <c r="K3025">
        <v>4000</v>
      </c>
      <c r="L3025" t="s">
        <v>921</v>
      </c>
      <c r="M3025">
        <v>8000</v>
      </c>
      <c r="N3025">
        <v>4000</v>
      </c>
      <c r="P3025">
        <f t="shared" si="47"/>
        <v>14</v>
      </c>
    </row>
    <row r="3026" spans="1:16" x14ac:dyDescent="0.25">
      <c r="A3026" t="s">
        <v>669</v>
      </c>
      <c r="B3026">
        <v>4</v>
      </c>
      <c r="C3026" t="s">
        <v>669</v>
      </c>
      <c r="D3026" t="s">
        <v>864</v>
      </c>
      <c r="E3026" t="s">
        <v>910</v>
      </c>
      <c r="F3026">
        <v>5</v>
      </c>
      <c r="H3026" t="s">
        <v>684</v>
      </c>
      <c r="K3026">
        <v>4000</v>
      </c>
      <c r="L3026" t="s">
        <v>931</v>
      </c>
      <c r="N3026">
        <v>4</v>
      </c>
      <c r="O3026" t="s">
        <v>862</v>
      </c>
      <c r="P3026">
        <f t="shared" si="47"/>
        <v>0</v>
      </c>
    </row>
    <row r="3027" spans="1:16" x14ac:dyDescent="0.25">
      <c r="A3027" t="s">
        <v>669</v>
      </c>
      <c r="B3027">
        <v>521</v>
      </c>
      <c r="C3027">
        <v>542</v>
      </c>
      <c r="D3027" t="s">
        <v>303</v>
      </c>
      <c r="E3027" t="s">
        <v>910</v>
      </c>
      <c r="F3027" t="s">
        <v>910</v>
      </c>
      <c r="J3027">
        <v>542</v>
      </c>
      <c r="K3027">
        <v>521</v>
      </c>
      <c r="L3027" t="s">
        <v>303</v>
      </c>
      <c r="M3027">
        <v>542</v>
      </c>
      <c r="N3027">
        <v>521</v>
      </c>
      <c r="O3027" t="s">
        <v>303</v>
      </c>
      <c r="P3027">
        <f t="shared" si="47"/>
        <v>0</v>
      </c>
    </row>
    <row r="3028" spans="1:16" x14ac:dyDescent="0.25">
      <c r="A3028" t="s">
        <v>669</v>
      </c>
      <c r="B3028">
        <v>535</v>
      </c>
      <c r="C3028">
        <v>542</v>
      </c>
      <c r="D3028" t="s">
        <v>303</v>
      </c>
      <c r="E3028" t="s">
        <v>910</v>
      </c>
      <c r="F3028" t="s">
        <v>910</v>
      </c>
      <c r="J3028">
        <v>542</v>
      </c>
      <c r="K3028">
        <v>535</v>
      </c>
      <c r="L3028" t="s">
        <v>303</v>
      </c>
      <c r="M3028">
        <v>542</v>
      </c>
      <c r="N3028">
        <v>535</v>
      </c>
      <c r="O3028" t="s">
        <v>303</v>
      </c>
      <c r="P3028">
        <f t="shared" si="47"/>
        <v>0</v>
      </c>
    </row>
    <row r="3029" spans="1:16" x14ac:dyDescent="0.25">
      <c r="A3029" t="s">
        <v>669</v>
      </c>
      <c r="B3029">
        <v>540</v>
      </c>
      <c r="C3029">
        <v>542</v>
      </c>
      <c r="D3029" t="s">
        <v>303</v>
      </c>
      <c r="E3029" t="s">
        <v>910</v>
      </c>
      <c r="F3029" t="s">
        <v>910</v>
      </c>
      <c r="J3029">
        <v>542</v>
      </c>
      <c r="K3029">
        <v>540</v>
      </c>
      <c r="L3029" t="s">
        <v>303</v>
      </c>
      <c r="M3029">
        <v>542</v>
      </c>
      <c r="N3029">
        <v>540</v>
      </c>
      <c r="O3029" t="s">
        <v>303</v>
      </c>
      <c r="P3029">
        <f t="shared" si="47"/>
        <v>0</v>
      </c>
    </row>
    <row r="3030" spans="1:16" x14ac:dyDescent="0.25">
      <c r="A3030" t="s">
        <v>669</v>
      </c>
      <c r="B3030">
        <v>542</v>
      </c>
      <c r="C3030">
        <v>550</v>
      </c>
      <c r="D3030" t="s">
        <v>303</v>
      </c>
      <c r="E3030" t="s">
        <v>910</v>
      </c>
      <c r="F3030" t="s">
        <v>910</v>
      </c>
      <c r="J3030">
        <v>550</v>
      </c>
      <c r="K3030">
        <v>542</v>
      </c>
      <c r="L3030" t="s">
        <v>303</v>
      </c>
      <c r="M3030">
        <v>550</v>
      </c>
      <c r="N3030">
        <v>542</v>
      </c>
      <c r="O3030" t="s">
        <v>303</v>
      </c>
      <c r="P3030">
        <f t="shared" si="47"/>
        <v>0</v>
      </c>
    </row>
    <row r="3031" spans="1:16" x14ac:dyDescent="0.25">
      <c r="A3031" t="s">
        <v>669</v>
      </c>
      <c r="B3031">
        <v>4</v>
      </c>
      <c r="C3031" t="s">
        <v>669</v>
      </c>
      <c r="D3031" t="s">
        <v>862</v>
      </c>
      <c r="E3031" t="s">
        <v>910</v>
      </c>
      <c r="F3031">
        <v>5</v>
      </c>
      <c r="H3031" t="s">
        <v>684</v>
      </c>
      <c r="K3031">
        <v>4000</v>
      </c>
      <c r="L3031" t="s">
        <v>931</v>
      </c>
      <c r="N3031">
        <v>4</v>
      </c>
      <c r="O3031" t="s">
        <v>862</v>
      </c>
      <c r="P3031">
        <f t="shared" si="47"/>
        <v>0</v>
      </c>
    </row>
    <row r="3032" spans="1:16" x14ac:dyDescent="0.25">
      <c r="A3032" t="s">
        <v>254</v>
      </c>
      <c r="B3032" t="s">
        <v>669</v>
      </c>
      <c r="C3032">
        <v>550</v>
      </c>
      <c r="D3032" t="s">
        <v>860</v>
      </c>
      <c r="E3032">
        <v>110</v>
      </c>
      <c r="F3032">
        <v>102</v>
      </c>
      <c r="G3032" t="s">
        <v>811</v>
      </c>
      <c r="H3032" t="s">
        <v>716</v>
      </c>
      <c r="J3032">
        <v>550</v>
      </c>
      <c r="K3032">
        <v>550</v>
      </c>
      <c r="L3032" t="s">
        <v>303</v>
      </c>
      <c r="M3032">
        <v>550</v>
      </c>
      <c r="N3032">
        <v>550</v>
      </c>
      <c r="O3032" t="s">
        <v>303</v>
      </c>
      <c r="P3032">
        <f t="shared" si="47"/>
        <v>0</v>
      </c>
    </row>
    <row r="3033" spans="1:16" x14ac:dyDescent="0.25">
      <c r="A3033" t="s">
        <v>669</v>
      </c>
      <c r="B3033">
        <v>545</v>
      </c>
      <c r="C3033">
        <v>555</v>
      </c>
      <c r="D3033" t="s">
        <v>303</v>
      </c>
      <c r="E3033" t="s">
        <v>910</v>
      </c>
      <c r="F3033" t="s">
        <v>910</v>
      </c>
      <c r="J3033">
        <v>555</v>
      </c>
      <c r="K3033">
        <v>545</v>
      </c>
      <c r="L3033" t="s">
        <v>303</v>
      </c>
      <c r="M3033">
        <v>555</v>
      </c>
      <c r="N3033">
        <v>545</v>
      </c>
      <c r="O3033" t="s">
        <v>303</v>
      </c>
      <c r="P3033">
        <f t="shared" si="47"/>
        <v>0</v>
      </c>
    </row>
    <row r="3034" spans="1:16" x14ac:dyDescent="0.25">
      <c r="A3034" t="s">
        <v>204</v>
      </c>
      <c r="B3034" t="s">
        <v>669</v>
      </c>
      <c r="C3034">
        <v>557</v>
      </c>
      <c r="D3034" t="s">
        <v>860</v>
      </c>
      <c r="E3034">
        <v>111</v>
      </c>
      <c r="F3034">
        <v>111</v>
      </c>
      <c r="G3034" t="s">
        <v>724</v>
      </c>
      <c r="H3034" t="s">
        <v>724</v>
      </c>
      <c r="J3034">
        <v>557</v>
      </c>
      <c r="L3034" t="s">
        <v>303</v>
      </c>
      <c r="M3034">
        <v>557</v>
      </c>
      <c r="O3034" t="s">
        <v>303</v>
      </c>
      <c r="P3034">
        <f t="shared" si="47"/>
        <v>0</v>
      </c>
    </row>
    <row r="3035" spans="1:16" x14ac:dyDescent="0.25">
      <c r="A3035" t="s">
        <v>662</v>
      </c>
      <c r="B3035" t="s">
        <v>669</v>
      </c>
      <c r="C3035">
        <v>561.9</v>
      </c>
      <c r="D3035" t="s">
        <v>860</v>
      </c>
      <c r="E3035">
        <v>105</v>
      </c>
      <c r="F3035">
        <v>105</v>
      </c>
      <c r="G3035" t="s">
        <v>762</v>
      </c>
      <c r="H3035" t="s">
        <v>762</v>
      </c>
      <c r="J3035">
        <v>561.9</v>
      </c>
      <c r="L3035" t="s">
        <v>303</v>
      </c>
      <c r="M3035">
        <v>561.9</v>
      </c>
      <c r="O3035" t="s">
        <v>303</v>
      </c>
      <c r="P3035">
        <f t="shared" si="47"/>
        <v>0</v>
      </c>
    </row>
    <row r="3036" spans="1:16" x14ac:dyDescent="0.25">
      <c r="A3036" t="s">
        <v>669</v>
      </c>
      <c r="B3036">
        <v>565</v>
      </c>
      <c r="C3036">
        <v>570</v>
      </c>
      <c r="D3036" t="s">
        <v>303</v>
      </c>
      <c r="E3036" t="s">
        <v>910</v>
      </c>
      <c r="F3036" t="s">
        <v>910</v>
      </c>
      <c r="J3036">
        <v>570</v>
      </c>
      <c r="K3036">
        <v>565</v>
      </c>
      <c r="L3036" t="s">
        <v>303</v>
      </c>
      <c r="M3036">
        <v>570</v>
      </c>
      <c r="N3036">
        <v>565</v>
      </c>
      <c r="O3036" t="s">
        <v>303</v>
      </c>
      <c r="P3036">
        <f t="shared" si="47"/>
        <v>0</v>
      </c>
    </row>
    <row r="3037" spans="1:16" x14ac:dyDescent="0.25">
      <c r="A3037" t="s">
        <v>662</v>
      </c>
      <c r="B3037" t="s">
        <v>669</v>
      </c>
      <c r="C3037">
        <v>578.20000000000005</v>
      </c>
      <c r="D3037" t="s">
        <v>860</v>
      </c>
      <c r="E3037">
        <v>105</v>
      </c>
      <c r="F3037">
        <v>105</v>
      </c>
      <c r="G3037" t="s">
        <v>762</v>
      </c>
      <c r="H3037" t="s">
        <v>762</v>
      </c>
      <c r="J3037">
        <v>578.20000000000005</v>
      </c>
      <c r="L3037" t="s">
        <v>303</v>
      </c>
      <c r="M3037">
        <v>578.20000000000005</v>
      </c>
      <c r="O3037" t="s">
        <v>303</v>
      </c>
      <c r="P3037">
        <f t="shared" si="47"/>
        <v>0</v>
      </c>
    </row>
    <row r="3038" spans="1:16" x14ac:dyDescent="0.25">
      <c r="A3038" t="s">
        <v>669</v>
      </c>
      <c r="B3038">
        <v>575</v>
      </c>
      <c r="C3038">
        <v>580</v>
      </c>
      <c r="D3038" t="s">
        <v>303</v>
      </c>
      <c r="E3038" t="s">
        <v>910</v>
      </c>
      <c r="F3038" t="s">
        <v>910</v>
      </c>
      <c r="J3038">
        <v>580</v>
      </c>
      <c r="K3038">
        <v>575</v>
      </c>
      <c r="L3038" t="s">
        <v>303</v>
      </c>
      <c r="M3038">
        <v>580</v>
      </c>
      <c r="N3038">
        <v>575</v>
      </c>
      <c r="O3038" t="s">
        <v>303</v>
      </c>
      <c r="P3038">
        <f t="shared" si="47"/>
        <v>0</v>
      </c>
    </row>
    <row r="3039" spans="1:16" x14ac:dyDescent="0.25">
      <c r="A3039" t="s">
        <v>662</v>
      </c>
      <c r="B3039" t="s">
        <v>669</v>
      </c>
      <c r="C3039">
        <v>583.70000000000005</v>
      </c>
      <c r="D3039" t="s">
        <v>860</v>
      </c>
      <c r="E3039">
        <v>105</v>
      </c>
      <c r="F3039">
        <v>105</v>
      </c>
      <c r="G3039" t="s">
        <v>762</v>
      </c>
      <c r="H3039" t="s">
        <v>762</v>
      </c>
      <c r="J3039">
        <v>583.70000000000005</v>
      </c>
      <c r="L3039" t="s">
        <v>303</v>
      </c>
      <c r="M3039">
        <v>583.70000000000005</v>
      </c>
      <c r="O3039" t="s">
        <v>303</v>
      </c>
      <c r="P3039">
        <f t="shared" si="47"/>
        <v>0</v>
      </c>
    </row>
    <row r="3040" spans="1:16" x14ac:dyDescent="0.25">
      <c r="A3040" t="s">
        <v>669</v>
      </c>
      <c r="B3040">
        <v>595</v>
      </c>
      <c r="C3040">
        <v>605</v>
      </c>
      <c r="D3040" t="s">
        <v>303</v>
      </c>
      <c r="E3040" t="s">
        <v>910</v>
      </c>
      <c r="F3040" t="s">
        <v>910</v>
      </c>
      <c r="J3040">
        <v>605</v>
      </c>
      <c r="K3040">
        <v>595</v>
      </c>
      <c r="L3040" t="s">
        <v>303</v>
      </c>
      <c r="M3040">
        <v>605</v>
      </c>
      <c r="N3040">
        <v>595</v>
      </c>
      <c r="O3040" t="s">
        <v>303</v>
      </c>
      <c r="P3040">
        <f t="shared" si="47"/>
        <v>0</v>
      </c>
    </row>
    <row r="3041" spans="1:16" x14ac:dyDescent="0.25">
      <c r="A3041" t="s">
        <v>203</v>
      </c>
      <c r="B3041" t="s">
        <v>669</v>
      </c>
      <c r="C3041">
        <v>620.79999999999995</v>
      </c>
      <c r="D3041" t="s">
        <v>860</v>
      </c>
      <c r="E3041">
        <v>111</v>
      </c>
      <c r="F3041">
        <v>107</v>
      </c>
      <c r="G3041" t="s">
        <v>724</v>
      </c>
      <c r="H3041" t="s">
        <v>761</v>
      </c>
      <c r="J3041">
        <v>620.79999999999995</v>
      </c>
      <c r="L3041" t="s">
        <v>303</v>
      </c>
      <c r="M3041">
        <v>620.79999999999995</v>
      </c>
      <c r="O3041" t="s">
        <v>303</v>
      </c>
      <c r="P3041">
        <f t="shared" si="47"/>
        <v>0</v>
      </c>
    </row>
    <row r="3042" spans="1:16" x14ac:dyDescent="0.25">
      <c r="A3042" t="s">
        <v>563</v>
      </c>
      <c r="B3042">
        <v>542</v>
      </c>
      <c r="C3042">
        <v>630</v>
      </c>
      <c r="D3042" t="s">
        <v>303</v>
      </c>
      <c r="E3042">
        <v>161</v>
      </c>
      <c r="F3042">
        <v>161</v>
      </c>
      <c r="G3042" t="s">
        <v>713</v>
      </c>
      <c r="H3042" t="s">
        <v>713</v>
      </c>
      <c r="J3042">
        <v>630</v>
      </c>
      <c r="K3042">
        <v>542</v>
      </c>
      <c r="L3042" t="s">
        <v>303</v>
      </c>
      <c r="M3042">
        <v>630</v>
      </c>
      <c r="N3042">
        <v>542</v>
      </c>
      <c r="O3042" t="s">
        <v>303</v>
      </c>
      <c r="P3042">
        <f t="shared" si="47"/>
        <v>0</v>
      </c>
    </row>
    <row r="3043" spans="1:16" x14ac:dyDescent="0.25">
      <c r="A3043" t="s">
        <v>669</v>
      </c>
      <c r="B3043">
        <v>542</v>
      </c>
      <c r="C3043">
        <v>630</v>
      </c>
      <c r="D3043" t="s">
        <v>303</v>
      </c>
      <c r="E3043" t="s">
        <v>910</v>
      </c>
      <c r="F3043" t="s">
        <v>910</v>
      </c>
      <c r="J3043">
        <v>630</v>
      </c>
      <c r="K3043">
        <v>542</v>
      </c>
      <c r="L3043" t="s">
        <v>303</v>
      </c>
      <c r="M3043">
        <v>630</v>
      </c>
      <c r="N3043">
        <v>542</v>
      </c>
      <c r="O3043" t="s">
        <v>303</v>
      </c>
      <c r="P3043">
        <f t="shared" si="47"/>
        <v>0</v>
      </c>
    </row>
    <row r="3044" spans="1:16" x14ac:dyDescent="0.25">
      <c r="A3044" t="s">
        <v>669</v>
      </c>
      <c r="B3044">
        <v>70</v>
      </c>
      <c r="C3044">
        <v>640</v>
      </c>
      <c r="D3044" t="s">
        <v>669</v>
      </c>
      <c r="E3044">
        <v>160</v>
      </c>
      <c r="F3044">
        <v>38</v>
      </c>
      <c r="G3044" t="s">
        <v>757</v>
      </c>
      <c r="H3044" t="s">
        <v>704</v>
      </c>
      <c r="I3044" t="s">
        <v>927</v>
      </c>
      <c r="J3044">
        <v>640</v>
      </c>
      <c r="K3044">
        <v>70</v>
      </c>
      <c r="L3044" t="s">
        <v>930</v>
      </c>
      <c r="M3044">
        <v>640</v>
      </c>
      <c r="N3044">
        <v>70</v>
      </c>
      <c r="P3044">
        <f t="shared" si="47"/>
        <v>14</v>
      </c>
    </row>
    <row r="3045" spans="1:16" x14ac:dyDescent="0.25">
      <c r="A3045" t="s">
        <v>669</v>
      </c>
      <c r="B3045">
        <v>630</v>
      </c>
      <c r="C3045">
        <v>640</v>
      </c>
      <c r="D3045" t="s">
        <v>669</v>
      </c>
      <c r="E3045">
        <v>160</v>
      </c>
      <c r="F3045">
        <v>160</v>
      </c>
      <c r="G3045" t="s">
        <v>757</v>
      </c>
      <c r="H3045" t="s">
        <v>757</v>
      </c>
      <c r="I3045" t="s">
        <v>927</v>
      </c>
      <c r="J3045">
        <v>640</v>
      </c>
      <c r="K3045">
        <v>630</v>
      </c>
      <c r="L3045" t="s">
        <v>930</v>
      </c>
      <c r="M3045">
        <v>640</v>
      </c>
      <c r="N3045">
        <v>630</v>
      </c>
      <c r="P3045">
        <f t="shared" si="47"/>
        <v>14</v>
      </c>
    </row>
    <row r="3046" spans="1:16" x14ac:dyDescent="0.25">
      <c r="A3046" t="s">
        <v>669</v>
      </c>
      <c r="B3046">
        <v>9</v>
      </c>
      <c r="C3046">
        <v>652</v>
      </c>
      <c r="D3046" t="s">
        <v>669</v>
      </c>
      <c r="E3046">
        <v>160</v>
      </c>
      <c r="F3046">
        <v>4</v>
      </c>
      <c r="G3046" t="s">
        <v>757</v>
      </c>
      <c r="H3046" t="s">
        <v>701</v>
      </c>
      <c r="I3046" t="s">
        <v>927</v>
      </c>
      <c r="J3046">
        <v>652</v>
      </c>
      <c r="K3046">
        <v>9</v>
      </c>
      <c r="L3046" t="s">
        <v>930</v>
      </c>
      <c r="M3046">
        <v>652</v>
      </c>
      <c r="N3046">
        <v>9</v>
      </c>
      <c r="P3046">
        <f t="shared" si="47"/>
        <v>14</v>
      </c>
    </row>
    <row r="3047" spans="1:16" x14ac:dyDescent="0.25">
      <c r="A3047" t="s">
        <v>415</v>
      </c>
      <c r="B3047">
        <v>630</v>
      </c>
      <c r="C3047">
        <v>670</v>
      </c>
      <c r="D3047" t="s">
        <v>303</v>
      </c>
      <c r="E3047">
        <v>160</v>
      </c>
      <c r="F3047">
        <v>160</v>
      </c>
      <c r="G3047" t="s">
        <v>757</v>
      </c>
      <c r="H3047" t="s">
        <v>757</v>
      </c>
      <c r="J3047">
        <v>670</v>
      </c>
      <c r="K3047">
        <v>630</v>
      </c>
      <c r="L3047" t="s">
        <v>303</v>
      </c>
      <c r="M3047">
        <v>670</v>
      </c>
      <c r="N3047">
        <v>630</v>
      </c>
      <c r="O3047" t="s">
        <v>303</v>
      </c>
      <c r="P3047">
        <f t="shared" si="47"/>
        <v>0</v>
      </c>
    </row>
    <row r="3048" spans="1:16" x14ac:dyDescent="0.25">
      <c r="A3048" t="s">
        <v>669</v>
      </c>
      <c r="B3048">
        <v>730.8</v>
      </c>
      <c r="C3048">
        <v>731.2</v>
      </c>
      <c r="D3048" t="s">
        <v>303</v>
      </c>
      <c r="E3048" t="s">
        <v>910</v>
      </c>
      <c r="F3048" t="s">
        <v>910</v>
      </c>
      <c r="J3048">
        <v>731.2</v>
      </c>
      <c r="K3048">
        <v>730.8</v>
      </c>
      <c r="L3048" t="s">
        <v>303</v>
      </c>
      <c r="M3048">
        <v>731.2</v>
      </c>
      <c r="N3048">
        <v>730.8</v>
      </c>
      <c r="O3048" t="s">
        <v>303</v>
      </c>
      <c r="P3048">
        <f t="shared" si="47"/>
        <v>0</v>
      </c>
    </row>
    <row r="3049" spans="1:16" x14ac:dyDescent="0.25">
      <c r="A3049" t="s">
        <v>621</v>
      </c>
      <c r="B3049" t="s">
        <v>669</v>
      </c>
      <c r="C3049">
        <v>735</v>
      </c>
      <c r="D3049" t="s">
        <v>860</v>
      </c>
      <c r="E3049">
        <v>163</v>
      </c>
      <c r="F3049">
        <v>163</v>
      </c>
      <c r="G3049" t="s">
        <v>782</v>
      </c>
      <c r="H3049" t="s">
        <v>782</v>
      </c>
      <c r="J3049">
        <v>735</v>
      </c>
      <c r="L3049" t="s">
        <v>303</v>
      </c>
      <c r="M3049">
        <v>735</v>
      </c>
      <c r="O3049" t="s">
        <v>303</v>
      </c>
      <c r="P3049">
        <f t="shared" si="47"/>
        <v>0</v>
      </c>
    </row>
    <row r="3050" spans="1:16" x14ac:dyDescent="0.25">
      <c r="A3050" t="s">
        <v>415</v>
      </c>
      <c r="B3050">
        <v>717</v>
      </c>
      <c r="C3050">
        <v>780</v>
      </c>
      <c r="D3050" t="s">
        <v>303</v>
      </c>
      <c r="E3050">
        <v>160</v>
      </c>
      <c r="F3050">
        <v>160</v>
      </c>
      <c r="G3050" t="s">
        <v>757</v>
      </c>
      <c r="H3050" t="s">
        <v>757</v>
      </c>
      <c r="J3050">
        <v>780</v>
      </c>
      <c r="K3050">
        <v>717</v>
      </c>
      <c r="L3050" t="s">
        <v>303</v>
      </c>
      <c r="M3050">
        <v>780</v>
      </c>
      <c r="N3050">
        <v>717</v>
      </c>
      <c r="O3050" t="s">
        <v>303</v>
      </c>
      <c r="P3050">
        <f t="shared" si="47"/>
        <v>0</v>
      </c>
    </row>
    <row r="3051" spans="1:16" x14ac:dyDescent="0.25">
      <c r="A3051" t="s">
        <v>415</v>
      </c>
      <c r="B3051">
        <v>717</v>
      </c>
      <c r="C3051">
        <v>780</v>
      </c>
      <c r="D3051" t="s">
        <v>860</v>
      </c>
      <c r="E3051">
        <v>160</v>
      </c>
      <c r="F3051">
        <v>160</v>
      </c>
      <c r="G3051" t="s">
        <v>757</v>
      </c>
      <c r="H3051" t="s">
        <v>757</v>
      </c>
      <c r="J3051">
        <v>780</v>
      </c>
      <c r="K3051">
        <v>717</v>
      </c>
      <c r="L3051" t="s">
        <v>303</v>
      </c>
      <c r="M3051">
        <v>780</v>
      </c>
      <c r="N3051">
        <v>717</v>
      </c>
      <c r="O3051" t="s">
        <v>303</v>
      </c>
      <c r="P3051">
        <f t="shared" si="47"/>
        <v>0</v>
      </c>
    </row>
    <row r="3052" spans="1:16" x14ac:dyDescent="0.25">
      <c r="A3052" t="s">
        <v>415</v>
      </c>
      <c r="B3052">
        <v>717</v>
      </c>
      <c r="C3052">
        <v>780</v>
      </c>
      <c r="D3052" t="s">
        <v>669</v>
      </c>
      <c r="E3052">
        <v>160</v>
      </c>
      <c r="F3052">
        <v>160</v>
      </c>
      <c r="G3052" t="s">
        <v>757</v>
      </c>
      <c r="H3052" t="s">
        <v>757</v>
      </c>
      <c r="I3052" t="s">
        <v>927</v>
      </c>
      <c r="J3052">
        <v>780</v>
      </c>
      <c r="K3052">
        <v>717</v>
      </c>
      <c r="L3052" t="s">
        <v>930</v>
      </c>
      <c r="M3052">
        <v>780</v>
      </c>
      <c r="N3052">
        <v>717</v>
      </c>
      <c r="P3052">
        <f t="shared" si="47"/>
        <v>14</v>
      </c>
    </row>
    <row r="3053" spans="1:16" x14ac:dyDescent="0.25">
      <c r="A3053" t="s">
        <v>562</v>
      </c>
      <c r="B3053">
        <v>630</v>
      </c>
      <c r="C3053">
        <v>850</v>
      </c>
      <c r="D3053" t="s">
        <v>303</v>
      </c>
      <c r="E3053">
        <v>162</v>
      </c>
      <c r="F3053">
        <v>162</v>
      </c>
      <c r="G3053" t="s">
        <v>712</v>
      </c>
      <c r="H3053" t="s">
        <v>712</v>
      </c>
      <c r="J3053">
        <v>850</v>
      </c>
      <c r="K3053">
        <v>630</v>
      </c>
      <c r="L3053" t="s">
        <v>303</v>
      </c>
      <c r="M3053">
        <v>850</v>
      </c>
      <c r="N3053">
        <v>630</v>
      </c>
      <c r="O3053" t="s">
        <v>303</v>
      </c>
      <c r="P3053">
        <f t="shared" si="47"/>
        <v>0</v>
      </c>
    </row>
    <row r="3054" spans="1:16" x14ac:dyDescent="0.25">
      <c r="A3054" t="s">
        <v>669</v>
      </c>
      <c r="B3054">
        <v>630</v>
      </c>
      <c r="C3054">
        <v>850</v>
      </c>
      <c r="D3054" t="s">
        <v>303</v>
      </c>
      <c r="E3054" t="s">
        <v>910</v>
      </c>
      <c r="F3054" t="s">
        <v>910</v>
      </c>
      <c r="J3054">
        <v>850</v>
      </c>
      <c r="K3054">
        <v>630</v>
      </c>
      <c r="L3054" t="s">
        <v>303</v>
      </c>
      <c r="M3054">
        <v>850</v>
      </c>
      <c r="N3054">
        <v>630</v>
      </c>
      <c r="O3054" t="s">
        <v>303</v>
      </c>
      <c r="P3054">
        <f t="shared" si="47"/>
        <v>0</v>
      </c>
    </row>
    <row r="3055" spans="1:16" x14ac:dyDescent="0.25">
      <c r="A3055" t="s">
        <v>415</v>
      </c>
      <c r="B3055">
        <v>717</v>
      </c>
      <c r="C3055">
        <v>850</v>
      </c>
      <c r="D3055" t="s">
        <v>860</v>
      </c>
      <c r="E3055">
        <v>160</v>
      </c>
      <c r="F3055">
        <v>160</v>
      </c>
      <c r="G3055" t="s">
        <v>757</v>
      </c>
      <c r="H3055" t="s">
        <v>757</v>
      </c>
      <c r="J3055">
        <v>850</v>
      </c>
      <c r="K3055">
        <v>717</v>
      </c>
      <c r="L3055" t="s">
        <v>303</v>
      </c>
      <c r="M3055">
        <v>850</v>
      </c>
      <c r="N3055">
        <v>717</v>
      </c>
      <c r="O3055" t="s">
        <v>303</v>
      </c>
      <c r="P3055">
        <f t="shared" si="47"/>
        <v>0</v>
      </c>
    </row>
    <row r="3056" spans="1:16" x14ac:dyDescent="0.25">
      <c r="A3056" t="s">
        <v>669</v>
      </c>
      <c r="B3056">
        <v>500</v>
      </c>
      <c r="C3056">
        <v>900</v>
      </c>
      <c r="D3056" t="s">
        <v>669</v>
      </c>
      <c r="E3056">
        <v>160</v>
      </c>
      <c r="F3056">
        <v>143</v>
      </c>
      <c r="G3056" t="s">
        <v>757</v>
      </c>
      <c r="H3056" t="s">
        <v>718</v>
      </c>
      <c r="I3056" t="s">
        <v>927</v>
      </c>
      <c r="J3056">
        <v>900</v>
      </c>
      <c r="K3056">
        <v>500</v>
      </c>
      <c r="L3056" t="s">
        <v>930</v>
      </c>
      <c r="M3056">
        <v>900</v>
      </c>
      <c r="N3056">
        <v>500</v>
      </c>
      <c r="P3056">
        <f t="shared" si="47"/>
        <v>14</v>
      </c>
    </row>
    <row r="3057" spans="1:16" x14ac:dyDescent="0.25">
      <c r="A3057" t="s">
        <v>669</v>
      </c>
      <c r="B3057">
        <v>1</v>
      </c>
      <c r="C3057">
        <v>2</v>
      </c>
      <c r="D3057" t="s">
        <v>874</v>
      </c>
      <c r="E3057" t="s">
        <v>910</v>
      </c>
      <c r="F3057" t="s">
        <v>910</v>
      </c>
      <c r="J3057">
        <v>1000</v>
      </c>
      <c r="K3057">
        <v>2000</v>
      </c>
      <c r="L3057" t="s">
        <v>303</v>
      </c>
      <c r="M3057">
        <v>2</v>
      </c>
      <c r="N3057">
        <v>1</v>
      </c>
      <c r="O3057" t="s">
        <v>874</v>
      </c>
      <c r="P3057">
        <f t="shared" si="47"/>
        <v>0</v>
      </c>
    </row>
    <row r="3058" spans="1:16" x14ac:dyDescent="0.25">
      <c r="A3058" t="s">
        <v>669</v>
      </c>
      <c r="B3058">
        <v>485</v>
      </c>
      <c r="C3058">
        <v>1000</v>
      </c>
      <c r="D3058" t="s">
        <v>303</v>
      </c>
      <c r="E3058" t="s">
        <v>910</v>
      </c>
      <c r="F3058" t="s">
        <v>910</v>
      </c>
      <c r="J3058">
        <v>1000</v>
      </c>
      <c r="K3058">
        <v>485</v>
      </c>
      <c r="L3058" t="s">
        <v>303</v>
      </c>
      <c r="M3058">
        <v>1000</v>
      </c>
      <c r="N3058">
        <v>485</v>
      </c>
      <c r="O3058" t="s">
        <v>303</v>
      </c>
      <c r="P3058">
        <f t="shared" si="47"/>
        <v>0</v>
      </c>
    </row>
    <row r="3059" spans="1:16" x14ac:dyDescent="0.25">
      <c r="A3059" t="s">
        <v>669</v>
      </c>
      <c r="B3059">
        <v>521</v>
      </c>
      <c r="C3059">
        <v>1000</v>
      </c>
      <c r="D3059" t="s">
        <v>303</v>
      </c>
      <c r="E3059" t="s">
        <v>910</v>
      </c>
      <c r="F3059" t="s">
        <v>910</v>
      </c>
      <c r="J3059">
        <v>1000</v>
      </c>
      <c r="K3059">
        <v>521</v>
      </c>
      <c r="L3059" t="s">
        <v>303</v>
      </c>
      <c r="M3059">
        <v>1000</v>
      </c>
      <c r="N3059">
        <v>521</v>
      </c>
      <c r="O3059" t="s">
        <v>303</v>
      </c>
      <c r="P3059">
        <f t="shared" si="47"/>
        <v>0</v>
      </c>
    </row>
    <row r="3060" spans="1:16" x14ac:dyDescent="0.25">
      <c r="A3060" t="s">
        <v>669</v>
      </c>
      <c r="B3060">
        <v>541</v>
      </c>
      <c r="C3060">
        <v>1000</v>
      </c>
      <c r="D3060" t="s">
        <v>303</v>
      </c>
      <c r="E3060" t="s">
        <v>910</v>
      </c>
      <c r="F3060" t="s">
        <v>910</v>
      </c>
      <c r="J3060">
        <v>1000</v>
      </c>
      <c r="K3060">
        <v>541</v>
      </c>
      <c r="L3060" t="s">
        <v>303</v>
      </c>
      <c r="M3060">
        <v>1000</v>
      </c>
      <c r="N3060">
        <v>541</v>
      </c>
      <c r="O3060" t="s">
        <v>303</v>
      </c>
      <c r="P3060">
        <f t="shared" si="47"/>
        <v>0</v>
      </c>
    </row>
    <row r="3061" spans="1:16" x14ac:dyDescent="0.25">
      <c r="A3061" t="s">
        <v>669</v>
      </c>
      <c r="B3061" t="s">
        <v>669</v>
      </c>
      <c r="C3061">
        <v>2.5</v>
      </c>
      <c r="D3061" t="s">
        <v>669</v>
      </c>
      <c r="E3061" t="s">
        <v>910</v>
      </c>
      <c r="F3061" t="s">
        <v>910</v>
      </c>
      <c r="J3061">
        <v>2.5</v>
      </c>
      <c r="L3061" t="s">
        <v>930</v>
      </c>
      <c r="M3061">
        <v>2.5</v>
      </c>
      <c r="N3061">
        <v>2.5</v>
      </c>
      <c r="P3061">
        <f t="shared" si="47"/>
        <v>0</v>
      </c>
    </row>
    <row r="3062" spans="1:16" x14ac:dyDescent="0.25">
      <c r="A3062" t="s">
        <v>561</v>
      </c>
      <c r="B3062">
        <v>542</v>
      </c>
      <c r="C3062">
        <v>1000</v>
      </c>
      <c r="D3062" t="s">
        <v>303</v>
      </c>
      <c r="E3062">
        <v>160</v>
      </c>
      <c r="F3062">
        <v>160</v>
      </c>
      <c r="G3062" t="s">
        <v>757</v>
      </c>
      <c r="H3062" t="s">
        <v>757</v>
      </c>
      <c r="J3062">
        <v>1000</v>
      </c>
      <c r="K3062">
        <v>542</v>
      </c>
      <c r="L3062" t="s">
        <v>303</v>
      </c>
      <c r="M3062">
        <v>1000</v>
      </c>
      <c r="N3062">
        <v>542</v>
      </c>
      <c r="O3062" t="s">
        <v>303</v>
      </c>
      <c r="P3062">
        <f t="shared" si="47"/>
        <v>0</v>
      </c>
    </row>
    <row r="3063" spans="1:16" x14ac:dyDescent="0.25">
      <c r="A3063" t="s">
        <v>669</v>
      </c>
      <c r="B3063" t="s">
        <v>669</v>
      </c>
      <c r="C3063">
        <v>2.7</v>
      </c>
      <c r="D3063" t="s">
        <v>669</v>
      </c>
      <c r="E3063" t="s">
        <v>910</v>
      </c>
      <c r="F3063" t="s">
        <v>910</v>
      </c>
      <c r="J3063">
        <v>2.7</v>
      </c>
      <c r="L3063" t="s">
        <v>930</v>
      </c>
      <c r="M3063">
        <v>2.7</v>
      </c>
      <c r="N3063">
        <v>2.7</v>
      </c>
      <c r="P3063">
        <f t="shared" si="47"/>
        <v>0</v>
      </c>
    </row>
    <row r="3064" spans="1:16" x14ac:dyDescent="0.25">
      <c r="A3064" t="s">
        <v>669</v>
      </c>
      <c r="B3064">
        <v>542</v>
      </c>
      <c r="C3064">
        <v>1000</v>
      </c>
      <c r="D3064" t="s">
        <v>303</v>
      </c>
      <c r="E3064" t="s">
        <v>910</v>
      </c>
      <c r="F3064" t="s">
        <v>910</v>
      </c>
      <c r="J3064">
        <v>1000</v>
      </c>
      <c r="K3064">
        <v>542</v>
      </c>
      <c r="L3064" t="s">
        <v>303</v>
      </c>
      <c r="M3064">
        <v>1000</v>
      </c>
      <c r="N3064">
        <v>542</v>
      </c>
      <c r="O3064" t="s">
        <v>303</v>
      </c>
      <c r="P3064">
        <f t="shared" si="47"/>
        <v>0</v>
      </c>
    </row>
    <row r="3065" spans="1:16" x14ac:dyDescent="0.25">
      <c r="A3065" t="s">
        <v>669</v>
      </c>
      <c r="B3065">
        <v>542</v>
      </c>
      <c r="C3065">
        <v>1000</v>
      </c>
      <c r="D3065" t="s">
        <v>669</v>
      </c>
      <c r="E3065">
        <v>160</v>
      </c>
      <c r="F3065">
        <v>143</v>
      </c>
      <c r="G3065" t="s">
        <v>757</v>
      </c>
      <c r="H3065" t="s">
        <v>718</v>
      </c>
      <c r="I3065" t="s">
        <v>927</v>
      </c>
      <c r="J3065">
        <v>1000</v>
      </c>
      <c r="K3065">
        <v>542</v>
      </c>
      <c r="L3065" t="s">
        <v>930</v>
      </c>
      <c r="M3065">
        <v>1000</v>
      </c>
      <c r="N3065">
        <v>542</v>
      </c>
      <c r="P3065">
        <f t="shared" si="47"/>
        <v>14</v>
      </c>
    </row>
    <row r="3066" spans="1:16" x14ac:dyDescent="0.25">
      <c r="A3066">
        <v>100000000</v>
      </c>
      <c r="B3066">
        <v>100000000</v>
      </c>
      <c r="C3066">
        <v>1000000000</v>
      </c>
      <c r="D3066" t="s">
        <v>857</v>
      </c>
      <c r="E3066" t="s">
        <v>910</v>
      </c>
      <c r="F3066" t="s">
        <v>910</v>
      </c>
      <c r="J3066">
        <v>1000</v>
      </c>
      <c r="K3066">
        <v>100</v>
      </c>
      <c r="L3066" t="s">
        <v>303</v>
      </c>
      <c r="M3066">
        <v>1000000000</v>
      </c>
      <c r="N3066">
        <v>100000000</v>
      </c>
      <c r="O3066" t="s">
        <v>303</v>
      </c>
      <c r="P3066">
        <f t="shared" si="47"/>
        <v>0</v>
      </c>
    </row>
    <row r="3067" spans="1:16" x14ac:dyDescent="0.25">
      <c r="A3067" t="s">
        <v>669</v>
      </c>
      <c r="B3067">
        <v>1064.8</v>
      </c>
      <c r="C3067">
        <v>1066</v>
      </c>
      <c r="D3067" t="s">
        <v>303</v>
      </c>
      <c r="E3067" t="s">
        <v>910</v>
      </c>
      <c r="F3067" t="s">
        <v>910</v>
      </c>
      <c r="J3067">
        <v>1066</v>
      </c>
      <c r="K3067">
        <v>1064.8</v>
      </c>
      <c r="L3067" t="s">
        <v>303</v>
      </c>
      <c r="M3067">
        <v>1066</v>
      </c>
      <c r="N3067">
        <v>1064.8</v>
      </c>
      <c r="O3067" t="s">
        <v>303</v>
      </c>
      <c r="P3067">
        <f t="shared" si="47"/>
        <v>0</v>
      </c>
    </row>
    <row r="3068" spans="1:16" x14ac:dyDescent="0.25">
      <c r="A3068" t="s">
        <v>309</v>
      </c>
      <c r="B3068">
        <v>1080</v>
      </c>
      <c r="C3068">
        <v>1084</v>
      </c>
      <c r="D3068" t="s">
        <v>303</v>
      </c>
      <c r="E3068">
        <v>164</v>
      </c>
      <c r="F3068">
        <v>164</v>
      </c>
      <c r="G3068" t="s">
        <v>746</v>
      </c>
      <c r="H3068" t="s">
        <v>746</v>
      </c>
      <c r="J3068">
        <v>1084</v>
      </c>
      <c r="K3068">
        <v>1080</v>
      </c>
      <c r="L3068" t="s">
        <v>303</v>
      </c>
      <c r="M3068">
        <v>1084</v>
      </c>
      <c r="N3068">
        <v>1080</v>
      </c>
      <c r="O3068" t="s">
        <v>303</v>
      </c>
      <c r="P3068">
        <f t="shared" si="47"/>
        <v>0</v>
      </c>
    </row>
    <row r="3069" spans="1:16" x14ac:dyDescent="0.25">
      <c r="A3069" t="s">
        <v>309</v>
      </c>
      <c r="B3069">
        <v>1082.3</v>
      </c>
      <c r="C3069">
        <v>1084.7</v>
      </c>
      <c r="D3069" t="s">
        <v>860</v>
      </c>
      <c r="E3069">
        <v>164</v>
      </c>
      <c r="F3069">
        <v>164</v>
      </c>
      <c r="G3069" t="s">
        <v>746</v>
      </c>
      <c r="H3069" t="s">
        <v>746</v>
      </c>
      <c r="J3069">
        <v>1084.7</v>
      </c>
      <c r="K3069">
        <v>1082.3</v>
      </c>
      <c r="L3069" t="s">
        <v>303</v>
      </c>
      <c r="M3069">
        <v>1084.7</v>
      </c>
      <c r="N3069">
        <v>1082.3</v>
      </c>
      <c r="O3069" t="s">
        <v>303</v>
      </c>
      <c r="P3069">
        <f t="shared" si="47"/>
        <v>0</v>
      </c>
    </row>
    <row r="3070" spans="1:16" x14ac:dyDescent="0.25">
      <c r="A3070" t="s">
        <v>309</v>
      </c>
      <c r="B3070">
        <v>1083.2</v>
      </c>
      <c r="C3070">
        <v>1086.5999999999999</v>
      </c>
      <c r="D3070" t="s">
        <v>860</v>
      </c>
      <c r="E3070">
        <v>164</v>
      </c>
      <c r="F3070">
        <v>164</v>
      </c>
      <c r="G3070" t="s">
        <v>746</v>
      </c>
      <c r="H3070" t="s">
        <v>746</v>
      </c>
      <c r="J3070">
        <v>1086.5999999999999</v>
      </c>
      <c r="K3070">
        <v>1083.2</v>
      </c>
      <c r="L3070" t="s">
        <v>303</v>
      </c>
      <c r="M3070">
        <v>1086.5999999999999</v>
      </c>
      <c r="N3070">
        <v>1083.2</v>
      </c>
      <c r="O3070" t="s">
        <v>303</v>
      </c>
      <c r="P3070">
        <f t="shared" si="47"/>
        <v>0</v>
      </c>
    </row>
    <row r="3071" spans="1:16" x14ac:dyDescent="0.25">
      <c r="A3071" t="s">
        <v>309</v>
      </c>
      <c r="B3071">
        <v>1084.0999999999999</v>
      </c>
      <c r="C3071">
        <v>1087.0999999999999</v>
      </c>
      <c r="D3071" t="s">
        <v>860</v>
      </c>
      <c r="E3071">
        <v>164</v>
      </c>
      <c r="F3071">
        <v>164</v>
      </c>
      <c r="G3071" t="s">
        <v>746</v>
      </c>
      <c r="H3071" t="s">
        <v>746</v>
      </c>
      <c r="J3071">
        <v>1087.0999999999999</v>
      </c>
      <c r="K3071">
        <v>1084.0999999999999</v>
      </c>
      <c r="L3071" t="s">
        <v>303</v>
      </c>
      <c r="M3071">
        <v>1087.0999999999999</v>
      </c>
      <c r="N3071">
        <v>1084.0999999999999</v>
      </c>
      <c r="O3071" t="s">
        <v>303</v>
      </c>
      <c r="P3071">
        <f t="shared" si="47"/>
        <v>0</v>
      </c>
    </row>
    <row r="3072" spans="1:16" x14ac:dyDescent="0.25">
      <c r="A3072" t="s">
        <v>955</v>
      </c>
      <c r="B3072">
        <v>1079</v>
      </c>
      <c r="C3072">
        <v>1089</v>
      </c>
      <c r="D3072" t="s">
        <v>860</v>
      </c>
      <c r="E3072" t="s">
        <v>910</v>
      </c>
      <c r="F3072" t="s">
        <v>910</v>
      </c>
      <c r="J3072">
        <v>1089</v>
      </c>
      <c r="K3072">
        <v>1079</v>
      </c>
      <c r="L3072" t="s">
        <v>303</v>
      </c>
      <c r="M3072">
        <v>1089</v>
      </c>
      <c r="N3072">
        <v>1079</v>
      </c>
      <c r="O3072" t="s">
        <v>303</v>
      </c>
      <c r="P3072">
        <f t="shared" si="47"/>
        <v>0</v>
      </c>
    </row>
    <row r="3073" spans="1:16" x14ac:dyDescent="0.25">
      <c r="A3073" t="s">
        <v>669</v>
      </c>
      <c r="B3073">
        <v>1090</v>
      </c>
      <c r="C3073">
        <v>1090</v>
      </c>
      <c r="D3073" t="s">
        <v>860</v>
      </c>
      <c r="E3073" t="s">
        <v>910</v>
      </c>
      <c r="F3073" t="s">
        <v>910</v>
      </c>
      <c r="J3073">
        <v>1090</v>
      </c>
      <c r="K3073">
        <v>1090</v>
      </c>
      <c r="L3073" t="s">
        <v>303</v>
      </c>
      <c r="M3073">
        <v>1090</v>
      </c>
      <c r="N3073">
        <v>1090</v>
      </c>
      <c r="O3073" t="s">
        <v>303</v>
      </c>
      <c r="P3073">
        <f t="shared" si="47"/>
        <v>0</v>
      </c>
    </row>
    <row r="3074" spans="1:16" x14ac:dyDescent="0.25">
      <c r="A3074" t="s">
        <v>309</v>
      </c>
      <c r="B3074">
        <v>1090.4000000000001</v>
      </c>
      <c r="C3074">
        <v>1092.8</v>
      </c>
      <c r="D3074" t="s">
        <v>860</v>
      </c>
      <c r="E3074">
        <v>164</v>
      </c>
      <c r="F3074">
        <v>164</v>
      </c>
      <c r="G3074" t="s">
        <v>746</v>
      </c>
      <c r="H3074" t="s">
        <v>746</v>
      </c>
      <c r="J3074">
        <v>1092.8</v>
      </c>
      <c r="K3074">
        <v>1090.4000000000001</v>
      </c>
      <c r="L3074" t="s">
        <v>303</v>
      </c>
      <c r="M3074">
        <v>1092.8</v>
      </c>
      <c r="N3074">
        <v>1090.4000000000001</v>
      </c>
      <c r="O3074" t="s">
        <v>303</v>
      </c>
      <c r="P3074">
        <f t="shared" si="47"/>
        <v>0</v>
      </c>
    </row>
    <row r="3075" spans="1:16" x14ac:dyDescent="0.25">
      <c r="A3075" t="s">
        <v>309</v>
      </c>
      <c r="B3075">
        <v>1097</v>
      </c>
      <c r="C3075">
        <v>1099</v>
      </c>
      <c r="D3075" t="s">
        <v>303</v>
      </c>
      <c r="E3075">
        <v>164</v>
      </c>
      <c r="F3075">
        <v>164</v>
      </c>
      <c r="G3075" t="s">
        <v>746</v>
      </c>
      <c r="H3075" t="s">
        <v>746</v>
      </c>
      <c r="J3075">
        <v>1099</v>
      </c>
      <c r="K3075">
        <v>1097</v>
      </c>
      <c r="L3075" t="s">
        <v>303</v>
      </c>
      <c r="M3075">
        <v>1099</v>
      </c>
      <c r="N3075">
        <v>1097</v>
      </c>
      <c r="O3075" t="s">
        <v>303</v>
      </c>
      <c r="P3075">
        <f t="shared" ref="P3075:P3138" si="48">LEN(I3075)</f>
        <v>0</v>
      </c>
    </row>
    <row r="3076" spans="1:16" x14ac:dyDescent="0.25">
      <c r="A3076" t="s">
        <v>309</v>
      </c>
      <c r="B3076">
        <v>1080</v>
      </c>
      <c r="C3076">
        <v>1100</v>
      </c>
      <c r="D3076" t="s">
        <v>303</v>
      </c>
      <c r="E3076">
        <v>164</v>
      </c>
      <c r="F3076">
        <v>164</v>
      </c>
      <c r="G3076" t="s">
        <v>746</v>
      </c>
      <c r="H3076" t="s">
        <v>746</v>
      </c>
      <c r="J3076">
        <v>1100</v>
      </c>
      <c r="K3076">
        <v>1080</v>
      </c>
      <c r="L3076" t="s">
        <v>303</v>
      </c>
      <c r="M3076">
        <v>1100</v>
      </c>
      <c r="N3076">
        <v>1080</v>
      </c>
      <c r="O3076" t="s">
        <v>303</v>
      </c>
      <c r="P3076">
        <f t="shared" si="48"/>
        <v>0</v>
      </c>
    </row>
    <row r="3077" spans="1:16" x14ac:dyDescent="0.25">
      <c r="A3077" t="s">
        <v>669</v>
      </c>
      <c r="B3077">
        <v>1083</v>
      </c>
      <c r="C3077">
        <v>1100</v>
      </c>
      <c r="D3077" t="s">
        <v>303</v>
      </c>
      <c r="E3077" t="s">
        <v>910</v>
      </c>
      <c r="F3077" t="s">
        <v>910</v>
      </c>
      <c r="J3077">
        <v>1100</v>
      </c>
      <c r="K3077">
        <v>1083</v>
      </c>
      <c r="L3077" t="s">
        <v>303</v>
      </c>
      <c r="M3077">
        <v>1100</v>
      </c>
      <c r="N3077">
        <v>1083</v>
      </c>
      <c r="O3077" t="s">
        <v>303</v>
      </c>
      <c r="P3077">
        <f t="shared" si="48"/>
        <v>0</v>
      </c>
    </row>
    <row r="3078" spans="1:16" x14ac:dyDescent="0.25">
      <c r="A3078" t="s">
        <v>669</v>
      </c>
      <c r="B3078">
        <v>1083</v>
      </c>
      <c r="C3078">
        <v>1100</v>
      </c>
      <c r="D3078" t="s">
        <v>860</v>
      </c>
      <c r="E3078" t="s">
        <v>910</v>
      </c>
      <c r="F3078" t="s">
        <v>910</v>
      </c>
      <c r="J3078">
        <v>1100</v>
      </c>
      <c r="K3078">
        <v>1083</v>
      </c>
      <c r="L3078" t="s">
        <v>303</v>
      </c>
      <c r="M3078">
        <v>1100</v>
      </c>
      <c r="N3078">
        <v>1083</v>
      </c>
      <c r="O3078" t="s">
        <v>303</v>
      </c>
      <c r="P3078">
        <f t="shared" si="48"/>
        <v>0</v>
      </c>
    </row>
    <row r="3079" spans="1:16" x14ac:dyDescent="0.25">
      <c r="A3079" t="s">
        <v>669</v>
      </c>
      <c r="B3079">
        <v>1085</v>
      </c>
      <c r="C3079">
        <v>1100</v>
      </c>
      <c r="D3079" t="s">
        <v>303</v>
      </c>
      <c r="E3079" t="s">
        <v>910</v>
      </c>
      <c r="F3079" t="s">
        <v>910</v>
      </c>
      <c r="J3079">
        <v>1100</v>
      </c>
      <c r="K3079">
        <v>1085</v>
      </c>
      <c r="L3079" t="s">
        <v>303</v>
      </c>
      <c r="M3079">
        <v>1100</v>
      </c>
      <c r="N3079">
        <v>1085</v>
      </c>
      <c r="O3079" t="s">
        <v>303</v>
      </c>
      <c r="P3079">
        <f t="shared" si="48"/>
        <v>0</v>
      </c>
    </row>
    <row r="3080" spans="1:16" x14ac:dyDescent="0.25">
      <c r="A3080" t="s">
        <v>669</v>
      </c>
      <c r="B3080">
        <v>1090</v>
      </c>
      <c r="C3080">
        <v>1100</v>
      </c>
      <c r="D3080" t="s">
        <v>303</v>
      </c>
      <c r="E3080" t="s">
        <v>910</v>
      </c>
      <c r="F3080" t="s">
        <v>910</v>
      </c>
      <c r="J3080">
        <v>1100</v>
      </c>
      <c r="K3080">
        <v>1090</v>
      </c>
      <c r="L3080" t="s">
        <v>303</v>
      </c>
      <c r="M3080">
        <v>1100</v>
      </c>
      <c r="N3080">
        <v>1090</v>
      </c>
      <c r="O3080" t="s">
        <v>303</v>
      </c>
      <c r="P3080">
        <f t="shared" si="48"/>
        <v>0</v>
      </c>
    </row>
    <row r="3081" spans="1:16" x14ac:dyDescent="0.25">
      <c r="A3081" t="s">
        <v>309</v>
      </c>
      <c r="B3081">
        <v>1098</v>
      </c>
      <c r="C3081">
        <v>1100</v>
      </c>
      <c r="D3081" t="s">
        <v>303</v>
      </c>
      <c r="E3081">
        <v>164</v>
      </c>
      <c r="F3081">
        <v>164</v>
      </c>
      <c r="G3081" t="s">
        <v>746</v>
      </c>
      <c r="H3081" t="s">
        <v>746</v>
      </c>
      <c r="J3081">
        <v>1100</v>
      </c>
      <c r="K3081">
        <v>1098</v>
      </c>
      <c r="L3081" t="s">
        <v>303</v>
      </c>
      <c r="M3081">
        <v>1100</v>
      </c>
      <c r="N3081">
        <v>1098</v>
      </c>
      <c r="O3081" t="s">
        <v>303</v>
      </c>
      <c r="P3081">
        <f t="shared" si="48"/>
        <v>0</v>
      </c>
    </row>
    <row r="3082" spans="1:16" x14ac:dyDescent="0.25">
      <c r="A3082" t="s">
        <v>669</v>
      </c>
      <c r="B3082">
        <v>1083</v>
      </c>
      <c r="C3082">
        <v>1100</v>
      </c>
      <c r="D3082" t="s">
        <v>669</v>
      </c>
      <c r="E3082" t="s">
        <v>910</v>
      </c>
      <c r="F3082" t="s">
        <v>910</v>
      </c>
      <c r="I3082" t="s">
        <v>927</v>
      </c>
      <c r="J3082">
        <v>1100</v>
      </c>
      <c r="K3082">
        <v>1083</v>
      </c>
      <c r="L3082" t="s">
        <v>930</v>
      </c>
      <c r="M3082">
        <v>1100</v>
      </c>
      <c r="N3082">
        <v>1083</v>
      </c>
      <c r="P3082">
        <f t="shared" si="48"/>
        <v>14</v>
      </c>
    </row>
    <row r="3083" spans="1:16" x14ac:dyDescent="0.25">
      <c r="A3083" t="s">
        <v>669</v>
      </c>
      <c r="B3083">
        <v>1100</v>
      </c>
      <c r="C3083">
        <v>1100</v>
      </c>
      <c r="D3083" t="s">
        <v>669</v>
      </c>
      <c r="E3083" t="s">
        <v>910</v>
      </c>
      <c r="F3083" t="s">
        <v>910</v>
      </c>
      <c r="I3083" t="s">
        <v>927</v>
      </c>
      <c r="J3083">
        <v>1100</v>
      </c>
      <c r="K3083">
        <v>1100</v>
      </c>
      <c r="L3083" t="s">
        <v>930</v>
      </c>
      <c r="M3083">
        <v>1100</v>
      </c>
      <c r="N3083">
        <v>1100</v>
      </c>
      <c r="P3083">
        <f t="shared" si="48"/>
        <v>14</v>
      </c>
    </row>
    <row r="3084" spans="1:16" x14ac:dyDescent="0.25">
      <c r="A3084" t="s">
        <v>309</v>
      </c>
      <c r="B3084">
        <v>1099.2</v>
      </c>
      <c r="C3084">
        <v>1101.5999999999999</v>
      </c>
      <c r="D3084" t="s">
        <v>860</v>
      </c>
      <c r="E3084">
        <v>164</v>
      </c>
      <c r="F3084">
        <v>164</v>
      </c>
      <c r="G3084" t="s">
        <v>746</v>
      </c>
      <c r="H3084" t="s">
        <v>746</v>
      </c>
      <c r="J3084">
        <v>1101.5999999999999</v>
      </c>
      <c r="K3084">
        <v>1099.2</v>
      </c>
      <c r="L3084" t="s">
        <v>303</v>
      </c>
      <c r="M3084">
        <v>1101.5999999999999</v>
      </c>
      <c r="N3084">
        <v>1099.2</v>
      </c>
      <c r="O3084" t="s">
        <v>303</v>
      </c>
      <c r="P3084">
        <f t="shared" si="48"/>
        <v>0</v>
      </c>
    </row>
    <row r="3085" spans="1:16" x14ac:dyDescent="0.25">
      <c r="A3085">
        <v>1175</v>
      </c>
      <c r="B3085">
        <v>1163</v>
      </c>
      <c r="C3085">
        <v>1187</v>
      </c>
      <c r="D3085" t="s">
        <v>860</v>
      </c>
      <c r="E3085" t="s">
        <v>910</v>
      </c>
      <c r="F3085" t="s">
        <v>910</v>
      </c>
      <c r="J3085">
        <v>1187</v>
      </c>
      <c r="K3085">
        <v>1163</v>
      </c>
      <c r="L3085" t="s">
        <v>303</v>
      </c>
      <c r="M3085">
        <v>1187</v>
      </c>
      <c r="N3085">
        <v>1163</v>
      </c>
      <c r="O3085" t="s">
        <v>303</v>
      </c>
      <c r="P3085">
        <f t="shared" si="48"/>
        <v>0</v>
      </c>
    </row>
    <row r="3086" spans="1:16" x14ac:dyDescent="0.25">
      <c r="A3086" t="s">
        <v>560</v>
      </c>
      <c r="B3086">
        <v>1000</v>
      </c>
      <c r="C3086">
        <v>1200</v>
      </c>
      <c r="D3086" t="s">
        <v>303</v>
      </c>
      <c r="E3086">
        <v>165</v>
      </c>
      <c r="F3086">
        <v>165</v>
      </c>
      <c r="G3086" t="s">
        <v>770</v>
      </c>
      <c r="H3086" t="s">
        <v>770</v>
      </c>
      <c r="J3086">
        <v>1200</v>
      </c>
      <c r="K3086">
        <v>1000</v>
      </c>
      <c r="L3086" t="s">
        <v>303</v>
      </c>
      <c r="M3086">
        <v>1200</v>
      </c>
      <c r="N3086">
        <v>1000</v>
      </c>
      <c r="O3086" t="s">
        <v>303</v>
      </c>
      <c r="P3086">
        <f t="shared" si="48"/>
        <v>0</v>
      </c>
    </row>
    <row r="3087" spans="1:16" x14ac:dyDescent="0.25">
      <c r="A3087" t="s">
        <v>953</v>
      </c>
      <c r="B3087">
        <v>1297</v>
      </c>
      <c r="C3087">
        <v>1311</v>
      </c>
      <c r="D3087" t="s">
        <v>860</v>
      </c>
      <c r="E3087" t="s">
        <v>910</v>
      </c>
      <c r="F3087" t="s">
        <v>910</v>
      </c>
      <c r="J3087">
        <v>1311</v>
      </c>
      <c r="K3087">
        <v>1449</v>
      </c>
      <c r="L3087" t="s">
        <v>303</v>
      </c>
      <c r="M3087">
        <v>1311</v>
      </c>
      <c r="N3087">
        <v>1297</v>
      </c>
      <c r="O3087" t="s">
        <v>303</v>
      </c>
      <c r="P3087">
        <f t="shared" si="48"/>
        <v>0</v>
      </c>
    </row>
    <row r="3088" spans="1:16" x14ac:dyDescent="0.25">
      <c r="A3088" t="s">
        <v>669</v>
      </c>
      <c r="B3088">
        <v>1037</v>
      </c>
      <c r="C3088">
        <v>1450</v>
      </c>
      <c r="D3088" t="s">
        <v>669</v>
      </c>
      <c r="E3088" t="s">
        <v>910</v>
      </c>
      <c r="F3088" t="s">
        <v>910</v>
      </c>
      <c r="I3088" t="s">
        <v>927</v>
      </c>
      <c r="J3088">
        <v>1450</v>
      </c>
      <c r="K3088">
        <v>1037</v>
      </c>
      <c r="L3088" t="s">
        <v>930</v>
      </c>
      <c r="M3088">
        <v>1450</v>
      </c>
      <c r="N3088">
        <v>1037</v>
      </c>
      <c r="P3088">
        <f t="shared" si="48"/>
        <v>14</v>
      </c>
    </row>
    <row r="3089" spans="1:16" x14ac:dyDescent="0.25">
      <c r="A3089" t="s">
        <v>669</v>
      </c>
      <c r="B3089">
        <v>950</v>
      </c>
      <c r="C3089">
        <v>1500</v>
      </c>
      <c r="D3089" t="s">
        <v>860</v>
      </c>
      <c r="E3089" t="s">
        <v>910</v>
      </c>
      <c r="F3089" t="s">
        <v>910</v>
      </c>
      <c r="J3089">
        <v>1500</v>
      </c>
      <c r="K3089">
        <v>950</v>
      </c>
      <c r="L3089" t="s">
        <v>303</v>
      </c>
      <c r="M3089">
        <v>1500</v>
      </c>
      <c r="N3089">
        <v>950</v>
      </c>
      <c r="O3089" t="s">
        <v>303</v>
      </c>
      <c r="P3089">
        <f t="shared" si="48"/>
        <v>0</v>
      </c>
    </row>
    <row r="3090" spans="1:16" x14ac:dyDescent="0.25">
      <c r="A3090" t="s">
        <v>669</v>
      </c>
      <c r="B3090">
        <v>973</v>
      </c>
      <c r="C3090">
        <v>1539</v>
      </c>
      <c r="D3090" t="s">
        <v>669</v>
      </c>
      <c r="E3090" t="s">
        <v>910</v>
      </c>
      <c r="F3090" t="s">
        <v>910</v>
      </c>
      <c r="I3090" t="s">
        <v>927</v>
      </c>
      <c r="J3090">
        <v>1539</v>
      </c>
      <c r="K3090">
        <v>973</v>
      </c>
      <c r="L3090" t="s">
        <v>930</v>
      </c>
      <c r="M3090">
        <v>1539</v>
      </c>
      <c r="N3090">
        <v>973</v>
      </c>
      <c r="P3090">
        <f t="shared" si="48"/>
        <v>14</v>
      </c>
    </row>
    <row r="3091" spans="1:16" x14ac:dyDescent="0.25">
      <c r="A3091" t="s">
        <v>669</v>
      </c>
      <c r="B3091">
        <v>542</v>
      </c>
      <c r="C3091">
        <v>1600</v>
      </c>
      <c r="D3091" t="s">
        <v>303</v>
      </c>
      <c r="E3091" t="s">
        <v>910</v>
      </c>
      <c r="F3091" t="s">
        <v>910</v>
      </c>
      <c r="J3091">
        <v>1600</v>
      </c>
      <c r="K3091">
        <v>542</v>
      </c>
      <c r="L3091" t="s">
        <v>303</v>
      </c>
      <c r="M3091">
        <v>1600</v>
      </c>
      <c r="N3091">
        <v>542</v>
      </c>
      <c r="O3091" t="s">
        <v>303</v>
      </c>
      <c r="P3091">
        <f t="shared" si="48"/>
        <v>0</v>
      </c>
    </row>
    <row r="3092" spans="1:16" x14ac:dyDescent="0.25">
      <c r="A3092" t="s">
        <v>558</v>
      </c>
      <c r="B3092">
        <v>1000</v>
      </c>
      <c r="C3092">
        <v>1600</v>
      </c>
      <c r="D3092" t="s">
        <v>303</v>
      </c>
      <c r="E3092">
        <v>164</v>
      </c>
      <c r="F3092">
        <v>164</v>
      </c>
      <c r="G3092" t="s">
        <v>746</v>
      </c>
      <c r="H3092" t="s">
        <v>746</v>
      </c>
      <c r="J3092">
        <v>1600</v>
      </c>
      <c r="K3092">
        <v>1000</v>
      </c>
      <c r="L3092" t="s">
        <v>303</v>
      </c>
      <c r="M3092">
        <v>1600</v>
      </c>
      <c r="N3092">
        <v>1000</v>
      </c>
      <c r="O3092" t="s">
        <v>303</v>
      </c>
      <c r="P3092">
        <f t="shared" si="48"/>
        <v>0</v>
      </c>
    </row>
    <row r="3093" spans="1:16" x14ac:dyDescent="0.25">
      <c r="A3093" t="s">
        <v>669</v>
      </c>
      <c r="B3093">
        <v>1000</v>
      </c>
      <c r="C3093">
        <v>1600</v>
      </c>
      <c r="D3093" t="s">
        <v>303</v>
      </c>
      <c r="E3093" t="s">
        <v>910</v>
      </c>
      <c r="F3093" t="s">
        <v>910</v>
      </c>
      <c r="J3093">
        <v>1600</v>
      </c>
      <c r="K3093">
        <v>1000</v>
      </c>
      <c r="L3093" t="s">
        <v>303</v>
      </c>
      <c r="M3093">
        <v>1600</v>
      </c>
      <c r="N3093">
        <v>1000</v>
      </c>
      <c r="O3093" t="s">
        <v>303</v>
      </c>
      <c r="P3093">
        <f t="shared" si="48"/>
        <v>0</v>
      </c>
    </row>
    <row r="3094" spans="1:16" x14ac:dyDescent="0.25">
      <c r="A3094" t="s">
        <v>559</v>
      </c>
      <c r="B3094">
        <v>1400</v>
      </c>
      <c r="C3094">
        <v>1600</v>
      </c>
      <c r="D3094" t="s">
        <v>303</v>
      </c>
      <c r="E3094">
        <v>167</v>
      </c>
      <c r="F3094">
        <v>167</v>
      </c>
      <c r="G3094" t="s">
        <v>769</v>
      </c>
      <c r="H3094" t="s">
        <v>769</v>
      </c>
      <c r="J3094">
        <v>1600</v>
      </c>
      <c r="K3094">
        <v>1400</v>
      </c>
      <c r="L3094" t="s">
        <v>303</v>
      </c>
      <c r="M3094">
        <v>1600</v>
      </c>
      <c r="N3094">
        <v>1400</v>
      </c>
      <c r="O3094" t="s">
        <v>303</v>
      </c>
      <c r="P3094">
        <f t="shared" si="48"/>
        <v>0</v>
      </c>
    </row>
    <row r="3095" spans="1:16" x14ac:dyDescent="0.25">
      <c r="A3095" t="s">
        <v>571</v>
      </c>
      <c r="B3095">
        <v>1.7</v>
      </c>
      <c r="C3095">
        <v>1.7</v>
      </c>
      <c r="D3095" t="s">
        <v>874</v>
      </c>
      <c r="E3095">
        <v>159</v>
      </c>
      <c r="F3095">
        <v>159</v>
      </c>
      <c r="G3095" t="s">
        <v>722</v>
      </c>
      <c r="H3095" t="s">
        <v>722</v>
      </c>
      <c r="J3095">
        <v>1700</v>
      </c>
      <c r="K3095">
        <v>1700</v>
      </c>
      <c r="L3095" t="s">
        <v>303</v>
      </c>
      <c r="M3095">
        <v>1.7</v>
      </c>
      <c r="N3095">
        <v>1.7</v>
      </c>
      <c r="O3095" t="s">
        <v>874</v>
      </c>
      <c r="P3095">
        <f t="shared" si="48"/>
        <v>0</v>
      </c>
    </row>
    <row r="3096" spans="1:16" x14ac:dyDescent="0.25">
      <c r="A3096" t="s">
        <v>669</v>
      </c>
      <c r="B3096">
        <v>1484.7</v>
      </c>
      <c r="C3096">
        <v>1719.9</v>
      </c>
      <c r="D3096" t="s">
        <v>669</v>
      </c>
      <c r="E3096" t="s">
        <v>910</v>
      </c>
      <c r="F3096" t="s">
        <v>910</v>
      </c>
      <c r="I3096" t="s">
        <v>927</v>
      </c>
      <c r="J3096">
        <v>1719.9</v>
      </c>
      <c r="K3096">
        <v>1484.7</v>
      </c>
      <c r="L3096" t="s">
        <v>930</v>
      </c>
      <c r="M3096">
        <v>1719.9</v>
      </c>
      <c r="N3096">
        <v>1484.7</v>
      </c>
      <c r="P3096">
        <f t="shared" si="48"/>
        <v>14</v>
      </c>
    </row>
    <row r="3097" spans="1:16" x14ac:dyDescent="0.25">
      <c r="A3097">
        <v>1464.5</v>
      </c>
      <c r="B3097">
        <v>1034</v>
      </c>
      <c r="C3097">
        <v>1721</v>
      </c>
      <c r="D3097" t="s">
        <v>669</v>
      </c>
      <c r="E3097" t="s">
        <v>910</v>
      </c>
      <c r="F3097" t="s">
        <v>910</v>
      </c>
      <c r="I3097" t="s">
        <v>927</v>
      </c>
      <c r="J3097">
        <v>1721</v>
      </c>
      <c r="K3097">
        <v>1034</v>
      </c>
      <c r="L3097" t="s">
        <v>930</v>
      </c>
      <c r="M3097">
        <v>1721</v>
      </c>
      <c r="N3097">
        <v>1034</v>
      </c>
      <c r="P3097">
        <f t="shared" si="48"/>
        <v>14</v>
      </c>
    </row>
    <row r="3098" spans="1:16" x14ac:dyDescent="0.25">
      <c r="A3098">
        <v>1451.5</v>
      </c>
      <c r="B3098">
        <v>1723</v>
      </c>
      <c r="C3098">
        <v>1082</v>
      </c>
      <c r="D3098" t="s">
        <v>669</v>
      </c>
      <c r="E3098" t="s">
        <v>910</v>
      </c>
      <c r="F3098" t="s">
        <v>910</v>
      </c>
      <c r="I3098" t="s">
        <v>929</v>
      </c>
      <c r="J3098">
        <v>1723</v>
      </c>
      <c r="K3098">
        <v>1082</v>
      </c>
      <c r="L3098" t="s">
        <v>930</v>
      </c>
      <c r="M3098">
        <v>1723</v>
      </c>
      <c r="N3098">
        <v>1082</v>
      </c>
      <c r="P3098">
        <f t="shared" si="48"/>
        <v>36</v>
      </c>
    </row>
    <row r="3099" spans="1:16" x14ac:dyDescent="0.25">
      <c r="A3099">
        <v>1466.7</v>
      </c>
      <c r="B3099">
        <v>1019</v>
      </c>
      <c r="C3099">
        <v>1728</v>
      </c>
      <c r="D3099" t="s">
        <v>669</v>
      </c>
      <c r="E3099" t="s">
        <v>910</v>
      </c>
      <c r="F3099" t="s">
        <v>910</v>
      </c>
      <c r="I3099" t="s">
        <v>927</v>
      </c>
      <c r="J3099">
        <v>1728</v>
      </c>
      <c r="K3099">
        <v>1019</v>
      </c>
      <c r="L3099" t="s">
        <v>930</v>
      </c>
      <c r="M3099">
        <v>1728</v>
      </c>
      <c r="N3099">
        <v>1019</v>
      </c>
      <c r="P3099">
        <f t="shared" si="48"/>
        <v>14</v>
      </c>
    </row>
    <row r="3100" spans="1:16" x14ac:dyDescent="0.25">
      <c r="A3100" t="s">
        <v>568</v>
      </c>
      <c r="B3100">
        <v>1600</v>
      </c>
      <c r="C3100">
        <v>1800</v>
      </c>
      <c r="D3100" t="s">
        <v>303</v>
      </c>
      <c r="E3100">
        <v>169</v>
      </c>
      <c r="F3100">
        <v>169</v>
      </c>
      <c r="G3100" t="s">
        <v>774</v>
      </c>
      <c r="H3100" t="s">
        <v>774</v>
      </c>
      <c r="J3100">
        <v>1800</v>
      </c>
      <c r="K3100">
        <v>1600</v>
      </c>
      <c r="L3100" t="s">
        <v>303</v>
      </c>
      <c r="M3100">
        <v>1800</v>
      </c>
      <c r="N3100">
        <v>1600</v>
      </c>
      <c r="O3100" t="s">
        <v>303</v>
      </c>
      <c r="P3100">
        <f t="shared" si="48"/>
        <v>0</v>
      </c>
    </row>
    <row r="3101" spans="1:16" x14ac:dyDescent="0.25">
      <c r="A3101" t="s">
        <v>669</v>
      </c>
      <c r="B3101">
        <v>1600</v>
      </c>
      <c r="C3101">
        <v>1800</v>
      </c>
      <c r="D3101" t="s">
        <v>303</v>
      </c>
      <c r="E3101" t="s">
        <v>910</v>
      </c>
      <c r="F3101" t="s">
        <v>910</v>
      </c>
      <c r="J3101">
        <v>1800</v>
      </c>
      <c r="K3101">
        <v>1600</v>
      </c>
      <c r="L3101" t="s">
        <v>303</v>
      </c>
      <c r="M3101">
        <v>1800</v>
      </c>
      <c r="N3101">
        <v>1600</v>
      </c>
      <c r="O3101" t="s">
        <v>303</v>
      </c>
      <c r="P3101">
        <f t="shared" si="48"/>
        <v>0</v>
      </c>
    </row>
    <row r="3102" spans="1:16" x14ac:dyDescent="0.25">
      <c r="A3102" t="s">
        <v>669</v>
      </c>
      <c r="B3102">
        <v>1780</v>
      </c>
      <c r="C3102">
        <v>1860</v>
      </c>
      <c r="D3102" t="s">
        <v>860</v>
      </c>
      <c r="E3102" t="s">
        <v>910</v>
      </c>
      <c r="F3102" t="s">
        <v>910</v>
      </c>
      <c r="J3102">
        <v>1860</v>
      </c>
      <c r="K3102">
        <v>1780</v>
      </c>
      <c r="L3102" t="s">
        <v>303</v>
      </c>
      <c r="M3102">
        <v>1860</v>
      </c>
      <c r="N3102">
        <v>1780</v>
      </c>
      <c r="O3102" t="s">
        <v>303</v>
      </c>
      <c r="P3102">
        <f t="shared" si="48"/>
        <v>0</v>
      </c>
    </row>
    <row r="3103" spans="1:16" x14ac:dyDescent="0.25">
      <c r="A3103" t="s">
        <v>565</v>
      </c>
      <c r="B3103">
        <v>1800</v>
      </c>
      <c r="C3103">
        <v>2050</v>
      </c>
      <c r="D3103" t="s">
        <v>303</v>
      </c>
      <c r="E3103">
        <v>170</v>
      </c>
      <c r="F3103">
        <v>170</v>
      </c>
      <c r="G3103" t="s">
        <v>771</v>
      </c>
      <c r="H3103" t="s">
        <v>771</v>
      </c>
      <c r="J3103">
        <v>2050</v>
      </c>
      <c r="K3103">
        <v>1800</v>
      </c>
      <c r="L3103" t="s">
        <v>303</v>
      </c>
      <c r="M3103">
        <v>2050</v>
      </c>
      <c r="N3103">
        <v>1800</v>
      </c>
      <c r="O3103" t="s">
        <v>303</v>
      </c>
      <c r="P3103">
        <f t="shared" si="48"/>
        <v>0</v>
      </c>
    </row>
    <row r="3104" spans="1:16" x14ac:dyDescent="0.25">
      <c r="A3104" t="s">
        <v>669</v>
      </c>
      <c r="B3104">
        <v>1800</v>
      </c>
      <c r="C3104">
        <v>2050</v>
      </c>
      <c r="D3104" t="s">
        <v>303</v>
      </c>
      <c r="E3104" t="s">
        <v>910</v>
      </c>
      <c r="F3104" t="s">
        <v>910</v>
      </c>
      <c r="J3104">
        <v>2050</v>
      </c>
      <c r="K3104">
        <v>1800</v>
      </c>
      <c r="L3104" t="s">
        <v>303</v>
      </c>
      <c r="M3104">
        <v>2050</v>
      </c>
      <c r="N3104">
        <v>1800</v>
      </c>
      <c r="O3104" t="s">
        <v>303</v>
      </c>
      <c r="P3104">
        <f t="shared" si="48"/>
        <v>0</v>
      </c>
    </row>
    <row r="3105" spans="1:16" x14ac:dyDescent="0.25">
      <c r="A3105" t="s">
        <v>669</v>
      </c>
      <c r="B3105">
        <v>1800</v>
      </c>
      <c r="C3105">
        <v>2300</v>
      </c>
      <c r="D3105" t="s">
        <v>303</v>
      </c>
      <c r="E3105" t="s">
        <v>910</v>
      </c>
      <c r="F3105" t="s">
        <v>910</v>
      </c>
      <c r="J3105">
        <v>2300</v>
      </c>
      <c r="K3105">
        <v>1800</v>
      </c>
      <c r="L3105" t="s">
        <v>303</v>
      </c>
      <c r="M3105">
        <v>2300</v>
      </c>
      <c r="N3105">
        <v>1800</v>
      </c>
      <c r="O3105" t="s">
        <v>303</v>
      </c>
      <c r="P3105">
        <f t="shared" si="48"/>
        <v>0</v>
      </c>
    </row>
    <row r="3106" spans="1:16" x14ac:dyDescent="0.25">
      <c r="A3106" t="s">
        <v>566</v>
      </c>
      <c r="B3106">
        <v>2050</v>
      </c>
      <c r="C3106">
        <v>2300</v>
      </c>
      <c r="D3106" t="s">
        <v>303</v>
      </c>
      <c r="E3106">
        <v>171</v>
      </c>
      <c r="F3106">
        <v>171</v>
      </c>
      <c r="G3106" t="s">
        <v>772</v>
      </c>
      <c r="H3106" t="s">
        <v>772</v>
      </c>
      <c r="J3106">
        <v>2300</v>
      </c>
      <c r="K3106">
        <v>2050</v>
      </c>
      <c r="L3106" t="s">
        <v>303</v>
      </c>
      <c r="M3106">
        <v>2300</v>
      </c>
      <c r="N3106">
        <v>2050</v>
      </c>
      <c r="O3106" t="s">
        <v>303</v>
      </c>
      <c r="P3106">
        <f t="shared" si="48"/>
        <v>0</v>
      </c>
    </row>
    <row r="3107" spans="1:16" x14ac:dyDescent="0.25">
      <c r="A3107" t="s">
        <v>181</v>
      </c>
      <c r="B3107" t="s">
        <v>669</v>
      </c>
      <c r="C3107">
        <v>2490</v>
      </c>
      <c r="D3107" t="s">
        <v>303</v>
      </c>
      <c r="E3107">
        <v>168</v>
      </c>
      <c r="F3107">
        <v>168</v>
      </c>
      <c r="G3107" t="s">
        <v>759</v>
      </c>
      <c r="H3107" t="s">
        <v>759</v>
      </c>
      <c r="J3107">
        <v>2490</v>
      </c>
      <c r="L3107" t="s">
        <v>303</v>
      </c>
      <c r="M3107">
        <v>2490</v>
      </c>
      <c r="O3107" t="s">
        <v>303</v>
      </c>
      <c r="P3107">
        <f t="shared" si="48"/>
        <v>0</v>
      </c>
    </row>
    <row r="3108" spans="1:16" x14ac:dyDescent="0.25">
      <c r="A3108" t="s">
        <v>571</v>
      </c>
      <c r="B3108">
        <v>541</v>
      </c>
      <c r="C3108">
        <v>2500</v>
      </c>
      <c r="D3108" t="s">
        <v>860</v>
      </c>
      <c r="E3108">
        <v>159</v>
      </c>
      <c r="F3108">
        <v>159</v>
      </c>
      <c r="G3108" t="s">
        <v>722</v>
      </c>
      <c r="H3108" t="s">
        <v>722</v>
      </c>
      <c r="J3108">
        <v>2500</v>
      </c>
      <c r="K3108">
        <v>541</v>
      </c>
      <c r="L3108" t="s">
        <v>303</v>
      </c>
      <c r="M3108">
        <v>2500</v>
      </c>
      <c r="N3108">
        <v>541</v>
      </c>
      <c r="O3108" t="s">
        <v>303</v>
      </c>
      <c r="P3108">
        <f t="shared" si="48"/>
        <v>0</v>
      </c>
    </row>
    <row r="3109" spans="1:16" x14ac:dyDescent="0.25">
      <c r="A3109" t="s">
        <v>572</v>
      </c>
      <c r="B3109">
        <v>541</v>
      </c>
      <c r="C3109">
        <v>2500</v>
      </c>
      <c r="D3109" t="s">
        <v>303</v>
      </c>
      <c r="E3109">
        <v>159</v>
      </c>
      <c r="F3109">
        <v>159</v>
      </c>
      <c r="G3109" t="s">
        <v>722</v>
      </c>
      <c r="H3109" t="s">
        <v>722</v>
      </c>
      <c r="J3109">
        <v>2500</v>
      </c>
      <c r="K3109">
        <v>541</v>
      </c>
      <c r="L3109" t="s">
        <v>303</v>
      </c>
      <c r="M3109">
        <v>2500</v>
      </c>
      <c r="N3109">
        <v>541</v>
      </c>
      <c r="O3109" t="s">
        <v>303</v>
      </c>
      <c r="P3109">
        <f t="shared" si="48"/>
        <v>0</v>
      </c>
    </row>
    <row r="3110" spans="1:16" x14ac:dyDescent="0.25">
      <c r="A3110" t="s">
        <v>669</v>
      </c>
      <c r="B3110">
        <v>541</v>
      </c>
      <c r="C3110">
        <v>2500</v>
      </c>
      <c r="D3110" t="s">
        <v>303</v>
      </c>
      <c r="E3110" t="s">
        <v>910</v>
      </c>
      <c r="F3110" t="s">
        <v>910</v>
      </c>
      <c r="J3110">
        <v>2500</v>
      </c>
      <c r="K3110">
        <v>541</v>
      </c>
      <c r="L3110" t="s">
        <v>303</v>
      </c>
      <c r="M3110">
        <v>2500</v>
      </c>
      <c r="N3110">
        <v>541</v>
      </c>
      <c r="O3110" t="s">
        <v>303</v>
      </c>
      <c r="P3110">
        <f t="shared" si="48"/>
        <v>0</v>
      </c>
    </row>
    <row r="3111" spans="1:16" x14ac:dyDescent="0.25">
      <c r="A3111" t="s">
        <v>557</v>
      </c>
      <c r="B3111">
        <v>542</v>
      </c>
      <c r="C3111">
        <v>2500</v>
      </c>
      <c r="D3111" t="s">
        <v>303</v>
      </c>
      <c r="E3111">
        <v>159</v>
      </c>
      <c r="F3111">
        <v>159</v>
      </c>
      <c r="G3111" t="s">
        <v>722</v>
      </c>
      <c r="H3111" t="s">
        <v>722</v>
      </c>
      <c r="J3111">
        <v>2500</v>
      </c>
      <c r="K3111">
        <v>542</v>
      </c>
      <c r="L3111" t="s">
        <v>303</v>
      </c>
      <c r="M3111">
        <v>2500</v>
      </c>
      <c r="N3111">
        <v>542</v>
      </c>
      <c r="O3111" t="s">
        <v>303</v>
      </c>
      <c r="P3111">
        <f t="shared" si="48"/>
        <v>0</v>
      </c>
    </row>
    <row r="3112" spans="1:16" x14ac:dyDescent="0.25">
      <c r="A3112" t="s">
        <v>669</v>
      </c>
      <c r="B3112">
        <v>542</v>
      </c>
      <c r="C3112">
        <v>2500</v>
      </c>
      <c r="D3112" t="s">
        <v>303</v>
      </c>
      <c r="E3112" t="s">
        <v>910</v>
      </c>
      <c r="F3112" t="s">
        <v>910</v>
      </c>
      <c r="J3112">
        <v>2500</v>
      </c>
      <c r="K3112">
        <v>542</v>
      </c>
      <c r="L3112" t="s">
        <v>303</v>
      </c>
      <c r="M3112">
        <v>2500</v>
      </c>
      <c r="N3112">
        <v>542</v>
      </c>
      <c r="O3112" t="s">
        <v>303</v>
      </c>
      <c r="P3112">
        <f t="shared" si="48"/>
        <v>0</v>
      </c>
    </row>
    <row r="3113" spans="1:16" x14ac:dyDescent="0.25">
      <c r="A3113" t="s">
        <v>564</v>
      </c>
      <c r="B3113">
        <v>1600</v>
      </c>
      <c r="C3113">
        <v>2500</v>
      </c>
      <c r="D3113" t="s">
        <v>303</v>
      </c>
      <c r="E3113">
        <v>168</v>
      </c>
      <c r="F3113">
        <v>168</v>
      </c>
      <c r="G3113" t="s">
        <v>759</v>
      </c>
      <c r="H3113" t="s">
        <v>759</v>
      </c>
      <c r="J3113">
        <v>2500</v>
      </c>
      <c r="K3113">
        <v>1600</v>
      </c>
      <c r="L3113" t="s">
        <v>303</v>
      </c>
      <c r="M3113">
        <v>2500</v>
      </c>
      <c r="N3113">
        <v>1600</v>
      </c>
      <c r="O3113" t="s">
        <v>303</v>
      </c>
      <c r="P3113">
        <f t="shared" si="48"/>
        <v>0</v>
      </c>
    </row>
    <row r="3114" spans="1:16" x14ac:dyDescent="0.25">
      <c r="A3114" t="s">
        <v>669</v>
      </c>
      <c r="B3114">
        <v>1600</v>
      </c>
      <c r="C3114">
        <v>2500</v>
      </c>
      <c r="D3114" t="s">
        <v>303</v>
      </c>
      <c r="E3114" t="s">
        <v>910</v>
      </c>
      <c r="F3114" t="s">
        <v>910</v>
      </c>
      <c r="J3114">
        <v>2500</v>
      </c>
      <c r="K3114">
        <v>1600</v>
      </c>
      <c r="L3114" t="s">
        <v>303</v>
      </c>
      <c r="M3114">
        <v>2500</v>
      </c>
      <c r="N3114">
        <v>1600</v>
      </c>
      <c r="O3114" t="s">
        <v>303</v>
      </c>
      <c r="P3114">
        <f t="shared" si="48"/>
        <v>0</v>
      </c>
    </row>
    <row r="3115" spans="1:16" x14ac:dyDescent="0.25">
      <c r="A3115" t="s">
        <v>567</v>
      </c>
      <c r="B3115">
        <v>2300</v>
      </c>
      <c r="C3115">
        <v>2500</v>
      </c>
      <c r="D3115" t="s">
        <v>303</v>
      </c>
      <c r="E3115">
        <v>172</v>
      </c>
      <c r="F3115">
        <v>172</v>
      </c>
      <c r="G3115" t="s">
        <v>773</v>
      </c>
      <c r="H3115" t="s">
        <v>773</v>
      </c>
      <c r="J3115">
        <v>2500</v>
      </c>
      <c r="K3115">
        <v>2300</v>
      </c>
      <c r="L3115" t="s">
        <v>303</v>
      </c>
      <c r="M3115">
        <v>2500</v>
      </c>
      <c r="N3115">
        <v>2300</v>
      </c>
      <c r="O3115" t="s">
        <v>303</v>
      </c>
      <c r="P3115">
        <f t="shared" si="48"/>
        <v>0</v>
      </c>
    </row>
    <row r="3116" spans="1:16" x14ac:dyDescent="0.25">
      <c r="A3116" t="s">
        <v>243</v>
      </c>
      <c r="B3116" t="s">
        <v>669</v>
      </c>
      <c r="C3116">
        <v>2540</v>
      </c>
      <c r="D3116" t="s">
        <v>303</v>
      </c>
      <c r="E3116">
        <v>174</v>
      </c>
      <c r="F3116">
        <v>174</v>
      </c>
      <c r="G3116" t="s">
        <v>745</v>
      </c>
      <c r="H3116" t="s">
        <v>745</v>
      </c>
      <c r="J3116">
        <v>2540</v>
      </c>
      <c r="L3116" t="s">
        <v>303</v>
      </c>
      <c r="M3116">
        <v>2540</v>
      </c>
      <c r="O3116" t="s">
        <v>303</v>
      </c>
      <c r="P3116">
        <f t="shared" si="48"/>
        <v>0</v>
      </c>
    </row>
    <row r="3117" spans="1:16" x14ac:dyDescent="0.25">
      <c r="A3117" t="s">
        <v>243</v>
      </c>
      <c r="B3117" t="s">
        <v>669</v>
      </c>
      <c r="C3117">
        <v>2570</v>
      </c>
      <c r="D3117" t="s">
        <v>303</v>
      </c>
      <c r="E3117">
        <v>174</v>
      </c>
      <c r="F3117">
        <v>174</v>
      </c>
      <c r="G3117" t="s">
        <v>745</v>
      </c>
      <c r="H3117" t="s">
        <v>745</v>
      </c>
      <c r="J3117">
        <v>2570</v>
      </c>
      <c r="L3117" t="s">
        <v>303</v>
      </c>
      <c r="M3117">
        <v>2570</v>
      </c>
      <c r="O3117" t="s">
        <v>303</v>
      </c>
      <c r="P3117">
        <f t="shared" si="48"/>
        <v>0</v>
      </c>
    </row>
    <row r="3118" spans="1:16" x14ac:dyDescent="0.25">
      <c r="A3118" t="s">
        <v>669</v>
      </c>
      <c r="B3118">
        <v>2420</v>
      </c>
      <c r="C3118">
        <v>2580</v>
      </c>
      <c r="D3118" t="s">
        <v>303</v>
      </c>
      <c r="E3118" t="s">
        <v>910</v>
      </c>
      <c r="F3118" t="s">
        <v>910</v>
      </c>
      <c r="J3118">
        <v>2580</v>
      </c>
      <c r="K3118">
        <v>2420</v>
      </c>
      <c r="L3118" t="s">
        <v>303</v>
      </c>
      <c r="M3118">
        <v>2580</v>
      </c>
      <c r="N3118">
        <v>2420</v>
      </c>
      <c r="O3118" t="s">
        <v>303</v>
      </c>
      <c r="P3118">
        <f t="shared" si="48"/>
        <v>0</v>
      </c>
    </row>
    <row r="3119" spans="1:16" x14ac:dyDescent="0.25">
      <c r="A3119" t="s">
        <v>243</v>
      </c>
      <c r="B3119" t="s">
        <v>669</v>
      </c>
      <c r="C3119">
        <v>2629</v>
      </c>
      <c r="D3119" t="s">
        <v>303</v>
      </c>
      <c r="E3119">
        <v>174</v>
      </c>
      <c r="F3119">
        <v>174</v>
      </c>
      <c r="G3119" t="s">
        <v>745</v>
      </c>
      <c r="H3119" t="s">
        <v>745</v>
      </c>
      <c r="J3119">
        <v>2629</v>
      </c>
      <c r="L3119" t="s">
        <v>303</v>
      </c>
      <c r="M3119">
        <v>2629</v>
      </c>
      <c r="O3119" t="s">
        <v>303</v>
      </c>
      <c r="P3119">
        <f t="shared" si="48"/>
        <v>0</v>
      </c>
    </row>
    <row r="3120" spans="1:16" x14ac:dyDescent="0.25">
      <c r="A3120" t="s">
        <v>669</v>
      </c>
      <c r="B3120">
        <v>2649</v>
      </c>
      <c r="C3120">
        <v>2649</v>
      </c>
      <c r="D3120" t="s">
        <v>860</v>
      </c>
      <c r="E3120" t="s">
        <v>910</v>
      </c>
      <c r="F3120" t="s">
        <v>910</v>
      </c>
      <c r="J3120">
        <v>2649</v>
      </c>
      <c r="K3120">
        <v>2649</v>
      </c>
      <c r="L3120" t="s">
        <v>303</v>
      </c>
      <c r="M3120">
        <v>2649</v>
      </c>
      <c r="N3120">
        <v>2649</v>
      </c>
      <c r="O3120" t="s">
        <v>303</v>
      </c>
      <c r="P3120">
        <f t="shared" si="48"/>
        <v>0</v>
      </c>
    </row>
    <row r="3121" spans="1:16" x14ac:dyDescent="0.25">
      <c r="A3121" t="s">
        <v>669</v>
      </c>
      <c r="B3121">
        <v>2667</v>
      </c>
      <c r="C3121">
        <v>2667</v>
      </c>
      <c r="D3121" t="s">
        <v>860</v>
      </c>
      <c r="E3121" t="s">
        <v>910</v>
      </c>
      <c r="F3121" t="s">
        <v>910</v>
      </c>
      <c r="J3121">
        <v>2667</v>
      </c>
      <c r="K3121">
        <v>2667</v>
      </c>
      <c r="L3121" t="s">
        <v>303</v>
      </c>
      <c r="M3121">
        <v>2667</v>
      </c>
      <c r="N3121">
        <v>2667</v>
      </c>
      <c r="O3121" t="s">
        <v>303</v>
      </c>
      <c r="P3121">
        <f t="shared" si="48"/>
        <v>0</v>
      </c>
    </row>
    <row r="3122" spans="1:16" x14ac:dyDescent="0.25">
      <c r="A3122" t="s">
        <v>669</v>
      </c>
      <c r="B3122">
        <v>2668</v>
      </c>
      <c r="C3122">
        <v>2668</v>
      </c>
      <c r="D3122" t="s">
        <v>860</v>
      </c>
      <c r="E3122" t="s">
        <v>910</v>
      </c>
      <c r="F3122" t="s">
        <v>910</v>
      </c>
      <c r="J3122">
        <v>2668</v>
      </c>
      <c r="K3122">
        <v>2668</v>
      </c>
      <c r="L3122" t="s">
        <v>303</v>
      </c>
      <c r="M3122">
        <v>2668</v>
      </c>
      <c r="N3122">
        <v>2668</v>
      </c>
      <c r="O3122" t="s">
        <v>303</v>
      </c>
      <c r="P3122">
        <f t="shared" si="48"/>
        <v>0</v>
      </c>
    </row>
    <row r="3123" spans="1:16" x14ac:dyDescent="0.25">
      <c r="A3123" t="s">
        <v>669</v>
      </c>
      <c r="B3123">
        <v>2669</v>
      </c>
      <c r="C3123">
        <v>2669</v>
      </c>
      <c r="D3123" t="s">
        <v>860</v>
      </c>
      <c r="E3123" t="s">
        <v>910</v>
      </c>
      <c r="F3123" t="s">
        <v>910</v>
      </c>
      <c r="J3123">
        <v>2669</v>
      </c>
      <c r="K3123">
        <v>2669</v>
      </c>
      <c r="L3123" t="s">
        <v>303</v>
      </c>
      <c r="M3123">
        <v>2669</v>
      </c>
      <c r="N3123">
        <v>2669</v>
      </c>
      <c r="O3123" t="s">
        <v>303</v>
      </c>
      <c r="P3123">
        <f t="shared" si="48"/>
        <v>0</v>
      </c>
    </row>
    <row r="3124" spans="1:16" x14ac:dyDescent="0.25">
      <c r="A3124" t="s">
        <v>669</v>
      </c>
      <c r="B3124">
        <v>2673</v>
      </c>
      <c r="C3124">
        <v>2673</v>
      </c>
      <c r="D3124" t="s">
        <v>860</v>
      </c>
      <c r="E3124" t="s">
        <v>910</v>
      </c>
      <c r="F3124" t="s">
        <v>910</v>
      </c>
      <c r="J3124">
        <v>2673</v>
      </c>
      <c r="K3124">
        <v>2673</v>
      </c>
      <c r="L3124" t="s">
        <v>303</v>
      </c>
      <c r="M3124">
        <v>2673</v>
      </c>
      <c r="N3124">
        <v>2673</v>
      </c>
      <c r="O3124" t="s">
        <v>303</v>
      </c>
      <c r="P3124">
        <f t="shared" si="48"/>
        <v>0</v>
      </c>
    </row>
    <row r="3125" spans="1:16" x14ac:dyDescent="0.25">
      <c r="A3125" t="s">
        <v>556</v>
      </c>
      <c r="B3125">
        <v>2500</v>
      </c>
      <c r="C3125">
        <v>2800</v>
      </c>
      <c r="D3125" t="s">
        <v>303</v>
      </c>
      <c r="E3125">
        <v>174</v>
      </c>
      <c r="F3125">
        <v>174</v>
      </c>
      <c r="G3125" t="s">
        <v>745</v>
      </c>
      <c r="H3125" t="s">
        <v>745</v>
      </c>
      <c r="J3125">
        <v>2800</v>
      </c>
      <c r="K3125">
        <v>2500</v>
      </c>
      <c r="L3125" t="s">
        <v>303</v>
      </c>
      <c r="M3125">
        <v>2800</v>
      </c>
      <c r="N3125">
        <v>2500</v>
      </c>
      <c r="O3125" t="s">
        <v>303</v>
      </c>
      <c r="P3125">
        <f t="shared" si="48"/>
        <v>0</v>
      </c>
    </row>
    <row r="3126" spans="1:16" x14ac:dyDescent="0.25">
      <c r="A3126" t="s">
        <v>669</v>
      </c>
      <c r="B3126">
        <v>2700</v>
      </c>
      <c r="C3126">
        <v>2800</v>
      </c>
      <c r="D3126" t="s">
        <v>303</v>
      </c>
      <c r="E3126" t="s">
        <v>910</v>
      </c>
      <c r="F3126" t="s">
        <v>910</v>
      </c>
      <c r="J3126">
        <v>2800</v>
      </c>
      <c r="K3126">
        <v>2700</v>
      </c>
      <c r="L3126" t="s">
        <v>303</v>
      </c>
      <c r="M3126">
        <v>2800</v>
      </c>
      <c r="N3126">
        <v>2700</v>
      </c>
      <c r="O3126" t="s">
        <v>303</v>
      </c>
      <c r="P3126">
        <f t="shared" si="48"/>
        <v>0</v>
      </c>
    </row>
    <row r="3127" spans="1:16" x14ac:dyDescent="0.25">
      <c r="A3127" t="s">
        <v>954</v>
      </c>
      <c r="B3127">
        <v>1752</v>
      </c>
      <c r="C3127">
        <v>2835</v>
      </c>
      <c r="D3127" t="s">
        <v>860</v>
      </c>
      <c r="E3127" t="s">
        <v>910</v>
      </c>
      <c r="F3127" t="s">
        <v>910</v>
      </c>
      <c r="J3127">
        <v>1483</v>
      </c>
      <c r="K3127">
        <v>1774</v>
      </c>
      <c r="L3127" t="s">
        <v>303</v>
      </c>
      <c r="M3127">
        <v>2835</v>
      </c>
      <c r="N3127">
        <v>1752</v>
      </c>
      <c r="O3127" t="s">
        <v>303</v>
      </c>
      <c r="P3127">
        <f t="shared" si="48"/>
        <v>0</v>
      </c>
    </row>
    <row r="3128" spans="1:16" x14ac:dyDescent="0.25">
      <c r="A3128">
        <v>2873</v>
      </c>
      <c r="B3128">
        <v>2723</v>
      </c>
      <c r="C3128">
        <v>3023</v>
      </c>
      <c r="D3128" t="s">
        <v>303</v>
      </c>
      <c r="E3128" t="s">
        <v>910</v>
      </c>
      <c r="F3128" t="s">
        <v>910</v>
      </c>
      <c r="G3128" t="s">
        <v>910</v>
      </c>
      <c r="H3128" t="s">
        <v>910</v>
      </c>
      <c r="J3128">
        <v>3023</v>
      </c>
      <c r="K3128">
        <v>2723</v>
      </c>
      <c r="L3128" t="s">
        <v>303</v>
      </c>
      <c r="M3128">
        <v>3023</v>
      </c>
      <c r="N3128">
        <v>2723</v>
      </c>
      <c r="O3128" t="s">
        <v>303</v>
      </c>
      <c r="P3128">
        <f t="shared" si="48"/>
        <v>0</v>
      </c>
    </row>
    <row r="3129" spans="1:16" x14ac:dyDescent="0.25">
      <c r="A3129">
        <v>3010</v>
      </c>
      <c r="B3129">
        <v>2985</v>
      </c>
      <c r="C3129">
        <v>3035</v>
      </c>
      <c r="D3129" t="s">
        <v>303</v>
      </c>
      <c r="E3129" t="s">
        <v>910</v>
      </c>
      <c r="F3129" t="s">
        <v>910</v>
      </c>
      <c r="G3129" t="s">
        <v>910</v>
      </c>
      <c r="H3129" t="s">
        <v>910</v>
      </c>
      <c r="J3129">
        <v>3035</v>
      </c>
      <c r="K3129">
        <v>2985</v>
      </c>
      <c r="L3129" t="s">
        <v>303</v>
      </c>
      <c r="M3129">
        <v>3035</v>
      </c>
      <c r="N3129">
        <v>2985</v>
      </c>
      <c r="O3129" t="s">
        <v>303</v>
      </c>
      <c r="P3129">
        <f t="shared" si="48"/>
        <v>0</v>
      </c>
    </row>
    <row r="3130" spans="1:16" x14ac:dyDescent="0.25">
      <c r="A3130">
        <v>3026</v>
      </c>
      <c r="B3130">
        <v>3000</v>
      </c>
      <c r="C3130">
        <v>3052</v>
      </c>
      <c r="D3130" t="s">
        <v>303</v>
      </c>
      <c r="E3130" t="s">
        <v>910</v>
      </c>
      <c r="F3130" t="s">
        <v>910</v>
      </c>
      <c r="G3130" t="s">
        <v>910</v>
      </c>
      <c r="H3130" t="s">
        <v>910</v>
      </c>
      <c r="J3130">
        <v>3052</v>
      </c>
      <c r="K3130">
        <v>3000</v>
      </c>
      <c r="L3130" t="s">
        <v>303</v>
      </c>
      <c r="M3130">
        <v>3052</v>
      </c>
      <c r="N3130">
        <v>3000</v>
      </c>
      <c r="O3130" t="s">
        <v>303</v>
      </c>
      <c r="P3130">
        <f t="shared" si="48"/>
        <v>0</v>
      </c>
    </row>
    <row r="3131" spans="1:16" x14ac:dyDescent="0.25">
      <c r="A3131">
        <v>3049</v>
      </c>
      <c r="B3131">
        <v>3070</v>
      </c>
      <c r="C3131">
        <v>3070</v>
      </c>
      <c r="D3131" t="s">
        <v>303</v>
      </c>
      <c r="E3131" t="s">
        <v>910</v>
      </c>
      <c r="F3131" t="s">
        <v>910</v>
      </c>
      <c r="G3131" t="s">
        <v>910</v>
      </c>
      <c r="H3131" t="s">
        <v>910</v>
      </c>
      <c r="J3131">
        <v>3070</v>
      </c>
      <c r="K3131">
        <v>3070</v>
      </c>
      <c r="L3131" t="s">
        <v>303</v>
      </c>
      <c r="M3131">
        <v>3070</v>
      </c>
      <c r="N3131">
        <v>3070</v>
      </c>
      <c r="O3131" t="s">
        <v>303</v>
      </c>
      <c r="P3131">
        <f t="shared" si="48"/>
        <v>0</v>
      </c>
    </row>
    <row r="3132" spans="1:16" x14ac:dyDescent="0.25">
      <c r="A3132">
        <v>3160</v>
      </c>
      <c r="B3132">
        <v>3148</v>
      </c>
      <c r="C3132">
        <v>3172</v>
      </c>
      <c r="D3132" t="s">
        <v>303</v>
      </c>
      <c r="E3132" t="s">
        <v>910</v>
      </c>
      <c r="F3132" t="s">
        <v>910</v>
      </c>
      <c r="G3132" t="s">
        <v>910</v>
      </c>
      <c r="H3132" t="s">
        <v>910</v>
      </c>
      <c r="J3132">
        <v>3172</v>
      </c>
      <c r="K3132">
        <v>3148</v>
      </c>
      <c r="L3132" t="s">
        <v>303</v>
      </c>
      <c r="M3132">
        <v>3172</v>
      </c>
      <c r="N3132">
        <v>3148</v>
      </c>
      <c r="O3132" t="s">
        <v>303</v>
      </c>
      <c r="P3132">
        <f t="shared" si="48"/>
        <v>0</v>
      </c>
    </row>
    <row r="3133" spans="1:16" x14ac:dyDescent="0.25">
      <c r="A3133">
        <v>3163</v>
      </c>
      <c r="B3133">
        <v>3153</v>
      </c>
      <c r="C3133">
        <v>3173</v>
      </c>
      <c r="D3133" t="s">
        <v>303</v>
      </c>
      <c r="E3133" t="s">
        <v>910</v>
      </c>
      <c r="F3133" t="s">
        <v>910</v>
      </c>
      <c r="G3133" t="s">
        <v>910</v>
      </c>
      <c r="H3133" t="s">
        <v>910</v>
      </c>
      <c r="J3133">
        <v>3173</v>
      </c>
      <c r="K3133">
        <v>3153</v>
      </c>
      <c r="L3133" t="s">
        <v>303</v>
      </c>
      <c r="M3133">
        <v>3173</v>
      </c>
      <c r="N3133">
        <v>3153</v>
      </c>
      <c r="O3133" t="s">
        <v>303</v>
      </c>
      <c r="P3133">
        <f t="shared" si="48"/>
        <v>0</v>
      </c>
    </row>
    <row r="3134" spans="1:16" x14ac:dyDescent="0.25">
      <c r="A3134">
        <v>3178</v>
      </c>
      <c r="B3134">
        <v>3168</v>
      </c>
      <c r="C3134">
        <v>3188</v>
      </c>
      <c r="D3134" t="s">
        <v>303</v>
      </c>
      <c r="E3134" t="s">
        <v>910</v>
      </c>
      <c r="F3134" t="s">
        <v>910</v>
      </c>
      <c r="G3134" t="s">
        <v>910</v>
      </c>
      <c r="H3134" t="s">
        <v>910</v>
      </c>
      <c r="J3134">
        <v>3188</v>
      </c>
      <c r="K3134">
        <v>3168</v>
      </c>
      <c r="L3134" t="s">
        <v>303</v>
      </c>
      <c r="M3134">
        <v>3188</v>
      </c>
      <c r="N3134">
        <v>3168</v>
      </c>
      <c r="O3134" t="s">
        <v>303</v>
      </c>
      <c r="P3134">
        <f t="shared" si="48"/>
        <v>0</v>
      </c>
    </row>
    <row r="3135" spans="1:16" x14ac:dyDescent="0.25">
      <c r="A3135">
        <v>3197</v>
      </c>
      <c r="B3135">
        <v>3186</v>
      </c>
      <c r="C3135">
        <v>3208</v>
      </c>
      <c r="D3135" t="s">
        <v>303</v>
      </c>
      <c r="E3135" t="s">
        <v>910</v>
      </c>
      <c r="F3135" t="s">
        <v>910</v>
      </c>
      <c r="G3135" t="s">
        <v>910</v>
      </c>
      <c r="H3135" t="s">
        <v>910</v>
      </c>
      <c r="J3135">
        <v>3208</v>
      </c>
      <c r="K3135">
        <v>3186</v>
      </c>
      <c r="L3135" t="s">
        <v>303</v>
      </c>
      <c r="M3135">
        <v>3208</v>
      </c>
      <c r="N3135">
        <v>3186</v>
      </c>
      <c r="O3135" t="s">
        <v>303</v>
      </c>
      <c r="P3135">
        <f t="shared" si="48"/>
        <v>0</v>
      </c>
    </row>
    <row r="3136" spans="1:16" x14ac:dyDescent="0.25">
      <c r="A3136">
        <v>3200</v>
      </c>
      <c r="B3136">
        <v>3182</v>
      </c>
      <c r="C3136">
        <v>3218</v>
      </c>
      <c r="D3136" t="s">
        <v>303</v>
      </c>
      <c r="E3136" t="s">
        <v>910</v>
      </c>
      <c r="F3136" t="s">
        <v>910</v>
      </c>
      <c r="G3136" t="s">
        <v>910</v>
      </c>
      <c r="H3136" t="s">
        <v>910</v>
      </c>
      <c r="J3136">
        <v>3218</v>
      </c>
      <c r="K3136">
        <v>3182</v>
      </c>
      <c r="L3136" t="s">
        <v>303</v>
      </c>
      <c r="M3136">
        <v>3218</v>
      </c>
      <c r="N3136">
        <v>3182</v>
      </c>
      <c r="O3136" t="s">
        <v>303</v>
      </c>
      <c r="P3136">
        <f t="shared" si="48"/>
        <v>0</v>
      </c>
    </row>
    <row r="3137" spans="1:16" x14ac:dyDescent="0.25">
      <c r="A3137" t="s">
        <v>354</v>
      </c>
      <c r="B3137" t="s">
        <v>669</v>
      </c>
      <c r="C3137">
        <v>3225</v>
      </c>
      <c r="D3137" t="s">
        <v>303</v>
      </c>
      <c r="E3137">
        <v>175</v>
      </c>
      <c r="F3137">
        <v>175</v>
      </c>
      <c r="G3137" t="s">
        <v>744</v>
      </c>
      <c r="H3137" t="s">
        <v>744</v>
      </c>
      <c r="J3137">
        <v>3225</v>
      </c>
      <c r="L3137" t="s">
        <v>303</v>
      </c>
      <c r="M3137">
        <v>3225</v>
      </c>
      <c r="O3137" t="s">
        <v>303</v>
      </c>
      <c r="P3137">
        <f t="shared" si="48"/>
        <v>0</v>
      </c>
    </row>
    <row r="3138" spans="1:16" x14ac:dyDescent="0.25">
      <c r="A3138" t="s">
        <v>354</v>
      </c>
      <c r="B3138" t="s">
        <v>669</v>
      </c>
      <c r="C3138">
        <v>3243</v>
      </c>
      <c r="D3138" t="s">
        <v>303</v>
      </c>
      <c r="E3138">
        <v>175</v>
      </c>
      <c r="F3138">
        <v>175</v>
      </c>
      <c r="G3138" t="s">
        <v>744</v>
      </c>
      <c r="H3138" t="s">
        <v>744</v>
      </c>
      <c r="J3138">
        <v>3243</v>
      </c>
      <c r="L3138" t="s">
        <v>303</v>
      </c>
      <c r="M3138">
        <v>3243</v>
      </c>
      <c r="O3138" t="s">
        <v>303</v>
      </c>
      <c r="P3138">
        <f t="shared" si="48"/>
        <v>0</v>
      </c>
    </row>
    <row r="3139" spans="1:16" x14ac:dyDescent="0.25">
      <c r="A3139">
        <v>3244</v>
      </c>
      <c r="B3139">
        <v>3234</v>
      </c>
      <c r="C3139">
        <v>3254</v>
      </c>
      <c r="D3139" t="s">
        <v>303</v>
      </c>
      <c r="E3139" t="s">
        <v>910</v>
      </c>
      <c r="F3139" t="s">
        <v>910</v>
      </c>
      <c r="G3139" t="s">
        <v>910</v>
      </c>
      <c r="H3139" t="s">
        <v>910</v>
      </c>
      <c r="J3139">
        <v>3254</v>
      </c>
      <c r="K3139">
        <v>3234</v>
      </c>
      <c r="L3139" t="s">
        <v>303</v>
      </c>
      <c r="M3139">
        <v>3254</v>
      </c>
      <c r="N3139">
        <v>3234</v>
      </c>
      <c r="O3139" t="s">
        <v>303</v>
      </c>
      <c r="P3139">
        <f t="shared" ref="P3139:P3202" si="49">LEN(I3139)</f>
        <v>0</v>
      </c>
    </row>
    <row r="3140" spans="1:16" x14ac:dyDescent="0.25">
      <c r="A3140" t="s">
        <v>439</v>
      </c>
      <c r="B3140" t="s">
        <v>669</v>
      </c>
      <c r="C3140">
        <v>3260</v>
      </c>
      <c r="D3140" t="s">
        <v>303</v>
      </c>
      <c r="E3140">
        <v>176</v>
      </c>
      <c r="F3140">
        <v>176</v>
      </c>
      <c r="G3140" t="s">
        <v>947</v>
      </c>
      <c r="H3140" t="s">
        <v>947</v>
      </c>
      <c r="J3140">
        <v>3260</v>
      </c>
      <c r="L3140" t="s">
        <v>303</v>
      </c>
      <c r="M3140">
        <v>3260</v>
      </c>
      <c r="O3140" t="s">
        <v>303</v>
      </c>
      <c r="P3140">
        <f t="shared" si="49"/>
        <v>0</v>
      </c>
    </row>
    <row r="3141" spans="1:16" x14ac:dyDescent="0.25">
      <c r="A3141" t="s">
        <v>439</v>
      </c>
      <c r="B3141">
        <v>3260</v>
      </c>
      <c r="C3141">
        <v>3300</v>
      </c>
      <c r="D3141" t="s">
        <v>860</v>
      </c>
      <c r="E3141">
        <v>176</v>
      </c>
      <c r="F3141">
        <v>176</v>
      </c>
      <c r="G3141" t="s">
        <v>947</v>
      </c>
      <c r="H3141" t="s">
        <v>947</v>
      </c>
      <c r="J3141">
        <v>3300</v>
      </c>
      <c r="K3141">
        <v>3260</v>
      </c>
      <c r="L3141" t="s">
        <v>303</v>
      </c>
      <c r="M3141">
        <v>3300</v>
      </c>
      <c r="N3141">
        <v>3260</v>
      </c>
      <c r="O3141" t="s">
        <v>303</v>
      </c>
      <c r="P3141">
        <f t="shared" si="49"/>
        <v>0</v>
      </c>
    </row>
    <row r="3142" spans="1:16" x14ac:dyDescent="0.25">
      <c r="A3142">
        <v>3137</v>
      </c>
      <c r="B3142">
        <v>2947</v>
      </c>
      <c r="C3142">
        <v>3327</v>
      </c>
      <c r="D3142" t="s">
        <v>303</v>
      </c>
      <c r="E3142" t="s">
        <v>910</v>
      </c>
      <c r="F3142" t="s">
        <v>910</v>
      </c>
      <c r="G3142" t="s">
        <v>910</v>
      </c>
      <c r="H3142" t="s">
        <v>910</v>
      </c>
      <c r="J3142">
        <v>3327</v>
      </c>
      <c r="K3142">
        <v>2947</v>
      </c>
      <c r="L3142" t="s">
        <v>303</v>
      </c>
      <c r="M3142">
        <v>3327</v>
      </c>
      <c r="N3142">
        <v>2947</v>
      </c>
      <c r="O3142" t="s">
        <v>303</v>
      </c>
      <c r="P3142">
        <f t="shared" si="49"/>
        <v>0</v>
      </c>
    </row>
    <row r="3143" spans="1:16" x14ac:dyDescent="0.25">
      <c r="A3143">
        <v>3179</v>
      </c>
      <c r="B3143">
        <v>2999</v>
      </c>
      <c r="C3143">
        <v>3359</v>
      </c>
      <c r="D3143" t="s">
        <v>303</v>
      </c>
      <c r="E3143" t="s">
        <v>910</v>
      </c>
      <c r="F3143" t="s">
        <v>910</v>
      </c>
      <c r="G3143" t="s">
        <v>910</v>
      </c>
      <c r="H3143" t="s">
        <v>910</v>
      </c>
      <c r="J3143">
        <v>3359</v>
      </c>
      <c r="K3143">
        <v>2999</v>
      </c>
      <c r="L3143" t="s">
        <v>303</v>
      </c>
      <c r="M3143">
        <v>3359</v>
      </c>
      <c r="N3143">
        <v>2999</v>
      </c>
      <c r="O3143" t="s">
        <v>303</v>
      </c>
      <c r="P3143">
        <f t="shared" si="49"/>
        <v>0</v>
      </c>
    </row>
    <row r="3144" spans="1:16" x14ac:dyDescent="0.25">
      <c r="A3144">
        <v>3385</v>
      </c>
      <c r="B3144">
        <v>3372</v>
      </c>
      <c r="C3144">
        <v>3398</v>
      </c>
      <c r="D3144" t="s">
        <v>303</v>
      </c>
      <c r="E3144" t="s">
        <v>910</v>
      </c>
      <c r="F3144" t="s">
        <v>910</v>
      </c>
      <c r="G3144" t="s">
        <v>910</v>
      </c>
      <c r="H3144" t="s">
        <v>910</v>
      </c>
      <c r="J3144">
        <v>3398</v>
      </c>
      <c r="K3144">
        <v>3372</v>
      </c>
      <c r="L3144" t="s">
        <v>303</v>
      </c>
      <c r="M3144">
        <v>3398</v>
      </c>
      <c r="N3144">
        <v>3372</v>
      </c>
      <c r="O3144" t="s">
        <v>303</v>
      </c>
      <c r="P3144">
        <f t="shared" si="49"/>
        <v>0</v>
      </c>
    </row>
    <row r="3145" spans="1:16" x14ac:dyDescent="0.25">
      <c r="A3145" t="s">
        <v>161</v>
      </c>
      <c r="B3145" t="s">
        <v>669</v>
      </c>
      <c r="C3145">
        <v>3470</v>
      </c>
      <c r="D3145" t="s">
        <v>303</v>
      </c>
      <c r="E3145">
        <v>177</v>
      </c>
      <c r="F3145">
        <v>176</v>
      </c>
      <c r="G3145" t="s">
        <v>948</v>
      </c>
      <c r="H3145" t="s">
        <v>947</v>
      </c>
      <c r="J3145">
        <v>3470</v>
      </c>
      <c r="L3145" t="s">
        <v>303</v>
      </c>
      <c r="M3145">
        <v>3470</v>
      </c>
      <c r="O3145" t="s">
        <v>303</v>
      </c>
      <c r="P3145">
        <f t="shared" si="49"/>
        <v>0</v>
      </c>
    </row>
    <row r="3146" spans="1:16" x14ac:dyDescent="0.25">
      <c r="A3146" t="s">
        <v>354</v>
      </c>
      <c r="B3146" t="s">
        <v>669</v>
      </c>
      <c r="C3146">
        <v>3470</v>
      </c>
      <c r="D3146" t="s">
        <v>303</v>
      </c>
      <c r="E3146">
        <v>175</v>
      </c>
      <c r="F3146">
        <v>175</v>
      </c>
      <c r="G3146" t="s">
        <v>744</v>
      </c>
      <c r="H3146" t="s">
        <v>744</v>
      </c>
      <c r="J3146">
        <v>3470</v>
      </c>
      <c r="L3146" t="s">
        <v>303</v>
      </c>
      <c r="M3146">
        <v>3470</v>
      </c>
      <c r="O3146" t="s">
        <v>303</v>
      </c>
      <c r="P3146">
        <f t="shared" si="49"/>
        <v>0</v>
      </c>
    </row>
    <row r="3147" spans="1:16" x14ac:dyDescent="0.25">
      <c r="A3147" t="s">
        <v>669</v>
      </c>
      <c r="B3147">
        <v>542</v>
      </c>
      <c r="C3147">
        <v>3850</v>
      </c>
      <c r="D3147" t="s">
        <v>303</v>
      </c>
      <c r="E3147" t="s">
        <v>910</v>
      </c>
      <c r="F3147" t="s">
        <v>910</v>
      </c>
      <c r="J3147">
        <v>3850</v>
      </c>
      <c r="K3147">
        <v>542</v>
      </c>
      <c r="L3147" t="s">
        <v>303</v>
      </c>
      <c r="M3147">
        <v>3850</v>
      </c>
      <c r="N3147">
        <v>542</v>
      </c>
      <c r="O3147" t="s">
        <v>303</v>
      </c>
      <c r="P3147">
        <f t="shared" si="49"/>
        <v>0</v>
      </c>
    </row>
    <row r="3148" spans="1:16" x14ac:dyDescent="0.25">
      <c r="A3148" t="s">
        <v>555</v>
      </c>
      <c r="B3148">
        <v>2500</v>
      </c>
      <c r="C3148">
        <v>3850</v>
      </c>
      <c r="D3148" t="s">
        <v>303</v>
      </c>
      <c r="E3148">
        <v>173</v>
      </c>
      <c r="F3148">
        <v>173</v>
      </c>
      <c r="G3148" t="s">
        <v>678</v>
      </c>
      <c r="H3148" t="s">
        <v>678</v>
      </c>
      <c r="J3148">
        <v>3850</v>
      </c>
      <c r="K3148">
        <v>2500</v>
      </c>
      <c r="L3148" t="s">
        <v>303</v>
      </c>
      <c r="M3148">
        <v>3850</v>
      </c>
      <c r="N3148">
        <v>2500</v>
      </c>
      <c r="O3148" t="s">
        <v>303</v>
      </c>
      <c r="P3148">
        <f t="shared" si="49"/>
        <v>0</v>
      </c>
    </row>
    <row r="3149" spans="1:16" x14ac:dyDescent="0.25">
      <c r="A3149" t="s">
        <v>669</v>
      </c>
      <c r="B3149">
        <v>2800</v>
      </c>
      <c r="C3149">
        <v>3850</v>
      </c>
      <c r="D3149" t="s">
        <v>303</v>
      </c>
      <c r="E3149" t="s">
        <v>910</v>
      </c>
      <c r="F3149" t="s">
        <v>910</v>
      </c>
      <c r="J3149">
        <v>3850</v>
      </c>
      <c r="K3149">
        <v>2800</v>
      </c>
      <c r="L3149" t="s">
        <v>303</v>
      </c>
      <c r="M3149">
        <v>3850</v>
      </c>
      <c r="N3149">
        <v>2800</v>
      </c>
      <c r="O3149" t="s">
        <v>303</v>
      </c>
      <c r="P3149">
        <f t="shared" si="49"/>
        <v>0</v>
      </c>
    </row>
    <row r="3150" spans="1:16" x14ac:dyDescent="0.25">
      <c r="A3150" t="s">
        <v>669</v>
      </c>
      <c r="B3150">
        <v>542</v>
      </c>
      <c r="C3150">
        <v>4500</v>
      </c>
      <c r="D3150" t="s">
        <v>303</v>
      </c>
      <c r="E3150" t="s">
        <v>910</v>
      </c>
      <c r="F3150" t="s">
        <v>910</v>
      </c>
      <c r="J3150">
        <v>4500</v>
      </c>
      <c r="K3150">
        <v>542</v>
      </c>
      <c r="L3150" t="s">
        <v>303</v>
      </c>
      <c r="M3150">
        <v>4500</v>
      </c>
      <c r="N3150">
        <v>542</v>
      </c>
      <c r="O3150" t="s">
        <v>303</v>
      </c>
      <c r="P3150">
        <f t="shared" si="49"/>
        <v>0</v>
      </c>
    </row>
    <row r="3151" spans="1:16" x14ac:dyDescent="0.25">
      <c r="A3151" t="s">
        <v>21</v>
      </c>
      <c r="B3151">
        <v>4503</v>
      </c>
      <c r="C3151">
        <v>4503</v>
      </c>
      <c r="D3151" t="s">
        <v>860</v>
      </c>
      <c r="E3151">
        <v>178</v>
      </c>
      <c r="F3151">
        <v>5</v>
      </c>
      <c r="G3151" t="s">
        <v>680</v>
      </c>
      <c r="H3151" t="s">
        <v>684</v>
      </c>
      <c r="J3151">
        <v>4503</v>
      </c>
      <c r="K3151">
        <v>0</v>
      </c>
      <c r="L3151" t="s">
        <v>303</v>
      </c>
      <c r="M3151">
        <v>4503</v>
      </c>
      <c r="N3151">
        <v>0</v>
      </c>
      <c r="O3151" t="s">
        <v>303</v>
      </c>
      <c r="P3151">
        <f t="shared" si="49"/>
        <v>0</v>
      </c>
    </row>
    <row r="3152" spans="1:16" x14ac:dyDescent="0.25">
      <c r="A3152" t="s">
        <v>21</v>
      </c>
      <c r="B3152">
        <v>4543</v>
      </c>
      <c r="C3152">
        <v>4543</v>
      </c>
      <c r="D3152" t="s">
        <v>860</v>
      </c>
      <c r="E3152">
        <v>178</v>
      </c>
      <c r="F3152">
        <v>5</v>
      </c>
      <c r="G3152" t="s">
        <v>680</v>
      </c>
      <c r="H3152" t="s">
        <v>684</v>
      </c>
      <c r="J3152">
        <v>4543</v>
      </c>
      <c r="K3152">
        <v>0</v>
      </c>
      <c r="L3152" t="s">
        <v>303</v>
      </c>
      <c r="M3152">
        <v>4543</v>
      </c>
      <c r="N3152">
        <v>0</v>
      </c>
      <c r="O3152" t="s">
        <v>303</v>
      </c>
      <c r="P3152">
        <f t="shared" si="49"/>
        <v>0</v>
      </c>
    </row>
    <row r="3153" spans="1:16" x14ac:dyDescent="0.25">
      <c r="A3153" t="s">
        <v>549</v>
      </c>
      <c r="B3153">
        <v>542</v>
      </c>
      <c r="C3153">
        <v>4600</v>
      </c>
      <c r="D3153" t="s">
        <v>303</v>
      </c>
      <c r="E3153">
        <v>158</v>
      </c>
      <c r="F3153">
        <v>158</v>
      </c>
      <c r="G3153" t="s">
        <v>768</v>
      </c>
      <c r="H3153" t="s">
        <v>768</v>
      </c>
      <c r="J3153">
        <v>4600</v>
      </c>
      <c r="K3153">
        <v>542</v>
      </c>
      <c r="L3153" t="s">
        <v>303</v>
      </c>
      <c r="M3153">
        <v>4600</v>
      </c>
      <c r="N3153">
        <v>542</v>
      </c>
      <c r="O3153" t="s">
        <v>303</v>
      </c>
      <c r="P3153">
        <f t="shared" si="49"/>
        <v>0</v>
      </c>
    </row>
    <row r="3154" spans="1:16" x14ac:dyDescent="0.25">
      <c r="A3154" t="s">
        <v>669</v>
      </c>
      <c r="B3154">
        <v>1.7000000000000001E-2</v>
      </c>
      <c r="C3154" t="s">
        <v>669</v>
      </c>
      <c r="D3154" t="s">
        <v>303</v>
      </c>
      <c r="E3154" t="s">
        <v>910</v>
      </c>
      <c r="F3154" t="s">
        <v>910</v>
      </c>
      <c r="K3154">
        <v>1.7000000000000001E-2</v>
      </c>
      <c r="L3154" t="s">
        <v>303</v>
      </c>
      <c r="N3154">
        <v>1.7000000000000001E-2</v>
      </c>
      <c r="O3154" t="s">
        <v>303</v>
      </c>
      <c r="P3154">
        <f t="shared" si="49"/>
        <v>0</v>
      </c>
    </row>
    <row r="3155" spans="1:16" x14ac:dyDescent="0.25">
      <c r="A3155" t="s">
        <v>669</v>
      </c>
      <c r="B3155">
        <v>1.7000000000000001E-2</v>
      </c>
      <c r="C3155" t="s">
        <v>669</v>
      </c>
      <c r="D3155" t="s">
        <v>860</v>
      </c>
      <c r="E3155" t="s">
        <v>910</v>
      </c>
      <c r="F3155" t="s">
        <v>910</v>
      </c>
      <c r="K3155">
        <v>1.7000000000000001E-2</v>
      </c>
      <c r="L3155" t="s">
        <v>303</v>
      </c>
      <c r="N3155">
        <v>1.7000000000000001E-2</v>
      </c>
      <c r="O3155" t="s">
        <v>303</v>
      </c>
      <c r="P3155">
        <f t="shared" si="49"/>
        <v>0</v>
      </c>
    </row>
    <row r="3156" spans="1:16" x14ac:dyDescent="0.25">
      <c r="A3156" t="s">
        <v>669</v>
      </c>
      <c r="B3156">
        <v>0.06</v>
      </c>
      <c r="C3156" t="s">
        <v>669</v>
      </c>
      <c r="D3156" t="s">
        <v>303</v>
      </c>
      <c r="E3156" t="s">
        <v>910</v>
      </c>
      <c r="F3156" t="s">
        <v>910</v>
      </c>
      <c r="K3156">
        <v>0.06</v>
      </c>
      <c r="L3156" t="s">
        <v>303</v>
      </c>
      <c r="N3156">
        <v>0.06</v>
      </c>
      <c r="O3156" t="s">
        <v>303</v>
      </c>
      <c r="P3156">
        <f t="shared" si="49"/>
        <v>0</v>
      </c>
    </row>
    <row r="3157" spans="1:16" x14ac:dyDescent="0.25">
      <c r="A3157" t="s">
        <v>669</v>
      </c>
      <c r="B3157">
        <v>7.3999999999999996E-2</v>
      </c>
      <c r="C3157" t="s">
        <v>669</v>
      </c>
      <c r="D3157" t="s">
        <v>669</v>
      </c>
      <c r="E3157" t="s">
        <v>910</v>
      </c>
      <c r="F3157" t="s">
        <v>910</v>
      </c>
      <c r="I3157" t="s">
        <v>927</v>
      </c>
      <c r="K3157">
        <v>7.3999999999999996E-2</v>
      </c>
      <c r="L3157" t="s">
        <v>930</v>
      </c>
      <c r="N3157">
        <v>7.3999999999999996E-2</v>
      </c>
      <c r="P3157">
        <f t="shared" si="49"/>
        <v>14</v>
      </c>
    </row>
    <row r="3158" spans="1:16" x14ac:dyDescent="0.25">
      <c r="A3158" t="s">
        <v>669</v>
      </c>
      <c r="B3158">
        <v>0.35</v>
      </c>
      <c r="C3158" t="s">
        <v>669</v>
      </c>
      <c r="D3158" t="s">
        <v>303</v>
      </c>
      <c r="E3158" t="s">
        <v>910</v>
      </c>
      <c r="F3158" t="s">
        <v>910</v>
      </c>
      <c r="K3158">
        <v>0.35</v>
      </c>
      <c r="L3158" t="s">
        <v>303</v>
      </c>
      <c r="N3158">
        <v>0.35</v>
      </c>
      <c r="O3158" t="s">
        <v>303</v>
      </c>
      <c r="P3158">
        <f t="shared" si="49"/>
        <v>0</v>
      </c>
    </row>
    <row r="3159" spans="1:16" x14ac:dyDescent="0.25">
      <c r="A3159" t="s">
        <v>669</v>
      </c>
      <c r="B3159">
        <v>0.46</v>
      </c>
      <c r="C3159" t="s">
        <v>669</v>
      </c>
      <c r="D3159" t="s">
        <v>303</v>
      </c>
      <c r="E3159" t="s">
        <v>910</v>
      </c>
      <c r="F3159" t="s">
        <v>910</v>
      </c>
      <c r="K3159">
        <v>0.46</v>
      </c>
      <c r="L3159" t="s">
        <v>303</v>
      </c>
      <c r="N3159">
        <v>0.46</v>
      </c>
      <c r="O3159" t="s">
        <v>303</v>
      </c>
      <c r="P3159">
        <f t="shared" si="49"/>
        <v>0</v>
      </c>
    </row>
    <row r="3160" spans="1:16" x14ac:dyDescent="0.25">
      <c r="A3160" t="s">
        <v>669</v>
      </c>
      <c r="B3160">
        <v>0.51</v>
      </c>
      <c r="C3160" t="s">
        <v>669</v>
      </c>
      <c r="D3160" t="s">
        <v>303</v>
      </c>
      <c r="E3160" t="s">
        <v>910</v>
      </c>
      <c r="F3160" t="s">
        <v>910</v>
      </c>
      <c r="K3160">
        <v>0.51</v>
      </c>
      <c r="L3160" t="s">
        <v>303</v>
      </c>
      <c r="N3160">
        <v>0.51</v>
      </c>
      <c r="O3160" t="s">
        <v>303</v>
      </c>
      <c r="P3160">
        <f t="shared" si="49"/>
        <v>0</v>
      </c>
    </row>
    <row r="3161" spans="1:16" x14ac:dyDescent="0.25">
      <c r="A3161" t="s">
        <v>527</v>
      </c>
      <c r="B3161">
        <v>0.68</v>
      </c>
      <c r="C3161" t="s">
        <v>669</v>
      </c>
      <c r="D3161" t="s">
        <v>669</v>
      </c>
      <c r="E3161">
        <v>8</v>
      </c>
      <c r="F3161">
        <v>8</v>
      </c>
      <c r="G3161" t="s">
        <v>687</v>
      </c>
      <c r="H3161" t="s">
        <v>687</v>
      </c>
      <c r="I3161" t="s">
        <v>927</v>
      </c>
      <c r="K3161">
        <v>0.68</v>
      </c>
      <c r="L3161" t="s">
        <v>930</v>
      </c>
      <c r="N3161">
        <v>0.68</v>
      </c>
      <c r="P3161">
        <f t="shared" si="49"/>
        <v>14</v>
      </c>
    </row>
    <row r="3162" spans="1:16" x14ac:dyDescent="0.25">
      <c r="A3162" t="s">
        <v>669</v>
      </c>
      <c r="B3162">
        <v>0.8</v>
      </c>
      <c r="C3162" t="s">
        <v>669</v>
      </c>
      <c r="D3162" t="s">
        <v>303</v>
      </c>
      <c r="E3162" t="s">
        <v>910</v>
      </c>
      <c r="F3162" t="s">
        <v>910</v>
      </c>
      <c r="K3162">
        <v>0.8</v>
      </c>
      <c r="L3162" t="s">
        <v>303</v>
      </c>
      <c r="N3162">
        <v>0.8</v>
      </c>
      <c r="O3162" t="s">
        <v>303</v>
      </c>
      <c r="P3162">
        <f t="shared" si="49"/>
        <v>0</v>
      </c>
    </row>
    <row r="3163" spans="1:16" x14ac:dyDescent="0.25">
      <c r="A3163" t="s">
        <v>669</v>
      </c>
      <c r="B3163">
        <v>0.83</v>
      </c>
      <c r="C3163" t="s">
        <v>669</v>
      </c>
      <c r="D3163" t="s">
        <v>669</v>
      </c>
      <c r="E3163" t="s">
        <v>910</v>
      </c>
      <c r="F3163" t="s">
        <v>910</v>
      </c>
      <c r="I3163" t="s">
        <v>927</v>
      </c>
      <c r="K3163">
        <v>0.83</v>
      </c>
      <c r="L3163" t="s">
        <v>930</v>
      </c>
      <c r="N3163">
        <v>0.83</v>
      </c>
      <c r="P3163">
        <f t="shared" si="49"/>
        <v>14</v>
      </c>
    </row>
    <row r="3164" spans="1:16" x14ac:dyDescent="0.25">
      <c r="A3164" t="s">
        <v>669</v>
      </c>
      <c r="B3164">
        <v>0.88</v>
      </c>
      <c r="C3164" t="s">
        <v>669</v>
      </c>
      <c r="D3164" t="s">
        <v>860</v>
      </c>
      <c r="E3164" t="s">
        <v>910</v>
      </c>
      <c r="F3164" t="s">
        <v>910</v>
      </c>
      <c r="K3164">
        <v>0.88</v>
      </c>
      <c r="L3164" t="s">
        <v>303</v>
      </c>
      <c r="N3164">
        <v>0.88</v>
      </c>
      <c r="O3164" t="s">
        <v>303</v>
      </c>
      <c r="P3164">
        <f t="shared" si="49"/>
        <v>0</v>
      </c>
    </row>
    <row r="3165" spans="1:16" x14ac:dyDescent="0.25">
      <c r="A3165" t="s">
        <v>669</v>
      </c>
      <c r="B3165">
        <v>0.97399999999999998</v>
      </c>
      <c r="C3165" t="s">
        <v>669</v>
      </c>
      <c r="D3165" t="s">
        <v>303</v>
      </c>
      <c r="E3165" t="s">
        <v>910</v>
      </c>
      <c r="F3165" t="s">
        <v>910</v>
      </c>
      <c r="K3165">
        <v>0.97399999999999998</v>
      </c>
      <c r="L3165" t="s">
        <v>303</v>
      </c>
      <c r="N3165">
        <v>0.97399999999999998</v>
      </c>
      <c r="O3165" t="s">
        <v>303</v>
      </c>
      <c r="P3165">
        <f t="shared" si="49"/>
        <v>0</v>
      </c>
    </row>
    <row r="3166" spans="1:16" x14ac:dyDescent="0.25">
      <c r="A3166" t="s">
        <v>669</v>
      </c>
      <c r="B3166">
        <v>1</v>
      </c>
      <c r="C3166" t="s">
        <v>669</v>
      </c>
      <c r="D3166" t="s">
        <v>303</v>
      </c>
      <c r="E3166" t="s">
        <v>910</v>
      </c>
      <c r="F3166" t="s">
        <v>910</v>
      </c>
      <c r="K3166">
        <v>1</v>
      </c>
      <c r="L3166" t="s">
        <v>303</v>
      </c>
      <c r="N3166">
        <v>1</v>
      </c>
      <c r="O3166" t="s">
        <v>303</v>
      </c>
      <c r="P3166">
        <f t="shared" si="49"/>
        <v>0</v>
      </c>
    </row>
    <row r="3167" spans="1:16" x14ac:dyDescent="0.25">
      <c r="A3167" t="s">
        <v>669</v>
      </c>
      <c r="B3167">
        <v>1.0669999999999999</v>
      </c>
      <c r="C3167" t="s">
        <v>669</v>
      </c>
      <c r="D3167" t="s">
        <v>303</v>
      </c>
      <c r="E3167" t="s">
        <v>910</v>
      </c>
      <c r="F3167" t="s">
        <v>910</v>
      </c>
      <c r="K3167">
        <v>1.0669999999999999</v>
      </c>
      <c r="L3167" t="s">
        <v>303</v>
      </c>
      <c r="N3167">
        <v>1.0669999999999999</v>
      </c>
      <c r="O3167" t="s">
        <v>303</v>
      </c>
      <c r="P3167">
        <f t="shared" si="49"/>
        <v>0</v>
      </c>
    </row>
    <row r="3168" spans="1:16" x14ac:dyDescent="0.25">
      <c r="A3168" t="s">
        <v>669</v>
      </c>
      <c r="B3168">
        <v>1.1200000000000001</v>
      </c>
      <c r="C3168" t="s">
        <v>669</v>
      </c>
      <c r="D3168" t="s">
        <v>303</v>
      </c>
      <c r="E3168" t="s">
        <v>910</v>
      </c>
      <c r="F3168" t="s">
        <v>910</v>
      </c>
      <c r="K3168">
        <v>1.1200000000000001</v>
      </c>
      <c r="L3168" t="s">
        <v>303</v>
      </c>
      <c r="N3168">
        <v>1.1200000000000001</v>
      </c>
      <c r="O3168" t="s">
        <v>303</v>
      </c>
      <c r="P3168">
        <f t="shared" si="49"/>
        <v>0</v>
      </c>
    </row>
    <row r="3169" spans="1:16" x14ac:dyDescent="0.25">
      <c r="A3169" t="s">
        <v>669</v>
      </c>
      <c r="B3169">
        <v>1.145</v>
      </c>
      <c r="C3169" t="s">
        <v>669</v>
      </c>
      <c r="D3169" t="s">
        <v>860</v>
      </c>
      <c r="E3169" t="s">
        <v>910</v>
      </c>
      <c r="F3169" t="s">
        <v>910</v>
      </c>
      <c r="K3169">
        <v>1.145</v>
      </c>
      <c r="L3169" t="s">
        <v>303</v>
      </c>
      <c r="N3169">
        <v>1.145</v>
      </c>
      <c r="O3169" t="s">
        <v>303</v>
      </c>
      <c r="P3169">
        <f t="shared" si="49"/>
        <v>0</v>
      </c>
    </row>
    <row r="3170" spans="1:16" x14ac:dyDescent="0.25">
      <c r="A3170" t="s">
        <v>669</v>
      </c>
      <c r="B3170">
        <v>1.21</v>
      </c>
      <c r="C3170" t="s">
        <v>669</v>
      </c>
      <c r="D3170" t="s">
        <v>303</v>
      </c>
      <c r="E3170" t="s">
        <v>910</v>
      </c>
      <c r="F3170" t="s">
        <v>910</v>
      </c>
      <c r="K3170">
        <v>1.21</v>
      </c>
      <c r="L3170" t="s">
        <v>303</v>
      </c>
      <c r="N3170">
        <v>1.21</v>
      </c>
      <c r="O3170" t="s">
        <v>303</v>
      </c>
      <c r="P3170">
        <f t="shared" si="49"/>
        <v>0</v>
      </c>
    </row>
    <row r="3171" spans="1:16" x14ac:dyDescent="0.25">
      <c r="A3171" t="s">
        <v>669</v>
      </c>
      <c r="B3171">
        <v>1.21</v>
      </c>
      <c r="C3171" t="s">
        <v>669</v>
      </c>
      <c r="D3171" t="s">
        <v>860</v>
      </c>
      <c r="E3171" t="s">
        <v>910</v>
      </c>
      <c r="F3171" t="s">
        <v>910</v>
      </c>
      <c r="K3171">
        <v>1.21</v>
      </c>
      <c r="L3171" t="s">
        <v>303</v>
      </c>
      <c r="N3171">
        <v>1.21</v>
      </c>
      <c r="O3171" t="s">
        <v>303</v>
      </c>
      <c r="P3171">
        <f t="shared" si="49"/>
        <v>0</v>
      </c>
    </row>
    <row r="3172" spans="1:16" x14ac:dyDescent="0.25">
      <c r="A3172" t="s">
        <v>669</v>
      </c>
      <c r="B3172">
        <v>1.21</v>
      </c>
      <c r="C3172" t="s">
        <v>669</v>
      </c>
      <c r="D3172" t="s">
        <v>669</v>
      </c>
      <c r="E3172" t="s">
        <v>910</v>
      </c>
      <c r="F3172" t="s">
        <v>910</v>
      </c>
      <c r="I3172" t="s">
        <v>927</v>
      </c>
      <c r="K3172">
        <v>1.21</v>
      </c>
      <c r="L3172" t="s">
        <v>930</v>
      </c>
      <c r="N3172">
        <v>1.21</v>
      </c>
      <c r="P3172">
        <f t="shared" si="49"/>
        <v>14</v>
      </c>
    </row>
    <row r="3173" spans="1:16" x14ac:dyDescent="0.25">
      <c r="A3173" t="s">
        <v>669</v>
      </c>
      <c r="B3173">
        <v>1.24</v>
      </c>
      <c r="C3173" t="s">
        <v>669</v>
      </c>
      <c r="D3173" t="s">
        <v>303</v>
      </c>
      <c r="E3173" t="s">
        <v>910</v>
      </c>
      <c r="F3173" t="s">
        <v>910</v>
      </c>
      <c r="K3173">
        <v>1.24</v>
      </c>
      <c r="L3173" t="s">
        <v>303</v>
      </c>
      <c r="N3173">
        <v>1.24</v>
      </c>
      <c r="O3173" t="s">
        <v>303</v>
      </c>
      <c r="P3173">
        <f t="shared" si="49"/>
        <v>0</v>
      </c>
    </row>
    <row r="3174" spans="1:16" x14ac:dyDescent="0.25">
      <c r="A3174" t="s">
        <v>669</v>
      </c>
      <c r="B3174">
        <v>1.3</v>
      </c>
      <c r="C3174" t="s">
        <v>669</v>
      </c>
      <c r="D3174" t="s">
        <v>303</v>
      </c>
      <c r="E3174" t="s">
        <v>910</v>
      </c>
      <c r="F3174" t="s">
        <v>910</v>
      </c>
      <c r="K3174">
        <v>1.3</v>
      </c>
      <c r="L3174" t="s">
        <v>303</v>
      </c>
      <c r="N3174">
        <v>1.3</v>
      </c>
      <c r="O3174" t="s">
        <v>303</v>
      </c>
      <c r="P3174">
        <f t="shared" si="49"/>
        <v>0</v>
      </c>
    </row>
    <row r="3175" spans="1:16" x14ac:dyDescent="0.25">
      <c r="A3175" t="s">
        <v>669</v>
      </c>
      <c r="B3175">
        <v>1.3</v>
      </c>
      <c r="C3175" t="s">
        <v>669</v>
      </c>
      <c r="D3175" t="s">
        <v>860</v>
      </c>
      <c r="E3175" t="s">
        <v>910</v>
      </c>
      <c r="F3175" t="s">
        <v>910</v>
      </c>
      <c r="K3175">
        <v>1.3</v>
      </c>
      <c r="L3175" t="s">
        <v>303</v>
      </c>
      <c r="N3175">
        <v>1.3</v>
      </c>
      <c r="O3175" t="s">
        <v>303</v>
      </c>
      <c r="P3175">
        <f t="shared" si="49"/>
        <v>0</v>
      </c>
    </row>
    <row r="3176" spans="1:16" x14ac:dyDescent="0.25">
      <c r="A3176" t="s">
        <v>669</v>
      </c>
      <c r="B3176">
        <v>1.35</v>
      </c>
      <c r="C3176" t="s">
        <v>669</v>
      </c>
      <c r="D3176" t="s">
        <v>860</v>
      </c>
      <c r="E3176" t="s">
        <v>910</v>
      </c>
      <c r="F3176" t="s">
        <v>910</v>
      </c>
      <c r="K3176">
        <v>1.35</v>
      </c>
      <c r="L3176" t="s">
        <v>303</v>
      </c>
      <c r="N3176">
        <v>1.35</v>
      </c>
      <c r="O3176" t="s">
        <v>303</v>
      </c>
      <c r="P3176">
        <f t="shared" si="49"/>
        <v>0</v>
      </c>
    </row>
    <row r="3177" spans="1:16" x14ac:dyDescent="0.25">
      <c r="A3177" t="s">
        <v>669</v>
      </c>
      <c r="B3177">
        <v>1.4950000000000001</v>
      </c>
      <c r="C3177" t="s">
        <v>669</v>
      </c>
      <c r="D3177" t="s">
        <v>860</v>
      </c>
      <c r="E3177" t="s">
        <v>910</v>
      </c>
      <c r="F3177" t="s">
        <v>910</v>
      </c>
      <c r="K3177">
        <v>1.4950000000000001</v>
      </c>
      <c r="L3177" t="s">
        <v>303</v>
      </c>
      <c r="N3177">
        <v>1.4950000000000001</v>
      </c>
      <c r="O3177" t="s">
        <v>303</v>
      </c>
      <c r="P3177">
        <f t="shared" si="49"/>
        <v>0</v>
      </c>
    </row>
    <row r="3178" spans="1:16" x14ac:dyDescent="0.25">
      <c r="A3178" t="s">
        <v>669</v>
      </c>
      <c r="B3178">
        <v>1.7</v>
      </c>
      <c r="C3178" t="s">
        <v>669</v>
      </c>
      <c r="D3178" t="s">
        <v>303</v>
      </c>
      <c r="E3178" t="s">
        <v>910</v>
      </c>
      <c r="F3178" t="s">
        <v>910</v>
      </c>
      <c r="K3178">
        <v>1.7</v>
      </c>
      <c r="L3178" t="s">
        <v>303</v>
      </c>
      <c r="N3178">
        <v>1.7</v>
      </c>
      <c r="O3178" t="s">
        <v>303</v>
      </c>
      <c r="P3178">
        <f t="shared" si="49"/>
        <v>0</v>
      </c>
    </row>
    <row r="3179" spans="1:16" x14ac:dyDescent="0.25">
      <c r="A3179" t="s">
        <v>669</v>
      </c>
      <c r="B3179">
        <v>1.7490000000000001</v>
      </c>
      <c r="C3179" t="s">
        <v>669</v>
      </c>
      <c r="D3179" t="s">
        <v>303</v>
      </c>
      <c r="E3179" t="s">
        <v>910</v>
      </c>
      <c r="F3179" t="s">
        <v>910</v>
      </c>
      <c r="K3179">
        <v>1.7490000000000001</v>
      </c>
      <c r="L3179" t="s">
        <v>303</v>
      </c>
      <c r="N3179">
        <v>1.7490000000000001</v>
      </c>
      <c r="O3179" t="s">
        <v>303</v>
      </c>
      <c r="P3179">
        <f t="shared" si="49"/>
        <v>0</v>
      </c>
    </row>
    <row r="3180" spans="1:16" x14ac:dyDescent="0.25">
      <c r="A3180" t="s">
        <v>669</v>
      </c>
      <c r="B3180">
        <v>2.85</v>
      </c>
      <c r="C3180" t="s">
        <v>669</v>
      </c>
      <c r="D3180" t="s">
        <v>303</v>
      </c>
      <c r="E3180" t="s">
        <v>910</v>
      </c>
      <c r="F3180" t="s">
        <v>910</v>
      </c>
      <c r="K3180">
        <v>2.85</v>
      </c>
      <c r="L3180" t="s">
        <v>303</v>
      </c>
      <c r="N3180">
        <v>2.85</v>
      </c>
      <c r="O3180" t="s">
        <v>303</v>
      </c>
      <c r="P3180">
        <f t="shared" si="49"/>
        <v>0</v>
      </c>
    </row>
    <row r="3181" spans="1:16" x14ac:dyDescent="0.25">
      <c r="A3181" t="s">
        <v>669</v>
      </c>
      <c r="B3181">
        <v>2.9</v>
      </c>
      <c r="C3181" t="s">
        <v>669</v>
      </c>
      <c r="D3181" t="s">
        <v>303</v>
      </c>
      <c r="E3181" t="s">
        <v>910</v>
      </c>
      <c r="F3181" t="s">
        <v>910</v>
      </c>
      <c r="K3181">
        <v>2.9</v>
      </c>
      <c r="L3181" t="s">
        <v>303</v>
      </c>
      <c r="N3181">
        <v>2.9</v>
      </c>
      <c r="O3181" t="s">
        <v>303</v>
      </c>
      <c r="P3181">
        <f t="shared" si="49"/>
        <v>0</v>
      </c>
    </row>
    <row r="3182" spans="1:16" x14ac:dyDescent="0.25">
      <c r="A3182" t="s">
        <v>669</v>
      </c>
      <c r="B3182">
        <v>3.2269999999999999</v>
      </c>
      <c r="C3182" t="s">
        <v>669</v>
      </c>
      <c r="D3182" t="s">
        <v>860</v>
      </c>
      <c r="E3182" t="s">
        <v>910</v>
      </c>
      <c r="F3182" t="s">
        <v>910</v>
      </c>
      <c r="K3182">
        <v>3.2269999999999999</v>
      </c>
      <c r="L3182" t="s">
        <v>303</v>
      </c>
      <c r="N3182">
        <v>3.2269999999999999</v>
      </c>
      <c r="O3182" t="s">
        <v>303</v>
      </c>
      <c r="P3182">
        <f t="shared" si="49"/>
        <v>0</v>
      </c>
    </row>
    <row r="3183" spans="1:16" x14ac:dyDescent="0.25">
      <c r="A3183" t="s">
        <v>669</v>
      </c>
      <c r="B3183">
        <v>4</v>
      </c>
      <c r="C3183" t="s">
        <v>669</v>
      </c>
      <c r="D3183" t="s">
        <v>303</v>
      </c>
      <c r="E3183" t="s">
        <v>910</v>
      </c>
      <c r="F3183" t="s">
        <v>910</v>
      </c>
      <c r="K3183">
        <v>4</v>
      </c>
      <c r="L3183" t="s">
        <v>303</v>
      </c>
      <c r="N3183">
        <v>4</v>
      </c>
      <c r="O3183" t="s">
        <v>303</v>
      </c>
      <c r="P3183">
        <f t="shared" si="49"/>
        <v>0</v>
      </c>
    </row>
    <row r="3184" spans="1:16" x14ac:dyDescent="0.25">
      <c r="A3184" t="s">
        <v>669</v>
      </c>
      <c r="B3184">
        <v>4.0999999999999996</v>
      </c>
      <c r="C3184" t="s">
        <v>669</v>
      </c>
      <c r="D3184" t="s">
        <v>860</v>
      </c>
      <c r="E3184" t="s">
        <v>910</v>
      </c>
      <c r="F3184" t="s">
        <v>910</v>
      </c>
      <c r="K3184">
        <v>4.0999999999999996</v>
      </c>
      <c r="L3184" t="s">
        <v>303</v>
      </c>
      <c r="N3184">
        <v>4.0999999999999996</v>
      </c>
      <c r="O3184" t="s">
        <v>303</v>
      </c>
      <c r="P3184">
        <f t="shared" si="49"/>
        <v>0</v>
      </c>
    </row>
    <row r="3185" spans="1:16" x14ac:dyDescent="0.25">
      <c r="A3185" t="s">
        <v>669</v>
      </c>
      <c r="B3185">
        <v>4.29</v>
      </c>
      <c r="C3185" t="s">
        <v>669</v>
      </c>
      <c r="D3185" t="s">
        <v>303</v>
      </c>
      <c r="E3185" t="s">
        <v>910</v>
      </c>
      <c r="F3185" t="s">
        <v>910</v>
      </c>
      <c r="K3185">
        <v>4.29</v>
      </c>
      <c r="L3185" t="s">
        <v>303</v>
      </c>
      <c r="N3185">
        <v>4.29</v>
      </c>
      <c r="O3185" t="s">
        <v>303</v>
      </c>
      <c r="P3185">
        <f t="shared" si="49"/>
        <v>0</v>
      </c>
    </row>
    <row r="3186" spans="1:16" x14ac:dyDescent="0.25">
      <c r="A3186" t="s">
        <v>669</v>
      </c>
      <c r="B3186">
        <v>4.5</v>
      </c>
      <c r="C3186" t="s">
        <v>669</v>
      </c>
      <c r="D3186" t="s">
        <v>303</v>
      </c>
      <c r="E3186" t="s">
        <v>910</v>
      </c>
      <c r="F3186" t="s">
        <v>910</v>
      </c>
      <c r="K3186">
        <v>4.5</v>
      </c>
      <c r="L3186" t="s">
        <v>303</v>
      </c>
      <c r="N3186">
        <v>4.5</v>
      </c>
      <c r="O3186" t="s">
        <v>303</v>
      </c>
      <c r="P3186">
        <f t="shared" si="49"/>
        <v>0</v>
      </c>
    </row>
    <row r="3187" spans="1:16" x14ac:dyDescent="0.25">
      <c r="A3187" t="s">
        <v>669</v>
      </c>
      <c r="B3187">
        <v>5</v>
      </c>
      <c r="C3187" t="s">
        <v>669</v>
      </c>
      <c r="D3187" t="s">
        <v>669</v>
      </c>
      <c r="E3187" t="s">
        <v>910</v>
      </c>
      <c r="F3187" t="s">
        <v>910</v>
      </c>
      <c r="I3187" t="s">
        <v>927</v>
      </c>
      <c r="K3187">
        <v>5</v>
      </c>
      <c r="L3187" t="s">
        <v>930</v>
      </c>
      <c r="N3187">
        <v>5</v>
      </c>
      <c r="P3187">
        <f t="shared" si="49"/>
        <v>14</v>
      </c>
    </row>
    <row r="3188" spans="1:16" x14ac:dyDescent="0.25">
      <c r="A3188" t="s">
        <v>669</v>
      </c>
      <c r="B3188">
        <v>5.3</v>
      </c>
      <c r="C3188" t="s">
        <v>669</v>
      </c>
      <c r="D3188" t="s">
        <v>303</v>
      </c>
      <c r="E3188" t="s">
        <v>910</v>
      </c>
      <c r="F3188" t="s">
        <v>910</v>
      </c>
      <c r="K3188">
        <v>5.3</v>
      </c>
      <c r="L3188" t="s">
        <v>303</v>
      </c>
      <c r="N3188">
        <v>5.3</v>
      </c>
      <c r="O3188" t="s">
        <v>303</v>
      </c>
      <c r="P3188">
        <f t="shared" si="49"/>
        <v>0</v>
      </c>
    </row>
    <row r="3189" spans="1:16" x14ac:dyDescent="0.25">
      <c r="A3189" t="s">
        <v>375</v>
      </c>
      <c r="B3189">
        <v>6.5</v>
      </c>
      <c r="C3189" t="s">
        <v>669</v>
      </c>
      <c r="D3189" t="s">
        <v>860</v>
      </c>
      <c r="E3189">
        <v>17</v>
      </c>
      <c r="F3189">
        <v>17</v>
      </c>
      <c r="G3189" t="s">
        <v>689</v>
      </c>
      <c r="H3189" t="s">
        <v>689</v>
      </c>
      <c r="K3189">
        <v>6.5</v>
      </c>
      <c r="L3189" t="s">
        <v>303</v>
      </c>
      <c r="N3189">
        <v>6.5</v>
      </c>
      <c r="O3189" t="s">
        <v>303</v>
      </c>
      <c r="P3189">
        <f t="shared" si="49"/>
        <v>0</v>
      </c>
    </row>
    <row r="3190" spans="1:16" x14ac:dyDescent="0.25">
      <c r="A3190" t="s">
        <v>669</v>
      </c>
      <c r="B3190">
        <v>6.5</v>
      </c>
      <c r="C3190" t="s">
        <v>669</v>
      </c>
      <c r="D3190" t="s">
        <v>860</v>
      </c>
      <c r="E3190" t="s">
        <v>910</v>
      </c>
      <c r="F3190" t="s">
        <v>910</v>
      </c>
      <c r="K3190">
        <v>6.5</v>
      </c>
      <c r="L3190" t="s">
        <v>303</v>
      </c>
      <c r="N3190">
        <v>6.5</v>
      </c>
      <c r="O3190" t="s">
        <v>303</v>
      </c>
      <c r="P3190">
        <f t="shared" si="49"/>
        <v>0</v>
      </c>
    </row>
    <row r="3191" spans="1:16" x14ac:dyDescent="0.25">
      <c r="A3191" t="s">
        <v>669</v>
      </c>
      <c r="B3191">
        <v>6.7</v>
      </c>
      <c r="C3191" t="s">
        <v>669</v>
      </c>
      <c r="D3191" t="s">
        <v>860</v>
      </c>
      <c r="E3191" t="s">
        <v>910</v>
      </c>
      <c r="F3191" t="s">
        <v>910</v>
      </c>
      <c r="K3191">
        <v>6.7</v>
      </c>
      <c r="L3191" t="s">
        <v>303</v>
      </c>
      <c r="N3191">
        <v>6.7</v>
      </c>
      <c r="O3191" t="s">
        <v>303</v>
      </c>
      <c r="P3191">
        <f t="shared" si="49"/>
        <v>0</v>
      </c>
    </row>
    <row r="3192" spans="1:16" x14ac:dyDescent="0.25">
      <c r="A3192" t="s">
        <v>669</v>
      </c>
      <c r="B3192">
        <v>7</v>
      </c>
      <c r="C3192" t="s">
        <v>669</v>
      </c>
      <c r="D3192" t="s">
        <v>860</v>
      </c>
      <c r="E3192" t="s">
        <v>910</v>
      </c>
      <c r="F3192" t="s">
        <v>910</v>
      </c>
      <c r="K3192">
        <v>7</v>
      </c>
      <c r="L3192" t="s">
        <v>303</v>
      </c>
      <c r="N3192">
        <v>7</v>
      </c>
      <c r="O3192" t="s">
        <v>303</v>
      </c>
      <c r="P3192">
        <f t="shared" si="49"/>
        <v>0</v>
      </c>
    </row>
    <row r="3193" spans="1:16" x14ac:dyDescent="0.25">
      <c r="A3193" t="s">
        <v>669</v>
      </c>
      <c r="B3193">
        <v>7.11</v>
      </c>
      <c r="C3193" t="s">
        <v>669</v>
      </c>
      <c r="D3193" t="s">
        <v>303</v>
      </c>
      <c r="E3193" t="s">
        <v>910</v>
      </c>
      <c r="F3193" t="s">
        <v>910</v>
      </c>
      <c r="K3193">
        <v>7.11</v>
      </c>
      <c r="L3193" t="s">
        <v>303</v>
      </c>
      <c r="N3193">
        <v>7.11</v>
      </c>
      <c r="O3193" t="s">
        <v>303</v>
      </c>
      <c r="P3193">
        <f t="shared" si="49"/>
        <v>0</v>
      </c>
    </row>
    <row r="3194" spans="1:16" x14ac:dyDescent="0.25">
      <c r="A3194" t="s">
        <v>375</v>
      </c>
      <c r="B3194">
        <v>7.5</v>
      </c>
      <c r="C3194" t="s">
        <v>669</v>
      </c>
      <c r="D3194" t="s">
        <v>860</v>
      </c>
      <c r="E3194">
        <v>17</v>
      </c>
      <c r="F3194">
        <v>17</v>
      </c>
      <c r="G3194" t="s">
        <v>689</v>
      </c>
      <c r="H3194" t="s">
        <v>689</v>
      </c>
      <c r="K3194">
        <v>7.5</v>
      </c>
      <c r="L3194" t="s">
        <v>303</v>
      </c>
      <c r="N3194">
        <v>7.5</v>
      </c>
      <c r="O3194" t="s">
        <v>303</v>
      </c>
      <c r="P3194">
        <f t="shared" si="49"/>
        <v>0</v>
      </c>
    </row>
    <row r="3195" spans="1:16" x14ac:dyDescent="0.25">
      <c r="A3195" t="s">
        <v>669</v>
      </c>
      <c r="B3195">
        <v>7.7</v>
      </c>
      <c r="C3195" t="s">
        <v>669</v>
      </c>
      <c r="D3195" t="s">
        <v>303</v>
      </c>
      <c r="E3195" t="s">
        <v>910</v>
      </c>
      <c r="F3195" t="s">
        <v>910</v>
      </c>
      <c r="K3195">
        <v>7.7</v>
      </c>
      <c r="L3195" t="s">
        <v>303</v>
      </c>
      <c r="N3195">
        <v>7.7</v>
      </c>
      <c r="O3195" t="s">
        <v>303</v>
      </c>
      <c r="P3195">
        <f t="shared" si="49"/>
        <v>0</v>
      </c>
    </row>
    <row r="3196" spans="1:16" x14ac:dyDescent="0.25">
      <c r="A3196" t="s">
        <v>669</v>
      </c>
      <c r="B3196">
        <v>7.96</v>
      </c>
      <c r="C3196" t="s">
        <v>669</v>
      </c>
      <c r="D3196" t="s">
        <v>303</v>
      </c>
      <c r="E3196" t="s">
        <v>910</v>
      </c>
      <c r="F3196" t="s">
        <v>910</v>
      </c>
      <c r="K3196">
        <v>7.96</v>
      </c>
      <c r="L3196" t="s">
        <v>303</v>
      </c>
      <c r="N3196">
        <v>7.96</v>
      </c>
      <c r="O3196" t="s">
        <v>303</v>
      </c>
      <c r="P3196">
        <f t="shared" si="49"/>
        <v>0</v>
      </c>
    </row>
    <row r="3197" spans="1:16" x14ac:dyDescent="0.25">
      <c r="A3197" t="s">
        <v>669</v>
      </c>
      <c r="B3197">
        <v>8.8699999999999992</v>
      </c>
      <c r="C3197" t="s">
        <v>669</v>
      </c>
      <c r="D3197" t="s">
        <v>303</v>
      </c>
      <c r="E3197" t="s">
        <v>910</v>
      </c>
      <c r="F3197" t="s">
        <v>910</v>
      </c>
      <c r="K3197">
        <v>8.8699999999999992</v>
      </c>
      <c r="L3197" t="s">
        <v>303</v>
      </c>
      <c r="N3197">
        <v>8.8699999999999992</v>
      </c>
      <c r="O3197" t="s">
        <v>303</v>
      </c>
      <c r="P3197">
        <f t="shared" si="49"/>
        <v>0</v>
      </c>
    </row>
    <row r="3198" spans="1:16" x14ac:dyDescent="0.25">
      <c r="A3198" t="s">
        <v>669</v>
      </c>
      <c r="B3198">
        <v>9.1170000000000009</v>
      </c>
      <c r="C3198" t="s">
        <v>669</v>
      </c>
      <c r="D3198" t="s">
        <v>860</v>
      </c>
      <c r="E3198" t="s">
        <v>910</v>
      </c>
      <c r="F3198" t="s">
        <v>910</v>
      </c>
      <c r="K3198">
        <v>9.1170000000000009</v>
      </c>
      <c r="L3198" t="s">
        <v>303</v>
      </c>
      <c r="N3198">
        <v>9.1170000000000009</v>
      </c>
      <c r="O3198" t="s">
        <v>303</v>
      </c>
      <c r="P3198">
        <f t="shared" si="49"/>
        <v>0</v>
      </c>
    </row>
    <row r="3199" spans="1:16" x14ac:dyDescent="0.25">
      <c r="A3199" t="s">
        <v>669</v>
      </c>
      <c r="B3199">
        <v>9.48</v>
      </c>
      <c r="C3199" t="s">
        <v>669</v>
      </c>
      <c r="D3199" t="s">
        <v>303</v>
      </c>
      <c r="E3199" t="s">
        <v>910</v>
      </c>
      <c r="F3199" t="s">
        <v>910</v>
      </c>
      <c r="K3199">
        <v>9.48</v>
      </c>
      <c r="L3199" t="s">
        <v>303</v>
      </c>
      <c r="N3199">
        <v>9.48</v>
      </c>
      <c r="O3199" t="s">
        <v>303</v>
      </c>
      <c r="P3199">
        <f t="shared" si="49"/>
        <v>0</v>
      </c>
    </row>
    <row r="3200" spans="1:16" x14ac:dyDescent="0.25">
      <c r="A3200" t="s">
        <v>669</v>
      </c>
      <c r="B3200">
        <v>10.16</v>
      </c>
      <c r="C3200" t="s">
        <v>669</v>
      </c>
      <c r="D3200" t="s">
        <v>303</v>
      </c>
      <c r="E3200" t="s">
        <v>910</v>
      </c>
      <c r="F3200" t="s">
        <v>910</v>
      </c>
      <c r="K3200">
        <v>10.16</v>
      </c>
      <c r="L3200" t="s">
        <v>303</v>
      </c>
      <c r="N3200">
        <v>10.16</v>
      </c>
      <c r="O3200" t="s">
        <v>303</v>
      </c>
      <c r="P3200">
        <f t="shared" si="49"/>
        <v>0</v>
      </c>
    </row>
    <row r="3201" spans="1:16" x14ac:dyDescent="0.25">
      <c r="A3201" t="s">
        <v>669</v>
      </c>
      <c r="B3201">
        <v>10.7</v>
      </c>
      <c r="C3201" t="s">
        <v>669</v>
      </c>
      <c r="D3201" t="s">
        <v>303</v>
      </c>
      <c r="E3201" t="s">
        <v>910</v>
      </c>
      <c r="F3201" t="s">
        <v>910</v>
      </c>
      <c r="K3201">
        <v>10.7</v>
      </c>
      <c r="L3201" t="s">
        <v>303</v>
      </c>
      <c r="N3201">
        <v>10.7</v>
      </c>
      <c r="O3201" t="s">
        <v>303</v>
      </c>
      <c r="P3201">
        <f t="shared" si="49"/>
        <v>0</v>
      </c>
    </row>
    <row r="3202" spans="1:16" x14ac:dyDescent="0.25">
      <c r="A3202" t="s">
        <v>669</v>
      </c>
      <c r="B3202">
        <v>11.23</v>
      </c>
      <c r="C3202" t="s">
        <v>669</v>
      </c>
      <c r="D3202" t="s">
        <v>303</v>
      </c>
      <c r="E3202" t="s">
        <v>910</v>
      </c>
      <c r="F3202" t="s">
        <v>910</v>
      </c>
      <c r="K3202">
        <v>11.23</v>
      </c>
      <c r="L3202" t="s">
        <v>303</v>
      </c>
      <c r="N3202">
        <v>11.23</v>
      </c>
      <c r="O3202" t="s">
        <v>303</v>
      </c>
      <c r="P3202">
        <f t="shared" si="49"/>
        <v>0</v>
      </c>
    </row>
    <row r="3203" spans="1:16" x14ac:dyDescent="0.25">
      <c r="A3203" t="s">
        <v>669</v>
      </c>
      <c r="B3203">
        <v>11.7</v>
      </c>
      <c r="C3203" t="s">
        <v>669</v>
      </c>
      <c r="D3203" t="s">
        <v>303</v>
      </c>
      <c r="E3203" t="s">
        <v>910</v>
      </c>
      <c r="F3203" t="s">
        <v>910</v>
      </c>
      <c r="K3203">
        <v>11.7</v>
      </c>
      <c r="L3203" t="s">
        <v>303</v>
      </c>
      <c r="N3203">
        <v>11.7</v>
      </c>
      <c r="O3203" t="s">
        <v>303</v>
      </c>
      <c r="P3203">
        <f t="shared" ref="P3203:P3266" si="50">LEN(I3203)</f>
        <v>0</v>
      </c>
    </row>
    <row r="3204" spans="1:16" x14ac:dyDescent="0.25">
      <c r="A3204" t="s">
        <v>669</v>
      </c>
      <c r="B3204">
        <v>13.24</v>
      </c>
      <c r="C3204" t="s">
        <v>669</v>
      </c>
      <c r="D3204" t="s">
        <v>860</v>
      </c>
      <c r="E3204" t="s">
        <v>910</v>
      </c>
      <c r="F3204" t="s">
        <v>910</v>
      </c>
      <c r="K3204">
        <v>13.24</v>
      </c>
      <c r="L3204" t="s">
        <v>303</v>
      </c>
      <c r="N3204">
        <v>13.24</v>
      </c>
      <c r="O3204" t="s">
        <v>303</v>
      </c>
      <c r="P3204">
        <f t="shared" si="50"/>
        <v>0</v>
      </c>
    </row>
    <row r="3205" spans="1:16" x14ac:dyDescent="0.25">
      <c r="A3205" t="s">
        <v>669</v>
      </c>
      <c r="B3205">
        <v>13.3</v>
      </c>
      <c r="C3205" t="s">
        <v>669</v>
      </c>
      <c r="D3205" t="s">
        <v>303</v>
      </c>
      <c r="E3205" t="s">
        <v>910</v>
      </c>
      <c r="F3205" t="s">
        <v>910</v>
      </c>
      <c r="K3205">
        <v>13.3</v>
      </c>
      <c r="L3205" t="s">
        <v>303</v>
      </c>
      <c r="N3205">
        <v>13.3</v>
      </c>
      <c r="O3205" t="s">
        <v>303</v>
      </c>
      <c r="P3205">
        <f t="shared" si="50"/>
        <v>0</v>
      </c>
    </row>
    <row r="3206" spans="1:16" x14ac:dyDescent="0.25">
      <c r="A3206" t="s">
        <v>669</v>
      </c>
      <c r="B3206">
        <v>14.2</v>
      </c>
      <c r="C3206" t="s">
        <v>669</v>
      </c>
      <c r="D3206" t="s">
        <v>303</v>
      </c>
      <c r="E3206" t="s">
        <v>910</v>
      </c>
      <c r="F3206" t="s">
        <v>910</v>
      </c>
      <c r="K3206">
        <v>14.2</v>
      </c>
      <c r="L3206" t="s">
        <v>303</v>
      </c>
      <c r="N3206">
        <v>14.2</v>
      </c>
      <c r="O3206" t="s">
        <v>303</v>
      </c>
      <c r="P3206">
        <f t="shared" si="50"/>
        <v>0</v>
      </c>
    </row>
    <row r="3207" spans="1:16" x14ac:dyDescent="0.25">
      <c r="A3207" t="s">
        <v>669</v>
      </c>
      <c r="B3207">
        <v>14.5</v>
      </c>
      <c r="C3207" t="s">
        <v>669</v>
      </c>
      <c r="D3207" t="s">
        <v>303</v>
      </c>
      <c r="E3207" t="s">
        <v>910</v>
      </c>
      <c r="F3207" t="s">
        <v>910</v>
      </c>
      <c r="K3207">
        <v>14.5</v>
      </c>
      <c r="L3207" t="s">
        <v>303</v>
      </c>
      <c r="N3207">
        <v>14.5</v>
      </c>
      <c r="O3207" t="s">
        <v>303</v>
      </c>
      <c r="P3207">
        <f t="shared" si="50"/>
        <v>0</v>
      </c>
    </row>
    <row r="3208" spans="1:16" x14ac:dyDescent="0.25">
      <c r="A3208" t="s">
        <v>669</v>
      </c>
      <c r="B3208">
        <v>15.8</v>
      </c>
      <c r="C3208" t="s">
        <v>669</v>
      </c>
      <c r="D3208" t="s">
        <v>303</v>
      </c>
      <c r="E3208" t="s">
        <v>910</v>
      </c>
      <c r="F3208" t="s">
        <v>910</v>
      </c>
      <c r="K3208">
        <v>15.8</v>
      </c>
      <c r="L3208" t="s">
        <v>303</v>
      </c>
      <c r="N3208">
        <v>15.8</v>
      </c>
      <c r="O3208" t="s">
        <v>303</v>
      </c>
      <c r="P3208">
        <f t="shared" si="50"/>
        <v>0</v>
      </c>
    </row>
    <row r="3209" spans="1:16" x14ac:dyDescent="0.25">
      <c r="A3209" t="s">
        <v>669</v>
      </c>
      <c r="B3209">
        <v>15.95</v>
      </c>
      <c r="C3209" t="s">
        <v>669</v>
      </c>
      <c r="D3209" t="s">
        <v>303</v>
      </c>
      <c r="E3209" t="s">
        <v>910</v>
      </c>
      <c r="F3209" t="s">
        <v>910</v>
      </c>
      <c r="K3209">
        <v>15.95</v>
      </c>
      <c r="L3209" t="s">
        <v>303</v>
      </c>
      <c r="N3209">
        <v>15.95</v>
      </c>
      <c r="O3209" t="s">
        <v>303</v>
      </c>
      <c r="P3209">
        <f t="shared" si="50"/>
        <v>0</v>
      </c>
    </row>
    <row r="3210" spans="1:16" x14ac:dyDescent="0.25">
      <c r="A3210" t="s">
        <v>669</v>
      </c>
      <c r="B3210">
        <v>16.2</v>
      </c>
      <c r="C3210" t="s">
        <v>669</v>
      </c>
      <c r="D3210" t="s">
        <v>303</v>
      </c>
      <c r="E3210" t="s">
        <v>910</v>
      </c>
      <c r="F3210" t="s">
        <v>910</v>
      </c>
      <c r="K3210">
        <v>16.2</v>
      </c>
      <c r="L3210" t="s">
        <v>303</v>
      </c>
      <c r="N3210">
        <v>16.2</v>
      </c>
      <c r="O3210" t="s">
        <v>303</v>
      </c>
      <c r="P3210">
        <f t="shared" si="50"/>
        <v>0</v>
      </c>
    </row>
    <row r="3211" spans="1:16" x14ac:dyDescent="0.25">
      <c r="A3211" t="s">
        <v>669</v>
      </c>
      <c r="B3211">
        <v>16.28</v>
      </c>
      <c r="C3211" t="s">
        <v>669</v>
      </c>
      <c r="D3211" t="s">
        <v>303</v>
      </c>
      <c r="E3211" t="s">
        <v>910</v>
      </c>
      <c r="F3211" t="s">
        <v>910</v>
      </c>
      <c r="K3211">
        <v>16.28</v>
      </c>
      <c r="L3211" t="s">
        <v>303</v>
      </c>
      <c r="N3211">
        <v>16.28</v>
      </c>
      <c r="O3211" t="s">
        <v>303</v>
      </c>
      <c r="P3211">
        <f t="shared" si="50"/>
        <v>0</v>
      </c>
    </row>
    <row r="3212" spans="1:16" x14ac:dyDescent="0.25">
      <c r="A3212" t="s">
        <v>669</v>
      </c>
      <c r="B3212">
        <v>16.399999999999999</v>
      </c>
      <c r="C3212" t="s">
        <v>669</v>
      </c>
      <c r="D3212" t="s">
        <v>303</v>
      </c>
      <c r="E3212" t="s">
        <v>910</v>
      </c>
      <c r="F3212" t="s">
        <v>910</v>
      </c>
      <c r="K3212">
        <v>16.399999999999999</v>
      </c>
      <c r="L3212" t="s">
        <v>303</v>
      </c>
      <c r="N3212">
        <v>16.399999999999999</v>
      </c>
      <c r="O3212" t="s">
        <v>303</v>
      </c>
      <c r="P3212">
        <f t="shared" si="50"/>
        <v>0</v>
      </c>
    </row>
    <row r="3213" spans="1:16" x14ac:dyDescent="0.25">
      <c r="A3213" t="s">
        <v>669</v>
      </c>
      <c r="B3213">
        <v>16.72</v>
      </c>
      <c r="C3213" t="s">
        <v>669</v>
      </c>
      <c r="D3213" t="s">
        <v>303</v>
      </c>
      <c r="E3213" t="s">
        <v>910</v>
      </c>
      <c r="F3213" t="s">
        <v>910</v>
      </c>
      <c r="K3213">
        <v>16.72</v>
      </c>
      <c r="L3213" t="s">
        <v>303</v>
      </c>
      <c r="N3213">
        <v>16.72</v>
      </c>
      <c r="O3213" t="s">
        <v>303</v>
      </c>
      <c r="P3213">
        <f t="shared" si="50"/>
        <v>0</v>
      </c>
    </row>
    <row r="3214" spans="1:16" x14ac:dyDescent="0.25">
      <c r="A3214" t="s">
        <v>669</v>
      </c>
      <c r="B3214">
        <v>16.8</v>
      </c>
      <c r="C3214" t="s">
        <v>669</v>
      </c>
      <c r="D3214" t="s">
        <v>303</v>
      </c>
      <c r="E3214" t="s">
        <v>910</v>
      </c>
      <c r="F3214" t="s">
        <v>910</v>
      </c>
      <c r="K3214">
        <v>16.8</v>
      </c>
      <c r="L3214" t="s">
        <v>303</v>
      </c>
      <c r="N3214">
        <v>16.8</v>
      </c>
      <c r="O3214" t="s">
        <v>303</v>
      </c>
      <c r="P3214">
        <f t="shared" si="50"/>
        <v>0</v>
      </c>
    </row>
    <row r="3215" spans="1:16" x14ac:dyDescent="0.25">
      <c r="A3215" t="s">
        <v>669</v>
      </c>
      <c r="B3215">
        <v>17.579999999999998</v>
      </c>
      <c r="C3215" t="s">
        <v>669</v>
      </c>
      <c r="D3215" t="s">
        <v>303</v>
      </c>
      <c r="E3215" t="s">
        <v>910</v>
      </c>
      <c r="F3215" t="s">
        <v>910</v>
      </c>
      <c r="K3215">
        <v>17.579999999999998</v>
      </c>
      <c r="L3215" t="s">
        <v>303</v>
      </c>
      <c r="N3215">
        <v>17.579999999999998</v>
      </c>
      <c r="O3215" t="s">
        <v>303</v>
      </c>
      <c r="P3215">
        <f t="shared" si="50"/>
        <v>0</v>
      </c>
    </row>
    <row r="3216" spans="1:16" x14ac:dyDescent="0.25">
      <c r="A3216" t="s">
        <v>669</v>
      </c>
      <c r="B3216">
        <v>17.600000000000001</v>
      </c>
      <c r="C3216" t="s">
        <v>669</v>
      </c>
      <c r="D3216" t="s">
        <v>303</v>
      </c>
      <c r="E3216" t="s">
        <v>910</v>
      </c>
      <c r="F3216" t="s">
        <v>910</v>
      </c>
      <c r="K3216">
        <v>17.600000000000001</v>
      </c>
      <c r="L3216" t="s">
        <v>303</v>
      </c>
      <c r="N3216">
        <v>17.600000000000001</v>
      </c>
      <c r="O3216" t="s">
        <v>303</v>
      </c>
      <c r="P3216">
        <f t="shared" si="50"/>
        <v>0</v>
      </c>
    </row>
    <row r="3217" spans="1:16" x14ac:dyDescent="0.25">
      <c r="A3217" t="s">
        <v>669</v>
      </c>
      <c r="B3217">
        <v>18</v>
      </c>
      <c r="C3217" t="s">
        <v>669</v>
      </c>
      <c r="D3217" t="s">
        <v>303</v>
      </c>
      <c r="E3217" t="s">
        <v>910</v>
      </c>
      <c r="F3217" t="s">
        <v>910</v>
      </c>
      <c r="K3217">
        <v>18</v>
      </c>
      <c r="L3217" t="s">
        <v>303</v>
      </c>
      <c r="N3217">
        <v>18</v>
      </c>
      <c r="O3217" t="s">
        <v>303</v>
      </c>
      <c r="P3217">
        <f t="shared" si="50"/>
        <v>0</v>
      </c>
    </row>
    <row r="3218" spans="1:16" x14ac:dyDescent="0.25">
      <c r="A3218" t="s">
        <v>669</v>
      </c>
      <c r="B3218">
        <v>18.2</v>
      </c>
      <c r="C3218" t="s">
        <v>669</v>
      </c>
      <c r="D3218" t="s">
        <v>303</v>
      </c>
      <c r="E3218" t="s">
        <v>910</v>
      </c>
      <c r="F3218" t="s">
        <v>910</v>
      </c>
      <c r="K3218">
        <v>18.2</v>
      </c>
      <c r="L3218" t="s">
        <v>303</v>
      </c>
      <c r="N3218">
        <v>18.2</v>
      </c>
      <c r="O3218" t="s">
        <v>303</v>
      </c>
      <c r="P3218">
        <f t="shared" si="50"/>
        <v>0</v>
      </c>
    </row>
    <row r="3219" spans="1:16" x14ac:dyDescent="0.25">
      <c r="A3219" t="s">
        <v>669</v>
      </c>
      <c r="B3219">
        <v>18.399999999999999</v>
      </c>
      <c r="C3219" t="s">
        <v>669</v>
      </c>
      <c r="D3219" t="s">
        <v>303</v>
      </c>
      <c r="E3219" t="s">
        <v>910</v>
      </c>
      <c r="F3219" t="s">
        <v>910</v>
      </c>
      <c r="K3219">
        <v>18.399999999999999</v>
      </c>
      <c r="L3219" t="s">
        <v>303</v>
      </c>
      <c r="N3219">
        <v>18.399999999999999</v>
      </c>
      <c r="O3219" t="s">
        <v>303</v>
      </c>
      <c r="P3219">
        <f t="shared" si="50"/>
        <v>0</v>
      </c>
    </row>
    <row r="3220" spans="1:16" x14ac:dyDescent="0.25">
      <c r="A3220" t="s">
        <v>669</v>
      </c>
      <c r="B3220">
        <v>18.7</v>
      </c>
      <c r="C3220" t="s">
        <v>669</v>
      </c>
      <c r="D3220" t="s">
        <v>303</v>
      </c>
      <c r="E3220" t="s">
        <v>910</v>
      </c>
      <c r="F3220" t="s">
        <v>910</v>
      </c>
      <c r="K3220">
        <v>18.7</v>
      </c>
      <c r="L3220" t="s">
        <v>303</v>
      </c>
      <c r="N3220">
        <v>18.7</v>
      </c>
      <c r="O3220" t="s">
        <v>303</v>
      </c>
      <c r="P3220">
        <f t="shared" si="50"/>
        <v>0</v>
      </c>
    </row>
    <row r="3221" spans="1:16" x14ac:dyDescent="0.25">
      <c r="A3221" t="s">
        <v>420</v>
      </c>
      <c r="B3221">
        <v>18.86</v>
      </c>
      <c r="C3221" t="s">
        <v>669</v>
      </c>
      <c r="D3221" t="s">
        <v>303</v>
      </c>
      <c r="E3221">
        <v>25</v>
      </c>
      <c r="F3221">
        <v>25</v>
      </c>
      <c r="G3221" t="s">
        <v>691</v>
      </c>
      <c r="H3221" t="s">
        <v>691</v>
      </c>
      <c r="K3221">
        <v>18.86</v>
      </c>
      <c r="L3221" t="s">
        <v>303</v>
      </c>
      <c r="N3221">
        <v>18.86</v>
      </c>
      <c r="O3221" t="s">
        <v>303</v>
      </c>
      <c r="P3221">
        <f t="shared" si="50"/>
        <v>0</v>
      </c>
    </row>
    <row r="3222" spans="1:16" x14ac:dyDescent="0.25">
      <c r="A3222" t="s">
        <v>669</v>
      </c>
      <c r="B3222">
        <v>19.2</v>
      </c>
      <c r="C3222" t="s">
        <v>669</v>
      </c>
      <c r="D3222" t="s">
        <v>303</v>
      </c>
      <c r="E3222" t="s">
        <v>910</v>
      </c>
      <c r="F3222" t="s">
        <v>910</v>
      </c>
      <c r="K3222">
        <v>19.2</v>
      </c>
      <c r="L3222" t="s">
        <v>303</v>
      </c>
      <c r="N3222">
        <v>19.2</v>
      </c>
      <c r="O3222" t="s">
        <v>303</v>
      </c>
      <c r="P3222">
        <f t="shared" si="50"/>
        <v>0</v>
      </c>
    </row>
    <row r="3223" spans="1:16" x14ac:dyDescent="0.25">
      <c r="A3223" t="s">
        <v>669</v>
      </c>
      <c r="B3223">
        <v>19.3</v>
      </c>
      <c r="C3223" t="s">
        <v>669</v>
      </c>
      <c r="D3223" t="s">
        <v>303</v>
      </c>
      <c r="E3223" t="s">
        <v>910</v>
      </c>
      <c r="F3223" t="s">
        <v>910</v>
      </c>
      <c r="K3223">
        <v>19.3</v>
      </c>
      <c r="L3223" t="s">
        <v>303</v>
      </c>
      <c r="N3223">
        <v>19.3</v>
      </c>
      <c r="O3223" t="s">
        <v>303</v>
      </c>
      <c r="P3223">
        <f t="shared" si="50"/>
        <v>0</v>
      </c>
    </row>
    <row r="3224" spans="1:16" x14ac:dyDescent="0.25">
      <c r="A3224" t="s">
        <v>669</v>
      </c>
      <c r="B3224">
        <v>19.5</v>
      </c>
      <c r="C3224" t="s">
        <v>669</v>
      </c>
      <c r="D3224" t="s">
        <v>303</v>
      </c>
      <c r="E3224" t="s">
        <v>910</v>
      </c>
      <c r="F3224" t="s">
        <v>910</v>
      </c>
      <c r="K3224">
        <v>19.5</v>
      </c>
      <c r="L3224" t="s">
        <v>303</v>
      </c>
      <c r="N3224">
        <v>19.5</v>
      </c>
      <c r="O3224" t="s">
        <v>303</v>
      </c>
      <c r="P3224">
        <f t="shared" si="50"/>
        <v>0</v>
      </c>
    </row>
    <row r="3225" spans="1:16" x14ac:dyDescent="0.25">
      <c r="A3225" t="s">
        <v>669</v>
      </c>
      <c r="B3225">
        <v>19.66</v>
      </c>
      <c r="C3225" t="s">
        <v>669</v>
      </c>
      <c r="D3225" t="s">
        <v>303</v>
      </c>
      <c r="E3225" t="s">
        <v>910</v>
      </c>
      <c r="F3225" t="s">
        <v>910</v>
      </c>
      <c r="K3225">
        <v>19.66</v>
      </c>
      <c r="L3225" t="s">
        <v>303</v>
      </c>
      <c r="N3225">
        <v>19.66</v>
      </c>
      <c r="O3225" t="s">
        <v>303</v>
      </c>
      <c r="P3225">
        <f t="shared" si="50"/>
        <v>0</v>
      </c>
    </row>
    <row r="3226" spans="1:16" x14ac:dyDescent="0.25">
      <c r="A3226" t="s">
        <v>669</v>
      </c>
      <c r="B3226">
        <v>19.8</v>
      </c>
      <c r="C3226" t="s">
        <v>669</v>
      </c>
      <c r="D3226" t="s">
        <v>303</v>
      </c>
      <c r="E3226" t="s">
        <v>910</v>
      </c>
      <c r="F3226" t="s">
        <v>910</v>
      </c>
      <c r="K3226">
        <v>19.8</v>
      </c>
      <c r="L3226" t="s">
        <v>303</v>
      </c>
      <c r="N3226">
        <v>19.8</v>
      </c>
      <c r="O3226" t="s">
        <v>303</v>
      </c>
      <c r="P3226">
        <f t="shared" si="50"/>
        <v>0</v>
      </c>
    </row>
    <row r="3227" spans="1:16" x14ac:dyDescent="0.25">
      <c r="A3227" t="s">
        <v>669</v>
      </c>
      <c r="B3227" t="s">
        <v>669</v>
      </c>
      <c r="C3227">
        <v>145</v>
      </c>
      <c r="D3227" t="s">
        <v>669</v>
      </c>
      <c r="E3227" t="s">
        <v>910</v>
      </c>
      <c r="F3227" t="s">
        <v>910</v>
      </c>
      <c r="J3227">
        <v>145</v>
      </c>
      <c r="L3227" t="s">
        <v>930</v>
      </c>
      <c r="M3227">
        <v>145</v>
      </c>
      <c r="N3227">
        <v>145</v>
      </c>
      <c r="P3227">
        <f t="shared" si="50"/>
        <v>0</v>
      </c>
    </row>
    <row r="3228" spans="1:16" x14ac:dyDescent="0.25">
      <c r="A3228" t="s">
        <v>669</v>
      </c>
      <c r="B3228">
        <v>19.899999999999999</v>
      </c>
      <c r="C3228" t="s">
        <v>669</v>
      </c>
      <c r="D3228" t="s">
        <v>303</v>
      </c>
      <c r="E3228" t="s">
        <v>910</v>
      </c>
      <c r="F3228" t="s">
        <v>910</v>
      </c>
      <c r="K3228">
        <v>19.899999999999999</v>
      </c>
      <c r="L3228" t="s">
        <v>303</v>
      </c>
      <c r="N3228">
        <v>19.899999999999999</v>
      </c>
      <c r="O3228" t="s">
        <v>303</v>
      </c>
      <c r="P3228">
        <f t="shared" si="50"/>
        <v>0</v>
      </c>
    </row>
    <row r="3229" spans="1:16" x14ac:dyDescent="0.25">
      <c r="A3229" t="s">
        <v>669</v>
      </c>
      <c r="B3229">
        <v>20.5</v>
      </c>
      <c r="C3229" t="s">
        <v>669</v>
      </c>
      <c r="D3229" t="s">
        <v>303</v>
      </c>
      <c r="E3229" t="s">
        <v>910</v>
      </c>
      <c r="F3229" t="s">
        <v>910</v>
      </c>
      <c r="K3229">
        <v>20.5</v>
      </c>
      <c r="L3229" t="s">
        <v>303</v>
      </c>
      <c r="N3229">
        <v>20.5</v>
      </c>
      <c r="O3229" t="s">
        <v>303</v>
      </c>
      <c r="P3229">
        <f t="shared" si="50"/>
        <v>0</v>
      </c>
    </row>
    <row r="3230" spans="1:16" x14ac:dyDescent="0.25">
      <c r="A3230" t="s">
        <v>669</v>
      </c>
      <c r="B3230">
        <v>20.7</v>
      </c>
      <c r="C3230" t="s">
        <v>669</v>
      </c>
      <c r="D3230" t="s">
        <v>303</v>
      </c>
      <c r="E3230" t="s">
        <v>910</v>
      </c>
      <c r="F3230" t="s">
        <v>910</v>
      </c>
      <c r="K3230">
        <v>20.7</v>
      </c>
      <c r="L3230" t="s">
        <v>303</v>
      </c>
      <c r="N3230">
        <v>20.7</v>
      </c>
      <c r="O3230" t="s">
        <v>303</v>
      </c>
      <c r="P3230">
        <f t="shared" si="50"/>
        <v>0</v>
      </c>
    </row>
    <row r="3231" spans="1:16" x14ac:dyDescent="0.25">
      <c r="A3231" t="s">
        <v>669</v>
      </c>
      <c r="B3231">
        <v>21.4</v>
      </c>
      <c r="C3231" t="s">
        <v>669</v>
      </c>
      <c r="D3231" t="s">
        <v>303</v>
      </c>
      <c r="E3231" t="s">
        <v>910</v>
      </c>
      <c r="F3231" t="s">
        <v>910</v>
      </c>
      <c r="K3231">
        <v>21.4</v>
      </c>
      <c r="L3231" t="s">
        <v>303</v>
      </c>
      <c r="N3231">
        <v>21.4</v>
      </c>
      <c r="O3231" t="s">
        <v>303</v>
      </c>
      <c r="P3231">
        <f t="shared" si="50"/>
        <v>0</v>
      </c>
    </row>
    <row r="3232" spans="1:16" x14ac:dyDescent="0.25">
      <c r="A3232" t="s">
        <v>669</v>
      </c>
      <c r="B3232">
        <v>21.5</v>
      </c>
      <c r="C3232" t="s">
        <v>669</v>
      </c>
      <c r="D3232" t="s">
        <v>303</v>
      </c>
      <c r="E3232" t="s">
        <v>910</v>
      </c>
      <c r="F3232" t="s">
        <v>910</v>
      </c>
      <c r="K3232">
        <v>21.5</v>
      </c>
      <c r="L3232" t="s">
        <v>303</v>
      </c>
      <c r="N3232">
        <v>21.5</v>
      </c>
      <c r="O3232" t="s">
        <v>303</v>
      </c>
      <c r="P3232">
        <f t="shared" si="50"/>
        <v>0</v>
      </c>
    </row>
    <row r="3233" spans="1:16" x14ac:dyDescent="0.25">
      <c r="A3233" t="s">
        <v>221</v>
      </c>
      <c r="B3233" t="s">
        <v>669</v>
      </c>
      <c r="C3233">
        <v>160</v>
      </c>
      <c r="D3233" t="s">
        <v>669</v>
      </c>
      <c r="E3233">
        <v>53</v>
      </c>
      <c r="F3233">
        <v>53</v>
      </c>
      <c r="G3233" t="s">
        <v>711</v>
      </c>
      <c r="H3233" t="s">
        <v>711</v>
      </c>
      <c r="J3233">
        <v>160</v>
      </c>
      <c r="L3233" t="s">
        <v>303</v>
      </c>
      <c r="M3233">
        <v>160</v>
      </c>
      <c r="N3233">
        <v>160</v>
      </c>
      <c r="P3233">
        <f t="shared" si="50"/>
        <v>0</v>
      </c>
    </row>
    <row r="3234" spans="1:16" x14ac:dyDescent="0.25">
      <c r="A3234" t="s">
        <v>669</v>
      </c>
      <c r="B3234">
        <v>21.66</v>
      </c>
      <c r="C3234" t="s">
        <v>669</v>
      </c>
      <c r="D3234" t="s">
        <v>303</v>
      </c>
      <c r="E3234" t="s">
        <v>910</v>
      </c>
      <c r="F3234" t="s">
        <v>910</v>
      </c>
      <c r="K3234">
        <v>21.66</v>
      </c>
      <c r="L3234" t="s">
        <v>303</v>
      </c>
      <c r="N3234">
        <v>21.66</v>
      </c>
      <c r="O3234" t="s">
        <v>303</v>
      </c>
      <c r="P3234">
        <f t="shared" si="50"/>
        <v>0</v>
      </c>
    </row>
    <row r="3235" spans="1:16" x14ac:dyDescent="0.25">
      <c r="A3235" t="s">
        <v>221</v>
      </c>
      <c r="B3235" t="s">
        <v>669</v>
      </c>
      <c r="C3235">
        <v>165</v>
      </c>
      <c r="D3235" t="s">
        <v>669</v>
      </c>
      <c r="E3235">
        <v>53</v>
      </c>
      <c r="F3235">
        <v>53</v>
      </c>
      <c r="G3235" t="s">
        <v>711</v>
      </c>
      <c r="H3235" t="s">
        <v>711</v>
      </c>
      <c r="J3235">
        <v>165</v>
      </c>
      <c r="L3235" t="s">
        <v>303</v>
      </c>
      <c r="M3235">
        <v>165</v>
      </c>
      <c r="N3235">
        <v>165</v>
      </c>
      <c r="P3235">
        <f t="shared" si="50"/>
        <v>0</v>
      </c>
    </row>
    <row r="3236" spans="1:16" x14ac:dyDescent="0.25">
      <c r="A3236" t="s">
        <v>669</v>
      </c>
      <c r="B3236" t="s">
        <v>669</v>
      </c>
      <c r="C3236">
        <v>166</v>
      </c>
      <c r="D3236" t="s">
        <v>669</v>
      </c>
      <c r="E3236" t="s">
        <v>910</v>
      </c>
      <c r="F3236" t="s">
        <v>910</v>
      </c>
      <c r="J3236">
        <v>166</v>
      </c>
      <c r="L3236" t="s">
        <v>930</v>
      </c>
      <c r="M3236">
        <v>166</v>
      </c>
      <c r="N3236">
        <v>166</v>
      </c>
      <c r="P3236">
        <f t="shared" si="50"/>
        <v>0</v>
      </c>
    </row>
    <row r="3237" spans="1:16" x14ac:dyDescent="0.25">
      <c r="A3237" t="s">
        <v>221</v>
      </c>
      <c r="B3237" t="s">
        <v>669</v>
      </c>
      <c r="C3237">
        <v>168</v>
      </c>
      <c r="D3237" t="s">
        <v>669</v>
      </c>
      <c r="E3237">
        <v>53</v>
      </c>
      <c r="F3237">
        <v>53</v>
      </c>
      <c r="G3237" t="s">
        <v>711</v>
      </c>
      <c r="H3237" t="s">
        <v>711</v>
      </c>
      <c r="J3237">
        <v>168</v>
      </c>
      <c r="L3237" t="s">
        <v>303</v>
      </c>
      <c r="M3237">
        <v>168</v>
      </c>
      <c r="N3237">
        <v>168</v>
      </c>
      <c r="P3237">
        <f t="shared" si="50"/>
        <v>0</v>
      </c>
    </row>
    <row r="3238" spans="1:16" x14ac:dyDescent="0.25">
      <c r="A3238" t="s">
        <v>221</v>
      </c>
      <c r="B3238" t="s">
        <v>669</v>
      </c>
      <c r="C3238">
        <v>170</v>
      </c>
      <c r="D3238" t="s">
        <v>669</v>
      </c>
      <c r="E3238">
        <v>53</v>
      </c>
      <c r="F3238">
        <v>53</v>
      </c>
      <c r="G3238" t="s">
        <v>711</v>
      </c>
      <c r="H3238" t="s">
        <v>711</v>
      </c>
      <c r="J3238">
        <v>170</v>
      </c>
      <c r="L3238" t="s">
        <v>303</v>
      </c>
      <c r="M3238">
        <v>170</v>
      </c>
      <c r="N3238">
        <v>170</v>
      </c>
      <c r="P3238">
        <f t="shared" si="50"/>
        <v>0</v>
      </c>
    </row>
    <row r="3239" spans="1:16" x14ac:dyDescent="0.25">
      <c r="A3239" t="s">
        <v>221</v>
      </c>
      <c r="B3239" t="s">
        <v>669</v>
      </c>
      <c r="C3239">
        <v>172</v>
      </c>
      <c r="D3239" t="s">
        <v>669</v>
      </c>
      <c r="E3239">
        <v>53</v>
      </c>
      <c r="F3239">
        <v>53</v>
      </c>
      <c r="G3239" t="s">
        <v>711</v>
      </c>
      <c r="H3239" t="s">
        <v>711</v>
      </c>
      <c r="J3239">
        <v>172</v>
      </c>
      <c r="L3239" t="s">
        <v>303</v>
      </c>
      <c r="M3239">
        <v>172</v>
      </c>
      <c r="N3239">
        <v>172</v>
      </c>
      <c r="P3239">
        <f t="shared" si="50"/>
        <v>0</v>
      </c>
    </row>
    <row r="3240" spans="1:16" x14ac:dyDescent="0.25">
      <c r="A3240" t="s">
        <v>235</v>
      </c>
      <c r="B3240" t="s">
        <v>669</v>
      </c>
      <c r="C3240">
        <v>173</v>
      </c>
      <c r="D3240" t="s">
        <v>669</v>
      </c>
      <c r="E3240">
        <v>53</v>
      </c>
      <c r="F3240">
        <v>53</v>
      </c>
      <c r="G3240" t="s">
        <v>711</v>
      </c>
      <c r="H3240" t="s">
        <v>711</v>
      </c>
      <c r="J3240">
        <v>173</v>
      </c>
      <c r="L3240" t="s">
        <v>303</v>
      </c>
      <c r="M3240">
        <v>173</v>
      </c>
      <c r="N3240">
        <v>173</v>
      </c>
      <c r="P3240">
        <f t="shared" si="50"/>
        <v>0</v>
      </c>
    </row>
    <row r="3241" spans="1:16" x14ac:dyDescent="0.25">
      <c r="A3241" t="s">
        <v>669</v>
      </c>
      <c r="B3241">
        <v>21.9</v>
      </c>
      <c r="C3241" t="s">
        <v>669</v>
      </c>
      <c r="D3241" t="s">
        <v>303</v>
      </c>
      <c r="E3241" t="s">
        <v>910</v>
      </c>
      <c r="F3241" t="s">
        <v>910</v>
      </c>
      <c r="K3241">
        <v>21.9</v>
      </c>
      <c r="L3241" t="s">
        <v>303</v>
      </c>
      <c r="N3241">
        <v>21.9</v>
      </c>
      <c r="O3241" t="s">
        <v>303</v>
      </c>
      <c r="P3241">
        <f t="shared" si="50"/>
        <v>0</v>
      </c>
    </row>
    <row r="3242" spans="1:16" x14ac:dyDescent="0.25">
      <c r="A3242" t="s">
        <v>669</v>
      </c>
      <c r="B3242">
        <v>22.1</v>
      </c>
      <c r="C3242" t="s">
        <v>669</v>
      </c>
      <c r="D3242" t="s">
        <v>303</v>
      </c>
      <c r="E3242" t="s">
        <v>910</v>
      </c>
      <c r="F3242" t="s">
        <v>910</v>
      </c>
      <c r="K3242">
        <v>22.1</v>
      </c>
      <c r="L3242" t="s">
        <v>303</v>
      </c>
      <c r="N3242">
        <v>22.1</v>
      </c>
      <c r="O3242" t="s">
        <v>303</v>
      </c>
      <c r="P3242">
        <f t="shared" si="50"/>
        <v>0</v>
      </c>
    </row>
    <row r="3243" spans="1:16" x14ac:dyDescent="0.25">
      <c r="A3243" t="s">
        <v>669</v>
      </c>
      <c r="B3243">
        <v>22.2</v>
      </c>
      <c r="C3243" t="s">
        <v>669</v>
      </c>
      <c r="D3243" t="s">
        <v>303</v>
      </c>
      <c r="E3243" t="s">
        <v>910</v>
      </c>
      <c r="F3243" t="s">
        <v>910</v>
      </c>
      <c r="K3243">
        <v>22.2</v>
      </c>
      <c r="L3243" t="s">
        <v>303</v>
      </c>
      <c r="N3243">
        <v>22.2</v>
      </c>
      <c r="O3243" t="s">
        <v>303</v>
      </c>
      <c r="P3243">
        <f t="shared" si="50"/>
        <v>0</v>
      </c>
    </row>
    <row r="3244" spans="1:16" x14ac:dyDescent="0.25">
      <c r="A3244" t="s">
        <v>288</v>
      </c>
      <c r="B3244" t="s">
        <v>669</v>
      </c>
      <c r="C3244">
        <v>188</v>
      </c>
      <c r="D3244" t="s">
        <v>669</v>
      </c>
      <c r="E3244">
        <v>63</v>
      </c>
      <c r="F3244">
        <v>63</v>
      </c>
      <c r="G3244" t="s">
        <v>813</v>
      </c>
      <c r="H3244" t="s">
        <v>813</v>
      </c>
      <c r="J3244">
        <v>188</v>
      </c>
      <c r="L3244" t="s">
        <v>303</v>
      </c>
      <c r="M3244">
        <v>188</v>
      </c>
      <c r="N3244">
        <v>188</v>
      </c>
      <c r="P3244">
        <f t="shared" si="50"/>
        <v>0</v>
      </c>
    </row>
    <row r="3245" spans="1:16" x14ac:dyDescent="0.25">
      <c r="A3245" t="s">
        <v>669</v>
      </c>
      <c r="B3245">
        <v>22.4</v>
      </c>
      <c r="C3245" t="s">
        <v>669</v>
      </c>
      <c r="D3245" t="s">
        <v>303</v>
      </c>
      <c r="E3245" t="s">
        <v>910</v>
      </c>
      <c r="F3245" t="s">
        <v>910</v>
      </c>
      <c r="K3245">
        <v>22.4</v>
      </c>
      <c r="L3245" t="s">
        <v>303</v>
      </c>
      <c r="N3245">
        <v>22.4</v>
      </c>
      <c r="O3245" t="s">
        <v>303</v>
      </c>
      <c r="P3245">
        <f t="shared" si="50"/>
        <v>0</v>
      </c>
    </row>
    <row r="3246" spans="1:16" x14ac:dyDescent="0.25">
      <c r="A3246" t="s">
        <v>669</v>
      </c>
      <c r="B3246">
        <v>22.5</v>
      </c>
      <c r="C3246" t="s">
        <v>669</v>
      </c>
      <c r="D3246" t="s">
        <v>303</v>
      </c>
      <c r="E3246" t="s">
        <v>910</v>
      </c>
      <c r="F3246" t="s">
        <v>910</v>
      </c>
      <c r="K3246">
        <v>22.5</v>
      </c>
      <c r="L3246" t="s">
        <v>303</v>
      </c>
      <c r="N3246">
        <v>22.5</v>
      </c>
      <c r="O3246" t="s">
        <v>303</v>
      </c>
      <c r="P3246">
        <f t="shared" si="50"/>
        <v>0</v>
      </c>
    </row>
    <row r="3247" spans="1:16" x14ac:dyDescent="0.25">
      <c r="A3247" t="s">
        <v>669</v>
      </c>
      <c r="B3247">
        <v>23.89</v>
      </c>
      <c r="C3247" t="s">
        <v>669</v>
      </c>
      <c r="D3247" t="s">
        <v>303</v>
      </c>
      <c r="E3247" t="s">
        <v>910</v>
      </c>
      <c r="F3247" t="s">
        <v>910</v>
      </c>
      <c r="K3247">
        <v>23.89</v>
      </c>
      <c r="L3247" t="s">
        <v>303</v>
      </c>
      <c r="N3247">
        <v>23.89</v>
      </c>
      <c r="O3247" t="s">
        <v>303</v>
      </c>
      <c r="P3247">
        <f t="shared" si="50"/>
        <v>0</v>
      </c>
    </row>
    <row r="3248" spans="1:16" x14ac:dyDescent="0.25">
      <c r="A3248" t="s">
        <v>669</v>
      </c>
      <c r="B3248" t="s">
        <v>669</v>
      </c>
      <c r="C3248">
        <v>200</v>
      </c>
      <c r="D3248" t="s">
        <v>863</v>
      </c>
      <c r="E3248">
        <v>5</v>
      </c>
      <c r="F3248">
        <v>5</v>
      </c>
      <c r="G3248" t="s">
        <v>684</v>
      </c>
      <c r="H3248" t="s">
        <v>684</v>
      </c>
      <c r="J3248">
        <v>200</v>
      </c>
      <c r="K3248">
        <v>200</v>
      </c>
      <c r="L3248" t="s">
        <v>919</v>
      </c>
      <c r="M3248">
        <v>200</v>
      </c>
      <c r="N3248">
        <v>200</v>
      </c>
      <c r="O3248" t="s">
        <v>919</v>
      </c>
      <c r="P3248">
        <f t="shared" si="50"/>
        <v>0</v>
      </c>
    </row>
    <row r="3249" spans="1:16" x14ac:dyDescent="0.25">
      <c r="A3249" t="s">
        <v>420</v>
      </c>
      <c r="B3249">
        <v>24.3</v>
      </c>
      <c r="C3249" t="s">
        <v>669</v>
      </c>
      <c r="D3249" t="s">
        <v>669</v>
      </c>
      <c r="E3249">
        <v>25</v>
      </c>
      <c r="F3249">
        <v>25</v>
      </c>
      <c r="G3249" t="s">
        <v>691</v>
      </c>
      <c r="H3249" t="s">
        <v>691</v>
      </c>
      <c r="I3249" t="s">
        <v>927</v>
      </c>
      <c r="K3249">
        <v>24.3</v>
      </c>
      <c r="L3249" t="s">
        <v>930</v>
      </c>
      <c r="N3249">
        <v>24.3</v>
      </c>
      <c r="P3249">
        <f t="shared" si="50"/>
        <v>14</v>
      </c>
    </row>
    <row r="3250" spans="1:16" x14ac:dyDescent="0.25">
      <c r="A3250" t="s">
        <v>658</v>
      </c>
      <c r="B3250" t="s">
        <v>669</v>
      </c>
      <c r="C3250">
        <v>206</v>
      </c>
      <c r="D3250" t="s">
        <v>669</v>
      </c>
      <c r="E3250">
        <v>70</v>
      </c>
      <c r="F3250">
        <v>70</v>
      </c>
      <c r="G3250" t="s">
        <v>754</v>
      </c>
      <c r="H3250" t="s">
        <v>754</v>
      </c>
      <c r="J3250">
        <v>206</v>
      </c>
      <c r="L3250" t="s">
        <v>303</v>
      </c>
      <c r="M3250">
        <v>206</v>
      </c>
      <c r="N3250">
        <v>206</v>
      </c>
      <c r="P3250">
        <f t="shared" si="50"/>
        <v>0</v>
      </c>
    </row>
    <row r="3251" spans="1:16" x14ac:dyDescent="0.25">
      <c r="A3251" t="s">
        <v>658</v>
      </c>
      <c r="B3251" t="s">
        <v>669</v>
      </c>
      <c r="C3251">
        <v>210</v>
      </c>
      <c r="D3251" t="s">
        <v>669</v>
      </c>
      <c r="E3251">
        <v>70</v>
      </c>
      <c r="F3251">
        <v>70</v>
      </c>
      <c r="G3251" t="s">
        <v>754</v>
      </c>
      <c r="H3251" t="s">
        <v>754</v>
      </c>
      <c r="J3251">
        <v>210</v>
      </c>
      <c r="L3251" t="s">
        <v>303</v>
      </c>
      <c r="M3251">
        <v>210</v>
      </c>
      <c r="N3251">
        <v>210</v>
      </c>
      <c r="P3251">
        <f t="shared" si="50"/>
        <v>0</v>
      </c>
    </row>
    <row r="3252" spans="1:16" x14ac:dyDescent="0.25">
      <c r="A3252" t="s">
        <v>669</v>
      </c>
      <c r="B3252">
        <v>24.3</v>
      </c>
      <c r="C3252" t="s">
        <v>669</v>
      </c>
      <c r="D3252" t="s">
        <v>303</v>
      </c>
      <c r="E3252" t="s">
        <v>910</v>
      </c>
      <c r="F3252" t="s">
        <v>910</v>
      </c>
      <c r="K3252">
        <v>24.3</v>
      </c>
      <c r="L3252" t="s">
        <v>303</v>
      </c>
      <c r="N3252">
        <v>24.3</v>
      </c>
      <c r="O3252" t="s">
        <v>303</v>
      </c>
      <c r="P3252">
        <f t="shared" si="50"/>
        <v>0</v>
      </c>
    </row>
    <row r="3253" spans="1:16" x14ac:dyDescent="0.25">
      <c r="A3253" t="s">
        <v>625</v>
      </c>
      <c r="B3253" t="s">
        <v>669</v>
      </c>
      <c r="C3253">
        <v>216</v>
      </c>
      <c r="D3253" t="s">
        <v>669</v>
      </c>
      <c r="E3253">
        <v>68</v>
      </c>
      <c r="F3253">
        <v>68</v>
      </c>
      <c r="G3253" t="s">
        <v>717</v>
      </c>
      <c r="H3253" t="s">
        <v>717</v>
      </c>
      <c r="J3253">
        <v>216</v>
      </c>
      <c r="L3253" t="s">
        <v>303</v>
      </c>
      <c r="M3253">
        <v>216</v>
      </c>
      <c r="N3253">
        <v>216</v>
      </c>
      <c r="P3253">
        <f t="shared" si="50"/>
        <v>0</v>
      </c>
    </row>
    <row r="3254" spans="1:16" x14ac:dyDescent="0.25">
      <c r="A3254" t="s">
        <v>658</v>
      </c>
      <c r="B3254" t="s">
        <v>669</v>
      </c>
      <c r="C3254">
        <v>216</v>
      </c>
      <c r="D3254" t="s">
        <v>669</v>
      </c>
      <c r="E3254">
        <v>70</v>
      </c>
      <c r="F3254">
        <v>70</v>
      </c>
      <c r="G3254" t="s">
        <v>754</v>
      </c>
      <c r="H3254" t="s">
        <v>754</v>
      </c>
      <c r="J3254">
        <v>216</v>
      </c>
      <c r="L3254" t="s">
        <v>303</v>
      </c>
      <c r="M3254">
        <v>216</v>
      </c>
      <c r="N3254">
        <v>216</v>
      </c>
      <c r="P3254">
        <f t="shared" si="50"/>
        <v>0</v>
      </c>
    </row>
    <row r="3255" spans="1:16" x14ac:dyDescent="0.25">
      <c r="A3255" t="s">
        <v>625</v>
      </c>
      <c r="B3255" t="s">
        <v>669</v>
      </c>
      <c r="C3255">
        <v>220</v>
      </c>
      <c r="D3255" t="s">
        <v>669</v>
      </c>
      <c r="E3255">
        <v>68</v>
      </c>
      <c r="F3255">
        <v>68</v>
      </c>
      <c r="G3255" t="s">
        <v>717</v>
      </c>
      <c r="H3255" t="s">
        <v>717</v>
      </c>
      <c r="J3255">
        <v>220</v>
      </c>
      <c r="L3255" t="s">
        <v>303</v>
      </c>
      <c r="M3255">
        <v>220</v>
      </c>
      <c r="N3255">
        <v>220</v>
      </c>
      <c r="P3255">
        <f t="shared" si="50"/>
        <v>0</v>
      </c>
    </row>
    <row r="3256" spans="1:16" x14ac:dyDescent="0.25">
      <c r="A3256" t="s">
        <v>625</v>
      </c>
      <c r="B3256" t="s">
        <v>669</v>
      </c>
      <c r="C3256">
        <v>225</v>
      </c>
      <c r="D3256" t="s">
        <v>669</v>
      </c>
      <c r="E3256">
        <v>68</v>
      </c>
      <c r="F3256">
        <v>68</v>
      </c>
      <c r="G3256" t="s">
        <v>717</v>
      </c>
      <c r="H3256" t="s">
        <v>717</v>
      </c>
      <c r="J3256">
        <v>225</v>
      </c>
      <c r="L3256" t="s">
        <v>303</v>
      </c>
      <c r="M3256">
        <v>225</v>
      </c>
      <c r="N3256">
        <v>225</v>
      </c>
      <c r="P3256">
        <f t="shared" si="50"/>
        <v>0</v>
      </c>
    </row>
    <row r="3257" spans="1:16" x14ac:dyDescent="0.25">
      <c r="A3257" t="s">
        <v>420</v>
      </c>
      <c r="B3257">
        <v>24.7</v>
      </c>
      <c r="C3257" t="s">
        <v>669</v>
      </c>
      <c r="D3257" t="s">
        <v>303</v>
      </c>
      <c r="E3257">
        <v>25</v>
      </c>
      <c r="F3257">
        <v>25</v>
      </c>
      <c r="G3257" t="s">
        <v>691</v>
      </c>
      <c r="H3257" t="s">
        <v>691</v>
      </c>
      <c r="K3257">
        <v>24.7</v>
      </c>
      <c r="L3257" t="s">
        <v>303</v>
      </c>
      <c r="N3257">
        <v>24.7</v>
      </c>
      <c r="O3257" t="s">
        <v>303</v>
      </c>
      <c r="P3257">
        <f t="shared" si="50"/>
        <v>0</v>
      </c>
    </row>
    <row r="3258" spans="1:16" x14ac:dyDescent="0.25">
      <c r="A3258" t="s">
        <v>420</v>
      </c>
      <c r="B3258">
        <v>24.88</v>
      </c>
      <c r="C3258" t="s">
        <v>669</v>
      </c>
      <c r="D3258" t="s">
        <v>669</v>
      </c>
      <c r="E3258">
        <v>25</v>
      </c>
      <c r="F3258">
        <v>25</v>
      </c>
      <c r="G3258" t="s">
        <v>691</v>
      </c>
      <c r="H3258" t="s">
        <v>691</v>
      </c>
      <c r="I3258" t="s">
        <v>927</v>
      </c>
      <c r="K3258">
        <v>24.88</v>
      </c>
      <c r="L3258" t="s">
        <v>930</v>
      </c>
      <c r="N3258">
        <v>24.88</v>
      </c>
      <c r="P3258">
        <f t="shared" si="50"/>
        <v>14</v>
      </c>
    </row>
    <row r="3259" spans="1:16" x14ac:dyDescent="0.25">
      <c r="A3259" t="s">
        <v>420</v>
      </c>
      <c r="B3259">
        <v>25.83</v>
      </c>
      <c r="C3259" t="s">
        <v>669</v>
      </c>
      <c r="D3259" t="s">
        <v>303</v>
      </c>
      <c r="E3259">
        <v>25</v>
      </c>
      <c r="F3259">
        <v>25</v>
      </c>
      <c r="G3259" t="s">
        <v>691</v>
      </c>
      <c r="H3259" t="s">
        <v>691</v>
      </c>
      <c r="K3259">
        <v>25.83</v>
      </c>
      <c r="L3259" t="s">
        <v>303</v>
      </c>
      <c r="N3259">
        <v>25.83</v>
      </c>
      <c r="O3259" t="s">
        <v>303</v>
      </c>
      <c r="P3259">
        <f t="shared" si="50"/>
        <v>0</v>
      </c>
    </row>
    <row r="3260" spans="1:16" x14ac:dyDescent="0.25">
      <c r="A3260" t="s">
        <v>669</v>
      </c>
      <c r="B3260">
        <v>26</v>
      </c>
      <c r="C3260" t="s">
        <v>669</v>
      </c>
      <c r="D3260" t="s">
        <v>303</v>
      </c>
      <c r="E3260" t="s">
        <v>910</v>
      </c>
      <c r="F3260" t="s">
        <v>910</v>
      </c>
      <c r="K3260">
        <v>26</v>
      </c>
      <c r="L3260" t="s">
        <v>303</v>
      </c>
      <c r="N3260">
        <v>26</v>
      </c>
      <c r="O3260" t="s">
        <v>303</v>
      </c>
      <c r="P3260">
        <f t="shared" si="50"/>
        <v>0</v>
      </c>
    </row>
    <row r="3261" spans="1:16" x14ac:dyDescent="0.25">
      <c r="A3261" t="s">
        <v>420</v>
      </c>
      <c r="B3261">
        <v>26.98</v>
      </c>
      <c r="C3261" t="s">
        <v>669</v>
      </c>
      <c r="D3261" t="s">
        <v>303</v>
      </c>
      <c r="E3261">
        <v>25</v>
      </c>
      <c r="F3261">
        <v>25</v>
      </c>
      <c r="G3261" t="s">
        <v>691</v>
      </c>
      <c r="H3261" t="s">
        <v>691</v>
      </c>
      <c r="K3261">
        <v>26.98</v>
      </c>
      <c r="L3261" t="s">
        <v>303</v>
      </c>
      <c r="N3261">
        <v>26.98</v>
      </c>
      <c r="O3261" t="s">
        <v>303</v>
      </c>
      <c r="P3261">
        <f t="shared" si="50"/>
        <v>0</v>
      </c>
    </row>
    <row r="3262" spans="1:16" x14ac:dyDescent="0.25">
      <c r="A3262" t="s">
        <v>511</v>
      </c>
      <c r="B3262" t="s">
        <v>669</v>
      </c>
      <c r="C3262">
        <v>255</v>
      </c>
      <c r="D3262" t="s">
        <v>669</v>
      </c>
      <c r="E3262">
        <v>80</v>
      </c>
      <c r="F3262">
        <v>68</v>
      </c>
      <c r="G3262" t="s">
        <v>721</v>
      </c>
      <c r="H3262" t="s">
        <v>717</v>
      </c>
      <c r="J3262">
        <v>255</v>
      </c>
      <c r="L3262" t="s">
        <v>303</v>
      </c>
      <c r="M3262">
        <v>255</v>
      </c>
      <c r="N3262">
        <v>255</v>
      </c>
      <c r="P3262">
        <f t="shared" si="50"/>
        <v>0</v>
      </c>
    </row>
    <row r="3263" spans="1:16" x14ac:dyDescent="0.25">
      <c r="A3263" t="s">
        <v>420</v>
      </c>
      <c r="B3263">
        <v>27.13</v>
      </c>
      <c r="C3263" t="s">
        <v>669</v>
      </c>
      <c r="D3263" t="s">
        <v>303</v>
      </c>
      <c r="E3263">
        <v>25</v>
      </c>
      <c r="F3263">
        <v>25</v>
      </c>
      <c r="G3263" t="s">
        <v>691</v>
      </c>
      <c r="H3263" t="s">
        <v>691</v>
      </c>
      <c r="K3263">
        <v>27.13</v>
      </c>
      <c r="L3263" t="s">
        <v>303</v>
      </c>
      <c r="N3263">
        <v>27.13</v>
      </c>
      <c r="O3263" t="s">
        <v>303</v>
      </c>
      <c r="P3263">
        <f t="shared" si="50"/>
        <v>0</v>
      </c>
    </row>
    <row r="3264" spans="1:16" x14ac:dyDescent="0.25">
      <c r="A3264" t="s">
        <v>669</v>
      </c>
      <c r="B3264" t="s">
        <v>669</v>
      </c>
      <c r="C3264">
        <v>276</v>
      </c>
      <c r="D3264" t="s">
        <v>669</v>
      </c>
      <c r="E3264" t="s">
        <v>910</v>
      </c>
      <c r="F3264" t="s">
        <v>910</v>
      </c>
      <c r="J3264">
        <v>276</v>
      </c>
      <c r="L3264" t="s">
        <v>930</v>
      </c>
      <c r="M3264">
        <v>276</v>
      </c>
      <c r="N3264">
        <v>276</v>
      </c>
      <c r="P3264">
        <f t="shared" si="50"/>
        <v>0</v>
      </c>
    </row>
    <row r="3265" spans="1:16" x14ac:dyDescent="0.25">
      <c r="A3265" t="s">
        <v>420</v>
      </c>
      <c r="B3265">
        <v>27.22</v>
      </c>
      <c r="C3265" t="s">
        <v>669</v>
      </c>
      <c r="D3265" t="s">
        <v>303</v>
      </c>
      <c r="E3265">
        <v>25</v>
      </c>
      <c r="F3265">
        <v>25</v>
      </c>
      <c r="G3265" t="s">
        <v>691</v>
      </c>
      <c r="H3265" t="s">
        <v>691</v>
      </c>
      <c r="K3265">
        <v>27.22</v>
      </c>
      <c r="L3265" t="s">
        <v>303</v>
      </c>
      <c r="N3265">
        <v>27.22</v>
      </c>
      <c r="O3265" t="s">
        <v>303</v>
      </c>
      <c r="P3265">
        <f t="shared" si="50"/>
        <v>0</v>
      </c>
    </row>
    <row r="3266" spans="1:16" x14ac:dyDescent="0.25">
      <c r="A3266" t="s">
        <v>669</v>
      </c>
      <c r="B3266">
        <v>27.5</v>
      </c>
      <c r="C3266" t="s">
        <v>669</v>
      </c>
      <c r="D3266" t="s">
        <v>303</v>
      </c>
      <c r="E3266" t="s">
        <v>910</v>
      </c>
      <c r="F3266" t="s">
        <v>910</v>
      </c>
      <c r="K3266">
        <v>27.5</v>
      </c>
      <c r="L3266" t="s">
        <v>303</v>
      </c>
      <c r="N3266">
        <v>27.5</v>
      </c>
      <c r="O3266" t="s">
        <v>303</v>
      </c>
      <c r="P3266">
        <f t="shared" si="50"/>
        <v>0</v>
      </c>
    </row>
    <row r="3267" spans="1:16" x14ac:dyDescent="0.25">
      <c r="A3267" t="s">
        <v>420</v>
      </c>
      <c r="B3267">
        <v>29.3</v>
      </c>
      <c r="C3267" t="s">
        <v>669</v>
      </c>
      <c r="D3267" t="s">
        <v>303</v>
      </c>
      <c r="E3267">
        <v>25</v>
      </c>
      <c r="F3267">
        <v>25</v>
      </c>
      <c r="G3267" t="s">
        <v>691</v>
      </c>
      <c r="H3267" t="s">
        <v>691</v>
      </c>
      <c r="K3267">
        <v>29.3</v>
      </c>
      <c r="L3267" t="s">
        <v>303</v>
      </c>
      <c r="N3267">
        <v>29.3</v>
      </c>
      <c r="O3267" t="s">
        <v>303</v>
      </c>
      <c r="P3267">
        <f t="shared" ref="P3267:P3330" si="51">LEN(I3267)</f>
        <v>0</v>
      </c>
    </row>
    <row r="3268" spans="1:16" x14ac:dyDescent="0.25">
      <c r="A3268" t="s">
        <v>669</v>
      </c>
      <c r="B3268">
        <v>4.0000000000000001E-3</v>
      </c>
      <c r="C3268" t="s">
        <v>669</v>
      </c>
      <c r="D3268" t="s">
        <v>860</v>
      </c>
      <c r="E3268" t="s">
        <v>910</v>
      </c>
      <c r="F3268">
        <v>5</v>
      </c>
      <c r="H3268" t="s">
        <v>684</v>
      </c>
      <c r="K3268">
        <v>4000</v>
      </c>
      <c r="L3268" t="s">
        <v>921</v>
      </c>
      <c r="N3268">
        <v>4.0000000000000001E-3</v>
      </c>
      <c r="O3268" t="s">
        <v>303</v>
      </c>
      <c r="P3268">
        <f t="shared" si="51"/>
        <v>0</v>
      </c>
    </row>
    <row r="3269" spans="1:16" x14ac:dyDescent="0.25">
      <c r="A3269" t="s">
        <v>669</v>
      </c>
      <c r="B3269">
        <v>4013</v>
      </c>
      <c r="C3269">
        <v>4235</v>
      </c>
      <c r="D3269" t="s">
        <v>861</v>
      </c>
      <c r="E3269">
        <v>5</v>
      </c>
      <c r="F3269">
        <v>5</v>
      </c>
      <c r="G3269" t="s">
        <v>684</v>
      </c>
      <c r="H3269" t="s">
        <v>684</v>
      </c>
      <c r="J3269">
        <v>4235</v>
      </c>
      <c r="K3269">
        <v>4013</v>
      </c>
      <c r="L3269" t="s">
        <v>920</v>
      </c>
      <c r="M3269">
        <v>4235</v>
      </c>
      <c r="N3269">
        <v>4013</v>
      </c>
      <c r="O3269" t="s">
        <v>920</v>
      </c>
      <c r="P3269">
        <f t="shared" si="51"/>
        <v>0</v>
      </c>
    </row>
    <row r="3270" spans="1:16" x14ac:dyDescent="0.25">
      <c r="A3270" t="s">
        <v>669</v>
      </c>
      <c r="B3270">
        <v>29.4</v>
      </c>
      <c r="C3270" t="s">
        <v>669</v>
      </c>
      <c r="D3270" t="s">
        <v>303</v>
      </c>
      <c r="E3270" t="s">
        <v>910</v>
      </c>
      <c r="F3270" t="s">
        <v>910</v>
      </c>
      <c r="K3270">
        <v>29.4</v>
      </c>
      <c r="L3270" t="s">
        <v>303</v>
      </c>
      <c r="N3270">
        <v>29.4</v>
      </c>
      <c r="O3270" t="s">
        <v>303</v>
      </c>
      <c r="P3270">
        <f t="shared" si="51"/>
        <v>0</v>
      </c>
    </row>
    <row r="3271" spans="1:16" x14ac:dyDescent="0.25">
      <c r="A3271" t="s">
        <v>669</v>
      </c>
      <c r="B3271">
        <v>4092</v>
      </c>
      <c r="C3271">
        <v>4242</v>
      </c>
      <c r="D3271" t="s">
        <v>861</v>
      </c>
      <c r="E3271">
        <v>6</v>
      </c>
      <c r="F3271">
        <v>5</v>
      </c>
      <c r="G3271" t="s">
        <v>836</v>
      </c>
      <c r="H3271" t="s">
        <v>684</v>
      </c>
      <c r="J3271">
        <v>4242</v>
      </c>
      <c r="K3271">
        <v>4092</v>
      </c>
      <c r="L3271" t="s">
        <v>920</v>
      </c>
      <c r="M3271">
        <v>4242</v>
      </c>
      <c r="N3271">
        <v>4092</v>
      </c>
      <c r="O3271" t="s">
        <v>920</v>
      </c>
      <c r="P3271">
        <f t="shared" si="51"/>
        <v>0</v>
      </c>
    </row>
    <row r="3272" spans="1:16" x14ac:dyDescent="0.25">
      <c r="A3272" t="s">
        <v>213</v>
      </c>
      <c r="B3272">
        <v>4095</v>
      </c>
      <c r="C3272">
        <v>4111</v>
      </c>
      <c r="D3272" t="s">
        <v>873</v>
      </c>
      <c r="E3272">
        <v>5</v>
      </c>
      <c r="F3272">
        <v>5</v>
      </c>
      <c r="G3272" t="s">
        <v>684</v>
      </c>
      <c r="H3272" t="s">
        <v>684</v>
      </c>
      <c r="J3272">
        <v>4111</v>
      </c>
      <c r="K3272">
        <v>4095</v>
      </c>
      <c r="L3272" t="s">
        <v>921</v>
      </c>
      <c r="M3272">
        <v>4111</v>
      </c>
      <c r="N3272">
        <v>4095</v>
      </c>
      <c r="O3272" t="s">
        <v>921</v>
      </c>
      <c r="P3272">
        <f t="shared" si="51"/>
        <v>0</v>
      </c>
    </row>
    <row r="3273" spans="1:16" x14ac:dyDescent="0.25">
      <c r="A3273" t="s">
        <v>420</v>
      </c>
      <c r="B3273">
        <v>29.99</v>
      </c>
      <c r="C3273" t="s">
        <v>669</v>
      </c>
      <c r="D3273" t="s">
        <v>303</v>
      </c>
      <c r="E3273">
        <v>25</v>
      </c>
      <c r="F3273">
        <v>25</v>
      </c>
      <c r="G3273" t="s">
        <v>691</v>
      </c>
      <c r="H3273" t="s">
        <v>691</v>
      </c>
      <c r="K3273">
        <v>29.99</v>
      </c>
      <c r="L3273" t="s">
        <v>303</v>
      </c>
      <c r="N3273">
        <v>29.99</v>
      </c>
      <c r="O3273" t="s">
        <v>303</v>
      </c>
      <c r="P3273">
        <f t="shared" si="51"/>
        <v>0</v>
      </c>
    </row>
    <row r="3274" spans="1:16" x14ac:dyDescent="0.25">
      <c r="A3274" t="s">
        <v>669</v>
      </c>
      <c r="B3274">
        <v>4098</v>
      </c>
      <c r="C3274">
        <v>4243</v>
      </c>
      <c r="D3274" t="s">
        <v>866</v>
      </c>
      <c r="E3274">
        <v>6</v>
      </c>
      <c r="F3274">
        <v>5</v>
      </c>
      <c r="G3274" t="s">
        <v>836</v>
      </c>
      <c r="H3274" t="s">
        <v>684</v>
      </c>
      <c r="J3274">
        <v>4243</v>
      </c>
      <c r="K3274">
        <v>4098</v>
      </c>
      <c r="L3274" t="s">
        <v>920</v>
      </c>
      <c r="M3274">
        <v>4243</v>
      </c>
      <c r="N3274">
        <v>4098</v>
      </c>
      <c r="O3274" t="s">
        <v>920</v>
      </c>
      <c r="P3274">
        <f t="shared" si="51"/>
        <v>0</v>
      </c>
    </row>
    <row r="3275" spans="1:16" x14ac:dyDescent="0.25">
      <c r="A3275" t="s">
        <v>420</v>
      </c>
      <c r="B3275">
        <v>30.09</v>
      </c>
      <c r="C3275" t="s">
        <v>669</v>
      </c>
      <c r="D3275" t="s">
        <v>303</v>
      </c>
      <c r="E3275">
        <v>25</v>
      </c>
      <c r="F3275">
        <v>25</v>
      </c>
      <c r="G3275" t="s">
        <v>691</v>
      </c>
      <c r="H3275" t="s">
        <v>691</v>
      </c>
      <c r="K3275">
        <v>30.09</v>
      </c>
      <c r="L3275" t="s">
        <v>303</v>
      </c>
      <c r="N3275">
        <v>30.09</v>
      </c>
      <c r="O3275" t="s">
        <v>303</v>
      </c>
      <c r="P3275">
        <f t="shared" si="51"/>
        <v>0</v>
      </c>
    </row>
    <row r="3276" spans="1:16" x14ac:dyDescent="0.25">
      <c r="A3276" t="s">
        <v>420</v>
      </c>
      <c r="B3276">
        <v>30.21</v>
      </c>
      <c r="C3276" t="s">
        <v>669</v>
      </c>
      <c r="D3276" t="s">
        <v>303</v>
      </c>
      <c r="E3276">
        <v>25</v>
      </c>
      <c r="F3276">
        <v>25</v>
      </c>
      <c r="G3276" t="s">
        <v>691</v>
      </c>
      <c r="H3276" t="s">
        <v>691</v>
      </c>
      <c r="K3276">
        <v>30.21</v>
      </c>
      <c r="L3276" t="s">
        <v>303</v>
      </c>
      <c r="N3276">
        <v>30.21</v>
      </c>
      <c r="O3276" t="s">
        <v>303</v>
      </c>
      <c r="P3276">
        <f t="shared" si="51"/>
        <v>0</v>
      </c>
    </row>
    <row r="3277" spans="1:16" x14ac:dyDescent="0.25">
      <c r="A3277" t="s">
        <v>420</v>
      </c>
      <c r="B3277">
        <v>30.45</v>
      </c>
      <c r="C3277" t="s">
        <v>669</v>
      </c>
      <c r="D3277" t="s">
        <v>303</v>
      </c>
      <c r="E3277">
        <v>25</v>
      </c>
      <c r="F3277">
        <v>25</v>
      </c>
      <c r="G3277" t="s">
        <v>691</v>
      </c>
      <c r="H3277" t="s">
        <v>691</v>
      </c>
      <c r="K3277">
        <v>30.45</v>
      </c>
      <c r="L3277" t="s">
        <v>303</v>
      </c>
      <c r="N3277">
        <v>30.45</v>
      </c>
      <c r="O3277" t="s">
        <v>303</v>
      </c>
      <c r="P3277">
        <f t="shared" si="51"/>
        <v>0</v>
      </c>
    </row>
    <row r="3278" spans="1:16" x14ac:dyDescent="0.25">
      <c r="A3278" t="s">
        <v>669</v>
      </c>
      <c r="B3278">
        <v>4248</v>
      </c>
      <c r="C3278">
        <v>4413</v>
      </c>
      <c r="D3278" t="s">
        <v>861</v>
      </c>
      <c r="E3278">
        <v>4</v>
      </c>
      <c r="F3278">
        <v>4</v>
      </c>
      <c r="G3278" t="s">
        <v>701</v>
      </c>
      <c r="H3278" t="s">
        <v>701</v>
      </c>
      <c r="J3278">
        <v>4413</v>
      </c>
      <c r="K3278">
        <v>4248</v>
      </c>
      <c r="L3278" t="s">
        <v>920</v>
      </c>
      <c r="M3278">
        <v>4413</v>
      </c>
      <c r="N3278">
        <v>4248</v>
      </c>
      <c r="O3278" t="s">
        <v>920</v>
      </c>
      <c r="P3278">
        <f t="shared" si="51"/>
        <v>0</v>
      </c>
    </row>
    <row r="3279" spans="1:16" x14ac:dyDescent="0.25">
      <c r="A3279" t="s">
        <v>420</v>
      </c>
      <c r="B3279">
        <v>30.62</v>
      </c>
      <c r="C3279" t="s">
        <v>669</v>
      </c>
      <c r="D3279" t="s">
        <v>303</v>
      </c>
      <c r="E3279">
        <v>25</v>
      </c>
      <c r="F3279">
        <v>25</v>
      </c>
      <c r="G3279" t="s">
        <v>691</v>
      </c>
      <c r="H3279" t="s">
        <v>691</v>
      </c>
      <c r="K3279">
        <v>30.62</v>
      </c>
      <c r="L3279" t="s">
        <v>303</v>
      </c>
      <c r="N3279">
        <v>30.62</v>
      </c>
      <c r="O3279" t="s">
        <v>303</v>
      </c>
      <c r="P3279">
        <f t="shared" si="51"/>
        <v>0</v>
      </c>
    </row>
    <row r="3280" spans="1:16" x14ac:dyDescent="0.25">
      <c r="A3280" t="s">
        <v>420</v>
      </c>
      <c r="B3280">
        <v>31.11</v>
      </c>
      <c r="C3280" t="s">
        <v>669</v>
      </c>
      <c r="D3280" t="s">
        <v>303</v>
      </c>
      <c r="E3280">
        <v>25</v>
      </c>
      <c r="F3280">
        <v>25</v>
      </c>
      <c r="G3280" t="s">
        <v>691</v>
      </c>
      <c r="H3280" t="s">
        <v>691</v>
      </c>
      <c r="K3280">
        <v>31.11</v>
      </c>
      <c r="L3280" t="s">
        <v>303</v>
      </c>
      <c r="N3280">
        <v>31.11</v>
      </c>
      <c r="O3280" t="s">
        <v>303</v>
      </c>
      <c r="P3280">
        <f t="shared" si="51"/>
        <v>0</v>
      </c>
    </row>
    <row r="3281" spans="1:16" x14ac:dyDescent="0.25">
      <c r="A3281" t="s">
        <v>420</v>
      </c>
      <c r="B3281">
        <v>31.3</v>
      </c>
      <c r="C3281" t="s">
        <v>669</v>
      </c>
      <c r="D3281" t="s">
        <v>303</v>
      </c>
      <c r="E3281">
        <v>25</v>
      </c>
      <c r="F3281">
        <v>25</v>
      </c>
      <c r="G3281" t="s">
        <v>691</v>
      </c>
      <c r="H3281" t="s">
        <v>691</v>
      </c>
      <c r="K3281">
        <v>31.3</v>
      </c>
      <c r="L3281" t="s">
        <v>303</v>
      </c>
      <c r="N3281">
        <v>31.3</v>
      </c>
      <c r="O3281" t="s">
        <v>303</v>
      </c>
      <c r="P3281">
        <f t="shared" si="51"/>
        <v>0</v>
      </c>
    </row>
    <row r="3282" spans="1:16" x14ac:dyDescent="0.25">
      <c r="A3282" t="s">
        <v>669</v>
      </c>
      <c r="B3282">
        <v>32.1</v>
      </c>
      <c r="C3282" t="s">
        <v>669</v>
      </c>
      <c r="D3282" t="s">
        <v>303</v>
      </c>
      <c r="E3282" t="s">
        <v>910</v>
      </c>
      <c r="F3282" t="s">
        <v>910</v>
      </c>
      <c r="K3282">
        <v>32.1</v>
      </c>
      <c r="L3282" t="s">
        <v>303</v>
      </c>
      <c r="N3282">
        <v>32.1</v>
      </c>
      <c r="O3282" t="s">
        <v>303</v>
      </c>
      <c r="P3282">
        <f t="shared" si="51"/>
        <v>0</v>
      </c>
    </row>
    <row r="3283" spans="1:16" x14ac:dyDescent="0.25">
      <c r="A3283" t="s">
        <v>669</v>
      </c>
      <c r="B3283">
        <v>4453</v>
      </c>
      <c r="C3283">
        <v>4825</v>
      </c>
      <c r="D3283" t="s">
        <v>669</v>
      </c>
      <c r="E3283">
        <v>4</v>
      </c>
      <c r="F3283">
        <v>4</v>
      </c>
      <c r="G3283" t="s">
        <v>701</v>
      </c>
      <c r="H3283" t="s">
        <v>701</v>
      </c>
      <c r="I3283" t="s">
        <v>927</v>
      </c>
      <c r="J3283">
        <v>4825</v>
      </c>
      <c r="K3283">
        <v>4453</v>
      </c>
      <c r="L3283" t="s">
        <v>921</v>
      </c>
      <c r="M3283">
        <v>4825</v>
      </c>
      <c r="N3283">
        <v>4453</v>
      </c>
      <c r="P3283">
        <f t="shared" si="51"/>
        <v>14</v>
      </c>
    </row>
    <row r="3284" spans="1:16" x14ac:dyDescent="0.25">
      <c r="A3284" t="s">
        <v>669</v>
      </c>
      <c r="B3284">
        <v>32.700000000000003</v>
      </c>
      <c r="C3284" t="s">
        <v>669</v>
      </c>
      <c r="D3284" t="s">
        <v>669</v>
      </c>
      <c r="E3284" t="s">
        <v>910</v>
      </c>
      <c r="F3284" t="s">
        <v>910</v>
      </c>
      <c r="I3284" t="s">
        <v>927</v>
      </c>
      <c r="K3284">
        <v>32.700000000000003</v>
      </c>
      <c r="L3284" t="s">
        <v>930</v>
      </c>
      <c r="N3284">
        <v>32.700000000000003</v>
      </c>
      <c r="P3284">
        <f t="shared" si="51"/>
        <v>14</v>
      </c>
    </row>
    <row r="3285" spans="1:16" x14ac:dyDescent="0.25">
      <c r="A3285" t="s">
        <v>213</v>
      </c>
      <c r="B3285">
        <v>4524</v>
      </c>
      <c r="C3285">
        <v>4531</v>
      </c>
      <c r="D3285" t="s">
        <v>873</v>
      </c>
      <c r="E3285">
        <v>4</v>
      </c>
      <c r="F3285">
        <v>4</v>
      </c>
      <c r="G3285" t="s">
        <v>701</v>
      </c>
      <c r="H3285" t="s">
        <v>701</v>
      </c>
      <c r="J3285">
        <v>4531</v>
      </c>
      <c r="K3285">
        <v>4524</v>
      </c>
      <c r="L3285" t="s">
        <v>921</v>
      </c>
      <c r="M3285">
        <v>4531</v>
      </c>
      <c r="N3285">
        <v>4524</v>
      </c>
      <c r="O3285" t="s">
        <v>921</v>
      </c>
      <c r="P3285">
        <f t="shared" si="51"/>
        <v>0</v>
      </c>
    </row>
    <row r="3286" spans="1:16" x14ac:dyDescent="0.25">
      <c r="A3286" t="s">
        <v>669</v>
      </c>
      <c r="B3286">
        <v>33.72</v>
      </c>
      <c r="C3286" t="s">
        <v>669</v>
      </c>
      <c r="D3286" t="s">
        <v>669</v>
      </c>
      <c r="E3286" t="s">
        <v>910</v>
      </c>
      <c r="F3286" t="s">
        <v>910</v>
      </c>
      <c r="I3286" t="s">
        <v>927</v>
      </c>
      <c r="K3286">
        <v>33.72</v>
      </c>
      <c r="L3286" t="s">
        <v>930</v>
      </c>
      <c r="N3286">
        <v>33.72</v>
      </c>
      <c r="P3286">
        <f t="shared" si="51"/>
        <v>14</v>
      </c>
    </row>
    <row r="3287" spans="1:16" x14ac:dyDescent="0.25">
      <c r="A3287" t="s">
        <v>669</v>
      </c>
      <c r="B3287">
        <v>33.869999999999997</v>
      </c>
      <c r="C3287" t="s">
        <v>669</v>
      </c>
      <c r="D3287" t="s">
        <v>669</v>
      </c>
      <c r="E3287" t="s">
        <v>910</v>
      </c>
      <c r="F3287" t="s">
        <v>910</v>
      </c>
      <c r="I3287" t="s">
        <v>927</v>
      </c>
      <c r="K3287">
        <v>33.869999999999997</v>
      </c>
      <c r="L3287" t="s">
        <v>930</v>
      </c>
      <c r="N3287">
        <v>33.869999999999997</v>
      </c>
      <c r="P3287">
        <f t="shared" si="51"/>
        <v>14</v>
      </c>
    </row>
    <row r="3288" spans="1:16" x14ac:dyDescent="0.25">
      <c r="A3288" t="s">
        <v>669</v>
      </c>
      <c r="B3288">
        <v>34.03</v>
      </c>
      <c r="C3288" t="s">
        <v>669</v>
      </c>
      <c r="D3288" t="s">
        <v>669</v>
      </c>
      <c r="E3288" t="s">
        <v>910</v>
      </c>
      <c r="F3288" t="s">
        <v>910</v>
      </c>
      <c r="I3288" t="s">
        <v>927</v>
      </c>
      <c r="K3288">
        <v>34.03</v>
      </c>
      <c r="L3288" t="s">
        <v>930</v>
      </c>
      <c r="N3288">
        <v>34.03</v>
      </c>
      <c r="P3288">
        <f t="shared" si="51"/>
        <v>14</v>
      </c>
    </row>
    <row r="3289" spans="1:16" x14ac:dyDescent="0.25">
      <c r="A3289" t="s">
        <v>188</v>
      </c>
      <c r="B3289">
        <v>36</v>
      </c>
      <c r="C3289" t="s">
        <v>669</v>
      </c>
      <c r="D3289" t="s">
        <v>303</v>
      </c>
      <c r="E3289">
        <v>28</v>
      </c>
      <c r="F3289">
        <v>28</v>
      </c>
      <c r="G3289" t="s">
        <v>688</v>
      </c>
      <c r="H3289" t="s">
        <v>688</v>
      </c>
      <c r="K3289">
        <v>36</v>
      </c>
      <c r="L3289" t="s">
        <v>303</v>
      </c>
      <c r="N3289">
        <v>36</v>
      </c>
      <c r="O3289" t="s">
        <v>303</v>
      </c>
      <c r="P3289">
        <f t="shared" si="51"/>
        <v>0</v>
      </c>
    </row>
    <row r="3290" spans="1:16" x14ac:dyDescent="0.25">
      <c r="A3290" t="s">
        <v>213</v>
      </c>
      <c r="B3290">
        <v>4726</v>
      </c>
      <c r="C3290">
        <v>4733</v>
      </c>
      <c r="D3290" t="s">
        <v>873</v>
      </c>
      <c r="E3290">
        <v>4</v>
      </c>
      <c r="F3290">
        <v>4</v>
      </c>
      <c r="G3290" t="s">
        <v>701</v>
      </c>
      <c r="H3290" t="s">
        <v>701</v>
      </c>
      <c r="J3290">
        <v>4733</v>
      </c>
      <c r="K3290">
        <v>4726</v>
      </c>
      <c r="L3290" t="s">
        <v>921</v>
      </c>
      <c r="M3290">
        <v>4733</v>
      </c>
      <c r="N3290">
        <v>4726</v>
      </c>
      <c r="O3290" t="s">
        <v>921</v>
      </c>
      <c r="P3290">
        <f t="shared" si="51"/>
        <v>0</v>
      </c>
    </row>
    <row r="3291" spans="1:16" x14ac:dyDescent="0.25">
      <c r="A3291" t="s">
        <v>669</v>
      </c>
      <c r="B3291">
        <v>36</v>
      </c>
      <c r="C3291" t="s">
        <v>669</v>
      </c>
      <c r="D3291" t="s">
        <v>303</v>
      </c>
      <c r="E3291" t="s">
        <v>910</v>
      </c>
      <c r="F3291" t="s">
        <v>910</v>
      </c>
      <c r="K3291">
        <v>36</v>
      </c>
      <c r="L3291" t="s">
        <v>303</v>
      </c>
      <c r="N3291">
        <v>36</v>
      </c>
      <c r="O3291" t="s">
        <v>303</v>
      </c>
      <c r="P3291">
        <f t="shared" si="51"/>
        <v>0</v>
      </c>
    </row>
    <row r="3292" spans="1:16" x14ac:dyDescent="0.25">
      <c r="A3292" t="s">
        <v>669</v>
      </c>
      <c r="B3292">
        <v>37.6</v>
      </c>
      <c r="C3292" t="s">
        <v>669</v>
      </c>
      <c r="D3292" t="s">
        <v>303</v>
      </c>
      <c r="E3292" t="s">
        <v>910</v>
      </c>
      <c r="F3292" t="s">
        <v>910</v>
      </c>
      <c r="K3292">
        <v>37.6</v>
      </c>
      <c r="L3292" t="s">
        <v>303</v>
      </c>
      <c r="N3292">
        <v>37.6</v>
      </c>
      <c r="O3292" t="s">
        <v>303</v>
      </c>
      <c r="P3292">
        <f t="shared" si="51"/>
        <v>0</v>
      </c>
    </row>
    <row r="3293" spans="1:16" x14ac:dyDescent="0.25">
      <c r="A3293" t="s">
        <v>527</v>
      </c>
      <c r="B3293">
        <v>577.33500000000004</v>
      </c>
      <c r="C3293" t="s">
        <v>669</v>
      </c>
      <c r="D3293" t="s">
        <v>669</v>
      </c>
      <c r="E3293">
        <v>8</v>
      </c>
      <c r="F3293">
        <v>8</v>
      </c>
      <c r="G3293" t="s">
        <v>687</v>
      </c>
      <c r="H3293" t="s">
        <v>687</v>
      </c>
      <c r="I3293" t="s">
        <v>952</v>
      </c>
      <c r="K3293">
        <v>577.33500000000004</v>
      </c>
      <c r="L3293" t="s">
        <v>851</v>
      </c>
      <c r="N3293">
        <v>577.33500000000004</v>
      </c>
    </row>
    <row r="3294" spans="1:16" x14ac:dyDescent="0.25">
      <c r="A3294" t="s">
        <v>188</v>
      </c>
      <c r="B3294">
        <v>40</v>
      </c>
      <c r="C3294" t="s">
        <v>669</v>
      </c>
      <c r="D3294" t="s">
        <v>860</v>
      </c>
      <c r="E3294">
        <v>28</v>
      </c>
      <c r="F3294">
        <v>28</v>
      </c>
      <c r="G3294" t="s">
        <v>688</v>
      </c>
      <c r="H3294" t="s">
        <v>688</v>
      </c>
      <c r="K3294">
        <v>40</v>
      </c>
      <c r="L3294" t="s">
        <v>303</v>
      </c>
      <c r="N3294">
        <v>40</v>
      </c>
      <c r="O3294" t="s">
        <v>303</v>
      </c>
      <c r="P3294">
        <f t="shared" si="51"/>
        <v>0</v>
      </c>
    </row>
    <row r="3295" spans="1:16" x14ac:dyDescent="0.25">
      <c r="A3295" t="s">
        <v>188</v>
      </c>
      <c r="B3295">
        <v>50</v>
      </c>
      <c r="C3295" t="s">
        <v>669</v>
      </c>
      <c r="D3295" t="s">
        <v>860</v>
      </c>
      <c r="E3295">
        <v>28</v>
      </c>
      <c r="F3295">
        <v>28</v>
      </c>
      <c r="G3295" t="s">
        <v>688</v>
      </c>
      <c r="H3295" t="s">
        <v>688</v>
      </c>
      <c r="K3295">
        <v>50</v>
      </c>
      <c r="L3295" t="s">
        <v>303</v>
      </c>
      <c r="N3295">
        <v>50</v>
      </c>
      <c r="O3295" t="s">
        <v>303</v>
      </c>
      <c r="P3295">
        <f t="shared" si="51"/>
        <v>0</v>
      </c>
    </row>
    <row r="3296" spans="1:16" x14ac:dyDescent="0.25">
      <c r="A3296" t="s">
        <v>99</v>
      </c>
      <c r="B3296">
        <v>55</v>
      </c>
      <c r="C3296" t="s">
        <v>669</v>
      </c>
      <c r="D3296" t="s">
        <v>860</v>
      </c>
      <c r="E3296">
        <v>38</v>
      </c>
      <c r="F3296">
        <v>38</v>
      </c>
      <c r="G3296" t="s">
        <v>704</v>
      </c>
      <c r="H3296" t="s">
        <v>704</v>
      </c>
      <c r="K3296">
        <v>55</v>
      </c>
      <c r="L3296" t="s">
        <v>303</v>
      </c>
      <c r="N3296">
        <v>55</v>
      </c>
      <c r="O3296" t="s">
        <v>303</v>
      </c>
      <c r="P3296">
        <f t="shared" si="51"/>
        <v>0</v>
      </c>
    </row>
    <row r="3297" spans="1:16" x14ac:dyDescent="0.25">
      <c r="A3297" t="s">
        <v>99</v>
      </c>
      <c r="B3297">
        <v>80.040000000000006</v>
      </c>
      <c r="C3297" t="s">
        <v>669</v>
      </c>
      <c r="D3297" t="s">
        <v>860</v>
      </c>
      <c r="E3297">
        <v>38</v>
      </c>
      <c r="F3297">
        <v>38</v>
      </c>
      <c r="G3297" t="s">
        <v>704</v>
      </c>
      <c r="H3297" t="s">
        <v>704</v>
      </c>
      <c r="K3297">
        <v>80.040000000000006</v>
      </c>
      <c r="L3297" t="s">
        <v>303</v>
      </c>
      <c r="N3297">
        <v>80.040000000000006</v>
      </c>
      <c r="O3297" t="s">
        <v>303</v>
      </c>
      <c r="P3297">
        <f t="shared" si="51"/>
        <v>0</v>
      </c>
    </row>
    <row r="3298" spans="1:16" x14ac:dyDescent="0.25">
      <c r="A3298" t="s">
        <v>669</v>
      </c>
      <c r="B3298">
        <v>95</v>
      </c>
      <c r="C3298" t="s">
        <v>669</v>
      </c>
      <c r="D3298" t="s">
        <v>669</v>
      </c>
      <c r="E3298" t="s">
        <v>910</v>
      </c>
      <c r="F3298" t="s">
        <v>910</v>
      </c>
      <c r="I3298" t="s">
        <v>927</v>
      </c>
      <c r="K3298">
        <v>95</v>
      </c>
      <c r="L3298" t="s">
        <v>930</v>
      </c>
      <c r="N3298">
        <v>95</v>
      </c>
      <c r="P3298">
        <f t="shared" si="51"/>
        <v>14</v>
      </c>
    </row>
    <row r="3299" spans="1:16" x14ac:dyDescent="0.25">
      <c r="A3299" t="s">
        <v>669</v>
      </c>
      <c r="B3299">
        <v>98.4</v>
      </c>
      <c r="C3299" t="s">
        <v>669</v>
      </c>
      <c r="D3299" t="s">
        <v>669</v>
      </c>
      <c r="E3299" t="s">
        <v>910</v>
      </c>
      <c r="F3299" t="s">
        <v>910</v>
      </c>
      <c r="I3299" t="s">
        <v>927</v>
      </c>
      <c r="K3299">
        <v>98.4</v>
      </c>
      <c r="L3299" t="s">
        <v>930</v>
      </c>
      <c r="N3299">
        <v>98.4</v>
      </c>
      <c r="P3299">
        <f t="shared" si="51"/>
        <v>14</v>
      </c>
    </row>
    <row r="3300" spans="1:16" x14ac:dyDescent="0.25">
      <c r="A3300" t="s">
        <v>669</v>
      </c>
      <c r="B3300">
        <v>100</v>
      </c>
      <c r="C3300" t="s">
        <v>669</v>
      </c>
      <c r="D3300" t="s">
        <v>303</v>
      </c>
      <c r="E3300" t="s">
        <v>910</v>
      </c>
      <c r="F3300" t="s">
        <v>910</v>
      </c>
      <c r="K3300">
        <v>100</v>
      </c>
      <c r="L3300" t="s">
        <v>303</v>
      </c>
      <c r="N3300">
        <v>100</v>
      </c>
      <c r="O3300" t="s">
        <v>303</v>
      </c>
      <c r="P3300">
        <f t="shared" si="51"/>
        <v>0</v>
      </c>
    </row>
    <row r="3301" spans="1:16" x14ac:dyDescent="0.25">
      <c r="A3301" t="s">
        <v>669</v>
      </c>
      <c r="B3301">
        <v>102.5</v>
      </c>
      <c r="C3301" t="s">
        <v>669</v>
      </c>
      <c r="D3301" t="s">
        <v>669</v>
      </c>
      <c r="E3301" t="s">
        <v>910</v>
      </c>
      <c r="F3301" t="s">
        <v>910</v>
      </c>
      <c r="I3301" t="s">
        <v>927</v>
      </c>
      <c r="K3301">
        <v>102.5</v>
      </c>
      <c r="L3301" t="s">
        <v>930</v>
      </c>
      <c r="N3301">
        <v>102.5</v>
      </c>
      <c r="P3301">
        <f t="shared" si="51"/>
        <v>14</v>
      </c>
    </row>
    <row r="3302" spans="1:16" x14ac:dyDescent="0.25">
      <c r="A3302" t="s">
        <v>669</v>
      </c>
      <c r="B3302">
        <v>108</v>
      </c>
      <c r="C3302" t="s">
        <v>669</v>
      </c>
      <c r="D3302" t="s">
        <v>669</v>
      </c>
      <c r="E3302" t="s">
        <v>910</v>
      </c>
      <c r="F3302" t="s">
        <v>910</v>
      </c>
      <c r="I3302" t="s">
        <v>927</v>
      </c>
      <c r="K3302">
        <v>108</v>
      </c>
      <c r="L3302" t="s">
        <v>930</v>
      </c>
      <c r="N3302">
        <v>108</v>
      </c>
      <c r="P3302">
        <f t="shared" si="51"/>
        <v>14</v>
      </c>
    </row>
    <row r="3303" spans="1:16" x14ac:dyDescent="0.25">
      <c r="A3303" t="s">
        <v>669</v>
      </c>
      <c r="B3303">
        <v>114</v>
      </c>
      <c r="C3303" t="s">
        <v>669</v>
      </c>
      <c r="D3303" t="s">
        <v>669</v>
      </c>
      <c r="E3303" t="s">
        <v>910</v>
      </c>
      <c r="F3303" t="s">
        <v>910</v>
      </c>
      <c r="I3303" t="s">
        <v>927</v>
      </c>
      <c r="K3303">
        <v>114</v>
      </c>
      <c r="L3303" t="s">
        <v>930</v>
      </c>
      <c r="N3303">
        <v>114</v>
      </c>
      <c r="P3303">
        <f t="shared" si="51"/>
        <v>14</v>
      </c>
    </row>
    <row r="3304" spans="1:16" x14ac:dyDescent="0.25">
      <c r="A3304" t="s">
        <v>669</v>
      </c>
      <c r="B3304">
        <v>115</v>
      </c>
      <c r="C3304" t="s">
        <v>669</v>
      </c>
      <c r="D3304" t="s">
        <v>669</v>
      </c>
      <c r="E3304" t="s">
        <v>910</v>
      </c>
      <c r="F3304" t="s">
        <v>910</v>
      </c>
      <c r="I3304" t="s">
        <v>927</v>
      </c>
      <c r="K3304">
        <v>115</v>
      </c>
      <c r="L3304" t="s">
        <v>930</v>
      </c>
      <c r="N3304">
        <v>115</v>
      </c>
      <c r="P3304">
        <f t="shared" si="51"/>
        <v>14</v>
      </c>
    </row>
    <row r="3305" spans="1:16" x14ac:dyDescent="0.25">
      <c r="A3305" t="s">
        <v>669</v>
      </c>
      <c r="B3305">
        <v>125</v>
      </c>
      <c r="C3305" t="s">
        <v>669</v>
      </c>
      <c r="D3305" t="s">
        <v>669</v>
      </c>
      <c r="E3305" t="s">
        <v>910</v>
      </c>
      <c r="F3305" t="s">
        <v>910</v>
      </c>
      <c r="I3305" t="s">
        <v>927</v>
      </c>
      <c r="K3305">
        <v>125</v>
      </c>
      <c r="L3305" t="s">
        <v>930</v>
      </c>
      <c r="N3305">
        <v>125</v>
      </c>
      <c r="P3305">
        <f t="shared" si="51"/>
        <v>14</v>
      </c>
    </row>
    <row r="3306" spans="1:16" x14ac:dyDescent="0.25">
      <c r="A3306" t="s">
        <v>669</v>
      </c>
      <c r="B3306">
        <v>126.6</v>
      </c>
      <c r="C3306" t="s">
        <v>669</v>
      </c>
      <c r="D3306" t="s">
        <v>669</v>
      </c>
      <c r="E3306" t="s">
        <v>910</v>
      </c>
      <c r="F3306" t="s">
        <v>910</v>
      </c>
      <c r="I3306" t="s">
        <v>927</v>
      </c>
      <c r="K3306">
        <v>126.6</v>
      </c>
      <c r="L3306" t="s">
        <v>930</v>
      </c>
      <c r="N3306">
        <v>126.6</v>
      </c>
      <c r="P3306">
        <f t="shared" si="51"/>
        <v>14</v>
      </c>
    </row>
    <row r="3307" spans="1:16" x14ac:dyDescent="0.25">
      <c r="A3307" t="s">
        <v>213</v>
      </c>
      <c r="B3307">
        <v>4772</v>
      </c>
      <c r="C3307">
        <v>4789</v>
      </c>
      <c r="D3307" t="s">
        <v>873</v>
      </c>
      <c r="E3307">
        <v>4</v>
      </c>
      <c r="F3307">
        <v>4</v>
      </c>
      <c r="G3307" t="s">
        <v>701</v>
      </c>
      <c r="H3307" t="s">
        <v>701</v>
      </c>
      <c r="J3307">
        <v>4789</v>
      </c>
      <c r="K3307">
        <v>4772</v>
      </c>
      <c r="L3307" t="s">
        <v>921</v>
      </c>
      <c r="M3307">
        <v>4789</v>
      </c>
      <c r="N3307">
        <v>4772</v>
      </c>
      <c r="O3307" t="s">
        <v>921</v>
      </c>
      <c r="P3307">
        <f t="shared" si="51"/>
        <v>0</v>
      </c>
    </row>
    <row r="3308" spans="1:16" x14ac:dyDescent="0.25">
      <c r="A3308" t="s">
        <v>669</v>
      </c>
      <c r="B3308">
        <v>4853</v>
      </c>
      <c r="C3308">
        <v>4964</v>
      </c>
      <c r="D3308" t="s">
        <v>866</v>
      </c>
      <c r="E3308">
        <v>4</v>
      </c>
      <c r="F3308">
        <v>4</v>
      </c>
      <c r="G3308" t="s">
        <v>701</v>
      </c>
      <c r="H3308" t="s">
        <v>701</v>
      </c>
      <c r="J3308">
        <v>4964</v>
      </c>
      <c r="K3308">
        <v>4853</v>
      </c>
      <c r="L3308" t="s">
        <v>920</v>
      </c>
      <c r="M3308">
        <v>4964</v>
      </c>
      <c r="N3308">
        <v>4853</v>
      </c>
      <c r="O3308" t="s">
        <v>920</v>
      </c>
      <c r="P3308">
        <f t="shared" si="51"/>
        <v>0</v>
      </c>
    </row>
    <row r="3309" spans="1:16" x14ac:dyDescent="0.25">
      <c r="A3309" t="s">
        <v>669</v>
      </c>
      <c r="B3309">
        <v>130.1</v>
      </c>
      <c r="C3309" t="s">
        <v>669</v>
      </c>
      <c r="D3309" t="s">
        <v>669</v>
      </c>
      <c r="E3309" t="s">
        <v>910</v>
      </c>
      <c r="F3309" t="s">
        <v>910</v>
      </c>
      <c r="I3309" t="s">
        <v>927</v>
      </c>
      <c r="K3309">
        <v>130.1</v>
      </c>
      <c r="L3309" t="s">
        <v>930</v>
      </c>
      <c r="N3309">
        <v>130.1</v>
      </c>
      <c r="P3309">
        <f t="shared" si="51"/>
        <v>14</v>
      </c>
    </row>
    <row r="3310" spans="1:16" x14ac:dyDescent="0.25">
      <c r="A3310" t="s">
        <v>669</v>
      </c>
      <c r="B3310">
        <v>130.9</v>
      </c>
      <c r="C3310" t="s">
        <v>669</v>
      </c>
      <c r="D3310" t="s">
        <v>669</v>
      </c>
      <c r="E3310" t="s">
        <v>910</v>
      </c>
      <c r="F3310" t="s">
        <v>910</v>
      </c>
      <c r="I3310" t="s">
        <v>927</v>
      </c>
      <c r="K3310">
        <v>130.9</v>
      </c>
      <c r="L3310" t="s">
        <v>930</v>
      </c>
      <c r="N3310">
        <v>130.9</v>
      </c>
      <c r="P3310">
        <f t="shared" si="51"/>
        <v>14</v>
      </c>
    </row>
    <row r="3311" spans="1:16" x14ac:dyDescent="0.25">
      <c r="A3311" t="s">
        <v>669</v>
      </c>
      <c r="B3311">
        <v>131.9</v>
      </c>
      <c r="C3311" t="s">
        <v>669</v>
      </c>
      <c r="D3311" t="s">
        <v>669</v>
      </c>
      <c r="E3311" t="s">
        <v>910</v>
      </c>
      <c r="F3311" t="s">
        <v>910</v>
      </c>
      <c r="I3311" t="s">
        <v>927</v>
      </c>
      <c r="K3311">
        <v>131.9</v>
      </c>
      <c r="L3311" t="s">
        <v>930</v>
      </c>
      <c r="N3311">
        <v>131.9</v>
      </c>
      <c r="P3311">
        <f t="shared" si="51"/>
        <v>14</v>
      </c>
    </row>
    <row r="3312" spans="1:16" x14ac:dyDescent="0.25">
      <c r="A3312" t="s">
        <v>669</v>
      </c>
      <c r="B3312">
        <v>4895</v>
      </c>
      <c r="C3312" t="s">
        <v>669</v>
      </c>
      <c r="D3312" t="s">
        <v>865</v>
      </c>
      <c r="E3312" t="s">
        <v>910</v>
      </c>
      <c r="F3312">
        <v>4</v>
      </c>
      <c r="H3312" t="s">
        <v>701</v>
      </c>
      <c r="K3312">
        <v>4895</v>
      </c>
      <c r="L3312" t="s">
        <v>920</v>
      </c>
      <c r="N3312">
        <v>4895</v>
      </c>
      <c r="O3312" t="s">
        <v>931</v>
      </c>
      <c r="P3312">
        <f t="shared" si="51"/>
        <v>0</v>
      </c>
    </row>
    <row r="3313" spans="1:16" x14ac:dyDescent="0.25">
      <c r="A3313" t="s">
        <v>669</v>
      </c>
      <c r="B3313">
        <v>5000</v>
      </c>
      <c r="C3313" t="s">
        <v>669</v>
      </c>
      <c r="D3313" t="s">
        <v>669</v>
      </c>
      <c r="E3313" t="s">
        <v>910</v>
      </c>
      <c r="F3313">
        <v>4</v>
      </c>
      <c r="H3313" t="s">
        <v>701</v>
      </c>
      <c r="I3313" t="s">
        <v>927</v>
      </c>
      <c r="K3313">
        <v>5000</v>
      </c>
      <c r="L3313" t="s">
        <v>921</v>
      </c>
      <c r="N3313">
        <v>5000</v>
      </c>
      <c r="P3313">
        <f t="shared" si="51"/>
        <v>14</v>
      </c>
    </row>
    <row r="3314" spans="1:16" x14ac:dyDescent="0.25">
      <c r="A3314" t="s">
        <v>669</v>
      </c>
      <c r="B3314">
        <v>5001</v>
      </c>
      <c r="C3314" t="s">
        <v>669</v>
      </c>
      <c r="D3314" t="s">
        <v>865</v>
      </c>
      <c r="E3314" t="s">
        <v>910</v>
      </c>
      <c r="F3314">
        <v>4</v>
      </c>
      <c r="H3314" t="s">
        <v>701</v>
      </c>
      <c r="K3314">
        <v>5001</v>
      </c>
      <c r="L3314" t="s">
        <v>920</v>
      </c>
      <c r="N3314">
        <v>5001</v>
      </c>
      <c r="O3314" t="s">
        <v>931</v>
      </c>
      <c r="P3314">
        <f t="shared" si="51"/>
        <v>0</v>
      </c>
    </row>
    <row r="3315" spans="1:16" x14ac:dyDescent="0.25">
      <c r="A3315" t="s">
        <v>213</v>
      </c>
      <c r="B3315">
        <v>5008</v>
      </c>
      <c r="C3315">
        <v>5026</v>
      </c>
      <c r="D3315" t="s">
        <v>873</v>
      </c>
      <c r="E3315">
        <v>4</v>
      </c>
      <c r="F3315">
        <v>4</v>
      </c>
      <c r="G3315" t="s">
        <v>701</v>
      </c>
      <c r="H3315" t="s">
        <v>701</v>
      </c>
      <c r="J3315">
        <v>5026</v>
      </c>
      <c r="K3315">
        <v>5008</v>
      </c>
      <c r="L3315" t="s">
        <v>921</v>
      </c>
      <c r="M3315">
        <v>5026</v>
      </c>
      <c r="N3315">
        <v>5008</v>
      </c>
      <c r="O3315" t="s">
        <v>921</v>
      </c>
      <c r="P3315">
        <f t="shared" si="51"/>
        <v>0</v>
      </c>
    </row>
    <row r="3316" spans="1:16" x14ac:dyDescent="0.25">
      <c r="A3316" t="s">
        <v>669</v>
      </c>
      <c r="B3316">
        <v>132.1</v>
      </c>
      <c r="C3316" t="s">
        <v>669</v>
      </c>
      <c r="D3316" t="s">
        <v>669</v>
      </c>
      <c r="E3316" t="s">
        <v>910</v>
      </c>
      <c r="F3316" t="s">
        <v>910</v>
      </c>
      <c r="I3316" t="s">
        <v>927</v>
      </c>
      <c r="K3316">
        <v>132.1</v>
      </c>
      <c r="L3316" t="s">
        <v>930</v>
      </c>
      <c r="N3316">
        <v>132.1</v>
      </c>
      <c r="P3316">
        <f t="shared" si="51"/>
        <v>14</v>
      </c>
    </row>
    <row r="3317" spans="1:16" x14ac:dyDescent="0.25">
      <c r="A3317" t="s">
        <v>669</v>
      </c>
      <c r="B3317">
        <v>5020</v>
      </c>
      <c r="C3317" t="s">
        <v>669</v>
      </c>
      <c r="D3317" t="s">
        <v>669</v>
      </c>
      <c r="E3317" t="s">
        <v>910</v>
      </c>
      <c r="F3317">
        <v>4</v>
      </c>
      <c r="H3317" t="s">
        <v>701</v>
      </c>
      <c r="I3317" t="s">
        <v>927</v>
      </c>
      <c r="K3317">
        <v>5020</v>
      </c>
      <c r="L3317" t="s">
        <v>921</v>
      </c>
      <c r="N3317">
        <v>5020</v>
      </c>
      <c r="P3317">
        <f t="shared" si="51"/>
        <v>14</v>
      </c>
    </row>
    <row r="3318" spans="1:16" x14ac:dyDescent="0.25">
      <c r="A3318" t="s">
        <v>213</v>
      </c>
      <c r="B3318">
        <v>5032</v>
      </c>
      <c r="C3318">
        <v>5044</v>
      </c>
      <c r="D3318" t="s">
        <v>873</v>
      </c>
      <c r="E3318">
        <v>4</v>
      </c>
      <c r="F3318">
        <v>4</v>
      </c>
      <c r="G3318" t="s">
        <v>701</v>
      </c>
      <c r="H3318" t="s">
        <v>701</v>
      </c>
      <c r="J3318">
        <v>5044</v>
      </c>
      <c r="K3318">
        <v>5032</v>
      </c>
      <c r="L3318" t="s">
        <v>921</v>
      </c>
      <c r="M3318">
        <v>5044</v>
      </c>
      <c r="N3318">
        <v>5032</v>
      </c>
      <c r="O3318" t="s">
        <v>921</v>
      </c>
      <c r="P3318">
        <f t="shared" si="51"/>
        <v>0</v>
      </c>
    </row>
    <row r="3319" spans="1:16" x14ac:dyDescent="0.25">
      <c r="A3319" t="s">
        <v>669</v>
      </c>
      <c r="B3319">
        <v>5042</v>
      </c>
      <c r="C3319">
        <v>5285</v>
      </c>
      <c r="D3319" t="s">
        <v>866</v>
      </c>
      <c r="E3319">
        <v>4</v>
      </c>
      <c r="F3319">
        <v>4</v>
      </c>
      <c r="G3319" t="s">
        <v>701</v>
      </c>
      <c r="H3319" t="s">
        <v>701</v>
      </c>
      <c r="J3319">
        <v>5285</v>
      </c>
      <c r="K3319">
        <v>5042</v>
      </c>
      <c r="L3319" t="s">
        <v>920</v>
      </c>
      <c r="M3319">
        <v>5285</v>
      </c>
      <c r="N3319">
        <v>5042</v>
      </c>
      <c r="O3319" t="s">
        <v>920</v>
      </c>
      <c r="P3319">
        <f t="shared" si="51"/>
        <v>0</v>
      </c>
    </row>
    <row r="3320" spans="1:16" x14ac:dyDescent="0.25">
      <c r="A3320" t="s">
        <v>213</v>
      </c>
      <c r="B3320">
        <v>5089</v>
      </c>
      <c r="C3320">
        <v>5098</v>
      </c>
      <c r="D3320" t="s">
        <v>873</v>
      </c>
      <c r="E3320">
        <v>4</v>
      </c>
      <c r="F3320">
        <v>4</v>
      </c>
      <c r="G3320" t="s">
        <v>701</v>
      </c>
      <c r="H3320" t="s">
        <v>701</v>
      </c>
      <c r="J3320">
        <v>5098</v>
      </c>
      <c r="K3320">
        <v>5089</v>
      </c>
      <c r="L3320" t="s">
        <v>921</v>
      </c>
      <c r="M3320">
        <v>5098</v>
      </c>
      <c r="N3320">
        <v>5089</v>
      </c>
      <c r="O3320" t="s">
        <v>921</v>
      </c>
      <c r="P3320">
        <f t="shared" si="51"/>
        <v>0</v>
      </c>
    </row>
    <row r="3321" spans="1:16" x14ac:dyDescent="0.25">
      <c r="A3321" t="s">
        <v>213</v>
      </c>
      <c r="B3321">
        <v>5123</v>
      </c>
      <c r="C3321">
        <v>5131</v>
      </c>
      <c r="D3321" t="s">
        <v>873</v>
      </c>
      <c r="E3321">
        <v>4</v>
      </c>
      <c r="F3321">
        <v>4</v>
      </c>
      <c r="G3321" t="s">
        <v>701</v>
      </c>
      <c r="H3321" t="s">
        <v>701</v>
      </c>
      <c r="J3321">
        <v>5131</v>
      </c>
      <c r="K3321">
        <v>5123</v>
      </c>
      <c r="L3321" t="s">
        <v>921</v>
      </c>
      <c r="M3321">
        <v>5131</v>
      </c>
      <c r="N3321">
        <v>5123</v>
      </c>
      <c r="O3321" t="s">
        <v>921</v>
      </c>
      <c r="P3321">
        <f t="shared" si="51"/>
        <v>0</v>
      </c>
    </row>
    <row r="3322" spans="1:16" x14ac:dyDescent="0.25">
      <c r="A3322" t="s">
        <v>213</v>
      </c>
      <c r="B3322">
        <v>5132</v>
      </c>
      <c r="C3322">
        <v>5139</v>
      </c>
      <c r="D3322" t="s">
        <v>873</v>
      </c>
      <c r="E3322">
        <v>4</v>
      </c>
      <c r="F3322">
        <v>4</v>
      </c>
      <c r="G3322" t="s">
        <v>701</v>
      </c>
      <c r="H3322" t="s">
        <v>701</v>
      </c>
      <c r="J3322">
        <v>5139</v>
      </c>
      <c r="K3322">
        <v>5132</v>
      </c>
      <c r="L3322" t="s">
        <v>921</v>
      </c>
      <c r="M3322">
        <v>5139</v>
      </c>
      <c r="N3322">
        <v>5132</v>
      </c>
      <c r="O3322" t="s">
        <v>921</v>
      </c>
      <c r="P3322">
        <f t="shared" si="51"/>
        <v>0</v>
      </c>
    </row>
    <row r="3323" spans="1:16" x14ac:dyDescent="0.25">
      <c r="A3323" t="s">
        <v>669</v>
      </c>
      <c r="B3323">
        <v>5193</v>
      </c>
      <c r="C3323" t="s">
        <v>669</v>
      </c>
      <c r="D3323" t="s">
        <v>865</v>
      </c>
      <c r="E3323" t="s">
        <v>910</v>
      </c>
      <c r="F3323">
        <v>4</v>
      </c>
      <c r="H3323" t="s">
        <v>701</v>
      </c>
      <c r="K3323">
        <v>5193</v>
      </c>
      <c r="L3323" t="s">
        <v>920</v>
      </c>
      <c r="N3323">
        <v>5193</v>
      </c>
      <c r="O3323" t="s">
        <v>931</v>
      </c>
      <c r="P3323">
        <f t="shared" si="51"/>
        <v>0</v>
      </c>
    </row>
    <row r="3324" spans="1:16" x14ac:dyDescent="0.25">
      <c r="A3324" t="s">
        <v>669</v>
      </c>
      <c r="B3324">
        <v>5200</v>
      </c>
      <c r="C3324" t="s">
        <v>669</v>
      </c>
      <c r="D3324" t="s">
        <v>669</v>
      </c>
      <c r="E3324" t="s">
        <v>910</v>
      </c>
      <c r="F3324">
        <v>4</v>
      </c>
      <c r="H3324" t="s">
        <v>701</v>
      </c>
      <c r="I3324" t="s">
        <v>927</v>
      </c>
      <c r="K3324">
        <v>5200</v>
      </c>
      <c r="L3324" t="s">
        <v>921</v>
      </c>
      <c r="N3324">
        <v>5200</v>
      </c>
      <c r="P3324">
        <f t="shared" si="51"/>
        <v>14</v>
      </c>
    </row>
    <row r="3325" spans="1:16" x14ac:dyDescent="0.25">
      <c r="A3325" t="s">
        <v>669</v>
      </c>
      <c r="B3325">
        <v>5275</v>
      </c>
      <c r="C3325" t="s">
        <v>669</v>
      </c>
      <c r="D3325" t="s">
        <v>669</v>
      </c>
      <c r="E3325" t="s">
        <v>910</v>
      </c>
      <c r="F3325">
        <v>4</v>
      </c>
      <c r="H3325" t="s">
        <v>701</v>
      </c>
      <c r="I3325" t="s">
        <v>927</v>
      </c>
      <c r="K3325">
        <v>5275</v>
      </c>
      <c r="L3325" t="s">
        <v>921</v>
      </c>
      <c r="N3325">
        <v>5275</v>
      </c>
      <c r="P3325">
        <f t="shared" si="51"/>
        <v>14</v>
      </c>
    </row>
    <row r="3326" spans="1:16" x14ac:dyDescent="0.25">
      <c r="A3326" t="s">
        <v>669</v>
      </c>
      <c r="B3326">
        <v>5294</v>
      </c>
      <c r="C3326" t="s">
        <v>669</v>
      </c>
      <c r="D3326" t="s">
        <v>865</v>
      </c>
      <c r="E3326" t="s">
        <v>910</v>
      </c>
      <c r="F3326">
        <v>4</v>
      </c>
      <c r="H3326" t="s">
        <v>701</v>
      </c>
      <c r="K3326">
        <v>5294</v>
      </c>
      <c r="L3326" t="s">
        <v>920</v>
      </c>
      <c r="N3326">
        <v>5294</v>
      </c>
      <c r="O3326" t="s">
        <v>931</v>
      </c>
      <c r="P3326">
        <f t="shared" si="51"/>
        <v>0</v>
      </c>
    </row>
    <row r="3327" spans="1:16" x14ac:dyDescent="0.25">
      <c r="A3327" t="s">
        <v>669</v>
      </c>
      <c r="B3327">
        <v>5390</v>
      </c>
      <c r="C3327" t="s">
        <v>669</v>
      </c>
      <c r="D3327" t="s">
        <v>865</v>
      </c>
      <c r="E3327" t="s">
        <v>910</v>
      </c>
      <c r="F3327">
        <v>4</v>
      </c>
      <c r="H3327" t="s">
        <v>701</v>
      </c>
      <c r="K3327">
        <v>5390</v>
      </c>
      <c r="L3327" t="s">
        <v>920</v>
      </c>
      <c r="N3327">
        <v>5390</v>
      </c>
      <c r="O3327" t="s">
        <v>931</v>
      </c>
      <c r="P3327">
        <f t="shared" si="51"/>
        <v>0</v>
      </c>
    </row>
    <row r="3328" spans="1:16" x14ac:dyDescent="0.25">
      <c r="A3328" t="s">
        <v>669</v>
      </c>
      <c r="B3328">
        <v>132.5</v>
      </c>
      <c r="C3328" t="s">
        <v>669</v>
      </c>
      <c r="D3328" t="s">
        <v>669</v>
      </c>
      <c r="E3328" t="s">
        <v>910</v>
      </c>
      <c r="F3328" t="s">
        <v>910</v>
      </c>
      <c r="I3328" t="s">
        <v>927</v>
      </c>
      <c r="K3328">
        <v>132.5</v>
      </c>
      <c r="L3328" t="s">
        <v>930</v>
      </c>
      <c r="N3328">
        <v>132.5</v>
      </c>
      <c r="P3328">
        <f t="shared" si="51"/>
        <v>14</v>
      </c>
    </row>
    <row r="3329" spans="1:16" x14ac:dyDescent="0.25">
      <c r="A3329" t="s">
        <v>669</v>
      </c>
      <c r="B3329">
        <v>5561</v>
      </c>
      <c r="C3329" t="s">
        <v>669</v>
      </c>
      <c r="D3329" t="s">
        <v>865</v>
      </c>
      <c r="E3329" t="s">
        <v>910</v>
      </c>
      <c r="F3329">
        <v>4</v>
      </c>
      <c r="H3329" t="s">
        <v>701</v>
      </c>
      <c r="K3329">
        <v>5561</v>
      </c>
      <c r="L3329" t="s">
        <v>920</v>
      </c>
      <c r="N3329">
        <v>5561</v>
      </c>
      <c r="O3329" t="s">
        <v>931</v>
      </c>
      <c r="P3329">
        <f t="shared" si="51"/>
        <v>0</v>
      </c>
    </row>
    <row r="3330" spans="1:16" x14ac:dyDescent="0.25">
      <c r="A3330" t="s">
        <v>669</v>
      </c>
      <c r="B3330">
        <v>5741</v>
      </c>
      <c r="C3330">
        <v>5901</v>
      </c>
      <c r="D3330" t="s">
        <v>866</v>
      </c>
      <c r="E3330">
        <v>4</v>
      </c>
      <c r="F3330">
        <v>4</v>
      </c>
      <c r="G3330" t="s">
        <v>701</v>
      </c>
      <c r="H3330" t="s">
        <v>701</v>
      </c>
      <c r="J3330">
        <v>5901</v>
      </c>
      <c r="K3330">
        <v>5741</v>
      </c>
      <c r="L3330" t="s">
        <v>920</v>
      </c>
      <c r="M3330">
        <v>5901</v>
      </c>
      <c r="N3330">
        <v>5741</v>
      </c>
      <c r="O3330" t="s">
        <v>920</v>
      </c>
      <c r="P3330">
        <f t="shared" si="51"/>
        <v>0</v>
      </c>
    </row>
    <row r="3331" spans="1:16" x14ac:dyDescent="0.25">
      <c r="A3331" t="s">
        <v>669</v>
      </c>
      <c r="B3331">
        <v>5756</v>
      </c>
      <c r="C3331">
        <v>5849</v>
      </c>
      <c r="D3331" t="s">
        <v>669</v>
      </c>
      <c r="E3331">
        <v>4</v>
      </c>
      <c r="F3331">
        <v>4</v>
      </c>
      <c r="G3331" t="s">
        <v>701</v>
      </c>
      <c r="H3331" t="s">
        <v>701</v>
      </c>
      <c r="I3331" t="s">
        <v>927</v>
      </c>
      <c r="J3331">
        <v>5849</v>
      </c>
      <c r="K3331">
        <v>5756</v>
      </c>
      <c r="L3331" t="s">
        <v>921</v>
      </c>
      <c r="M3331">
        <v>5849</v>
      </c>
      <c r="N3331">
        <v>5756</v>
      </c>
      <c r="P3331">
        <f t="shared" ref="P3331:P3394" si="52">LEN(I3331)</f>
        <v>14</v>
      </c>
    </row>
    <row r="3332" spans="1:16" x14ac:dyDescent="0.25">
      <c r="A3332" t="s">
        <v>669</v>
      </c>
      <c r="B3332">
        <v>5895</v>
      </c>
      <c r="C3332">
        <v>6128</v>
      </c>
      <c r="D3332" t="s">
        <v>669</v>
      </c>
      <c r="E3332">
        <v>4</v>
      </c>
      <c r="F3332">
        <v>4</v>
      </c>
      <c r="G3332" t="s">
        <v>701</v>
      </c>
      <c r="H3332" t="s">
        <v>701</v>
      </c>
      <c r="I3332" t="s">
        <v>927</v>
      </c>
      <c r="J3332">
        <v>6128</v>
      </c>
      <c r="K3332">
        <v>5895</v>
      </c>
      <c r="L3332" t="s">
        <v>921</v>
      </c>
      <c r="M3332">
        <v>6128</v>
      </c>
      <c r="N3332">
        <v>5895</v>
      </c>
      <c r="P3332">
        <f t="shared" si="52"/>
        <v>14</v>
      </c>
    </row>
    <row r="3333" spans="1:16" x14ac:dyDescent="0.25">
      <c r="A3333" t="s">
        <v>669</v>
      </c>
      <c r="B3333">
        <v>5916</v>
      </c>
      <c r="C3333" t="s">
        <v>669</v>
      </c>
      <c r="D3333" t="s">
        <v>865</v>
      </c>
      <c r="E3333" t="s">
        <v>910</v>
      </c>
      <c r="F3333">
        <v>4</v>
      </c>
      <c r="H3333" t="s">
        <v>701</v>
      </c>
      <c r="K3333">
        <v>5916</v>
      </c>
      <c r="L3333" t="s">
        <v>920</v>
      </c>
      <c r="N3333">
        <v>5916</v>
      </c>
      <c r="O3333" t="s">
        <v>931</v>
      </c>
      <c r="P3333">
        <f t="shared" si="52"/>
        <v>0</v>
      </c>
    </row>
    <row r="3334" spans="1:16" x14ac:dyDescent="0.25">
      <c r="A3334" t="s">
        <v>669</v>
      </c>
      <c r="B3334">
        <v>6128</v>
      </c>
      <c r="C3334">
        <v>6500</v>
      </c>
      <c r="D3334" t="s">
        <v>669</v>
      </c>
      <c r="E3334">
        <v>4</v>
      </c>
      <c r="F3334">
        <v>4</v>
      </c>
      <c r="G3334" t="s">
        <v>701</v>
      </c>
      <c r="H3334" t="s">
        <v>701</v>
      </c>
      <c r="I3334" t="s">
        <v>927</v>
      </c>
      <c r="J3334">
        <v>6500</v>
      </c>
      <c r="K3334">
        <v>6128</v>
      </c>
      <c r="L3334" t="s">
        <v>921</v>
      </c>
      <c r="M3334">
        <v>6500</v>
      </c>
      <c r="N3334">
        <v>6128</v>
      </c>
      <c r="P3334">
        <f t="shared" si="52"/>
        <v>14</v>
      </c>
    </row>
    <row r="3335" spans="1:16" x14ac:dyDescent="0.25">
      <c r="A3335" t="s">
        <v>669</v>
      </c>
      <c r="B3335">
        <v>6199</v>
      </c>
      <c r="C3335">
        <v>6290</v>
      </c>
      <c r="D3335" t="s">
        <v>866</v>
      </c>
      <c r="E3335">
        <v>4</v>
      </c>
      <c r="F3335">
        <v>4</v>
      </c>
      <c r="G3335" t="s">
        <v>701</v>
      </c>
      <c r="H3335" t="s">
        <v>701</v>
      </c>
      <c r="J3335">
        <v>6290</v>
      </c>
      <c r="K3335">
        <v>6199</v>
      </c>
      <c r="L3335" t="s">
        <v>920</v>
      </c>
      <c r="M3335">
        <v>6290</v>
      </c>
      <c r="N3335">
        <v>6199</v>
      </c>
      <c r="O3335" t="s">
        <v>920</v>
      </c>
      <c r="P3335">
        <f t="shared" si="52"/>
        <v>0</v>
      </c>
    </row>
    <row r="3336" spans="1:16" x14ac:dyDescent="0.25">
      <c r="A3336" t="s">
        <v>669</v>
      </c>
      <c r="B3336">
        <v>6200</v>
      </c>
      <c r="C3336">
        <v>6300</v>
      </c>
      <c r="D3336" t="s">
        <v>866</v>
      </c>
      <c r="E3336">
        <v>4</v>
      </c>
      <c r="F3336">
        <v>4</v>
      </c>
      <c r="G3336" t="s">
        <v>701</v>
      </c>
      <c r="H3336" t="s">
        <v>701</v>
      </c>
      <c r="J3336">
        <v>6300</v>
      </c>
      <c r="K3336">
        <v>6200</v>
      </c>
      <c r="L3336" t="s">
        <v>920</v>
      </c>
      <c r="M3336">
        <v>6300</v>
      </c>
      <c r="N3336">
        <v>6200</v>
      </c>
      <c r="O3336" t="s">
        <v>920</v>
      </c>
      <c r="P3336">
        <f t="shared" si="52"/>
        <v>0</v>
      </c>
    </row>
    <row r="3337" spans="1:16" x14ac:dyDescent="0.25">
      <c r="A3337" t="s">
        <v>213</v>
      </c>
      <c r="B3337">
        <v>6284</v>
      </c>
      <c r="C3337">
        <v>6309</v>
      </c>
      <c r="D3337" t="s">
        <v>873</v>
      </c>
      <c r="E3337">
        <v>4</v>
      </c>
      <c r="F3337">
        <v>4</v>
      </c>
      <c r="G3337" t="s">
        <v>701</v>
      </c>
      <c r="H3337" t="s">
        <v>701</v>
      </c>
      <c r="J3337">
        <v>6309</v>
      </c>
      <c r="K3337">
        <v>6284</v>
      </c>
      <c r="L3337" t="s">
        <v>921</v>
      </c>
      <c r="M3337">
        <v>6309</v>
      </c>
      <c r="N3337">
        <v>6284</v>
      </c>
      <c r="O3337" t="s">
        <v>921</v>
      </c>
      <c r="P3337">
        <f t="shared" si="52"/>
        <v>0</v>
      </c>
    </row>
    <row r="3338" spans="1:16" x14ac:dyDescent="0.25">
      <c r="A3338" t="s">
        <v>669</v>
      </c>
      <c r="B3338">
        <v>135.6</v>
      </c>
      <c r="C3338" t="s">
        <v>669</v>
      </c>
      <c r="D3338" t="s">
        <v>669</v>
      </c>
      <c r="E3338" t="s">
        <v>910</v>
      </c>
      <c r="F3338" t="s">
        <v>910</v>
      </c>
      <c r="I3338" t="s">
        <v>927</v>
      </c>
      <c r="K3338">
        <v>135.6</v>
      </c>
      <c r="L3338" t="s">
        <v>930</v>
      </c>
      <c r="N3338">
        <v>135.6</v>
      </c>
      <c r="P3338">
        <f t="shared" si="52"/>
        <v>14</v>
      </c>
    </row>
    <row r="3339" spans="1:16" x14ac:dyDescent="0.25">
      <c r="A3339" t="s">
        <v>669</v>
      </c>
      <c r="B3339">
        <v>6330</v>
      </c>
      <c r="C3339">
        <v>6430</v>
      </c>
      <c r="D3339" t="s">
        <v>857</v>
      </c>
      <c r="E3339">
        <v>4</v>
      </c>
      <c r="F3339">
        <v>4</v>
      </c>
      <c r="G3339" t="s">
        <v>701</v>
      </c>
      <c r="H3339" t="s">
        <v>701</v>
      </c>
      <c r="J3339">
        <v>6430</v>
      </c>
      <c r="K3339">
        <v>6330</v>
      </c>
      <c r="L3339" t="s">
        <v>921</v>
      </c>
      <c r="M3339">
        <v>6430</v>
      </c>
      <c r="N3339">
        <v>6330</v>
      </c>
      <c r="O3339" t="s">
        <v>921</v>
      </c>
      <c r="P3339">
        <f t="shared" si="52"/>
        <v>0</v>
      </c>
    </row>
    <row r="3340" spans="1:16" x14ac:dyDescent="0.25">
      <c r="A3340" t="s">
        <v>669</v>
      </c>
      <c r="B3340">
        <v>6500</v>
      </c>
      <c r="C3340">
        <v>6919</v>
      </c>
      <c r="D3340" t="s">
        <v>669</v>
      </c>
      <c r="E3340">
        <v>4</v>
      </c>
      <c r="F3340">
        <v>4</v>
      </c>
      <c r="G3340" t="s">
        <v>701</v>
      </c>
      <c r="H3340" t="s">
        <v>701</v>
      </c>
      <c r="I3340" t="s">
        <v>927</v>
      </c>
      <c r="J3340">
        <v>6919</v>
      </c>
      <c r="K3340">
        <v>6500</v>
      </c>
      <c r="L3340" t="s">
        <v>921</v>
      </c>
      <c r="M3340">
        <v>6919</v>
      </c>
      <c r="N3340">
        <v>6500</v>
      </c>
      <c r="P3340">
        <f t="shared" si="52"/>
        <v>14</v>
      </c>
    </row>
    <row r="3341" spans="1:16" x14ac:dyDescent="0.25">
      <c r="A3341" t="s">
        <v>669</v>
      </c>
      <c r="B3341">
        <v>6570</v>
      </c>
      <c r="C3341" t="s">
        <v>669</v>
      </c>
      <c r="D3341" t="s">
        <v>865</v>
      </c>
      <c r="E3341" t="s">
        <v>910</v>
      </c>
      <c r="F3341">
        <v>4</v>
      </c>
      <c r="H3341" t="s">
        <v>701</v>
      </c>
      <c r="K3341">
        <v>6570</v>
      </c>
      <c r="L3341" t="s">
        <v>920</v>
      </c>
      <c r="N3341">
        <v>6570</v>
      </c>
      <c r="O3341" t="s">
        <v>931</v>
      </c>
      <c r="P3341">
        <f t="shared" si="52"/>
        <v>0</v>
      </c>
    </row>
    <row r="3342" spans="1:16" x14ac:dyDescent="0.25">
      <c r="A3342" t="s">
        <v>669</v>
      </c>
      <c r="B3342">
        <v>138.69999999999999</v>
      </c>
      <c r="C3342" t="s">
        <v>669</v>
      </c>
      <c r="D3342" t="s">
        <v>669</v>
      </c>
      <c r="E3342" t="s">
        <v>910</v>
      </c>
      <c r="F3342" t="s">
        <v>910</v>
      </c>
      <c r="I3342" t="s">
        <v>927</v>
      </c>
      <c r="K3342">
        <v>138.69999999999999</v>
      </c>
      <c r="L3342" t="s">
        <v>930</v>
      </c>
      <c r="N3342">
        <v>138.69999999999999</v>
      </c>
      <c r="P3342">
        <f t="shared" si="52"/>
        <v>14</v>
      </c>
    </row>
    <row r="3343" spans="1:16" x14ac:dyDescent="0.25">
      <c r="A3343" t="s">
        <v>669</v>
      </c>
      <c r="B3343">
        <v>6652</v>
      </c>
      <c r="C3343" t="s">
        <v>669</v>
      </c>
      <c r="D3343" t="s">
        <v>865</v>
      </c>
      <c r="E3343" t="s">
        <v>910</v>
      </c>
      <c r="F3343">
        <v>4</v>
      </c>
      <c r="H3343" t="s">
        <v>701</v>
      </c>
      <c r="K3343">
        <v>6652</v>
      </c>
      <c r="L3343" t="s">
        <v>920</v>
      </c>
      <c r="N3343">
        <v>6652</v>
      </c>
      <c r="O3343" t="s">
        <v>931</v>
      </c>
      <c r="P3343">
        <f t="shared" si="52"/>
        <v>0</v>
      </c>
    </row>
    <row r="3344" spans="1:16" x14ac:dyDescent="0.25">
      <c r="A3344" t="s">
        <v>669</v>
      </c>
      <c r="B3344">
        <v>6656</v>
      </c>
      <c r="C3344" t="s">
        <v>669</v>
      </c>
      <c r="D3344" t="s">
        <v>865</v>
      </c>
      <c r="E3344" t="s">
        <v>910</v>
      </c>
      <c r="F3344">
        <v>4</v>
      </c>
      <c r="H3344" t="s">
        <v>701</v>
      </c>
      <c r="K3344">
        <v>6656</v>
      </c>
      <c r="L3344" t="s">
        <v>920</v>
      </c>
      <c r="N3344">
        <v>6656</v>
      </c>
      <c r="O3344" t="s">
        <v>931</v>
      </c>
      <c r="P3344">
        <f t="shared" si="52"/>
        <v>0</v>
      </c>
    </row>
    <row r="3345" spans="1:16" x14ac:dyDescent="0.25">
      <c r="A3345" t="s">
        <v>669</v>
      </c>
      <c r="B3345">
        <v>6680</v>
      </c>
      <c r="C3345" t="s">
        <v>669</v>
      </c>
      <c r="D3345" t="s">
        <v>865</v>
      </c>
      <c r="E3345" t="s">
        <v>910</v>
      </c>
      <c r="F3345">
        <v>4</v>
      </c>
      <c r="H3345" t="s">
        <v>701</v>
      </c>
      <c r="K3345">
        <v>6680</v>
      </c>
      <c r="L3345" t="s">
        <v>920</v>
      </c>
      <c r="N3345">
        <v>6680</v>
      </c>
      <c r="O3345" t="s">
        <v>931</v>
      </c>
      <c r="P3345">
        <f t="shared" si="52"/>
        <v>0</v>
      </c>
    </row>
    <row r="3346" spans="1:16" x14ac:dyDescent="0.25">
      <c r="A3346" t="s">
        <v>669</v>
      </c>
      <c r="B3346">
        <v>6699</v>
      </c>
      <c r="C3346" t="s">
        <v>669</v>
      </c>
      <c r="D3346" t="s">
        <v>865</v>
      </c>
      <c r="E3346" t="s">
        <v>910</v>
      </c>
      <c r="F3346">
        <v>4</v>
      </c>
      <c r="H3346" t="s">
        <v>701</v>
      </c>
      <c r="K3346">
        <v>6699</v>
      </c>
      <c r="L3346" t="s">
        <v>920</v>
      </c>
      <c r="N3346">
        <v>6699</v>
      </c>
      <c r="O3346" t="s">
        <v>931</v>
      </c>
      <c r="P3346">
        <f t="shared" si="52"/>
        <v>0</v>
      </c>
    </row>
    <row r="3347" spans="1:16" x14ac:dyDescent="0.25">
      <c r="A3347" t="s">
        <v>669</v>
      </c>
      <c r="B3347">
        <v>6703</v>
      </c>
      <c r="C3347" t="s">
        <v>669</v>
      </c>
      <c r="D3347" t="s">
        <v>865</v>
      </c>
      <c r="E3347" t="s">
        <v>910</v>
      </c>
      <c r="F3347">
        <v>4</v>
      </c>
      <c r="H3347" t="s">
        <v>701</v>
      </c>
      <c r="K3347">
        <v>6703</v>
      </c>
      <c r="L3347" t="s">
        <v>920</v>
      </c>
      <c r="N3347">
        <v>6703</v>
      </c>
      <c r="O3347" t="s">
        <v>931</v>
      </c>
      <c r="P3347">
        <f t="shared" si="52"/>
        <v>0</v>
      </c>
    </row>
    <row r="3348" spans="1:16" x14ac:dyDescent="0.25">
      <c r="A3348" t="s">
        <v>669</v>
      </c>
      <c r="B3348">
        <v>1659</v>
      </c>
      <c r="C3348" t="s">
        <v>669</v>
      </c>
      <c r="D3348" t="s">
        <v>863</v>
      </c>
      <c r="E3348">
        <v>5</v>
      </c>
      <c r="F3348">
        <v>5</v>
      </c>
      <c r="G3348" t="s">
        <v>684</v>
      </c>
      <c r="H3348" t="s">
        <v>684</v>
      </c>
      <c r="K3348">
        <v>1659</v>
      </c>
      <c r="L3348" t="s">
        <v>919</v>
      </c>
      <c r="N3348">
        <v>1659</v>
      </c>
      <c r="O3348" t="s">
        <v>919</v>
      </c>
      <c r="P3348">
        <f t="shared" si="52"/>
        <v>0</v>
      </c>
    </row>
    <row r="3349" spans="1:16" x14ac:dyDescent="0.25">
      <c r="A3349" t="s">
        <v>669</v>
      </c>
      <c r="B3349">
        <v>1680</v>
      </c>
      <c r="C3349" t="s">
        <v>669</v>
      </c>
      <c r="D3349" t="s">
        <v>863</v>
      </c>
      <c r="E3349">
        <v>5</v>
      </c>
      <c r="F3349">
        <v>5</v>
      </c>
      <c r="G3349" t="s">
        <v>684</v>
      </c>
      <c r="H3349" t="s">
        <v>684</v>
      </c>
      <c r="K3349">
        <v>1680</v>
      </c>
      <c r="L3349" t="s">
        <v>919</v>
      </c>
      <c r="N3349">
        <v>1680</v>
      </c>
      <c r="O3349" t="s">
        <v>919</v>
      </c>
      <c r="P3349">
        <f t="shared" si="52"/>
        <v>0</v>
      </c>
    </row>
    <row r="3350" spans="1:16" x14ac:dyDescent="0.25">
      <c r="A3350" t="s">
        <v>669</v>
      </c>
      <c r="B3350">
        <v>6860</v>
      </c>
      <c r="C3350" t="s">
        <v>669</v>
      </c>
      <c r="D3350" t="s">
        <v>865</v>
      </c>
      <c r="E3350" t="s">
        <v>910</v>
      </c>
      <c r="F3350">
        <v>4</v>
      </c>
      <c r="H3350" t="s">
        <v>701</v>
      </c>
      <c r="K3350">
        <v>6860</v>
      </c>
      <c r="L3350" t="s">
        <v>920</v>
      </c>
      <c r="N3350">
        <v>6860</v>
      </c>
      <c r="O3350" t="s">
        <v>931</v>
      </c>
      <c r="P3350">
        <f t="shared" si="52"/>
        <v>0</v>
      </c>
    </row>
    <row r="3351" spans="1:16" x14ac:dyDescent="0.25">
      <c r="A3351" t="s">
        <v>669</v>
      </c>
      <c r="B3351">
        <v>1699</v>
      </c>
      <c r="C3351" t="s">
        <v>669</v>
      </c>
      <c r="D3351" t="s">
        <v>863</v>
      </c>
      <c r="E3351">
        <v>5</v>
      </c>
      <c r="F3351">
        <v>5</v>
      </c>
      <c r="G3351" t="s">
        <v>684</v>
      </c>
      <c r="H3351" t="s">
        <v>684</v>
      </c>
      <c r="K3351">
        <v>1699</v>
      </c>
      <c r="L3351" t="s">
        <v>919</v>
      </c>
      <c r="N3351">
        <v>1699</v>
      </c>
      <c r="O3351" t="s">
        <v>919</v>
      </c>
      <c r="P3351">
        <f t="shared" si="52"/>
        <v>0</v>
      </c>
    </row>
    <row r="3352" spans="1:16" x14ac:dyDescent="0.25">
      <c r="A3352" t="s">
        <v>669</v>
      </c>
      <c r="B3352">
        <v>1722</v>
      </c>
      <c r="C3352" t="s">
        <v>669</v>
      </c>
      <c r="D3352" t="s">
        <v>863</v>
      </c>
      <c r="E3352">
        <v>5</v>
      </c>
      <c r="F3352">
        <v>5</v>
      </c>
      <c r="G3352" t="s">
        <v>684</v>
      </c>
      <c r="H3352" t="s">
        <v>684</v>
      </c>
      <c r="K3352">
        <v>1722</v>
      </c>
      <c r="L3352" t="s">
        <v>919</v>
      </c>
      <c r="N3352">
        <v>1722</v>
      </c>
      <c r="O3352" t="s">
        <v>919</v>
      </c>
      <c r="P3352">
        <f t="shared" si="52"/>
        <v>0</v>
      </c>
    </row>
    <row r="3353" spans="1:16" x14ac:dyDescent="0.25">
      <c r="A3353" t="s">
        <v>669</v>
      </c>
      <c r="B3353">
        <v>1723</v>
      </c>
      <c r="C3353" t="s">
        <v>669</v>
      </c>
      <c r="D3353" t="s">
        <v>863</v>
      </c>
      <c r="E3353">
        <v>5</v>
      </c>
      <c r="F3353">
        <v>5</v>
      </c>
      <c r="G3353" t="s">
        <v>684</v>
      </c>
      <c r="H3353" t="s">
        <v>684</v>
      </c>
      <c r="K3353">
        <v>1723</v>
      </c>
      <c r="L3353" t="s">
        <v>919</v>
      </c>
      <c r="N3353">
        <v>1723</v>
      </c>
      <c r="O3353" t="s">
        <v>919</v>
      </c>
      <c r="P3353">
        <f t="shared" si="52"/>
        <v>0</v>
      </c>
    </row>
    <row r="3354" spans="1:16" x14ac:dyDescent="0.25">
      <c r="A3354" t="s">
        <v>669</v>
      </c>
      <c r="B3354">
        <v>6966</v>
      </c>
      <c r="C3354">
        <v>7291</v>
      </c>
      <c r="D3354" t="s">
        <v>669</v>
      </c>
      <c r="E3354">
        <v>4</v>
      </c>
      <c r="F3354">
        <v>4</v>
      </c>
      <c r="G3354" t="s">
        <v>701</v>
      </c>
      <c r="H3354" t="s">
        <v>701</v>
      </c>
      <c r="I3354" t="s">
        <v>927</v>
      </c>
      <c r="J3354">
        <v>7291</v>
      </c>
      <c r="K3354">
        <v>6966</v>
      </c>
      <c r="L3354" t="s">
        <v>921</v>
      </c>
      <c r="M3354">
        <v>7291</v>
      </c>
      <c r="N3354">
        <v>6966</v>
      </c>
      <c r="P3354">
        <f t="shared" si="52"/>
        <v>14</v>
      </c>
    </row>
    <row r="3355" spans="1:16" x14ac:dyDescent="0.25">
      <c r="A3355" t="s">
        <v>669</v>
      </c>
      <c r="B3355">
        <v>139.5</v>
      </c>
      <c r="C3355" t="s">
        <v>669</v>
      </c>
      <c r="D3355" t="s">
        <v>669</v>
      </c>
      <c r="E3355" t="s">
        <v>910</v>
      </c>
      <c r="F3355" t="s">
        <v>910</v>
      </c>
      <c r="I3355" t="s">
        <v>927</v>
      </c>
      <c r="K3355">
        <v>139.5</v>
      </c>
      <c r="L3355" t="s">
        <v>930</v>
      </c>
      <c r="N3355">
        <v>139.5</v>
      </c>
      <c r="P3355">
        <f t="shared" si="52"/>
        <v>14</v>
      </c>
    </row>
    <row r="3356" spans="1:16" x14ac:dyDescent="0.25">
      <c r="A3356" t="s">
        <v>669</v>
      </c>
      <c r="B3356">
        <v>7</v>
      </c>
      <c r="C3356">
        <v>7</v>
      </c>
      <c r="D3356" t="s">
        <v>864</v>
      </c>
      <c r="E3356">
        <v>4</v>
      </c>
      <c r="F3356">
        <v>4</v>
      </c>
      <c r="G3356" t="s">
        <v>701</v>
      </c>
      <c r="H3356" t="s">
        <v>701</v>
      </c>
      <c r="J3356">
        <v>7000</v>
      </c>
      <c r="K3356">
        <v>7000</v>
      </c>
      <c r="L3356" t="s">
        <v>931</v>
      </c>
      <c r="M3356">
        <v>7</v>
      </c>
      <c r="N3356">
        <v>7</v>
      </c>
      <c r="O3356" t="s">
        <v>862</v>
      </c>
      <c r="P3356">
        <f t="shared" si="52"/>
        <v>0</v>
      </c>
    </row>
    <row r="3357" spans="1:16" x14ac:dyDescent="0.25">
      <c r="A3357" t="s">
        <v>669</v>
      </c>
      <c r="B3357">
        <v>1772</v>
      </c>
      <c r="C3357" t="s">
        <v>669</v>
      </c>
      <c r="D3357" t="s">
        <v>863</v>
      </c>
      <c r="E3357">
        <v>5</v>
      </c>
      <c r="F3357">
        <v>5</v>
      </c>
      <c r="G3357" t="s">
        <v>684</v>
      </c>
      <c r="H3357" t="s">
        <v>684</v>
      </c>
      <c r="K3357">
        <v>1772</v>
      </c>
      <c r="L3357" t="s">
        <v>919</v>
      </c>
      <c r="N3357">
        <v>1772</v>
      </c>
      <c r="O3357" t="s">
        <v>919</v>
      </c>
      <c r="P3357">
        <f t="shared" si="52"/>
        <v>0</v>
      </c>
    </row>
    <row r="3358" spans="1:16" x14ac:dyDescent="0.25">
      <c r="A3358" t="s">
        <v>669</v>
      </c>
      <c r="B3358">
        <v>1793</v>
      </c>
      <c r="C3358" t="s">
        <v>669</v>
      </c>
      <c r="D3358" t="s">
        <v>863</v>
      </c>
      <c r="E3358">
        <v>5</v>
      </c>
      <c r="F3358">
        <v>5</v>
      </c>
      <c r="G3358" t="s">
        <v>684</v>
      </c>
      <c r="H3358" t="s">
        <v>684</v>
      </c>
      <c r="K3358">
        <v>1793</v>
      </c>
      <c r="L3358" t="s">
        <v>919</v>
      </c>
      <c r="N3358">
        <v>1793</v>
      </c>
      <c r="O3358" t="s">
        <v>919</v>
      </c>
      <c r="P3358">
        <f t="shared" si="52"/>
        <v>0</v>
      </c>
    </row>
    <row r="3359" spans="1:16" x14ac:dyDescent="0.25">
      <c r="A3359" t="s">
        <v>669</v>
      </c>
      <c r="B3359">
        <v>7000</v>
      </c>
      <c r="C3359">
        <v>7000</v>
      </c>
      <c r="D3359" t="s">
        <v>857</v>
      </c>
      <c r="E3359">
        <v>4</v>
      </c>
      <c r="F3359">
        <v>4</v>
      </c>
      <c r="G3359" t="s">
        <v>701</v>
      </c>
      <c r="H3359" t="s">
        <v>701</v>
      </c>
      <c r="J3359">
        <v>7000</v>
      </c>
      <c r="K3359">
        <v>7000</v>
      </c>
      <c r="L3359" t="s">
        <v>921</v>
      </c>
      <c r="M3359">
        <v>7000</v>
      </c>
      <c r="N3359">
        <v>7000</v>
      </c>
      <c r="O3359" t="s">
        <v>921</v>
      </c>
      <c r="P3359">
        <f t="shared" si="52"/>
        <v>0</v>
      </c>
    </row>
    <row r="3360" spans="1:16" x14ac:dyDescent="0.25">
      <c r="A3360" t="s">
        <v>669</v>
      </c>
      <c r="B3360">
        <v>1835</v>
      </c>
      <c r="C3360" t="s">
        <v>669</v>
      </c>
      <c r="D3360" t="s">
        <v>863</v>
      </c>
      <c r="E3360">
        <v>5</v>
      </c>
      <c r="F3360">
        <v>5</v>
      </c>
      <c r="G3360" t="s">
        <v>684</v>
      </c>
      <c r="H3360" t="s">
        <v>684</v>
      </c>
      <c r="K3360">
        <v>1835</v>
      </c>
      <c r="L3360" t="s">
        <v>919</v>
      </c>
      <c r="N3360">
        <v>1835</v>
      </c>
      <c r="O3360" t="s">
        <v>919</v>
      </c>
      <c r="P3360">
        <f t="shared" si="52"/>
        <v>0</v>
      </c>
    </row>
    <row r="3361" spans="1:16" x14ac:dyDescent="0.25">
      <c r="A3361" t="s">
        <v>669</v>
      </c>
      <c r="B3361">
        <v>1844</v>
      </c>
      <c r="C3361" t="s">
        <v>669</v>
      </c>
      <c r="D3361" t="s">
        <v>863</v>
      </c>
      <c r="E3361">
        <v>5</v>
      </c>
      <c r="F3361">
        <v>5</v>
      </c>
      <c r="G3361" t="s">
        <v>684</v>
      </c>
      <c r="H3361" t="s">
        <v>684</v>
      </c>
      <c r="K3361">
        <v>1844</v>
      </c>
      <c r="L3361" t="s">
        <v>919</v>
      </c>
      <c r="N3361">
        <v>1844</v>
      </c>
      <c r="O3361" t="s">
        <v>919</v>
      </c>
      <c r="P3361">
        <f t="shared" si="52"/>
        <v>0</v>
      </c>
    </row>
    <row r="3362" spans="1:16" x14ac:dyDescent="0.25">
      <c r="A3362" t="s">
        <v>669</v>
      </c>
      <c r="B3362">
        <v>7278</v>
      </c>
      <c r="C3362" t="s">
        <v>669</v>
      </c>
      <c r="D3362" t="s">
        <v>865</v>
      </c>
      <c r="E3362" t="s">
        <v>910</v>
      </c>
      <c r="F3362">
        <v>4</v>
      </c>
      <c r="H3362" t="s">
        <v>701</v>
      </c>
      <c r="K3362">
        <v>7278</v>
      </c>
      <c r="L3362" t="s">
        <v>920</v>
      </c>
      <c r="N3362">
        <v>7278</v>
      </c>
      <c r="O3362" t="s">
        <v>931</v>
      </c>
      <c r="P3362">
        <f t="shared" si="52"/>
        <v>0</v>
      </c>
    </row>
    <row r="3363" spans="1:16" x14ac:dyDescent="0.25">
      <c r="A3363" t="s">
        <v>669</v>
      </c>
      <c r="B3363">
        <v>1855</v>
      </c>
      <c r="C3363" t="s">
        <v>669</v>
      </c>
      <c r="D3363" t="s">
        <v>863</v>
      </c>
      <c r="E3363">
        <v>5</v>
      </c>
      <c r="F3363">
        <v>5</v>
      </c>
      <c r="G3363" t="s">
        <v>684</v>
      </c>
      <c r="H3363" t="s">
        <v>684</v>
      </c>
      <c r="K3363">
        <v>1855</v>
      </c>
      <c r="L3363" t="s">
        <v>919</v>
      </c>
      <c r="N3363">
        <v>1855</v>
      </c>
      <c r="O3363" t="s">
        <v>919</v>
      </c>
      <c r="P3363">
        <f t="shared" si="52"/>
        <v>0</v>
      </c>
    </row>
    <row r="3364" spans="1:16" x14ac:dyDescent="0.25">
      <c r="A3364" t="s">
        <v>669</v>
      </c>
      <c r="B3364">
        <v>1856</v>
      </c>
      <c r="C3364" t="s">
        <v>669</v>
      </c>
      <c r="D3364" t="s">
        <v>863</v>
      </c>
      <c r="E3364">
        <v>5</v>
      </c>
      <c r="F3364">
        <v>5</v>
      </c>
      <c r="G3364" t="s">
        <v>684</v>
      </c>
      <c r="H3364" t="s">
        <v>684</v>
      </c>
      <c r="K3364">
        <v>1856</v>
      </c>
      <c r="L3364" t="s">
        <v>919</v>
      </c>
      <c r="N3364">
        <v>1856</v>
      </c>
      <c r="O3364" t="s">
        <v>919</v>
      </c>
      <c r="P3364">
        <f t="shared" si="52"/>
        <v>0</v>
      </c>
    </row>
    <row r="3365" spans="1:16" x14ac:dyDescent="0.25">
      <c r="A3365" t="s">
        <v>669</v>
      </c>
      <c r="B3365">
        <v>1880</v>
      </c>
      <c r="C3365" t="s">
        <v>669</v>
      </c>
      <c r="D3365" t="s">
        <v>863</v>
      </c>
      <c r="E3365">
        <v>5</v>
      </c>
      <c r="F3365">
        <v>5</v>
      </c>
      <c r="G3365" t="s">
        <v>684</v>
      </c>
      <c r="H3365" t="s">
        <v>684</v>
      </c>
      <c r="K3365">
        <v>1880</v>
      </c>
      <c r="L3365" t="s">
        <v>919</v>
      </c>
      <c r="N3365">
        <v>1880</v>
      </c>
      <c r="O3365" t="s">
        <v>919</v>
      </c>
      <c r="P3365">
        <f t="shared" si="52"/>
        <v>0</v>
      </c>
    </row>
    <row r="3366" spans="1:16" x14ac:dyDescent="0.25">
      <c r="A3366" t="s">
        <v>669</v>
      </c>
      <c r="B3366">
        <v>1902</v>
      </c>
      <c r="C3366" t="s">
        <v>669</v>
      </c>
      <c r="D3366" t="s">
        <v>863</v>
      </c>
      <c r="E3366">
        <v>5</v>
      </c>
      <c r="F3366">
        <v>5</v>
      </c>
      <c r="G3366" t="s">
        <v>684</v>
      </c>
      <c r="H3366" t="s">
        <v>684</v>
      </c>
      <c r="K3366">
        <v>1902</v>
      </c>
      <c r="L3366" t="s">
        <v>919</v>
      </c>
      <c r="N3366">
        <v>1902</v>
      </c>
      <c r="O3366" t="s">
        <v>919</v>
      </c>
      <c r="P3366">
        <f t="shared" si="52"/>
        <v>0</v>
      </c>
    </row>
    <row r="3367" spans="1:16" x14ac:dyDescent="0.25">
      <c r="A3367" t="s">
        <v>669</v>
      </c>
      <c r="B3367">
        <v>1904</v>
      </c>
      <c r="C3367" t="s">
        <v>669</v>
      </c>
      <c r="D3367" t="s">
        <v>863</v>
      </c>
      <c r="E3367">
        <v>5</v>
      </c>
      <c r="F3367">
        <v>5</v>
      </c>
      <c r="G3367" t="s">
        <v>684</v>
      </c>
      <c r="H3367" t="s">
        <v>684</v>
      </c>
      <c r="K3367">
        <v>1904</v>
      </c>
      <c r="L3367" t="s">
        <v>919</v>
      </c>
      <c r="N3367">
        <v>1904</v>
      </c>
      <c r="O3367" t="s">
        <v>919</v>
      </c>
      <c r="P3367">
        <f t="shared" si="52"/>
        <v>0</v>
      </c>
    </row>
    <row r="3368" spans="1:16" x14ac:dyDescent="0.25">
      <c r="A3368" t="s">
        <v>669</v>
      </c>
      <c r="B3368">
        <v>1905</v>
      </c>
      <c r="C3368" t="s">
        <v>669</v>
      </c>
      <c r="D3368" t="s">
        <v>863</v>
      </c>
      <c r="E3368">
        <v>5</v>
      </c>
      <c r="F3368">
        <v>5</v>
      </c>
      <c r="G3368" t="s">
        <v>684</v>
      </c>
      <c r="H3368" t="s">
        <v>684</v>
      </c>
      <c r="K3368">
        <v>1905</v>
      </c>
      <c r="L3368" t="s">
        <v>919</v>
      </c>
      <c r="N3368">
        <v>1905</v>
      </c>
      <c r="O3368" t="s">
        <v>919</v>
      </c>
      <c r="P3368">
        <f t="shared" si="52"/>
        <v>0</v>
      </c>
    </row>
    <row r="3369" spans="1:16" x14ac:dyDescent="0.25">
      <c r="A3369" t="s">
        <v>669</v>
      </c>
      <c r="B3369">
        <v>7291</v>
      </c>
      <c r="C3369">
        <v>7737</v>
      </c>
      <c r="D3369" t="s">
        <v>669</v>
      </c>
      <c r="E3369">
        <v>4</v>
      </c>
      <c r="F3369">
        <v>4</v>
      </c>
      <c r="G3369" t="s">
        <v>701</v>
      </c>
      <c r="H3369" t="s">
        <v>701</v>
      </c>
      <c r="I3369" t="s">
        <v>927</v>
      </c>
      <c r="J3369">
        <v>7737</v>
      </c>
      <c r="K3369">
        <v>7291</v>
      </c>
      <c r="L3369" t="s">
        <v>921</v>
      </c>
      <c r="M3369">
        <v>7737</v>
      </c>
      <c r="N3369">
        <v>7291</v>
      </c>
      <c r="P3369">
        <f t="shared" si="52"/>
        <v>14</v>
      </c>
    </row>
    <row r="3370" spans="1:16" x14ac:dyDescent="0.25">
      <c r="A3370" t="s">
        <v>669</v>
      </c>
      <c r="B3370">
        <v>7415</v>
      </c>
      <c r="C3370" t="s">
        <v>669</v>
      </c>
      <c r="D3370" t="s">
        <v>865</v>
      </c>
      <c r="E3370" t="s">
        <v>910</v>
      </c>
      <c r="F3370">
        <v>4</v>
      </c>
      <c r="H3370" t="s">
        <v>701</v>
      </c>
      <c r="K3370">
        <v>7415</v>
      </c>
      <c r="L3370" t="s">
        <v>920</v>
      </c>
      <c r="N3370">
        <v>7415</v>
      </c>
      <c r="O3370" t="s">
        <v>931</v>
      </c>
      <c r="P3370">
        <f t="shared" si="52"/>
        <v>0</v>
      </c>
    </row>
    <row r="3371" spans="1:16" x14ac:dyDescent="0.25">
      <c r="A3371" t="s">
        <v>669</v>
      </c>
      <c r="B3371">
        <v>1917</v>
      </c>
      <c r="C3371" t="s">
        <v>669</v>
      </c>
      <c r="D3371" t="s">
        <v>863</v>
      </c>
      <c r="E3371">
        <v>5</v>
      </c>
      <c r="F3371">
        <v>5</v>
      </c>
      <c r="G3371" t="s">
        <v>684</v>
      </c>
      <c r="H3371" t="s">
        <v>684</v>
      </c>
      <c r="K3371">
        <v>1917</v>
      </c>
      <c r="L3371" t="s">
        <v>919</v>
      </c>
      <c r="N3371">
        <v>1917</v>
      </c>
      <c r="O3371" t="s">
        <v>919</v>
      </c>
      <c r="P3371">
        <f t="shared" si="52"/>
        <v>0</v>
      </c>
    </row>
    <row r="3372" spans="1:16" x14ac:dyDescent="0.25">
      <c r="A3372" t="s">
        <v>669</v>
      </c>
      <c r="B3372">
        <v>1920</v>
      </c>
      <c r="C3372" t="s">
        <v>669</v>
      </c>
      <c r="D3372" t="s">
        <v>863</v>
      </c>
      <c r="E3372">
        <v>5</v>
      </c>
      <c r="F3372">
        <v>5</v>
      </c>
      <c r="G3372" t="s">
        <v>684</v>
      </c>
      <c r="H3372" t="s">
        <v>684</v>
      </c>
      <c r="K3372">
        <v>1920</v>
      </c>
      <c r="L3372" t="s">
        <v>919</v>
      </c>
      <c r="N3372">
        <v>1920</v>
      </c>
      <c r="O3372" t="s">
        <v>919</v>
      </c>
      <c r="P3372">
        <f t="shared" si="52"/>
        <v>0</v>
      </c>
    </row>
    <row r="3373" spans="1:16" x14ac:dyDescent="0.25">
      <c r="A3373" t="s">
        <v>669</v>
      </c>
      <c r="B3373">
        <v>1923</v>
      </c>
      <c r="C3373" t="s">
        <v>669</v>
      </c>
      <c r="D3373" t="s">
        <v>863</v>
      </c>
      <c r="E3373">
        <v>5</v>
      </c>
      <c r="F3373">
        <v>5</v>
      </c>
      <c r="G3373" t="s">
        <v>684</v>
      </c>
      <c r="H3373" t="s">
        <v>684</v>
      </c>
      <c r="K3373">
        <v>1923</v>
      </c>
      <c r="L3373" t="s">
        <v>919</v>
      </c>
      <c r="N3373">
        <v>1923</v>
      </c>
      <c r="O3373" t="s">
        <v>919</v>
      </c>
      <c r="P3373">
        <f t="shared" si="52"/>
        <v>0</v>
      </c>
    </row>
    <row r="3374" spans="1:16" x14ac:dyDescent="0.25">
      <c r="A3374" t="s">
        <v>669</v>
      </c>
      <c r="B3374">
        <v>1927</v>
      </c>
      <c r="C3374" t="s">
        <v>669</v>
      </c>
      <c r="D3374" t="s">
        <v>863</v>
      </c>
      <c r="E3374">
        <v>5</v>
      </c>
      <c r="F3374">
        <v>5</v>
      </c>
      <c r="G3374" t="s">
        <v>684</v>
      </c>
      <c r="H3374" t="s">
        <v>684</v>
      </c>
      <c r="K3374">
        <v>1927</v>
      </c>
      <c r="L3374" t="s">
        <v>919</v>
      </c>
      <c r="N3374">
        <v>1927</v>
      </c>
      <c r="O3374" t="s">
        <v>919</v>
      </c>
      <c r="P3374">
        <f t="shared" si="52"/>
        <v>0</v>
      </c>
    </row>
    <row r="3375" spans="1:16" x14ac:dyDescent="0.25">
      <c r="A3375" t="s">
        <v>669</v>
      </c>
      <c r="B3375">
        <v>1933</v>
      </c>
      <c r="C3375" t="s">
        <v>669</v>
      </c>
      <c r="D3375" t="s">
        <v>863</v>
      </c>
      <c r="E3375">
        <v>5</v>
      </c>
      <c r="F3375">
        <v>5</v>
      </c>
      <c r="G3375" t="s">
        <v>684</v>
      </c>
      <c r="H3375" t="s">
        <v>684</v>
      </c>
      <c r="K3375">
        <v>1933</v>
      </c>
      <c r="L3375" t="s">
        <v>919</v>
      </c>
      <c r="N3375">
        <v>1933</v>
      </c>
      <c r="O3375" t="s">
        <v>919</v>
      </c>
      <c r="P3375">
        <f t="shared" si="52"/>
        <v>0</v>
      </c>
    </row>
    <row r="3376" spans="1:16" x14ac:dyDescent="0.25">
      <c r="A3376" t="s">
        <v>669</v>
      </c>
      <c r="B3376">
        <v>1939</v>
      </c>
      <c r="C3376" t="s">
        <v>669</v>
      </c>
      <c r="D3376" t="s">
        <v>863</v>
      </c>
      <c r="E3376">
        <v>5</v>
      </c>
      <c r="F3376">
        <v>5</v>
      </c>
      <c r="G3376" t="s">
        <v>684</v>
      </c>
      <c r="H3376" t="s">
        <v>684</v>
      </c>
      <c r="K3376">
        <v>1939</v>
      </c>
      <c r="L3376" t="s">
        <v>919</v>
      </c>
      <c r="N3376">
        <v>1939</v>
      </c>
      <c r="O3376" t="s">
        <v>919</v>
      </c>
      <c r="P3376">
        <f t="shared" si="52"/>
        <v>0</v>
      </c>
    </row>
    <row r="3377" spans="1:16" x14ac:dyDescent="0.25">
      <c r="A3377" t="s">
        <v>669</v>
      </c>
      <c r="B3377">
        <v>7460</v>
      </c>
      <c r="C3377" t="s">
        <v>669</v>
      </c>
      <c r="D3377" t="s">
        <v>865</v>
      </c>
      <c r="E3377" t="s">
        <v>910</v>
      </c>
      <c r="F3377">
        <v>4</v>
      </c>
      <c r="H3377" t="s">
        <v>701</v>
      </c>
      <c r="K3377">
        <v>7460</v>
      </c>
      <c r="L3377" t="s">
        <v>920</v>
      </c>
      <c r="N3377">
        <v>7460</v>
      </c>
      <c r="O3377" t="s">
        <v>931</v>
      </c>
      <c r="P3377">
        <f t="shared" si="52"/>
        <v>0</v>
      </c>
    </row>
    <row r="3378" spans="1:16" x14ac:dyDescent="0.25">
      <c r="A3378" t="s">
        <v>669</v>
      </c>
      <c r="B3378">
        <v>1946</v>
      </c>
      <c r="C3378" t="s">
        <v>669</v>
      </c>
      <c r="D3378" t="s">
        <v>863</v>
      </c>
      <c r="E3378">
        <v>5</v>
      </c>
      <c r="F3378">
        <v>5</v>
      </c>
      <c r="G3378" t="s">
        <v>684</v>
      </c>
      <c r="H3378" t="s">
        <v>684</v>
      </c>
      <c r="K3378">
        <v>1946</v>
      </c>
      <c r="L3378" t="s">
        <v>919</v>
      </c>
      <c r="N3378">
        <v>1946</v>
      </c>
      <c r="O3378" t="s">
        <v>919</v>
      </c>
      <c r="P3378">
        <f t="shared" si="52"/>
        <v>0</v>
      </c>
    </row>
    <row r="3379" spans="1:16" x14ac:dyDescent="0.25">
      <c r="A3379" t="s">
        <v>669</v>
      </c>
      <c r="B3379">
        <v>1947</v>
      </c>
      <c r="C3379" t="s">
        <v>669</v>
      </c>
      <c r="D3379" t="s">
        <v>863</v>
      </c>
      <c r="E3379">
        <v>5</v>
      </c>
      <c r="F3379">
        <v>5</v>
      </c>
      <c r="G3379" t="s">
        <v>684</v>
      </c>
      <c r="H3379" t="s">
        <v>684</v>
      </c>
      <c r="K3379">
        <v>1947</v>
      </c>
      <c r="L3379" t="s">
        <v>919</v>
      </c>
      <c r="N3379">
        <v>1947</v>
      </c>
      <c r="O3379" t="s">
        <v>919</v>
      </c>
      <c r="P3379">
        <f t="shared" si="52"/>
        <v>0</v>
      </c>
    </row>
    <row r="3380" spans="1:16" x14ac:dyDescent="0.25">
      <c r="A3380" t="s">
        <v>669</v>
      </c>
      <c r="B3380">
        <v>1951</v>
      </c>
      <c r="C3380" t="s">
        <v>669</v>
      </c>
      <c r="D3380" t="s">
        <v>669</v>
      </c>
      <c r="E3380" t="s">
        <v>910</v>
      </c>
      <c r="F3380" t="s">
        <v>910</v>
      </c>
      <c r="I3380" t="s">
        <v>928</v>
      </c>
      <c r="K3380">
        <v>1951</v>
      </c>
      <c r="L3380" t="s">
        <v>851</v>
      </c>
      <c r="N3380">
        <v>1951</v>
      </c>
      <c r="P3380">
        <f t="shared" si="52"/>
        <v>21</v>
      </c>
    </row>
    <row r="3381" spans="1:16" x14ac:dyDescent="0.25">
      <c r="A3381" t="s">
        <v>669</v>
      </c>
      <c r="B3381">
        <v>7465</v>
      </c>
      <c r="C3381" t="s">
        <v>669</v>
      </c>
      <c r="D3381" t="s">
        <v>669</v>
      </c>
      <c r="E3381" t="s">
        <v>910</v>
      </c>
      <c r="F3381">
        <v>4</v>
      </c>
      <c r="H3381" t="s">
        <v>701</v>
      </c>
      <c r="I3381" t="s">
        <v>927</v>
      </c>
      <c r="K3381">
        <v>7465</v>
      </c>
      <c r="L3381" t="s">
        <v>921</v>
      </c>
      <c r="N3381">
        <v>7465</v>
      </c>
      <c r="P3381">
        <f t="shared" si="52"/>
        <v>14</v>
      </c>
    </row>
    <row r="3382" spans="1:16" x14ac:dyDescent="0.25">
      <c r="A3382" t="s">
        <v>669</v>
      </c>
      <c r="B3382">
        <v>1954</v>
      </c>
      <c r="C3382" t="s">
        <v>669</v>
      </c>
      <c r="D3382" t="s">
        <v>863</v>
      </c>
      <c r="E3382">
        <v>5</v>
      </c>
      <c r="F3382">
        <v>5</v>
      </c>
      <c r="G3382" t="s">
        <v>684</v>
      </c>
      <c r="H3382" t="s">
        <v>684</v>
      </c>
      <c r="K3382">
        <v>1954</v>
      </c>
      <c r="L3382" t="s">
        <v>919</v>
      </c>
      <c r="N3382">
        <v>1954</v>
      </c>
      <c r="O3382" t="s">
        <v>919</v>
      </c>
      <c r="P3382">
        <f t="shared" si="52"/>
        <v>0</v>
      </c>
    </row>
    <row r="3383" spans="1:16" x14ac:dyDescent="0.25">
      <c r="A3383" t="s">
        <v>669</v>
      </c>
      <c r="B3383">
        <v>1957</v>
      </c>
      <c r="C3383" t="s">
        <v>669</v>
      </c>
      <c r="D3383" t="s">
        <v>863</v>
      </c>
      <c r="E3383">
        <v>5</v>
      </c>
      <c r="F3383">
        <v>5</v>
      </c>
      <c r="G3383" t="s">
        <v>684</v>
      </c>
      <c r="H3383" t="s">
        <v>684</v>
      </c>
      <c r="K3383">
        <v>1957</v>
      </c>
      <c r="L3383" t="s">
        <v>919</v>
      </c>
      <c r="N3383">
        <v>1957</v>
      </c>
      <c r="O3383" t="s">
        <v>919</v>
      </c>
      <c r="P3383">
        <f t="shared" si="52"/>
        <v>0</v>
      </c>
    </row>
    <row r="3384" spans="1:16" x14ac:dyDescent="0.25">
      <c r="A3384" t="s">
        <v>669</v>
      </c>
      <c r="B3384">
        <v>1960</v>
      </c>
      <c r="C3384" t="s">
        <v>669</v>
      </c>
      <c r="D3384" t="s">
        <v>863</v>
      </c>
      <c r="E3384">
        <v>5</v>
      </c>
      <c r="F3384">
        <v>5</v>
      </c>
      <c r="G3384" t="s">
        <v>684</v>
      </c>
      <c r="H3384" t="s">
        <v>684</v>
      </c>
      <c r="K3384">
        <v>1960</v>
      </c>
      <c r="L3384" t="s">
        <v>919</v>
      </c>
      <c r="N3384">
        <v>1960</v>
      </c>
      <c r="O3384" t="s">
        <v>919</v>
      </c>
      <c r="P3384">
        <f t="shared" si="52"/>
        <v>0</v>
      </c>
    </row>
    <row r="3385" spans="1:16" x14ac:dyDescent="0.25">
      <c r="A3385" t="s">
        <v>669</v>
      </c>
      <c r="B3385">
        <v>1961</v>
      </c>
      <c r="C3385" t="s">
        <v>669</v>
      </c>
      <c r="D3385" t="s">
        <v>863</v>
      </c>
      <c r="E3385">
        <v>5</v>
      </c>
      <c r="F3385">
        <v>5</v>
      </c>
      <c r="G3385" t="s">
        <v>684</v>
      </c>
      <c r="H3385" t="s">
        <v>684</v>
      </c>
      <c r="K3385">
        <v>1961</v>
      </c>
      <c r="L3385" t="s">
        <v>919</v>
      </c>
      <c r="N3385">
        <v>1961</v>
      </c>
      <c r="O3385" t="s">
        <v>919</v>
      </c>
      <c r="P3385">
        <f t="shared" si="52"/>
        <v>0</v>
      </c>
    </row>
    <row r="3386" spans="1:16" x14ac:dyDescent="0.25">
      <c r="A3386" t="s">
        <v>669</v>
      </c>
      <c r="B3386">
        <v>1966</v>
      </c>
      <c r="C3386" t="s">
        <v>669</v>
      </c>
      <c r="D3386" t="s">
        <v>863</v>
      </c>
      <c r="E3386">
        <v>5</v>
      </c>
      <c r="F3386">
        <v>5</v>
      </c>
      <c r="G3386" t="s">
        <v>684</v>
      </c>
      <c r="H3386" t="s">
        <v>684</v>
      </c>
      <c r="K3386">
        <v>1966</v>
      </c>
      <c r="L3386" t="s">
        <v>919</v>
      </c>
      <c r="N3386">
        <v>1966</v>
      </c>
      <c r="O3386" t="s">
        <v>919</v>
      </c>
      <c r="P3386">
        <f t="shared" si="52"/>
        <v>0</v>
      </c>
    </row>
    <row r="3387" spans="1:16" x14ac:dyDescent="0.25">
      <c r="A3387" t="s">
        <v>218</v>
      </c>
      <c r="B3387">
        <v>1968</v>
      </c>
      <c r="C3387" t="s">
        <v>669</v>
      </c>
      <c r="D3387" t="s">
        <v>863</v>
      </c>
      <c r="E3387">
        <v>5</v>
      </c>
      <c r="F3387">
        <v>5</v>
      </c>
      <c r="G3387" t="s">
        <v>684</v>
      </c>
      <c r="H3387" t="s">
        <v>684</v>
      </c>
      <c r="K3387">
        <v>1968</v>
      </c>
      <c r="L3387" t="s">
        <v>919</v>
      </c>
      <c r="N3387">
        <v>1968</v>
      </c>
      <c r="O3387" t="s">
        <v>919</v>
      </c>
      <c r="P3387">
        <f t="shared" si="52"/>
        <v>0</v>
      </c>
    </row>
    <row r="3388" spans="1:16" x14ac:dyDescent="0.25">
      <c r="A3388" t="s">
        <v>669</v>
      </c>
      <c r="B3388">
        <v>1968</v>
      </c>
      <c r="C3388" t="s">
        <v>669</v>
      </c>
      <c r="D3388" t="s">
        <v>863</v>
      </c>
      <c r="E3388">
        <v>5</v>
      </c>
      <c r="F3388">
        <v>5</v>
      </c>
      <c r="G3388" t="s">
        <v>684</v>
      </c>
      <c r="H3388" t="s">
        <v>684</v>
      </c>
      <c r="K3388">
        <v>1968</v>
      </c>
      <c r="L3388" t="s">
        <v>919</v>
      </c>
      <c r="N3388">
        <v>1968</v>
      </c>
      <c r="O3388" t="s">
        <v>919</v>
      </c>
      <c r="P3388">
        <f t="shared" si="52"/>
        <v>0</v>
      </c>
    </row>
    <row r="3389" spans="1:16" x14ac:dyDescent="0.25">
      <c r="A3389" t="s">
        <v>669</v>
      </c>
      <c r="B3389">
        <v>1971</v>
      </c>
      <c r="C3389" t="s">
        <v>669</v>
      </c>
      <c r="D3389" t="s">
        <v>863</v>
      </c>
      <c r="E3389">
        <v>5</v>
      </c>
      <c r="F3389">
        <v>5</v>
      </c>
      <c r="G3389" t="s">
        <v>684</v>
      </c>
      <c r="H3389" t="s">
        <v>684</v>
      </c>
      <c r="K3389">
        <v>1971</v>
      </c>
      <c r="L3389" t="s">
        <v>919</v>
      </c>
      <c r="N3389">
        <v>1971</v>
      </c>
      <c r="O3389" t="s">
        <v>919</v>
      </c>
      <c r="P3389">
        <f t="shared" si="52"/>
        <v>0</v>
      </c>
    </row>
    <row r="3390" spans="1:16" x14ac:dyDescent="0.25">
      <c r="A3390" t="s">
        <v>669</v>
      </c>
      <c r="B3390">
        <v>1971</v>
      </c>
      <c r="C3390" t="s">
        <v>669</v>
      </c>
      <c r="D3390" t="s">
        <v>669</v>
      </c>
      <c r="E3390" t="s">
        <v>910</v>
      </c>
      <c r="F3390" t="s">
        <v>910</v>
      </c>
      <c r="I3390" t="s">
        <v>928</v>
      </c>
      <c r="K3390">
        <v>1971</v>
      </c>
      <c r="L3390" t="s">
        <v>851</v>
      </c>
      <c r="N3390">
        <v>1971</v>
      </c>
      <c r="P3390">
        <f t="shared" si="52"/>
        <v>21</v>
      </c>
    </row>
    <row r="3391" spans="1:16" x14ac:dyDescent="0.25">
      <c r="A3391" t="s">
        <v>669</v>
      </c>
      <c r="B3391">
        <v>1973</v>
      </c>
      <c r="C3391" t="s">
        <v>669</v>
      </c>
      <c r="D3391" t="s">
        <v>863</v>
      </c>
      <c r="E3391">
        <v>5</v>
      </c>
      <c r="F3391">
        <v>5</v>
      </c>
      <c r="G3391" t="s">
        <v>684</v>
      </c>
      <c r="H3391" t="s">
        <v>684</v>
      </c>
      <c r="K3391">
        <v>1973</v>
      </c>
      <c r="L3391" t="s">
        <v>919</v>
      </c>
      <c r="N3391">
        <v>1973</v>
      </c>
      <c r="O3391" t="s">
        <v>919</v>
      </c>
      <c r="P3391">
        <f t="shared" si="52"/>
        <v>0</v>
      </c>
    </row>
    <row r="3392" spans="1:16" x14ac:dyDescent="0.25">
      <c r="A3392" t="s">
        <v>669</v>
      </c>
      <c r="B3392">
        <v>1975</v>
      </c>
      <c r="C3392" t="s">
        <v>669</v>
      </c>
      <c r="D3392" t="s">
        <v>863</v>
      </c>
      <c r="E3392">
        <v>5</v>
      </c>
      <c r="F3392">
        <v>5</v>
      </c>
      <c r="G3392" t="s">
        <v>684</v>
      </c>
      <c r="H3392" t="s">
        <v>684</v>
      </c>
      <c r="K3392">
        <v>1975</v>
      </c>
      <c r="L3392" t="s">
        <v>919</v>
      </c>
      <c r="N3392">
        <v>1975</v>
      </c>
      <c r="O3392" t="s">
        <v>919</v>
      </c>
      <c r="P3392">
        <f t="shared" si="52"/>
        <v>0</v>
      </c>
    </row>
    <row r="3393" spans="1:16" x14ac:dyDescent="0.25">
      <c r="A3393" t="s">
        <v>669</v>
      </c>
      <c r="B3393">
        <v>1975</v>
      </c>
      <c r="C3393" t="s">
        <v>669</v>
      </c>
      <c r="D3393" t="s">
        <v>669</v>
      </c>
      <c r="E3393" t="s">
        <v>910</v>
      </c>
      <c r="F3393" t="s">
        <v>910</v>
      </c>
      <c r="I3393" t="s">
        <v>928</v>
      </c>
      <c r="K3393">
        <v>1975</v>
      </c>
      <c r="L3393" t="s">
        <v>851</v>
      </c>
      <c r="N3393">
        <v>1975</v>
      </c>
      <c r="P3393">
        <f t="shared" si="52"/>
        <v>21</v>
      </c>
    </row>
    <row r="3394" spans="1:16" x14ac:dyDescent="0.25">
      <c r="A3394" t="s">
        <v>669</v>
      </c>
      <c r="B3394">
        <v>1976</v>
      </c>
      <c r="C3394" t="s">
        <v>669</v>
      </c>
      <c r="D3394" t="s">
        <v>863</v>
      </c>
      <c r="E3394">
        <v>5</v>
      </c>
      <c r="F3394">
        <v>5</v>
      </c>
      <c r="G3394" t="s">
        <v>684</v>
      </c>
      <c r="H3394" t="s">
        <v>684</v>
      </c>
      <c r="K3394">
        <v>1976</v>
      </c>
      <c r="L3394" t="s">
        <v>919</v>
      </c>
      <c r="N3394">
        <v>1976</v>
      </c>
      <c r="O3394" t="s">
        <v>919</v>
      </c>
      <c r="P3394">
        <f t="shared" si="52"/>
        <v>0</v>
      </c>
    </row>
    <row r="3395" spans="1:16" x14ac:dyDescent="0.25">
      <c r="A3395" t="s">
        <v>669</v>
      </c>
      <c r="B3395">
        <v>1977</v>
      </c>
      <c r="C3395" t="s">
        <v>669</v>
      </c>
      <c r="D3395" t="s">
        <v>863</v>
      </c>
      <c r="E3395">
        <v>5</v>
      </c>
      <c r="F3395">
        <v>5</v>
      </c>
      <c r="G3395" t="s">
        <v>684</v>
      </c>
      <c r="H3395" t="s">
        <v>684</v>
      </c>
      <c r="K3395">
        <v>1977</v>
      </c>
      <c r="L3395" t="s">
        <v>919</v>
      </c>
      <c r="N3395">
        <v>1977</v>
      </c>
      <c r="O3395" t="s">
        <v>919</v>
      </c>
      <c r="P3395">
        <f t="shared" ref="P3395:P3458" si="53">LEN(I3395)</f>
        <v>0</v>
      </c>
    </row>
    <row r="3396" spans="1:16" x14ac:dyDescent="0.25">
      <c r="A3396" t="s">
        <v>669</v>
      </c>
      <c r="B3396">
        <v>1982</v>
      </c>
      <c r="C3396" t="s">
        <v>669</v>
      </c>
      <c r="D3396" t="s">
        <v>863</v>
      </c>
      <c r="E3396">
        <v>5</v>
      </c>
      <c r="F3396">
        <v>5</v>
      </c>
      <c r="G3396" t="s">
        <v>684</v>
      </c>
      <c r="H3396" t="s">
        <v>684</v>
      </c>
      <c r="K3396">
        <v>1982</v>
      </c>
      <c r="L3396" t="s">
        <v>919</v>
      </c>
      <c r="N3396">
        <v>1982</v>
      </c>
      <c r="O3396" t="s">
        <v>919</v>
      </c>
      <c r="P3396">
        <f t="shared" si="53"/>
        <v>0</v>
      </c>
    </row>
    <row r="3397" spans="1:16" x14ac:dyDescent="0.25">
      <c r="A3397" t="s">
        <v>669</v>
      </c>
      <c r="B3397">
        <v>1985</v>
      </c>
      <c r="C3397" t="s">
        <v>669</v>
      </c>
      <c r="D3397" t="s">
        <v>863</v>
      </c>
      <c r="E3397">
        <v>5</v>
      </c>
      <c r="F3397">
        <v>5</v>
      </c>
      <c r="G3397" t="s">
        <v>684</v>
      </c>
      <c r="H3397" t="s">
        <v>684</v>
      </c>
      <c r="K3397">
        <v>1985</v>
      </c>
      <c r="L3397" t="s">
        <v>919</v>
      </c>
      <c r="N3397">
        <v>1985</v>
      </c>
      <c r="O3397" t="s">
        <v>919</v>
      </c>
      <c r="P3397">
        <f t="shared" si="53"/>
        <v>0</v>
      </c>
    </row>
    <row r="3398" spans="1:16" x14ac:dyDescent="0.25">
      <c r="A3398" t="s">
        <v>669</v>
      </c>
      <c r="B3398">
        <v>7468</v>
      </c>
      <c r="C3398" t="s">
        <v>669</v>
      </c>
      <c r="D3398" t="s">
        <v>865</v>
      </c>
      <c r="E3398" t="s">
        <v>910</v>
      </c>
      <c r="F3398">
        <v>4</v>
      </c>
      <c r="H3398" t="s">
        <v>701</v>
      </c>
      <c r="K3398">
        <v>7468</v>
      </c>
      <c r="L3398" t="s">
        <v>920</v>
      </c>
      <c r="N3398">
        <v>7468</v>
      </c>
      <c r="O3398" t="s">
        <v>931</v>
      </c>
      <c r="P3398">
        <f t="shared" si="53"/>
        <v>0</v>
      </c>
    </row>
    <row r="3399" spans="1:16" x14ac:dyDescent="0.25">
      <c r="A3399" t="s">
        <v>669</v>
      </c>
      <c r="B3399">
        <v>7489</v>
      </c>
      <c r="C3399" t="s">
        <v>669</v>
      </c>
      <c r="D3399" t="s">
        <v>865</v>
      </c>
      <c r="E3399" t="s">
        <v>910</v>
      </c>
      <c r="F3399">
        <v>4</v>
      </c>
      <c r="H3399" t="s">
        <v>701</v>
      </c>
      <c r="K3399">
        <v>7489</v>
      </c>
      <c r="L3399" t="s">
        <v>920</v>
      </c>
      <c r="N3399">
        <v>7489</v>
      </c>
      <c r="O3399" t="s">
        <v>931</v>
      </c>
      <c r="P3399">
        <f t="shared" si="53"/>
        <v>0</v>
      </c>
    </row>
    <row r="3400" spans="1:16" x14ac:dyDescent="0.25">
      <c r="A3400" t="s">
        <v>669</v>
      </c>
      <c r="B3400">
        <v>7673</v>
      </c>
      <c r="C3400">
        <v>9400</v>
      </c>
      <c r="D3400" t="s">
        <v>866</v>
      </c>
      <c r="E3400">
        <v>4</v>
      </c>
      <c r="F3400">
        <v>4</v>
      </c>
      <c r="G3400" t="s">
        <v>701</v>
      </c>
      <c r="H3400" t="s">
        <v>701</v>
      </c>
      <c r="J3400">
        <v>9400</v>
      </c>
      <c r="K3400">
        <v>7673</v>
      </c>
      <c r="L3400" t="s">
        <v>920</v>
      </c>
      <c r="M3400">
        <v>9400</v>
      </c>
      <c r="N3400">
        <v>7673</v>
      </c>
      <c r="O3400" t="s">
        <v>920</v>
      </c>
      <c r="P3400">
        <f t="shared" si="53"/>
        <v>0</v>
      </c>
    </row>
    <row r="3401" spans="1:16" x14ac:dyDescent="0.25">
      <c r="A3401" t="s">
        <v>669</v>
      </c>
      <c r="B3401">
        <v>1991</v>
      </c>
      <c r="C3401" t="s">
        <v>669</v>
      </c>
      <c r="D3401" t="s">
        <v>669</v>
      </c>
      <c r="E3401" t="s">
        <v>910</v>
      </c>
      <c r="F3401" t="s">
        <v>910</v>
      </c>
      <c r="I3401" t="s">
        <v>928</v>
      </c>
      <c r="K3401">
        <v>1991</v>
      </c>
      <c r="L3401" t="s">
        <v>851</v>
      </c>
      <c r="N3401">
        <v>1991</v>
      </c>
      <c r="P3401">
        <f t="shared" si="53"/>
        <v>21</v>
      </c>
    </row>
    <row r="3402" spans="1:16" x14ac:dyDescent="0.25">
      <c r="A3402" t="s">
        <v>669</v>
      </c>
      <c r="B3402">
        <v>1992</v>
      </c>
      <c r="C3402" t="s">
        <v>669</v>
      </c>
      <c r="D3402" t="s">
        <v>863</v>
      </c>
      <c r="E3402">
        <v>5</v>
      </c>
      <c r="F3402">
        <v>5</v>
      </c>
      <c r="G3402" t="s">
        <v>684</v>
      </c>
      <c r="H3402" t="s">
        <v>684</v>
      </c>
      <c r="K3402">
        <v>1992</v>
      </c>
      <c r="L3402" t="s">
        <v>919</v>
      </c>
      <c r="N3402">
        <v>1992</v>
      </c>
      <c r="O3402" t="s">
        <v>919</v>
      </c>
      <c r="P3402">
        <f t="shared" si="53"/>
        <v>0</v>
      </c>
    </row>
    <row r="3403" spans="1:16" x14ac:dyDescent="0.25">
      <c r="A3403" t="s">
        <v>669</v>
      </c>
      <c r="B3403">
        <v>1995</v>
      </c>
      <c r="C3403" t="s">
        <v>669</v>
      </c>
      <c r="D3403" t="s">
        <v>863</v>
      </c>
      <c r="E3403">
        <v>5</v>
      </c>
      <c r="F3403">
        <v>5</v>
      </c>
      <c r="G3403" t="s">
        <v>684</v>
      </c>
      <c r="H3403" t="s">
        <v>684</v>
      </c>
      <c r="K3403">
        <v>1995</v>
      </c>
      <c r="L3403" t="s">
        <v>919</v>
      </c>
      <c r="N3403">
        <v>1995</v>
      </c>
      <c r="O3403" t="s">
        <v>919</v>
      </c>
      <c r="P3403">
        <f t="shared" si="53"/>
        <v>0</v>
      </c>
    </row>
    <row r="3404" spans="1:16" x14ac:dyDescent="0.25">
      <c r="A3404" t="s">
        <v>669</v>
      </c>
      <c r="B3404">
        <v>1997</v>
      </c>
      <c r="C3404" t="s">
        <v>669</v>
      </c>
      <c r="D3404" t="s">
        <v>863</v>
      </c>
      <c r="E3404">
        <v>5</v>
      </c>
      <c r="F3404">
        <v>5</v>
      </c>
      <c r="G3404" t="s">
        <v>684</v>
      </c>
      <c r="H3404" t="s">
        <v>684</v>
      </c>
      <c r="K3404">
        <v>1997</v>
      </c>
      <c r="L3404" t="s">
        <v>919</v>
      </c>
      <c r="N3404">
        <v>1997</v>
      </c>
      <c r="O3404" t="s">
        <v>919</v>
      </c>
      <c r="P3404">
        <f t="shared" si="53"/>
        <v>0</v>
      </c>
    </row>
    <row r="3405" spans="1:16" x14ac:dyDescent="0.25">
      <c r="A3405" t="s">
        <v>669</v>
      </c>
      <c r="B3405">
        <v>1997</v>
      </c>
      <c r="C3405" t="s">
        <v>669</v>
      </c>
      <c r="D3405" t="s">
        <v>868</v>
      </c>
      <c r="E3405" t="s">
        <v>910</v>
      </c>
      <c r="F3405" t="s">
        <v>910</v>
      </c>
      <c r="I3405" t="s">
        <v>924</v>
      </c>
      <c r="K3405">
        <v>1997</v>
      </c>
      <c r="L3405" t="s">
        <v>919</v>
      </c>
      <c r="N3405">
        <v>1997</v>
      </c>
      <c r="P3405">
        <f t="shared" si="53"/>
        <v>33</v>
      </c>
    </row>
    <row r="3406" spans="1:16" x14ac:dyDescent="0.25">
      <c r="A3406" t="s">
        <v>669</v>
      </c>
      <c r="B3406">
        <v>7706</v>
      </c>
      <c r="C3406" t="s">
        <v>669</v>
      </c>
      <c r="D3406" t="s">
        <v>865</v>
      </c>
      <c r="E3406" t="s">
        <v>910</v>
      </c>
      <c r="F3406">
        <v>4</v>
      </c>
      <c r="H3406" t="s">
        <v>701</v>
      </c>
      <c r="K3406">
        <v>7706</v>
      </c>
      <c r="L3406" t="s">
        <v>920</v>
      </c>
      <c r="N3406">
        <v>7706</v>
      </c>
      <c r="O3406" t="s">
        <v>931</v>
      </c>
      <c r="P3406">
        <f t="shared" si="53"/>
        <v>0</v>
      </c>
    </row>
    <row r="3407" spans="1:16" x14ac:dyDescent="0.25">
      <c r="A3407" t="s">
        <v>669</v>
      </c>
      <c r="B3407">
        <v>1999</v>
      </c>
      <c r="C3407" t="s">
        <v>669</v>
      </c>
      <c r="D3407" t="s">
        <v>863</v>
      </c>
      <c r="E3407">
        <v>5</v>
      </c>
      <c r="F3407">
        <v>5</v>
      </c>
      <c r="G3407" t="s">
        <v>684</v>
      </c>
      <c r="H3407" t="s">
        <v>684</v>
      </c>
      <c r="K3407">
        <v>1999</v>
      </c>
      <c r="L3407" t="s">
        <v>919</v>
      </c>
      <c r="N3407">
        <v>1999</v>
      </c>
      <c r="O3407" t="s">
        <v>919</v>
      </c>
      <c r="P3407">
        <f t="shared" si="53"/>
        <v>0</v>
      </c>
    </row>
    <row r="3408" spans="1:16" x14ac:dyDescent="0.25">
      <c r="A3408" t="s">
        <v>669</v>
      </c>
      <c r="B3408">
        <v>7751</v>
      </c>
      <c r="C3408" t="s">
        <v>669</v>
      </c>
      <c r="D3408" t="s">
        <v>865</v>
      </c>
      <c r="E3408" t="s">
        <v>910</v>
      </c>
      <c r="F3408">
        <v>4</v>
      </c>
      <c r="H3408" t="s">
        <v>701</v>
      </c>
      <c r="K3408">
        <v>7751</v>
      </c>
      <c r="L3408" t="s">
        <v>920</v>
      </c>
      <c r="N3408">
        <v>7751</v>
      </c>
      <c r="O3408" t="s">
        <v>931</v>
      </c>
      <c r="P3408">
        <f t="shared" si="53"/>
        <v>0</v>
      </c>
    </row>
    <row r="3409" spans="1:16" x14ac:dyDescent="0.25">
      <c r="A3409" t="s">
        <v>669</v>
      </c>
      <c r="B3409" t="s">
        <v>669</v>
      </c>
      <c r="C3409">
        <v>2006</v>
      </c>
      <c r="D3409" t="s">
        <v>859</v>
      </c>
      <c r="E3409">
        <v>5</v>
      </c>
      <c r="F3409">
        <v>5</v>
      </c>
      <c r="G3409" t="s">
        <v>684</v>
      </c>
      <c r="H3409" t="s">
        <v>684</v>
      </c>
      <c r="J3409">
        <v>2006</v>
      </c>
      <c r="K3409">
        <v>2006</v>
      </c>
      <c r="L3409" t="s">
        <v>919</v>
      </c>
      <c r="M3409">
        <v>2006</v>
      </c>
      <c r="N3409">
        <v>2006</v>
      </c>
      <c r="O3409" t="s">
        <v>919</v>
      </c>
      <c r="P3409">
        <f t="shared" si="53"/>
        <v>0</v>
      </c>
    </row>
    <row r="3410" spans="1:16" x14ac:dyDescent="0.25">
      <c r="A3410" t="s">
        <v>669</v>
      </c>
      <c r="B3410" t="s">
        <v>669</v>
      </c>
      <c r="C3410">
        <v>2012</v>
      </c>
      <c r="D3410" t="s">
        <v>858</v>
      </c>
      <c r="E3410">
        <v>5</v>
      </c>
      <c r="F3410">
        <v>5</v>
      </c>
      <c r="G3410" t="s">
        <v>684</v>
      </c>
      <c r="H3410" t="s">
        <v>684</v>
      </c>
      <c r="J3410">
        <v>2012</v>
      </c>
      <c r="K3410">
        <v>2012</v>
      </c>
      <c r="L3410" t="s">
        <v>918</v>
      </c>
      <c r="M3410">
        <v>2012</v>
      </c>
      <c r="N3410">
        <v>2012</v>
      </c>
      <c r="O3410" t="s">
        <v>918</v>
      </c>
      <c r="P3410">
        <f t="shared" si="53"/>
        <v>0</v>
      </c>
    </row>
    <row r="3411" spans="1:16" x14ac:dyDescent="0.25">
      <c r="A3411" t="s">
        <v>669</v>
      </c>
      <c r="B3411">
        <v>7817</v>
      </c>
      <c r="C3411" t="s">
        <v>669</v>
      </c>
      <c r="D3411" t="s">
        <v>865</v>
      </c>
      <c r="E3411" t="s">
        <v>910</v>
      </c>
      <c r="F3411">
        <v>4</v>
      </c>
      <c r="H3411" t="s">
        <v>701</v>
      </c>
      <c r="K3411">
        <v>7817</v>
      </c>
      <c r="L3411" t="s">
        <v>920</v>
      </c>
      <c r="N3411">
        <v>7817</v>
      </c>
      <c r="O3411" t="s">
        <v>931</v>
      </c>
      <c r="P3411">
        <f t="shared" si="53"/>
        <v>0</v>
      </c>
    </row>
    <row r="3412" spans="1:16" x14ac:dyDescent="0.25">
      <c r="A3412" t="s">
        <v>669</v>
      </c>
      <c r="B3412" t="s">
        <v>669</v>
      </c>
      <c r="C3412">
        <v>2017</v>
      </c>
      <c r="D3412" t="s">
        <v>858</v>
      </c>
      <c r="E3412">
        <v>5</v>
      </c>
      <c r="F3412">
        <v>5</v>
      </c>
      <c r="G3412" t="s">
        <v>684</v>
      </c>
      <c r="H3412" t="s">
        <v>684</v>
      </c>
      <c r="J3412">
        <v>2017</v>
      </c>
      <c r="K3412">
        <v>2017</v>
      </c>
      <c r="L3412" t="s">
        <v>918</v>
      </c>
      <c r="M3412">
        <v>2017</v>
      </c>
      <c r="N3412">
        <v>2017</v>
      </c>
      <c r="O3412" t="s">
        <v>918</v>
      </c>
      <c r="P3412">
        <f t="shared" si="53"/>
        <v>0</v>
      </c>
    </row>
    <row r="3413" spans="1:16" x14ac:dyDescent="0.25">
      <c r="A3413" t="s">
        <v>669</v>
      </c>
      <c r="B3413" t="s">
        <v>669</v>
      </c>
      <c r="C3413">
        <v>2018</v>
      </c>
      <c r="D3413" t="s">
        <v>858</v>
      </c>
      <c r="E3413">
        <v>5</v>
      </c>
      <c r="F3413">
        <v>5</v>
      </c>
      <c r="G3413" t="s">
        <v>684</v>
      </c>
      <c r="H3413" t="s">
        <v>684</v>
      </c>
      <c r="J3413">
        <v>2018</v>
      </c>
      <c r="K3413">
        <v>2018</v>
      </c>
      <c r="L3413" t="s">
        <v>918</v>
      </c>
      <c r="M3413">
        <v>2018</v>
      </c>
      <c r="N3413">
        <v>2018</v>
      </c>
      <c r="O3413" t="s">
        <v>918</v>
      </c>
      <c r="P3413">
        <f t="shared" si="53"/>
        <v>0</v>
      </c>
    </row>
    <row r="3414" spans="1:16" x14ac:dyDescent="0.25">
      <c r="A3414" t="s">
        <v>669</v>
      </c>
      <c r="B3414">
        <v>7890</v>
      </c>
      <c r="C3414" t="s">
        <v>669</v>
      </c>
      <c r="D3414" t="s">
        <v>865</v>
      </c>
      <c r="E3414" t="s">
        <v>910</v>
      </c>
      <c r="F3414">
        <v>4</v>
      </c>
      <c r="H3414" t="s">
        <v>701</v>
      </c>
      <c r="K3414">
        <v>7890</v>
      </c>
      <c r="L3414" t="s">
        <v>920</v>
      </c>
      <c r="N3414">
        <v>7890</v>
      </c>
      <c r="O3414" t="s">
        <v>931</v>
      </c>
      <c r="P3414">
        <f t="shared" si="53"/>
        <v>0</v>
      </c>
    </row>
    <row r="3415" spans="1:16" x14ac:dyDescent="0.25">
      <c r="A3415" t="s">
        <v>669</v>
      </c>
      <c r="B3415">
        <v>8020</v>
      </c>
      <c r="C3415">
        <v>8120</v>
      </c>
      <c r="D3415" t="s">
        <v>857</v>
      </c>
      <c r="E3415">
        <v>4</v>
      </c>
      <c r="F3415">
        <v>4</v>
      </c>
      <c r="G3415" t="s">
        <v>701</v>
      </c>
      <c r="H3415" t="s">
        <v>701</v>
      </c>
      <c r="J3415">
        <v>8120</v>
      </c>
      <c r="K3415">
        <v>8020</v>
      </c>
      <c r="L3415" t="s">
        <v>921</v>
      </c>
      <c r="M3415">
        <v>8120</v>
      </c>
      <c r="N3415">
        <v>8020</v>
      </c>
      <c r="O3415" t="s">
        <v>921</v>
      </c>
      <c r="P3415">
        <f t="shared" si="53"/>
        <v>0</v>
      </c>
    </row>
    <row r="3416" spans="1:16" x14ac:dyDescent="0.25">
      <c r="A3416" t="s">
        <v>59</v>
      </c>
      <c r="B3416">
        <v>8.3000000000000007</v>
      </c>
      <c r="C3416">
        <v>14</v>
      </c>
      <c r="D3416" t="s">
        <v>862</v>
      </c>
      <c r="E3416">
        <v>8</v>
      </c>
      <c r="F3416">
        <v>4</v>
      </c>
      <c r="G3416" t="s">
        <v>687</v>
      </c>
      <c r="H3416" t="s">
        <v>701</v>
      </c>
      <c r="J3416">
        <v>14000</v>
      </c>
      <c r="K3416">
        <v>8300</v>
      </c>
      <c r="L3416" t="s">
        <v>931</v>
      </c>
      <c r="M3416">
        <v>14</v>
      </c>
      <c r="N3416">
        <v>8.3000000000000007</v>
      </c>
      <c r="O3416" t="s">
        <v>862</v>
      </c>
      <c r="P3416">
        <f t="shared" si="53"/>
        <v>0</v>
      </c>
    </row>
    <row r="3417" spans="1:16" x14ac:dyDescent="0.25">
      <c r="A3417" t="s">
        <v>578</v>
      </c>
      <c r="B3417">
        <v>8.3599999999999994E-3</v>
      </c>
      <c r="C3417">
        <v>8.7600000000000004E-3</v>
      </c>
      <c r="D3417" t="s">
        <v>669</v>
      </c>
      <c r="E3417">
        <v>4</v>
      </c>
      <c r="F3417">
        <v>4</v>
      </c>
      <c r="G3417" t="s">
        <v>701</v>
      </c>
      <c r="H3417" t="s">
        <v>701</v>
      </c>
      <c r="I3417" t="s">
        <v>927</v>
      </c>
      <c r="J3417">
        <v>8760</v>
      </c>
      <c r="K3417">
        <v>8360</v>
      </c>
      <c r="L3417" t="s">
        <v>921</v>
      </c>
      <c r="M3417">
        <v>8.7600000000000004E-3</v>
      </c>
      <c r="N3417">
        <v>8.3599999999999994E-3</v>
      </c>
      <c r="P3417">
        <f t="shared" si="53"/>
        <v>14</v>
      </c>
    </row>
    <row r="3418" spans="1:16" x14ac:dyDescent="0.25">
      <c r="A3418" t="s">
        <v>669</v>
      </c>
      <c r="B3418">
        <v>8387</v>
      </c>
      <c r="C3418">
        <v>8519</v>
      </c>
      <c r="D3418" t="s">
        <v>866</v>
      </c>
      <c r="E3418">
        <v>4</v>
      </c>
      <c r="F3418">
        <v>4</v>
      </c>
      <c r="G3418" t="s">
        <v>701</v>
      </c>
      <c r="H3418" t="s">
        <v>701</v>
      </c>
      <c r="J3418">
        <v>8519</v>
      </c>
      <c r="K3418">
        <v>8387</v>
      </c>
      <c r="L3418" t="s">
        <v>920</v>
      </c>
      <c r="M3418">
        <v>8519</v>
      </c>
      <c r="N3418">
        <v>8387</v>
      </c>
      <c r="O3418" t="s">
        <v>920</v>
      </c>
      <c r="P3418">
        <f t="shared" si="53"/>
        <v>0</v>
      </c>
    </row>
    <row r="3419" spans="1:16" x14ac:dyDescent="0.25">
      <c r="A3419" t="s">
        <v>669</v>
      </c>
      <c r="B3419">
        <v>8430</v>
      </c>
      <c r="C3419" t="s">
        <v>669</v>
      </c>
      <c r="D3419" t="s">
        <v>865</v>
      </c>
      <c r="E3419" t="s">
        <v>910</v>
      </c>
      <c r="F3419">
        <v>4</v>
      </c>
      <c r="H3419" t="s">
        <v>701</v>
      </c>
      <c r="K3419">
        <v>8430</v>
      </c>
      <c r="L3419" t="s">
        <v>920</v>
      </c>
      <c r="N3419">
        <v>8430</v>
      </c>
      <c r="O3419" t="s">
        <v>931</v>
      </c>
      <c r="P3419">
        <f t="shared" si="53"/>
        <v>0</v>
      </c>
    </row>
    <row r="3420" spans="1:16" x14ac:dyDescent="0.25">
      <c r="A3420" t="s">
        <v>669</v>
      </c>
      <c r="B3420">
        <v>2280</v>
      </c>
      <c r="C3420" t="s">
        <v>669</v>
      </c>
      <c r="D3420" t="s">
        <v>669</v>
      </c>
      <c r="E3420" t="s">
        <v>910</v>
      </c>
      <c r="F3420" t="s">
        <v>910</v>
      </c>
      <c r="I3420" t="s">
        <v>928</v>
      </c>
      <c r="K3420">
        <v>2280</v>
      </c>
      <c r="L3420" t="s">
        <v>851</v>
      </c>
      <c r="N3420">
        <v>2280</v>
      </c>
      <c r="P3420">
        <f t="shared" si="53"/>
        <v>21</v>
      </c>
    </row>
    <row r="3421" spans="1:16" x14ac:dyDescent="0.25">
      <c r="A3421" t="s">
        <v>669</v>
      </c>
      <c r="B3421">
        <v>2290</v>
      </c>
      <c r="C3421" t="s">
        <v>669</v>
      </c>
      <c r="D3421" t="s">
        <v>669</v>
      </c>
      <c r="E3421" t="s">
        <v>910</v>
      </c>
      <c r="F3421" t="s">
        <v>910</v>
      </c>
      <c r="I3421" t="s">
        <v>928</v>
      </c>
      <c r="K3421">
        <v>2290</v>
      </c>
      <c r="L3421" t="s">
        <v>851</v>
      </c>
      <c r="N3421">
        <v>2290</v>
      </c>
      <c r="P3421">
        <f t="shared" si="53"/>
        <v>21</v>
      </c>
    </row>
    <row r="3422" spans="1:16" x14ac:dyDescent="0.25">
      <c r="A3422" t="s">
        <v>669</v>
      </c>
      <c r="B3422">
        <v>8458</v>
      </c>
      <c r="C3422">
        <v>8636</v>
      </c>
      <c r="D3422" t="s">
        <v>866</v>
      </c>
      <c r="E3422">
        <v>4</v>
      </c>
      <c r="F3422">
        <v>4</v>
      </c>
      <c r="G3422" t="s">
        <v>701</v>
      </c>
      <c r="H3422" t="s">
        <v>701</v>
      </c>
      <c r="J3422">
        <v>8636</v>
      </c>
      <c r="K3422">
        <v>8458</v>
      </c>
      <c r="L3422" t="s">
        <v>920</v>
      </c>
      <c r="M3422">
        <v>8636</v>
      </c>
      <c r="N3422">
        <v>8458</v>
      </c>
      <c r="O3422" t="s">
        <v>920</v>
      </c>
      <c r="P3422">
        <f t="shared" si="53"/>
        <v>0</v>
      </c>
    </row>
    <row r="3423" spans="1:16" x14ac:dyDescent="0.25">
      <c r="A3423" t="s">
        <v>669</v>
      </c>
      <c r="B3423">
        <v>8490</v>
      </c>
      <c r="C3423">
        <v>8590</v>
      </c>
      <c r="D3423" t="s">
        <v>857</v>
      </c>
      <c r="E3423">
        <v>4</v>
      </c>
      <c r="F3423">
        <v>4</v>
      </c>
      <c r="G3423" t="s">
        <v>701</v>
      </c>
      <c r="H3423" t="s">
        <v>701</v>
      </c>
      <c r="J3423">
        <v>8590</v>
      </c>
      <c r="K3423">
        <v>8490</v>
      </c>
      <c r="L3423" t="s">
        <v>921</v>
      </c>
      <c r="M3423">
        <v>8590</v>
      </c>
      <c r="N3423">
        <v>8490</v>
      </c>
      <c r="O3423" t="s">
        <v>921</v>
      </c>
      <c r="P3423">
        <f t="shared" si="53"/>
        <v>0</v>
      </c>
    </row>
    <row r="3424" spans="1:16" x14ac:dyDescent="0.25">
      <c r="A3424" t="s">
        <v>669</v>
      </c>
      <c r="B3424">
        <v>2630</v>
      </c>
      <c r="C3424" t="s">
        <v>669</v>
      </c>
      <c r="D3424" t="s">
        <v>669</v>
      </c>
      <c r="E3424" t="s">
        <v>910</v>
      </c>
      <c r="F3424" t="s">
        <v>910</v>
      </c>
      <c r="I3424" t="s">
        <v>928</v>
      </c>
      <c r="K3424">
        <v>2630</v>
      </c>
      <c r="L3424" t="s">
        <v>851</v>
      </c>
      <c r="N3424">
        <v>2630</v>
      </c>
      <c r="P3424">
        <f t="shared" si="53"/>
        <v>21</v>
      </c>
    </row>
    <row r="3425" spans="1:16" x14ac:dyDescent="0.25">
      <c r="A3425" t="s">
        <v>669</v>
      </c>
      <c r="B3425">
        <v>140</v>
      </c>
      <c r="C3425" t="s">
        <v>669</v>
      </c>
      <c r="D3425" t="s">
        <v>860</v>
      </c>
      <c r="E3425" t="s">
        <v>910</v>
      </c>
      <c r="F3425" t="s">
        <v>910</v>
      </c>
      <c r="K3425">
        <v>140</v>
      </c>
      <c r="L3425" t="s">
        <v>303</v>
      </c>
      <c r="N3425">
        <v>140</v>
      </c>
      <c r="O3425" t="s">
        <v>303</v>
      </c>
      <c r="P3425">
        <f t="shared" si="53"/>
        <v>0</v>
      </c>
    </row>
    <row r="3426" spans="1:16" x14ac:dyDescent="0.25">
      <c r="A3426" t="s">
        <v>669</v>
      </c>
      <c r="B3426">
        <v>143.5</v>
      </c>
      <c r="C3426" t="s">
        <v>669</v>
      </c>
      <c r="D3426" t="s">
        <v>669</v>
      </c>
      <c r="E3426" t="s">
        <v>910</v>
      </c>
      <c r="F3426" t="s">
        <v>910</v>
      </c>
      <c r="I3426" t="s">
        <v>927</v>
      </c>
      <c r="K3426">
        <v>143.5</v>
      </c>
      <c r="L3426" t="s">
        <v>930</v>
      </c>
      <c r="N3426">
        <v>143.5</v>
      </c>
      <c r="P3426">
        <f t="shared" si="53"/>
        <v>14</v>
      </c>
    </row>
    <row r="3427" spans="1:16" x14ac:dyDescent="0.25">
      <c r="A3427" t="s">
        <v>221</v>
      </c>
      <c r="B3427">
        <v>144</v>
      </c>
      <c r="C3427" t="s">
        <v>669</v>
      </c>
      <c r="D3427" t="s">
        <v>860</v>
      </c>
      <c r="E3427">
        <v>53</v>
      </c>
      <c r="F3427">
        <v>53</v>
      </c>
      <c r="G3427" t="s">
        <v>711</v>
      </c>
      <c r="H3427" t="s">
        <v>711</v>
      </c>
      <c r="K3427">
        <v>144</v>
      </c>
      <c r="L3427" t="s">
        <v>303</v>
      </c>
      <c r="N3427">
        <v>144</v>
      </c>
      <c r="O3427" t="s">
        <v>303</v>
      </c>
      <c r="P3427">
        <f t="shared" si="53"/>
        <v>0</v>
      </c>
    </row>
    <row r="3428" spans="1:16" x14ac:dyDescent="0.25">
      <c r="A3428" t="s">
        <v>669</v>
      </c>
      <c r="B3428">
        <v>8492</v>
      </c>
      <c r="C3428" t="s">
        <v>669</v>
      </c>
      <c r="D3428" t="s">
        <v>865</v>
      </c>
      <c r="E3428" t="s">
        <v>910</v>
      </c>
      <c r="F3428">
        <v>4</v>
      </c>
      <c r="H3428" t="s">
        <v>701</v>
      </c>
      <c r="K3428">
        <v>8492</v>
      </c>
      <c r="L3428" t="s">
        <v>920</v>
      </c>
      <c r="N3428">
        <v>8492</v>
      </c>
      <c r="O3428" t="s">
        <v>931</v>
      </c>
      <c r="P3428">
        <f t="shared" si="53"/>
        <v>0</v>
      </c>
    </row>
    <row r="3429" spans="1:16" x14ac:dyDescent="0.25">
      <c r="A3429" t="s">
        <v>669</v>
      </c>
      <c r="B3429">
        <v>8571</v>
      </c>
      <c r="C3429" t="s">
        <v>669</v>
      </c>
      <c r="D3429" t="s">
        <v>865</v>
      </c>
      <c r="E3429" t="s">
        <v>910</v>
      </c>
      <c r="F3429">
        <v>4</v>
      </c>
      <c r="H3429" t="s">
        <v>701</v>
      </c>
      <c r="K3429">
        <v>8571</v>
      </c>
      <c r="L3429" t="s">
        <v>920</v>
      </c>
      <c r="N3429">
        <v>8571</v>
      </c>
      <c r="O3429" t="s">
        <v>931</v>
      </c>
      <c r="P3429">
        <f t="shared" si="53"/>
        <v>0</v>
      </c>
    </row>
    <row r="3430" spans="1:16" x14ac:dyDescent="0.25">
      <c r="A3430" t="s">
        <v>669</v>
      </c>
      <c r="B3430">
        <v>8871</v>
      </c>
      <c r="C3430" t="s">
        <v>669</v>
      </c>
      <c r="D3430" t="s">
        <v>865</v>
      </c>
      <c r="E3430" t="s">
        <v>910</v>
      </c>
      <c r="F3430">
        <v>4</v>
      </c>
      <c r="H3430" t="s">
        <v>701</v>
      </c>
      <c r="K3430">
        <v>8871</v>
      </c>
      <c r="L3430" t="s">
        <v>920</v>
      </c>
      <c r="N3430">
        <v>8871</v>
      </c>
      <c r="O3430" t="s">
        <v>931</v>
      </c>
      <c r="P3430">
        <f t="shared" si="53"/>
        <v>0</v>
      </c>
    </row>
    <row r="3431" spans="1:16" x14ac:dyDescent="0.25">
      <c r="A3431" t="s">
        <v>669</v>
      </c>
      <c r="B3431">
        <v>8883</v>
      </c>
      <c r="C3431" t="s">
        <v>669</v>
      </c>
      <c r="D3431" t="s">
        <v>865</v>
      </c>
      <c r="E3431" t="s">
        <v>910</v>
      </c>
      <c r="F3431">
        <v>4</v>
      </c>
      <c r="H3431" t="s">
        <v>701</v>
      </c>
      <c r="K3431">
        <v>8883</v>
      </c>
      <c r="L3431" t="s">
        <v>920</v>
      </c>
      <c r="N3431">
        <v>8883</v>
      </c>
      <c r="O3431" t="s">
        <v>931</v>
      </c>
      <c r="P3431">
        <f t="shared" si="53"/>
        <v>0</v>
      </c>
    </row>
    <row r="3432" spans="1:16" x14ac:dyDescent="0.25">
      <c r="A3432" t="s">
        <v>669</v>
      </c>
      <c r="B3432">
        <v>9120</v>
      </c>
      <c r="C3432">
        <v>9200</v>
      </c>
      <c r="D3432" t="s">
        <v>857</v>
      </c>
      <c r="E3432">
        <v>4</v>
      </c>
      <c r="F3432">
        <v>4</v>
      </c>
      <c r="G3432" t="s">
        <v>701</v>
      </c>
      <c r="H3432" t="s">
        <v>701</v>
      </c>
      <c r="J3432">
        <v>9200</v>
      </c>
      <c r="K3432">
        <v>9120</v>
      </c>
      <c r="L3432" t="s">
        <v>921</v>
      </c>
      <c r="M3432">
        <v>9200</v>
      </c>
      <c r="N3432">
        <v>9120</v>
      </c>
      <c r="O3432" t="s">
        <v>921</v>
      </c>
      <c r="P3432">
        <f t="shared" si="53"/>
        <v>0</v>
      </c>
    </row>
    <row r="3433" spans="1:16" x14ac:dyDescent="0.25">
      <c r="A3433" t="s">
        <v>669</v>
      </c>
      <c r="B3433">
        <v>9135</v>
      </c>
      <c r="C3433">
        <v>9225</v>
      </c>
      <c r="D3433" t="s">
        <v>857</v>
      </c>
      <c r="E3433">
        <v>4</v>
      </c>
      <c r="F3433">
        <v>4</v>
      </c>
      <c r="G3433" t="s">
        <v>701</v>
      </c>
      <c r="H3433" t="s">
        <v>701</v>
      </c>
      <c r="J3433">
        <v>9225</v>
      </c>
      <c r="K3433">
        <v>9135</v>
      </c>
      <c r="L3433" t="s">
        <v>921</v>
      </c>
      <c r="M3433">
        <v>9225</v>
      </c>
      <c r="N3433">
        <v>9135</v>
      </c>
      <c r="O3433" t="s">
        <v>921</v>
      </c>
      <c r="P3433">
        <f t="shared" si="53"/>
        <v>0</v>
      </c>
    </row>
    <row r="3434" spans="1:16" x14ac:dyDescent="0.25">
      <c r="A3434" t="s">
        <v>669</v>
      </c>
      <c r="B3434">
        <v>3020</v>
      </c>
      <c r="C3434" t="s">
        <v>669</v>
      </c>
      <c r="D3434" t="s">
        <v>669</v>
      </c>
      <c r="E3434" t="s">
        <v>910</v>
      </c>
      <c r="F3434" t="s">
        <v>910</v>
      </c>
      <c r="I3434" t="s">
        <v>928</v>
      </c>
      <c r="K3434">
        <v>3020</v>
      </c>
      <c r="L3434" t="s">
        <v>851</v>
      </c>
      <c r="N3434">
        <v>3020</v>
      </c>
      <c r="P3434">
        <f t="shared" si="53"/>
        <v>21</v>
      </c>
    </row>
    <row r="3435" spans="1:16" x14ac:dyDescent="0.25">
      <c r="A3435" t="s">
        <v>669</v>
      </c>
      <c r="B3435">
        <v>9230</v>
      </c>
      <c r="C3435" t="s">
        <v>669</v>
      </c>
      <c r="D3435" t="s">
        <v>865</v>
      </c>
      <c r="E3435" t="s">
        <v>910</v>
      </c>
      <c r="F3435">
        <v>4</v>
      </c>
      <c r="H3435" t="s">
        <v>701</v>
      </c>
      <c r="K3435">
        <v>9230</v>
      </c>
      <c r="L3435" t="s">
        <v>920</v>
      </c>
      <c r="N3435">
        <v>9230</v>
      </c>
      <c r="O3435" t="s">
        <v>931</v>
      </c>
      <c r="P3435">
        <f t="shared" si="53"/>
        <v>0</v>
      </c>
    </row>
    <row r="3436" spans="1:16" x14ac:dyDescent="0.25">
      <c r="A3436" t="s">
        <v>669</v>
      </c>
      <c r="B3436">
        <v>9282</v>
      </c>
      <c r="C3436" t="s">
        <v>669</v>
      </c>
      <c r="D3436" t="s">
        <v>865</v>
      </c>
      <c r="E3436" t="s">
        <v>910</v>
      </c>
      <c r="F3436">
        <v>4</v>
      </c>
      <c r="H3436" t="s">
        <v>701</v>
      </c>
      <c r="K3436">
        <v>9282</v>
      </c>
      <c r="L3436" t="s">
        <v>920</v>
      </c>
      <c r="N3436">
        <v>9282</v>
      </c>
      <c r="O3436" t="s">
        <v>931</v>
      </c>
      <c r="P3436">
        <f t="shared" si="53"/>
        <v>0</v>
      </c>
    </row>
    <row r="3437" spans="1:16" x14ac:dyDescent="0.25">
      <c r="A3437" t="s">
        <v>669</v>
      </c>
      <c r="B3437">
        <v>3110</v>
      </c>
      <c r="C3437" t="s">
        <v>669</v>
      </c>
      <c r="D3437" t="s">
        <v>669</v>
      </c>
      <c r="E3437" t="s">
        <v>910</v>
      </c>
      <c r="F3437" t="s">
        <v>910</v>
      </c>
      <c r="I3437" t="s">
        <v>928</v>
      </c>
      <c r="K3437">
        <v>3110</v>
      </c>
      <c r="L3437" t="s">
        <v>851</v>
      </c>
      <c r="N3437">
        <v>3110</v>
      </c>
      <c r="P3437">
        <f t="shared" si="53"/>
        <v>21</v>
      </c>
    </row>
    <row r="3438" spans="1:16" x14ac:dyDescent="0.25">
      <c r="A3438" t="s">
        <v>669</v>
      </c>
      <c r="B3438">
        <v>3140</v>
      </c>
      <c r="C3438" t="s">
        <v>669</v>
      </c>
      <c r="D3438" t="s">
        <v>669</v>
      </c>
      <c r="E3438" t="s">
        <v>910</v>
      </c>
      <c r="F3438" t="s">
        <v>910</v>
      </c>
      <c r="I3438" t="s">
        <v>928</v>
      </c>
      <c r="K3438">
        <v>3140</v>
      </c>
      <c r="L3438" t="s">
        <v>851</v>
      </c>
      <c r="N3438">
        <v>3140</v>
      </c>
      <c r="P3438">
        <f t="shared" si="53"/>
        <v>21</v>
      </c>
    </row>
    <row r="3439" spans="1:16" x14ac:dyDescent="0.25">
      <c r="A3439" t="s">
        <v>669</v>
      </c>
      <c r="B3439">
        <v>145</v>
      </c>
      <c r="C3439" t="s">
        <v>669</v>
      </c>
      <c r="D3439" t="s">
        <v>669</v>
      </c>
      <c r="E3439" t="s">
        <v>910</v>
      </c>
      <c r="F3439" t="s">
        <v>910</v>
      </c>
      <c r="I3439" t="s">
        <v>927</v>
      </c>
      <c r="K3439">
        <v>145</v>
      </c>
      <c r="L3439" t="s">
        <v>930</v>
      </c>
      <c r="N3439">
        <v>145</v>
      </c>
      <c r="P3439">
        <f t="shared" si="53"/>
        <v>14</v>
      </c>
    </row>
    <row r="3440" spans="1:16" x14ac:dyDescent="0.25">
      <c r="A3440" t="s">
        <v>669</v>
      </c>
      <c r="B3440">
        <v>150</v>
      </c>
      <c r="C3440" t="s">
        <v>669</v>
      </c>
      <c r="D3440" t="s">
        <v>669</v>
      </c>
      <c r="E3440" t="s">
        <v>910</v>
      </c>
      <c r="F3440" t="s">
        <v>910</v>
      </c>
      <c r="I3440" t="s">
        <v>927</v>
      </c>
      <c r="K3440">
        <v>150</v>
      </c>
      <c r="L3440" t="s">
        <v>930</v>
      </c>
      <c r="N3440">
        <v>150</v>
      </c>
      <c r="P3440">
        <f t="shared" si="53"/>
        <v>14</v>
      </c>
    </row>
    <row r="3441" spans="1:16" x14ac:dyDescent="0.25">
      <c r="A3441" t="s">
        <v>669</v>
      </c>
      <c r="B3441">
        <v>150.5</v>
      </c>
      <c r="C3441" t="s">
        <v>669</v>
      </c>
      <c r="D3441" t="s">
        <v>669</v>
      </c>
      <c r="E3441" t="s">
        <v>910</v>
      </c>
      <c r="F3441" t="s">
        <v>910</v>
      </c>
      <c r="I3441" t="s">
        <v>927</v>
      </c>
      <c r="K3441">
        <v>150.5</v>
      </c>
      <c r="L3441" t="s">
        <v>930</v>
      </c>
      <c r="N3441">
        <v>150.5</v>
      </c>
      <c r="P3441">
        <f t="shared" si="53"/>
        <v>14</v>
      </c>
    </row>
    <row r="3442" spans="1:16" x14ac:dyDescent="0.25">
      <c r="A3442" t="s">
        <v>669</v>
      </c>
      <c r="B3442">
        <v>157</v>
      </c>
      <c r="C3442" t="s">
        <v>669</v>
      </c>
      <c r="D3442" t="s">
        <v>860</v>
      </c>
      <c r="E3442" t="s">
        <v>910</v>
      </c>
      <c r="F3442" t="s">
        <v>910</v>
      </c>
      <c r="K3442">
        <v>157</v>
      </c>
      <c r="L3442" t="s">
        <v>303</v>
      </c>
      <c r="N3442">
        <v>157</v>
      </c>
      <c r="O3442" t="s">
        <v>303</v>
      </c>
      <c r="P3442">
        <f t="shared" si="53"/>
        <v>0</v>
      </c>
    </row>
    <row r="3443" spans="1:16" x14ac:dyDescent="0.25">
      <c r="A3443" t="s">
        <v>669</v>
      </c>
      <c r="B3443">
        <v>180</v>
      </c>
      <c r="C3443" t="s">
        <v>669</v>
      </c>
      <c r="D3443" t="s">
        <v>860</v>
      </c>
      <c r="E3443" t="s">
        <v>910</v>
      </c>
      <c r="F3443" t="s">
        <v>910</v>
      </c>
      <c r="K3443">
        <v>180</v>
      </c>
      <c r="L3443" t="s">
        <v>303</v>
      </c>
      <c r="N3443">
        <v>180</v>
      </c>
      <c r="O3443" t="s">
        <v>303</v>
      </c>
      <c r="P3443">
        <f t="shared" si="53"/>
        <v>0</v>
      </c>
    </row>
    <row r="3444" spans="1:16" x14ac:dyDescent="0.25">
      <c r="A3444" t="s">
        <v>669</v>
      </c>
      <c r="B3444">
        <v>201</v>
      </c>
      <c r="C3444" t="s">
        <v>669</v>
      </c>
      <c r="D3444" t="s">
        <v>860</v>
      </c>
      <c r="E3444" t="s">
        <v>910</v>
      </c>
      <c r="F3444" t="s">
        <v>910</v>
      </c>
      <c r="K3444">
        <v>201</v>
      </c>
      <c r="L3444" t="s">
        <v>303</v>
      </c>
      <c r="N3444">
        <v>201</v>
      </c>
      <c r="O3444" t="s">
        <v>303</v>
      </c>
      <c r="P3444">
        <f t="shared" si="53"/>
        <v>0</v>
      </c>
    </row>
    <row r="3445" spans="1:16" x14ac:dyDescent="0.25">
      <c r="A3445" t="s">
        <v>669</v>
      </c>
      <c r="B3445">
        <v>215</v>
      </c>
      <c r="C3445" t="s">
        <v>669</v>
      </c>
      <c r="D3445" t="s">
        <v>669</v>
      </c>
      <c r="E3445" t="s">
        <v>910</v>
      </c>
      <c r="F3445" t="s">
        <v>910</v>
      </c>
      <c r="I3445" t="s">
        <v>927</v>
      </c>
      <c r="K3445">
        <v>215</v>
      </c>
      <c r="L3445" t="s">
        <v>930</v>
      </c>
      <c r="N3445">
        <v>215</v>
      </c>
      <c r="P3445">
        <f t="shared" si="53"/>
        <v>14</v>
      </c>
    </row>
    <row r="3446" spans="1:16" x14ac:dyDescent="0.25">
      <c r="A3446" t="s">
        <v>669</v>
      </c>
      <c r="B3446">
        <v>303</v>
      </c>
      <c r="C3446" t="s">
        <v>669</v>
      </c>
      <c r="D3446" t="s">
        <v>303</v>
      </c>
      <c r="E3446" t="s">
        <v>910</v>
      </c>
      <c r="F3446" t="s">
        <v>910</v>
      </c>
      <c r="K3446">
        <v>303</v>
      </c>
      <c r="L3446" t="s">
        <v>303</v>
      </c>
      <c r="N3446">
        <v>303</v>
      </c>
      <c r="O3446" t="s">
        <v>303</v>
      </c>
      <c r="P3446">
        <f t="shared" si="53"/>
        <v>0</v>
      </c>
    </row>
    <row r="3447" spans="1:16" x14ac:dyDescent="0.25">
      <c r="A3447" t="s">
        <v>669</v>
      </c>
      <c r="B3447">
        <v>400</v>
      </c>
      <c r="C3447" t="s">
        <v>669</v>
      </c>
      <c r="D3447" t="s">
        <v>303</v>
      </c>
      <c r="E3447" t="s">
        <v>910</v>
      </c>
      <c r="F3447" t="s">
        <v>910</v>
      </c>
      <c r="K3447">
        <v>400</v>
      </c>
      <c r="L3447" t="s">
        <v>303</v>
      </c>
      <c r="N3447">
        <v>400</v>
      </c>
      <c r="O3447" t="s">
        <v>303</v>
      </c>
      <c r="P3447">
        <f t="shared" si="53"/>
        <v>0</v>
      </c>
    </row>
    <row r="3448" spans="1:16" x14ac:dyDescent="0.25">
      <c r="A3448" t="s">
        <v>669</v>
      </c>
      <c r="B3448">
        <v>413</v>
      </c>
      <c r="C3448" t="s">
        <v>669</v>
      </c>
      <c r="D3448" t="s">
        <v>669</v>
      </c>
      <c r="E3448" t="s">
        <v>910</v>
      </c>
      <c r="F3448" t="s">
        <v>910</v>
      </c>
      <c r="I3448" t="s">
        <v>927</v>
      </c>
      <c r="K3448">
        <v>413</v>
      </c>
      <c r="L3448" t="s">
        <v>930</v>
      </c>
      <c r="N3448">
        <v>413</v>
      </c>
      <c r="P3448">
        <f t="shared" si="53"/>
        <v>14</v>
      </c>
    </row>
    <row r="3449" spans="1:16" x14ac:dyDescent="0.25">
      <c r="A3449" t="s">
        <v>669</v>
      </c>
      <c r="B3449">
        <v>446</v>
      </c>
      <c r="C3449" t="s">
        <v>669</v>
      </c>
      <c r="D3449" t="s">
        <v>860</v>
      </c>
      <c r="E3449" t="s">
        <v>910</v>
      </c>
      <c r="F3449" t="s">
        <v>910</v>
      </c>
      <c r="K3449">
        <v>446</v>
      </c>
      <c r="L3449" t="s">
        <v>303</v>
      </c>
      <c r="N3449">
        <v>446</v>
      </c>
      <c r="O3449" t="s">
        <v>303</v>
      </c>
      <c r="P3449">
        <f t="shared" si="53"/>
        <v>0</v>
      </c>
    </row>
    <row r="3450" spans="1:16" x14ac:dyDescent="0.25">
      <c r="A3450" t="s">
        <v>669</v>
      </c>
      <c r="B3450">
        <v>450</v>
      </c>
      <c r="C3450" t="s">
        <v>669</v>
      </c>
      <c r="D3450" t="s">
        <v>669</v>
      </c>
      <c r="E3450" t="s">
        <v>910</v>
      </c>
      <c r="F3450" t="s">
        <v>910</v>
      </c>
      <c r="I3450" t="s">
        <v>927</v>
      </c>
      <c r="K3450">
        <v>450</v>
      </c>
      <c r="L3450" t="s">
        <v>930</v>
      </c>
      <c r="N3450">
        <v>450</v>
      </c>
      <c r="P3450">
        <f t="shared" si="53"/>
        <v>14</v>
      </c>
    </row>
    <row r="3451" spans="1:16" x14ac:dyDescent="0.25">
      <c r="A3451" t="s">
        <v>669</v>
      </c>
      <c r="B3451">
        <v>460</v>
      </c>
      <c r="C3451" t="s">
        <v>669</v>
      </c>
      <c r="D3451" t="s">
        <v>860</v>
      </c>
      <c r="E3451" t="s">
        <v>910</v>
      </c>
      <c r="F3451" t="s">
        <v>910</v>
      </c>
      <c r="K3451">
        <v>460</v>
      </c>
      <c r="L3451" t="s">
        <v>303</v>
      </c>
      <c r="N3451">
        <v>460</v>
      </c>
      <c r="O3451" t="s">
        <v>303</v>
      </c>
      <c r="P3451">
        <f t="shared" si="53"/>
        <v>0</v>
      </c>
    </row>
    <row r="3452" spans="1:16" x14ac:dyDescent="0.25">
      <c r="A3452" t="s">
        <v>669</v>
      </c>
      <c r="B3452">
        <v>465</v>
      </c>
      <c r="C3452" t="s">
        <v>669</v>
      </c>
      <c r="D3452" t="s">
        <v>669</v>
      </c>
      <c r="E3452" t="s">
        <v>910</v>
      </c>
      <c r="F3452" t="s">
        <v>910</v>
      </c>
      <c r="I3452" t="s">
        <v>927</v>
      </c>
      <c r="K3452">
        <v>465</v>
      </c>
      <c r="L3452" t="s">
        <v>930</v>
      </c>
      <c r="N3452">
        <v>465</v>
      </c>
      <c r="P3452">
        <f t="shared" si="53"/>
        <v>14</v>
      </c>
    </row>
    <row r="3453" spans="1:16" x14ac:dyDescent="0.25">
      <c r="A3453" t="s">
        <v>669</v>
      </c>
      <c r="B3453">
        <v>480</v>
      </c>
      <c r="C3453" t="s">
        <v>669</v>
      </c>
      <c r="D3453" t="s">
        <v>860</v>
      </c>
      <c r="E3453" t="s">
        <v>910</v>
      </c>
      <c r="F3453" t="s">
        <v>910</v>
      </c>
      <c r="K3453">
        <v>480</v>
      </c>
      <c r="L3453" t="s">
        <v>303</v>
      </c>
      <c r="N3453">
        <v>480</v>
      </c>
      <c r="O3453" t="s">
        <v>303</v>
      </c>
      <c r="P3453">
        <f t="shared" si="53"/>
        <v>0</v>
      </c>
    </row>
    <row r="3454" spans="1:16" x14ac:dyDescent="0.25">
      <c r="A3454" t="s">
        <v>669</v>
      </c>
      <c r="B3454">
        <v>500</v>
      </c>
      <c r="C3454" t="s">
        <v>669</v>
      </c>
      <c r="D3454" t="s">
        <v>303</v>
      </c>
      <c r="E3454" t="s">
        <v>910</v>
      </c>
      <c r="F3454" t="s">
        <v>910</v>
      </c>
      <c r="K3454">
        <v>500</v>
      </c>
      <c r="L3454" t="s">
        <v>303</v>
      </c>
      <c r="N3454">
        <v>500</v>
      </c>
      <c r="O3454" t="s">
        <v>303</v>
      </c>
      <c r="P3454">
        <f t="shared" si="53"/>
        <v>0</v>
      </c>
    </row>
    <row r="3455" spans="1:16" x14ac:dyDescent="0.25">
      <c r="A3455" t="s">
        <v>291</v>
      </c>
      <c r="B3455">
        <v>543</v>
      </c>
      <c r="C3455" t="s">
        <v>669</v>
      </c>
      <c r="D3455" t="s">
        <v>860</v>
      </c>
      <c r="E3455">
        <v>140</v>
      </c>
      <c r="F3455">
        <v>140</v>
      </c>
      <c r="G3455" t="s">
        <v>792</v>
      </c>
      <c r="H3455" t="s">
        <v>792</v>
      </c>
      <c r="K3455">
        <v>543</v>
      </c>
      <c r="L3455" t="s">
        <v>303</v>
      </c>
      <c r="N3455">
        <v>543</v>
      </c>
      <c r="O3455" t="s">
        <v>303</v>
      </c>
      <c r="P3455">
        <f t="shared" si="53"/>
        <v>0</v>
      </c>
    </row>
    <row r="3456" spans="1:16" x14ac:dyDescent="0.25">
      <c r="A3456" t="s">
        <v>654</v>
      </c>
      <c r="B3456">
        <v>543.79999999999995</v>
      </c>
      <c r="C3456" t="s">
        <v>669</v>
      </c>
      <c r="D3456" t="s">
        <v>860</v>
      </c>
      <c r="E3456">
        <v>133</v>
      </c>
      <c r="F3456">
        <v>133</v>
      </c>
      <c r="G3456" t="s">
        <v>816</v>
      </c>
      <c r="H3456" t="s">
        <v>816</v>
      </c>
      <c r="K3456">
        <v>543.79999999999995</v>
      </c>
      <c r="L3456" t="s">
        <v>303</v>
      </c>
      <c r="N3456">
        <v>543.79999999999995</v>
      </c>
      <c r="O3456" t="s">
        <v>303</v>
      </c>
      <c r="P3456">
        <f t="shared" si="53"/>
        <v>0</v>
      </c>
    </row>
    <row r="3457" spans="1:16" x14ac:dyDescent="0.25">
      <c r="A3457" t="s">
        <v>669</v>
      </c>
      <c r="B3457">
        <v>552.55999999999995</v>
      </c>
      <c r="C3457" t="s">
        <v>669</v>
      </c>
      <c r="D3457" t="s">
        <v>860</v>
      </c>
      <c r="E3457" t="s">
        <v>910</v>
      </c>
      <c r="F3457" t="s">
        <v>910</v>
      </c>
      <c r="K3457">
        <v>552.55999999999995</v>
      </c>
      <c r="L3457" t="s">
        <v>303</v>
      </c>
      <c r="N3457">
        <v>552.55999999999995</v>
      </c>
      <c r="O3457" t="s">
        <v>303</v>
      </c>
      <c r="P3457">
        <f t="shared" si="53"/>
        <v>0</v>
      </c>
    </row>
    <row r="3458" spans="1:16" x14ac:dyDescent="0.25">
      <c r="A3458" t="s">
        <v>351</v>
      </c>
      <c r="B3458">
        <v>562.70000000000005</v>
      </c>
      <c r="C3458" t="s">
        <v>669</v>
      </c>
      <c r="D3458" t="s">
        <v>860</v>
      </c>
      <c r="E3458">
        <v>140</v>
      </c>
      <c r="F3458">
        <v>137</v>
      </c>
      <c r="G3458" t="s">
        <v>792</v>
      </c>
      <c r="H3458" t="s">
        <v>815</v>
      </c>
      <c r="K3458">
        <v>562.70000000000005</v>
      </c>
      <c r="L3458" t="s">
        <v>303</v>
      </c>
      <c r="N3458">
        <v>562.70000000000005</v>
      </c>
      <c r="O3458" t="s">
        <v>303</v>
      </c>
      <c r="P3458">
        <f t="shared" si="53"/>
        <v>0</v>
      </c>
    </row>
    <row r="3459" spans="1:16" x14ac:dyDescent="0.25">
      <c r="A3459" t="s">
        <v>669</v>
      </c>
      <c r="B3459">
        <v>570</v>
      </c>
      <c r="C3459" t="s">
        <v>669</v>
      </c>
      <c r="D3459" t="s">
        <v>303</v>
      </c>
      <c r="E3459" t="s">
        <v>910</v>
      </c>
      <c r="F3459" t="s">
        <v>910</v>
      </c>
      <c r="K3459">
        <v>570</v>
      </c>
      <c r="L3459" t="s">
        <v>303</v>
      </c>
      <c r="N3459">
        <v>570</v>
      </c>
      <c r="O3459" t="s">
        <v>303</v>
      </c>
      <c r="P3459">
        <f t="shared" ref="P3459:P3522" si="54">LEN(I3459)</f>
        <v>0</v>
      </c>
    </row>
    <row r="3460" spans="1:16" x14ac:dyDescent="0.25">
      <c r="A3460" t="s">
        <v>669</v>
      </c>
      <c r="B3460">
        <v>582.4</v>
      </c>
      <c r="C3460" t="s">
        <v>669</v>
      </c>
      <c r="D3460" t="s">
        <v>860</v>
      </c>
      <c r="E3460" t="s">
        <v>910</v>
      </c>
      <c r="F3460" t="s">
        <v>910</v>
      </c>
      <c r="K3460">
        <v>582.4</v>
      </c>
      <c r="L3460" t="s">
        <v>303</v>
      </c>
      <c r="N3460">
        <v>582.4</v>
      </c>
      <c r="O3460" t="s">
        <v>303</v>
      </c>
      <c r="P3460">
        <f t="shared" si="54"/>
        <v>0</v>
      </c>
    </row>
    <row r="3461" spans="1:16" x14ac:dyDescent="0.25">
      <c r="A3461" t="s">
        <v>426</v>
      </c>
      <c r="B3461">
        <v>585.6</v>
      </c>
      <c r="C3461" t="s">
        <v>669</v>
      </c>
      <c r="D3461" t="s">
        <v>860</v>
      </c>
      <c r="E3461">
        <v>132</v>
      </c>
      <c r="F3461">
        <v>132</v>
      </c>
      <c r="G3461" t="s">
        <v>738</v>
      </c>
      <c r="H3461" t="s">
        <v>738</v>
      </c>
      <c r="K3461">
        <v>585.6</v>
      </c>
      <c r="L3461" t="s">
        <v>303</v>
      </c>
      <c r="N3461">
        <v>585.6</v>
      </c>
      <c r="O3461" t="s">
        <v>303</v>
      </c>
      <c r="P3461">
        <f t="shared" si="54"/>
        <v>0</v>
      </c>
    </row>
    <row r="3462" spans="1:16" x14ac:dyDescent="0.25">
      <c r="A3462" t="s">
        <v>151</v>
      </c>
      <c r="B3462">
        <v>590.20000000000005</v>
      </c>
      <c r="C3462" t="s">
        <v>669</v>
      </c>
      <c r="D3462" t="s">
        <v>860</v>
      </c>
      <c r="E3462">
        <v>109</v>
      </c>
      <c r="F3462">
        <v>109</v>
      </c>
      <c r="G3462" t="s">
        <v>715</v>
      </c>
      <c r="H3462" t="s">
        <v>715</v>
      </c>
      <c r="K3462">
        <v>590.20000000000005</v>
      </c>
      <c r="L3462" t="s">
        <v>303</v>
      </c>
      <c r="N3462">
        <v>590.20000000000005</v>
      </c>
      <c r="O3462" t="s">
        <v>303</v>
      </c>
      <c r="P3462">
        <f t="shared" si="54"/>
        <v>0</v>
      </c>
    </row>
    <row r="3463" spans="1:16" x14ac:dyDescent="0.25">
      <c r="A3463" t="s">
        <v>263</v>
      </c>
      <c r="B3463">
        <v>591.4</v>
      </c>
      <c r="C3463" t="s">
        <v>669</v>
      </c>
      <c r="D3463" t="s">
        <v>860</v>
      </c>
      <c r="E3463">
        <v>133</v>
      </c>
      <c r="F3463">
        <v>133</v>
      </c>
      <c r="G3463" t="s">
        <v>816</v>
      </c>
      <c r="H3463" t="s">
        <v>816</v>
      </c>
      <c r="K3463">
        <v>591.4</v>
      </c>
      <c r="L3463" t="s">
        <v>303</v>
      </c>
      <c r="N3463">
        <v>591.4</v>
      </c>
      <c r="O3463" t="s">
        <v>303</v>
      </c>
      <c r="P3463">
        <f t="shared" si="54"/>
        <v>0</v>
      </c>
    </row>
    <row r="3464" spans="1:16" x14ac:dyDescent="0.25">
      <c r="A3464" t="s">
        <v>426</v>
      </c>
      <c r="B3464">
        <v>592.79999999999995</v>
      </c>
      <c r="C3464" t="s">
        <v>669</v>
      </c>
      <c r="D3464" t="s">
        <v>860</v>
      </c>
      <c r="E3464">
        <v>132</v>
      </c>
      <c r="F3464">
        <v>132</v>
      </c>
      <c r="G3464" t="s">
        <v>738</v>
      </c>
      <c r="H3464" t="s">
        <v>738</v>
      </c>
      <c r="K3464">
        <v>592.79999999999995</v>
      </c>
      <c r="L3464" t="s">
        <v>303</v>
      </c>
      <c r="N3464">
        <v>592.79999999999995</v>
      </c>
      <c r="O3464" t="s">
        <v>303</v>
      </c>
      <c r="P3464">
        <f t="shared" si="54"/>
        <v>0</v>
      </c>
    </row>
    <row r="3465" spans="1:16" x14ac:dyDescent="0.25">
      <c r="A3465" t="s">
        <v>669</v>
      </c>
      <c r="B3465">
        <v>600</v>
      </c>
      <c r="C3465" t="s">
        <v>669</v>
      </c>
      <c r="D3465" t="s">
        <v>303</v>
      </c>
      <c r="E3465" t="s">
        <v>910</v>
      </c>
      <c r="F3465" t="s">
        <v>910</v>
      </c>
      <c r="K3465">
        <v>600</v>
      </c>
      <c r="L3465" t="s">
        <v>303</v>
      </c>
      <c r="N3465">
        <v>600</v>
      </c>
      <c r="O3465" t="s">
        <v>303</v>
      </c>
      <c r="P3465">
        <f t="shared" si="54"/>
        <v>0</v>
      </c>
    </row>
    <row r="3466" spans="1:16" x14ac:dyDescent="0.25">
      <c r="A3466" t="s">
        <v>669</v>
      </c>
      <c r="B3466">
        <v>614</v>
      </c>
      <c r="C3466" t="s">
        <v>669</v>
      </c>
      <c r="D3466" t="s">
        <v>303</v>
      </c>
      <c r="E3466" t="s">
        <v>910</v>
      </c>
      <c r="F3466" t="s">
        <v>910</v>
      </c>
      <c r="K3466">
        <v>614</v>
      </c>
      <c r="L3466" t="s">
        <v>303</v>
      </c>
      <c r="N3466">
        <v>614</v>
      </c>
      <c r="O3466" t="s">
        <v>303</v>
      </c>
      <c r="P3466">
        <f t="shared" si="54"/>
        <v>0</v>
      </c>
    </row>
    <row r="3467" spans="1:16" x14ac:dyDescent="0.25">
      <c r="A3467" t="s">
        <v>669</v>
      </c>
      <c r="B3467">
        <v>615</v>
      </c>
      <c r="C3467" t="s">
        <v>669</v>
      </c>
      <c r="D3467" t="s">
        <v>669</v>
      </c>
      <c r="E3467" t="s">
        <v>910</v>
      </c>
      <c r="F3467" t="s">
        <v>910</v>
      </c>
      <c r="I3467" t="s">
        <v>927</v>
      </c>
      <c r="K3467">
        <v>615</v>
      </c>
      <c r="L3467" t="s">
        <v>930</v>
      </c>
      <c r="N3467">
        <v>615</v>
      </c>
      <c r="P3467">
        <f t="shared" si="54"/>
        <v>14</v>
      </c>
    </row>
    <row r="3468" spans="1:16" x14ac:dyDescent="0.25">
      <c r="A3468" t="s">
        <v>415</v>
      </c>
      <c r="B3468">
        <v>628</v>
      </c>
      <c r="C3468" t="s">
        <v>669</v>
      </c>
      <c r="D3468" t="s">
        <v>669</v>
      </c>
      <c r="E3468">
        <v>160</v>
      </c>
      <c r="F3468">
        <v>160</v>
      </c>
      <c r="G3468" t="s">
        <v>757</v>
      </c>
      <c r="H3468" t="s">
        <v>757</v>
      </c>
      <c r="I3468" t="s">
        <v>927</v>
      </c>
      <c r="K3468">
        <v>628</v>
      </c>
      <c r="L3468" t="s">
        <v>930</v>
      </c>
      <c r="N3468">
        <v>628</v>
      </c>
      <c r="P3468">
        <f t="shared" si="54"/>
        <v>14</v>
      </c>
    </row>
    <row r="3469" spans="1:16" x14ac:dyDescent="0.25">
      <c r="A3469" t="s">
        <v>415</v>
      </c>
      <c r="B3469">
        <v>629</v>
      </c>
      <c r="C3469" t="s">
        <v>669</v>
      </c>
      <c r="D3469" t="s">
        <v>669</v>
      </c>
      <c r="E3469">
        <v>160</v>
      </c>
      <c r="F3469">
        <v>160</v>
      </c>
      <c r="G3469" t="s">
        <v>757</v>
      </c>
      <c r="H3469" t="s">
        <v>757</v>
      </c>
      <c r="I3469" t="s">
        <v>927</v>
      </c>
      <c r="K3469">
        <v>629</v>
      </c>
      <c r="L3469" t="s">
        <v>930</v>
      </c>
      <c r="N3469">
        <v>629</v>
      </c>
      <c r="P3469">
        <f t="shared" si="54"/>
        <v>14</v>
      </c>
    </row>
    <row r="3470" spans="1:16" x14ac:dyDescent="0.25">
      <c r="A3470" t="s">
        <v>415</v>
      </c>
      <c r="B3470">
        <v>630</v>
      </c>
      <c r="C3470" t="s">
        <v>669</v>
      </c>
      <c r="D3470" t="s">
        <v>669</v>
      </c>
      <c r="E3470">
        <v>160</v>
      </c>
      <c r="F3470">
        <v>160</v>
      </c>
      <c r="G3470" t="s">
        <v>757</v>
      </c>
      <c r="H3470" t="s">
        <v>757</v>
      </c>
      <c r="I3470" t="s">
        <v>927</v>
      </c>
      <c r="K3470">
        <v>630</v>
      </c>
      <c r="L3470" t="s">
        <v>930</v>
      </c>
      <c r="N3470">
        <v>630</v>
      </c>
      <c r="P3470">
        <f t="shared" si="54"/>
        <v>14</v>
      </c>
    </row>
    <row r="3471" spans="1:16" x14ac:dyDescent="0.25">
      <c r="A3471" t="s">
        <v>415</v>
      </c>
      <c r="B3471">
        <v>633</v>
      </c>
      <c r="C3471" t="s">
        <v>669</v>
      </c>
      <c r="D3471" t="s">
        <v>669</v>
      </c>
      <c r="E3471">
        <v>160</v>
      </c>
      <c r="F3471">
        <v>160</v>
      </c>
      <c r="G3471" t="s">
        <v>757</v>
      </c>
      <c r="H3471" t="s">
        <v>757</v>
      </c>
      <c r="I3471" t="s">
        <v>927</v>
      </c>
      <c r="K3471">
        <v>633</v>
      </c>
      <c r="L3471" t="s">
        <v>930</v>
      </c>
      <c r="N3471">
        <v>633</v>
      </c>
      <c r="P3471">
        <f t="shared" si="54"/>
        <v>14</v>
      </c>
    </row>
    <row r="3472" spans="1:16" x14ac:dyDescent="0.25">
      <c r="A3472" t="s">
        <v>182</v>
      </c>
      <c r="B3472">
        <v>635</v>
      </c>
      <c r="C3472" t="s">
        <v>669</v>
      </c>
      <c r="D3472">
        <v>635</v>
      </c>
      <c r="E3472">
        <v>161</v>
      </c>
      <c r="F3472">
        <v>161</v>
      </c>
      <c r="G3472" t="s">
        <v>713</v>
      </c>
      <c r="H3472" t="s">
        <v>713</v>
      </c>
      <c r="K3472">
        <v>635</v>
      </c>
      <c r="L3472" t="s">
        <v>303</v>
      </c>
      <c r="N3472">
        <v>635</v>
      </c>
      <c r="O3472" t="s">
        <v>303</v>
      </c>
      <c r="P3472">
        <f t="shared" si="54"/>
        <v>0</v>
      </c>
    </row>
    <row r="3473" spans="1:16" x14ac:dyDescent="0.25">
      <c r="A3473" t="s">
        <v>415</v>
      </c>
      <c r="B3473">
        <v>679</v>
      </c>
      <c r="C3473" t="s">
        <v>669</v>
      </c>
      <c r="D3473" t="s">
        <v>669</v>
      </c>
      <c r="E3473">
        <v>160</v>
      </c>
      <c r="F3473">
        <v>160</v>
      </c>
      <c r="G3473" t="s">
        <v>757</v>
      </c>
      <c r="H3473" t="s">
        <v>757</v>
      </c>
      <c r="I3473" t="s">
        <v>927</v>
      </c>
      <c r="K3473">
        <v>679</v>
      </c>
      <c r="L3473" t="s">
        <v>930</v>
      </c>
      <c r="N3473">
        <v>679</v>
      </c>
      <c r="P3473">
        <f t="shared" si="54"/>
        <v>14</v>
      </c>
    </row>
    <row r="3474" spans="1:16" x14ac:dyDescent="0.25">
      <c r="A3474" t="s">
        <v>415</v>
      </c>
      <c r="B3474">
        <v>692</v>
      </c>
      <c r="C3474" t="s">
        <v>669</v>
      </c>
      <c r="D3474" t="s">
        <v>669</v>
      </c>
      <c r="E3474">
        <v>160</v>
      </c>
      <c r="F3474">
        <v>160</v>
      </c>
      <c r="G3474" t="s">
        <v>757</v>
      </c>
      <c r="H3474" t="s">
        <v>757</v>
      </c>
      <c r="I3474" t="s">
        <v>927</v>
      </c>
      <c r="K3474">
        <v>692</v>
      </c>
      <c r="L3474" t="s">
        <v>930</v>
      </c>
      <c r="N3474">
        <v>692</v>
      </c>
      <c r="P3474">
        <f t="shared" si="54"/>
        <v>14</v>
      </c>
    </row>
    <row r="3475" spans="1:16" x14ac:dyDescent="0.25">
      <c r="A3475" t="s">
        <v>143</v>
      </c>
      <c r="B3475">
        <v>700</v>
      </c>
      <c r="C3475" t="s">
        <v>669</v>
      </c>
      <c r="D3475" t="s">
        <v>303</v>
      </c>
      <c r="E3475">
        <v>162</v>
      </c>
      <c r="F3475">
        <v>162</v>
      </c>
      <c r="G3475" t="s">
        <v>712</v>
      </c>
      <c r="H3475" t="s">
        <v>712</v>
      </c>
      <c r="K3475">
        <v>700</v>
      </c>
      <c r="L3475" t="s">
        <v>303</v>
      </c>
      <c r="N3475">
        <v>700</v>
      </c>
      <c r="O3475" t="s">
        <v>303</v>
      </c>
      <c r="P3475">
        <f t="shared" si="54"/>
        <v>0</v>
      </c>
    </row>
    <row r="3476" spans="1:16" x14ac:dyDescent="0.25">
      <c r="A3476" t="s">
        <v>669</v>
      </c>
      <c r="B3476">
        <v>827</v>
      </c>
      <c r="C3476" t="s">
        <v>669</v>
      </c>
      <c r="D3476" t="s">
        <v>669</v>
      </c>
      <c r="E3476" t="s">
        <v>910</v>
      </c>
      <c r="F3476">
        <v>160</v>
      </c>
      <c r="H3476" t="s">
        <v>757</v>
      </c>
      <c r="I3476" t="s">
        <v>927</v>
      </c>
      <c r="K3476">
        <v>827</v>
      </c>
      <c r="L3476" t="s">
        <v>930</v>
      </c>
      <c r="N3476">
        <v>827</v>
      </c>
      <c r="P3476">
        <f t="shared" si="54"/>
        <v>14</v>
      </c>
    </row>
    <row r="3477" spans="1:16" x14ac:dyDescent="0.25">
      <c r="A3477" t="s">
        <v>669</v>
      </c>
      <c r="B3477">
        <v>1380</v>
      </c>
      <c r="C3477" t="s">
        <v>669</v>
      </c>
      <c r="D3477" t="s">
        <v>303</v>
      </c>
      <c r="E3477" t="s">
        <v>910</v>
      </c>
      <c r="F3477" t="s">
        <v>910</v>
      </c>
      <c r="K3477">
        <v>1380</v>
      </c>
      <c r="L3477" t="s">
        <v>303</v>
      </c>
      <c r="N3477">
        <v>1380</v>
      </c>
      <c r="O3477" t="s">
        <v>303</v>
      </c>
      <c r="P3477">
        <f t="shared" si="54"/>
        <v>0</v>
      </c>
    </row>
    <row r="3478" spans="1:16" x14ac:dyDescent="0.25">
      <c r="A3478" t="s">
        <v>669</v>
      </c>
      <c r="B3478">
        <v>1430</v>
      </c>
      <c r="C3478" t="s">
        <v>669</v>
      </c>
      <c r="D3478" t="s">
        <v>669</v>
      </c>
      <c r="E3478" t="s">
        <v>910</v>
      </c>
      <c r="F3478">
        <v>164</v>
      </c>
      <c r="H3478" t="s">
        <v>746</v>
      </c>
      <c r="I3478" t="s">
        <v>927</v>
      </c>
      <c r="K3478">
        <v>1430</v>
      </c>
      <c r="L3478" t="s">
        <v>930</v>
      </c>
      <c r="N3478">
        <v>1430</v>
      </c>
      <c r="P3478">
        <f t="shared" si="54"/>
        <v>14</v>
      </c>
    </row>
    <row r="3479" spans="1:16" x14ac:dyDescent="0.25">
      <c r="A3479" t="s">
        <v>669</v>
      </c>
      <c r="B3479">
        <v>1745</v>
      </c>
      <c r="C3479" t="s">
        <v>669</v>
      </c>
      <c r="D3479" t="s">
        <v>669</v>
      </c>
      <c r="E3479" t="s">
        <v>910</v>
      </c>
      <c r="F3479">
        <v>168</v>
      </c>
      <c r="H3479" t="s">
        <v>759</v>
      </c>
      <c r="I3479" t="s">
        <v>927</v>
      </c>
      <c r="K3479">
        <v>1745</v>
      </c>
      <c r="L3479" t="s">
        <v>930</v>
      </c>
      <c r="N3479">
        <v>1745</v>
      </c>
      <c r="P3479">
        <f t="shared" si="54"/>
        <v>14</v>
      </c>
    </row>
    <row r="3480" spans="1:16" x14ac:dyDescent="0.25">
      <c r="A3480" t="s">
        <v>29</v>
      </c>
      <c r="B3480">
        <v>2640</v>
      </c>
      <c r="C3480" t="s">
        <v>669</v>
      </c>
      <c r="D3480" t="s">
        <v>303</v>
      </c>
      <c r="E3480">
        <v>173</v>
      </c>
      <c r="F3480">
        <v>173</v>
      </c>
      <c r="G3480" t="s">
        <v>678</v>
      </c>
      <c r="H3480" t="s">
        <v>678</v>
      </c>
      <c r="K3480">
        <v>2640</v>
      </c>
      <c r="L3480" t="s">
        <v>303</v>
      </c>
      <c r="N3480">
        <v>2640</v>
      </c>
      <c r="O3480" t="s">
        <v>303</v>
      </c>
      <c r="P3480">
        <f t="shared" si="54"/>
        <v>0</v>
      </c>
    </row>
    <row r="3481" spans="1:16" x14ac:dyDescent="0.25">
      <c r="A3481" t="s">
        <v>29</v>
      </c>
      <c r="B3481">
        <v>2690</v>
      </c>
      <c r="C3481" t="s">
        <v>669</v>
      </c>
      <c r="D3481" t="s">
        <v>303</v>
      </c>
      <c r="E3481">
        <v>173</v>
      </c>
      <c r="F3481">
        <v>173</v>
      </c>
      <c r="G3481" t="s">
        <v>678</v>
      </c>
      <c r="H3481" t="s">
        <v>678</v>
      </c>
      <c r="K3481">
        <v>2690</v>
      </c>
      <c r="L3481" t="s">
        <v>303</v>
      </c>
      <c r="N3481">
        <v>2690</v>
      </c>
      <c r="O3481" t="s">
        <v>303</v>
      </c>
      <c r="P3481">
        <f t="shared" si="54"/>
        <v>0</v>
      </c>
    </row>
    <row r="3482" spans="1:16" x14ac:dyDescent="0.25">
      <c r="A3482" t="s">
        <v>669</v>
      </c>
      <c r="B3482">
        <v>2700</v>
      </c>
      <c r="C3482" t="s">
        <v>669</v>
      </c>
      <c r="D3482" t="s">
        <v>860</v>
      </c>
      <c r="E3482" t="s">
        <v>910</v>
      </c>
      <c r="F3482" t="s">
        <v>910</v>
      </c>
      <c r="K3482">
        <v>2700</v>
      </c>
      <c r="L3482" t="s">
        <v>303</v>
      </c>
      <c r="N3482">
        <v>2700</v>
      </c>
      <c r="O3482" t="s">
        <v>303</v>
      </c>
      <c r="P3482">
        <f t="shared" si="54"/>
        <v>0</v>
      </c>
    </row>
    <row r="3483" spans="1:16" x14ac:dyDescent="0.25">
      <c r="A3483" t="s">
        <v>438</v>
      </c>
      <c r="B3483">
        <v>3260</v>
      </c>
      <c r="C3483" t="s">
        <v>669</v>
      </c>
      <c r="D3483" t="s">
        <v>303</v>
      </c>
      <c r="E3483">
        <v>176</v>
      </c>
      <c r="F3483">
        <v>176</v>
      </c>
      <c r="G3483" t="s">
        <v>947</v>
      </c>
      <c r="H3483" t="s">
        <v>947</v>
      </c>
      <c r="K3483">
        <v>3260</v>
      </c>
      <c r="L3483" t="s">
        <v>303</v>
      </c>
      <c r="N3483">
        <v>3260</v>
      </c>
      <c r="O3483" t="s">
        <v>303</v>
      </c>
      <c r="P3483">
        <f t="shared" si="54"/>
        <v>0</v>
      </c>
    </row>
    <row r="3484" spans="1:16" x14ac:dyDescent="0.25">
      <c r="A3484" t="s">
        <v>439</v>
      </c>
      <c r="B3484">
        <v>3260</v>
      </c>
      <c r="C3484" t="s">
        <v>669</v>
      </c>
      <c r="D3484" t="s">
        <v>303</v>
      </c>
      <c r="E3484">
        <v>176</v>
      </c>
      <c r="F3484">
        <v>176</v>
      </c>
      <c r="G3484" t="s">
        <v>947</v>
      </c>
      <c r="H3484" t="s">
        <v>947</v>
      </c>
      <c r="K3484">
        <v>3260</v>
      </c>
      <c r="L3484" t="s">
        <v>303</v>
      </c>
      <c r="N3484">
        <v>3260</v>
      </c>
      <c r="O3484" t="s">
        <v>303</v>
      </c>
      <c r="P3484">
        <f t="shared" si="54"/>
        <v>0</v>
      </c>
    </row>
    <row r="3485" spans="1:16" x14ac:dyDescent="0.25">
      <c r="A3485" t="s">
        <v>438</v>
      </c>
      <c r="B3485">
        <v>3261</v>
      </c>
      <c r="C3485" t="s">
        <v>669</v>
      </c>
      <c r="D3485" t="s">
        <v>303</v>
      </c>
      <c r="E3485">
        <v>176</v>
      </c>
      <c r="F3485">
        <v>176</v>
      </c>
      <c r="G3485" t="s">
        <v>947</v>
      </c>
      <c r="H3485" t="s">
        <v>947</v>
      </c>
      <c r="K3485">
        <v>3261</v>
      </c>
      <c r="L3485" t="s">
        <v>303</v>
      </c>
      <c r="N3485">
        <v>3261</v>
      </c>
      <c r="O3485" t="s">
        <v>303</v>
      </c>
      <c r="P3485">
        <f t="shared" si="54"/>
        <v>0</v>
      </c>
    </row>
    <row r="3486" spans="1:16" x14ac:dyDescent="0.25">
      <c r="A3486" t="s">
        <v>438</v>
      </c>
      <c r="B3486">
        <v>3262</v>
      </c>
      <c r="C3486" t="s">
        <v>669</v>
      </c>
      <c r="D3486" t="s">
        <v>303</v>
      </c>
      <c r="E3486">
        <v>176</v>
      </c>
      <c r="F3486">
        <v>176</v>
      </c>
      <c r="G3486" t="s">
        <v>947</v>
      </c>
      <c r="H3486" t="s">
        <v>947</v>
      </c>
      <c r="K3486">
        <v>3262</v>
      </c>
      <c r="L3486" t="s">
        <v>303</v>
      </c>
      <c r="N3486">
        <v>3262</v>
      </c>
      <c r="O3486" t="s">
        <v>303</v>
      </c>
      <c r="P3486">
        <f t="shared" si="54"/>
        <v>0</v>
      </c>
    </row>
    <row r="3487" spans="1:16" x14ac:dyDescent="0.25">
      <c r="A3487" t="s">
        <v>438</v>
      </c>
      <c r="B3487">
        <v>3263</v>
      </c>
      <c r="C3487" t="s">
        <v>669</v>
      </c>
      <c r="D3487" t="s">
        <v>303</v>
      </c>
      <c r="E3487">
        <v>176</v>
      </c>
      <c r="F3487">
        <v>176</v>
      </c>
      <c r="G3487" t="s">
        <v>947</v>
      </c>
      <c r="H3487" t="s">
        <v>947</v>
      </c>
      <c r="K3487">
        <v>3263</v>
      </c>
      <c r="L3487" t="s">
        <v>303</v>
      </c>
      <c r="N3487">
        <v>3263</v>
      </c>
      <c r="O3487" t="s">
        <v>303</v>
      </c>
      <c r="P3487">
        <f t="shared" si="54"/>
        <v>0</v>
      </c>
    </row>
    <row r="3488" spans="1:16" x14ac:dyDescent="0.25">
      <c r="A3488" t="s">
        <v>438</v>
      </c>
      <c r="B3488">
        <v>3264</v>
      </c>
      <c r="C3488" t="s">
        <v>669</v>
      </c>
      <c r="D3488" t="s">
        <v>303</v>
      </c>
      <c r="E3488">
        <v>176</v>
      </c>
      <c r="F3488">
        <v>176</v>
      </c>
      <c r="G3488" t="s">
        <v>947</v>
      </c>
      <c r="H3488" t="s">
        <v>947</v>
      </c>
      <c r="K3488">
        <v>3264</v>
      </c>
      <c r="L3488" t="s">
        <v>303</v>
      </c>
      <c r="N3488">
        <v>3264</v>
      </c>
      <c r="O3488" t="s">
        <v>303</v>
      </c>
      <c r="P3488">
        <f t="shared" si="54"/>
        <v>0</v>
      </c>
    </row>
    <row r="3489" spans="1:16" x14ac:dyDescent="0.25">
      <c r="A3489" t="s">
        <v>438</v>
      </c>
      <c r="B3489">
        <v>3265</v>
      </c>
      <c r="C3489" t="s">
        <v>669</v>
      </c>
      <c r="D3489" t="s">
        <v>303</v>
      </c>
      <c r="E3489">
        <v>176</v>
      </c>
      <c r="F3489">
        <v>176</v>
      </c>
      <c r="G3489" t="s">
        <v>947</v>
      </c>
      <c r="H3489" t="s">
        <v>947</v>
      </c>
      <c r="K3489">
        <v>3265</v>
      </c>
      <c r="L3489" t="s">
        <v>303</v>
      </c>
      <c r="N3489">
        <v>3265</v>
      </c>
      <c r="O3489" t="s">
        <v>303</v>
      </c>
      <c r="P3489">
        <f t="shared" si="54"/>
        <v>0</v>
      </c>
    </row>
    <row r="3490" spans="1:16" x14ac:dyDescent="0.25">
      <c r="A3490" t="s">
        <v>438</v>
      </c>
      <c r="B3490">
        <v>3266</v>
      </c>
      <c r="C3490" t="s">
        <v>669</v>
      </c>
      <c r="D3490" t="s">
        <v>303</v>
      </c>
      <c r="E3490">
        <v>176</v>
      </c>
      <c r="F3490">
        <v>176</v>
      </c>
      <c r="G3490" t="s">
        <v>947</v>
      </c>
      <c r="H3490" t="s">
        <v>947</v>
      </c>
      <c r="K3490">
        <v>3266</v>
      </c>
      <c r="L3490" t="s">
        <v>303</v>
      </c>
      <c r="N3490">
        <v>3266</v>
      </c>
      <c r="O3490" t="s">
        <v>303</v>
      </c>
      <c r="P3490">
        <f t="shared" si="54"/>
        <v>0</v>
      </c>
    </row>
    <row r="3491" spans="1:16" x14ac:dyDescent="0.25">
      <c r="A3491" t="s">
        <v>438</v>
      </c>
      <c r="B3491">
        <v>3267</v>
      </c>
      <c r="C3491" t="s">
        <v>669</v>
      </c>
      <c r="D3491" t="s">
        <v>303</v>
      </c>
      <c r="E3491">
        <v>176</v>
      </c>
      <c r="F3491">
        <v>176</v>
      </c>
      <c r="G3491" t="s">
        <v>947</v>
      </c>
      <c r="H3491" t="s">
        <v>947</v>
      </c>
      <c r="K3491">
        <v>3267</v>
      </c>
      <c r="L3491" t="s">
        <v>303</v>
      </c>
      <c r="N3491">
        <v>3267</v>
      </c>
      <c r="O3491" t="s">
        <v>303</v>
      </c>
      <c r="P3491">
        <f t="shared" si="54"/>
        <v>0</v>
      </c>
    </row>
    <row r="3492" spans="1:16" x14ac:dyDescent="0.25">
      <c r="A3492" t="s">
        <v>438</v>
      </c>
      <c r="B3492">
        <v>3268</v>
      </c>
      <c r="C3492" t="s">
        <v>669</v>
      </c>
      <c r="D3492" t="s">
        <v>303</v>
      </c>
      <c r="E3492">
        <v>176</v>
      </c>
      <c r="F3492">
        <v>176</v>
      </c>
      <c r="G3492" t="s">
        <v>947</v>
      </c>
      <c r="H3492" t="s">
        <v>947</v>
      </c>
      <c r="K3492">
        <v>3268</v>
      </c>
      <c r="L3492" t="s">
        <v>303</v>
      </c>
      <c r="N3492">
        <v>3268</v>
      </c>
      <c r="O3492" t="s">
        <v>303</v>
      </c>
      <c r="P3492">
        <f t="shared" si="54"/>
        <v>0</v>
      </c>
    </row>
    <row r="3493" spans="1:16" x14ac:dyDescent="0.25">
      <c r="A3493" t="s">
        <v>438</v>
      </c>
      <c r="B3493">
        <v>3269</v>
      </c>
      <c r="C3493" t="s">
        <v>669</v>
      </c>
      <c r="D3493" t="s">
        <v>303</v>
      </c>
      <c r="E3493">
        <v>176</v>
      </c>
      <c r="F3493">
        <v>176</v>
      </c>
      <c r="G3493" t="s">
        <v>947</v>
      </c>
      <c r="H3493" t="s">
        <v>947</v>
      </c>
      <c r="K3493">
        <v>3269</v>
      </c>
      <c r="L3493" t="s">
        <v>303</v>
      </c>
      <c r="N3493">
        <v>3269</v>
      </c>
      <c r="O3493" t="s">
        <v>303</v>
      </c>
      <c r="P3493">
        <f t="shared" si="54"/>
        <v>0</v>
      </c>
    </row>
    <row r="3494" spans="1:16" x14ac:dyDescent="0.25">
      <c r="A3494" t="s">
        <v>438</v>
      </c>
      <c r="B3494">
        <v>3270</v>
      </c>
      <c r="C3494" t="s">
        <v>669</v>
      </c>
      <c r="D3494" t="s">
        <v>303</v>
      </c>
      <c r="E3494">
        <v>176</v>
      </c>
      <c r="F3494">
        <v>176</v>
      </c>
      <c r="G3494" t="s">
        <v>947</v>
      </c>
      <c r="H3494" t="s">
        <v>947</v>
      </c>
      <c r="K3494">
        <v>3270</v>
      </c>
      <c r="L3494" t="s">
        <v>303</v>
      </c>
      <c r="N3494">
        <v>3270</v>
      </c>
      <c r="O3494" t="s">
        <v>303</v>
      </c>
      <c r="P3494">
        <f t="shared" si="54"/>
        <v>0</v>
      </c>
    </row>
    <row r="3495" spans="1:16" x14ac:dyDescent="0.25">
      <c r="A3495" t="s">
        <v>438</v>
      </c>
      <c r="B3495">
        <v>3271</v>
      </c>
      <c r="C3495" t="s">
        <v>669</v>
      </c>
      <c r="D3495" t="s">
        <v>303</v>
      </c>
      <c r="E3495">
        <v>176</v>
      </c>
      <c r="F3495">
        <v>176</v>
      </c>
      <c r="G3495" t="s">
        <v>947</v>
      </c>
      <c r="H3495" t="s">
        <v>947</v>
      </c>
      <c r="K3495">
        <v>3271</v>
      </c>
      <c r="L3495" t="s">
        <v>303</v>
      </c>
      <c r="N3495">
        <v>3271</v>
      </c>
      <c r="O3495" t="s">
        <v>303</v>
      </c>
      <c r="P3495">
        <f t="shared" si="54"/>
        <v>0</v>
      </c>
    </row>
    <row r="3496" spans="1:16" x14ac:dyDescent="0.25">
      <c r="A3496" t="s">
        <v>438</v>
      </c>
      <c r="B3496">
        <v>3272</v>
      </c>
      <c r="C3496" t="s">
        <v>669</v>
      </c>
      <c r="D3496" t="s">
        <v>303</v>
      </c>
      <c r="E3496">
        <v>176</v>
      </c>
      <c r="F3496">
        <v>176</v>
      </c>
      <c r="G3496" t="s">
        <v>947</v>
      </c>
      <c r="H3496" t="s">
        <v>947</v>
      </c>
      <c r="K3496">
        <v>3272</v>
      </c>
      <c r="L3496" t="s">
        <v>303</v>
      </c>
      <c r="N3496">
        <v>3272</v>
      </c>
      <c r="O3496" t="s">
        <v>303</v>
      </c>
      <c r="P3496">
        <f t="shared" si="54"/>
        <v>0</v>
      </c>
    </row>
    <row r="3497" spans="1:16" x14ac:dyDescent="0.25">
      <c r="A3497" t="s">
        <v>438</v>
      </c>
      <c r="B3497">
        <v>3273</v>
      </c>
      <c r="C3497" t="s">
        <v>669</v>
      </c>
      <c r="D3497" t="s">
        <v>303</v>
      </c>
      <c r="E3497">
        <v>176</v>
      </c>
      <c r="F3497">
        <v>176</v>
      </c>
      <c r="G3497" t="s">
        <v>947</v>
      </c>
      <c r="H3497" t="s">
        <v>947</v>
      </c>
      <c r="K3497">
        <v>3273</v>
      </c>
      <c r="L3497" t="s">
        <v>303</v>
      </c>
      <c r="N3497">
        <v>3273</v>
      </c>
      <c r="O3497" t="s">
        <v>303</v>
      </c>
      <c r="P3497">
        <f t="shared" si="54"/>
        <v>0</v>
      </c>
    </row>
    <row r="3498" spans="1:16" x14ac:dyDescent="0.25">
      <c r="A3498" t="s">
        <v>438</v>
      </c>
      <c r="B3498">
        <v>3274</v>
      </c>
      <c r="C3498" t="s">
        <v>669</v>
      </c>
      <c r="D3498" t="s">
        <v>303</v>
      </c>
      <c r="E3498">
        <v>176</v>
      </c>
      <c r="F3498">
        <v>176</v>
      </c>
      <c r="G3498" t="s">
        <v>947</v>
      </c>
      <c r="H3498" t="s">
        <v>947</v>
      </c>
      <c r="K3498">
        <v>3274</v>
      </c>
      <c r="L3498" t="s">
        <v>303</v>
      </c>
      <c r="N3498">
        <v>3274</v>
      </c>
      <c r="O3498" t="s">
        <v>303</v>
      </c>
      <c r="P3498">
        <f t="shared" si="54"/>
        <v>0</v>
      </c>
    </row>
    <row r="3499" spans="1:16" x14ac:dyDescent="0.25">
      <c r="A3499" t="s">
        <v>438</v>
      </c>
      <c r="B3499">
        <v>3275</v>
      </c>
      <c r="C3499" t="s">
        <v>669</v>
      </c>
      <c r="D3499" t="s">
        <v>303</v>
      </c>
      <c r="E3499">
        <v>176</v>
      </c>
      <c r="F3499">
        <v>176</v>
      </c>
      <c r="G3499" t="s">
        <v>947</v>
      </c>
      <c r="H3499" t="s">
        <v>947</v>
      </c>
      <c r="K3499">
        <v>3275</v>
      </c>
      <c r="L3499" t="s">
        <v>303</v>
      </c>
      <c r="N3499">
        <v>3275</v>
      </c>
      <c r="O3499" t="s">
        <v>303</v>
      </c>
      <c r="P3499">
        <f t="shared" si="54"/>
        <v>0</v>
      </c>
    </row>
    <row r="3500" spans="1:16" x14ac:dyDescent="0.25">
      <c r="A3500" t="s">
        <v>438</v>
      </c>
      <c r="B3500">
        <v>3276</v>
      </c>
      <c r="C3500" t="s">
        <v>669</v>
      </c>
      <c r="D3500" t="s">
        <v>303</v>
      </c>
      <c r="E3500">
        <v>176</v>
      </c>
      <c r="F3500">
        <v>176</v>
      </c>
      <c r="G3500" t="s">
        <v>947</v>
      </c>
      <c r="H3500" t="s">
        <v>947</v>
      </c>
      <c r="K3500">
        <v>3276</v>
      </c>
      <c r="L3500" t="s">
        <v>303</v>
      </c>
      <c r="N3500">
        <v>3276</v>
      </c>
      <c r="O3500" t="s">
        <v>303</v>
      </c>
      <c r="P3500">
        <f t="shared" si="54"/>
        <v>0</v>
      </c>
    </row>
    <row r="3501" spans="1:16" x14ac:dyDescent="0.25">
      <c r="A3501" t="s">
        <v>438</v>
      </c>
      <c r="B3501">
        <v>3277</v>
      </c>
      <c r="C3501" t="s">
        <v>669</v>
      </c>
      <c r="D3501" t="s">
        <v>303</v>
      </c>
      <c r="E3501">
        <v>176</v>
      </c>
      <c r="F3501">
        <v>176</v>
      </c>
      <c r="G3501" t="s">
        <v>947</v>
      </c>
      <c r="H3501" t="s">
        <v>947</v>
      </c>
      <c r="K3501">
        <v>3277</v>
      </c>
      <c r="L3501" t="s">
        <v>303</v>
      </c>
      <c r="N3501">
        <v>3277</v>
      </c>
      <c r="O3501" t="s">
        <v>303</v>
      </c>
      <c r="P3501">
        <f t="shared" si="54"/>
        <v>0</v>
      </c>
    </row>
    <row r="3502" spans="1:16" x14ac:dyDescent="0.25">
      <c r="A3502" t="s">
        <v>438</v>
      </c>
      <c r="B3502">
        <v>3278</v>
      </c>
      <c r="C3502" t="s">
        <v>669</v>
      </c>
      <c r="D3502" t="s">
        <v>303</v>
      </c>
      <c r="E3502">
        <v>176</v>
      </c>
      <c r="F3502">
        <v>176</v>
      </c>
      <c r="G3502" t="s">
        <v>947</v>
      </c>
      <c r="H3502" t="s">
        <v>947</v>
      </c>
      <c r="K3502">
        <v>3278</v>
      </c>
      <c r="L3502" t="s">
        <v>303</v>
      </c>
      <c r="N3502">
        <v>3278</v>
      </c>
      <c r="O3502" t="s">
        <v>303</v>
      </c>
      <c r="P3502">
        <f t="shared" si="54"/>
        <v>0</v>
      </c>
    </row>
    <row r="3503" spans="1:16" x14ac:dyDescent="0.25">
      <c r="A3503" t="s">
        <v>438</v>
      </c>
      <c r="B3503">
        <v>3279</v>
      </c>
      <c r="C3503" t="s">
        <v>669</v>
      </c>
      <c r="D3503" t="s">
        <v>303</v>
      </c>
      <c r="E3503">
        <v>176</v>
      </c>
      <c r="F3503">
        <v>176</v>
      </c>
      <c r="G3503" t="s">
        <v>947</v>
      </c>
      <c r="H3503" t="s">
        <v>947</v>
      </c>
      <c r="K3503">
        <v>3279</v>
      </c>
      <c r="L3503" t="s">
        <v>303</v>
      </c>
      <c r="N3503">
        <v>3279</v>
      </c>
      <c r="O3503" t="s">
        <v>303</v>
      </c>
      <c r="P3503">
        <f t="shared" si="54"/>
        <v>0</v>
      </c>
    </row>
    <row r="3504" spans="1:16" x14ac:dyDescent="0.25">
      <c r="A3504" t="s">
        <v>438</v>
      </c>
      <c r="B3504">
        <v>3280</v>
      </c>
      <c r="C3504" t="s">
        <v>669</v>
      </c>
      <c r="D3504" t="s">
        <v>303</v>
      </c>
      <c r="E3504">
        <v>176</v>
      </c>
      <c r="F3504">
        <v>176</v>
      </c>
      <c r="G3504" t="s">
        <v>947</v>
      </c>
      <c r="H3504" t="s">
        <v>947</v>
      </c>
      <c r="K3504">
        <v>3280</v>
      </c>
      <c r="L3504" t="s">
        <v>303</v>
      </c>
      <c r="N3504">
        <v>3280</v>
      </c>
      <c r="O3504" t="s">
        <v>303</v>
      </c>
      <c r="P3504">
        <f t="shared" si="54"/>
        <v>0</v>
      </c>
    </row>
    <row r="3505" spans="1:16" x14ac:dyDescent="0.25">
      <c r="A3505" t="s">
        <v>438</v>
      </c>
      <c r="B3505">
        <v>3281</v>
      </c>
      <c r="C3505" t="s">
        <v>669</v>
      </c>
      <c r="D3505" t="s">
        <v>303</v>
      </c>
      <c r="E3505">
        <v>176</v>
      </c>
      <c r="F3505">
        <v>176</v>
      </c>
      <c r="G3505" t="s">
        <v>947</v>
      </c>
      <c r="H3505" t="s">
        <v>947</v>
      </c>
      <c r="K3505">
        <v>3281</v>
      </c>
      <c r="L3505" t="s">
        <v>303</v>
      </c>
      <c r="N3505">
        <v>3281</v>
      </c>
      <c r="O3505" t="s">
        <v>303</v>
      </c>
      <c r="P3505">
        <f t="shared" si="54"/>
        <v>0</v>
      </c>
    </row>
    <row r="3506" spans="1:16" x14ac:dyDescent="0.25">
      <c r="A3506" t="s">
        <v>438</v>
      </c>
      <c r="B3506">
        <v>3282</v>
      </c>
      <c r="C3506" t="s">
        <v>669</v>
      </c>
      <c r="D3506" t="s">
        <v>303</v>
      </c>
      <c r="E3506">
        <v>176</v>
      </c>
      <c r="F3506">
        <v>176</v>
      </c>
      <c r="G3506" t="s">
        <v>947</v>
      </c>
      <c r="H3506" t="s">
        <v>947</v>
      </c>
      <c r="K3506">
        <v>3282</v>
      </c>
      <c r="L3506" t="s">
        <v>303</v>
      </c>
      <c r="N3506">
        <v>3282</v>
      </c>
      <c r="O3506" t="s">
        <v>303</v>
      </c>
      <c r="P3506">
        <f t="shared" si="54"/>
        <v>0</v>
      </c>
    </row>
    <row r="3507" spans="1:16" x14ac:dyDescent="0.25">
      <c r="A3507" t="s">
        <v>438</v>
      </c>
      <c r="B3507">
        <v>3283</v>
      </c>
      <c r="C3507" t="s">
        <v>669</v>
      </c>
      <c r="D3507" t="s">
        <v>303</v>
      </c>
      <c r="E3507">
        <v>176</v>
      </c>
      <c r="F3507">
        <v>176</v>
      </c>
      <c r="G3507" t="s">
        <v>947</v>
      </c>
      <c r="H3507" t="s">
        <v>947</v>
      </c>
      <c r="K3507">
        <v>3283</v>
      </c>
      <c r="L3507" t="s">
        <v>303</v>
      </c>
      <c r="N3507">
        <v>3283</v>
      </c>
      <c r="O3507" t="s">
        <v>303</v>
      </c>
      <c r="P3507">
        <f t="shared" si="54"/>
        <v>0</v>
      </c>
    </row>
    <row r="3508" spans="1:16" x14ac:dyDescent="0.25">
      <c r="A3508" t="s">
        <v>438</v>
      </c>
      <c r="B3508">
        <v>3284</v>
      </c>
      <c r="C3508" t="s">
        <v>669</v>
      </c>
      <c r="D3508" t="s">
        <v>303</v>
      </c>
      <c r="E3508">
        <v>176</v>
      </c>
      <c r="F3508">
        <v>176</v>
      </c>
      <c r="G3508" t="s">
        <v>947</v>
      </c>
      <c r="H3508" t="s">
        <v>947</v>
      </c>
      <c r="K3508">
        <v>3284</v>
      </c>
      <c r="L3508" t="s">
        <v>303</v>
      </c>
      <c r="N3508">
        <v>3284</v>
      </c>
      <c r="O3508" t="s">
        <v>303</v>
      </c>
      <c r="P3508">
        <f t="shared" si="54"/>
        <v>0</v>
      </c>
    </row>
    <row r="3509" spans="1:16" x14ac:dyDescent="0.25">
      <c r="A3509" t="s">
        <v>438</v>
      </c>
      <c r="B3509">
        <v>3285</v>
      </c>
      <c r="C3509" t="s">
        <v>669</v>
      </c>
      <c r="D3509" t="s">
        <v>303</v>
      </c>
      <c r="E3509">
        <v>176</v>
      </c>
      <c r="F3509">
        <v>176</v>
      </c>
      <c r="G3509" t="s">
        <v>947</v>
      </c>
      <c r="H3509" t="s">
        <v>947</v>
      </c>
      <c r="K3509">
        <v>3285</v>
      </c>
      <c r="L3509" t="s">
        <v>303</v>
      </c>
      <c r="N3509">
        <v>3285</v>
      </c>
      <c r="O3509" t="s">
        <v>303</v>
      </c>
      <c r="P3509">
        <f t="shared" si="54"/>
        <v>0</v>
      </c>
    </row>
    <row r="3510" spans="1:16" x14ac:dyDescent="0.25">
      <c r="A3510" t="s">
        <v>438</v>
      </c>
      <c r="B3510">
        <v>3286</v>
      </c>
      <c r="C3510" t="s">
        <v>669</v>
      </c>
      <c r="D3510" t="s">
        <v>303</v>
      </c>
      <c r="E3510">
        <v>176</v>
      </c>
      <c r="F3510">
        <v>176</v>
      </c>
      <c r="G3510" t="s">
        <v>947</v>
      </c>
      <c r="H3510" t="s">
        <v>947</v>
      </c>
      <c r="K3510">
        <v>3286</v>
      </c>
      <c r="L3510" t="s">
        <v>303</v>
      </c>
      <c r="N3510">
        <v>3286</v>
      </c>
      <c r="O3510" t="s">
        <v>303</v>
      </c>
      <c r="P3510">
        <f t="shared" si="54"/>
        <v>0</v>
      </c>
    </row>
    <row r="3511" spans="1:16" x14ac:dyDescent="0.25">
      <c r="A3511" t="s">
        <v>438</v>
      </c>
      <c r="B3511">
        <v>3287</v>
      </c>
      <c r="C3511" t="s">
        <v>669</v>
      </c>
      <c r="D3511" t="s">
        <v>303</v>
      </c>
      <c r="E3511">
        <v>176</v>
      </c>
      <c r="F3511">
        <v>176</v>
      </c>
      <c r="G3511" t="s">
        <v>947</v>
      </c>
      <c r="H3511" t="s">
        <v>947</v>
      </c>
      <c r="K3511">
        <v>3287</v>
      </c>
      <c r="L3511" t="s">
        <v>303</v>
      </c>
      <c r="N3511">
        <v>3287</v>
      </c>
      <c r="O3511" t="s">
        <v>303</v>
      </c>
      <c r="P3511">
        <f t="shared" si="54"/>
        <v>0</v>
      </c>
    </row>
    <row r="3512" spans="1:16" x14ac:dyDescent="0.25">
      <c r="A3512" t="s">
        <v>438</v>
      </c>
      <c r="B3512">
        <v>3288</v>
      </c>
      <c r="C3512" t="s">
        <v>669</v>
      </c>
      <c r="D3512" t="s">
        <v>303</v>
      </c>
      <c r="E3512">
        <v>176</v>
      </c>
      <c r="F3512">
        <v>176</v>
      </c>
      <c r="G3512" t="s">
        <v>947</v>
      </c>
      <c r="H3512" t="s">
        <v>947</v>
      </c>
      <c r="K3512">
        <v>3288</v>
      </c>
      <c r="L3512" t="s">
        <v>303</v>
      </c>
      <c r="N3512">
        <v>3288</v>
      </c>
      <c r="O3512" t="s">
        <v>303</v>
      </c>
      <c r="P3512">
        <f t="shared" si="54"/>
        <v>0</v>
      </c>
    </row>
    <row r="3513" spans="1:16" x14ac:dyDescent="0.25">
      <c r="A3513" t="s">
        <v>438</v>
      </c>
      <c r="B3513">
        <v>3289</v>
      </c>
      <c r="C3513" t="s">
        <v>669</v>
      </c>
      <c r="D3513" t="s">
        <v>303</v>
      </c>
      <c r="E3513">
        <v>176</v>
      </c>
      <c r="F3513">
        <v>176</v>
      </c>
      <c r="G3513" t="s">
        <v>947</v>
      </c>
      <c r="H3513" t="s">
        <v>947</v>
      </c>
      <c r="K3513">
        <v>3289</v>
      </c>
      <c r="L3513" t="s">
        <v>303</v>
      </c>
      <c r="N3513">
        <v>3289</v>
      </c>
      <c r="O3513" t="s">
        <v>303</v>
      </c>
      <c r="P3513">
        <f t="shared" si="54"/>
        <v>0</v>
      </c>
    </row>
    <row r="3514" spans="1:16" x14ac:dyDescent="0.25">
      <c r="A3514" t="s">
        <v>438</v>
      </c>
      <c r="B3514">
        <v>3290</v>
      </c>
      <c r="C3514" t="s">
        <v>669</v>
      </c>
      <c r="D3514" t="s">
        <v>303</v>
      </c>
      <c r="E3514">
        <v>176</v>
      </c>
      <c r="F3514">
        <v>176</v>
      </c>
      <c r="G3514" t="s">
        <v>947</v>
      </c>
      <c r="H3514" t="s">
        <v>947</v>
      </c>
      <c r="K3514">
        <v>3290</v>
      </c>
      <c r="L3514" t="s">
        <v>303</v>
      </c>
      <c r="N3514">
        <v>3290</v>
      </c>
      <c r="O3514" t="s">
        <v>303</v>
      </c>
      <c r="P3514">
        <f t="shared" si="54"/>
        <v>0</v>
      </c>
    </row>
    <row r="3515" spans="1:16" x14ac:dyDescent="0.25">
      <c r="A3515" t="s">
        <v>438</v>
      </c>
      <c r="B3515">
        <v>3291</v>
      </c>
      <c r="C3515" t="s">
        <v>669</v>
      </c>
      <c r="D3515" t="s">
        <v>303</v>
      </c>
      <c r="E3515">
        <v>176</v>
      </c>
      <c r="F3515">
        <v>176</v>
      </c>
      <c r="G3515" t="s">
        <v>947</v>
      </c>
      <c r="H3515" t="s">
        <v>947</v>
      </c>
      <c r="K3515">
        <v>3291</v>
      </c>
      <c r="L3515" t="s">
        <v>303</v>
      </c>
      <c r="N3515">
        <v>3291</v>
      </c>
      <c r="O3515" t="s">
        <v>303</v>
      </c>
      <c r="P3515">
        <f t="shared" si="54"/>
        <v>0</v>
      </c>
    </row>
    <row r="3516" spans="1:16" x14ac:dyDescent="0.25">
      <c r="A3516" t="s">
        <v>438</v>
      </c>
      <c r="B3516">
        <v>3292</v>
      </c>
      <c r="C3516" t="s">
        <v>669</v>
      </c>
      <c r="D3516" t="s">
        <v>303</v>
      </c>
      <c r="E3516">
        <v>176</v>
      </c>
      <c r="F3516">
        <v>176</v>
      </c>
      <c r="G3516" t="s">
        <v>947</v>
      </c>
      <c r="H3516" t="s">
        <v>947</v>
      </c>
      <c r="K3516">
        <v>3292</v>
      </c>
      <c r="L3516" t="s">
        <v>303</v>
      </c>
      <c r="N3516">
        <v>3292</v>
      </c>
      <c r="O3516" t="s">
        <v>303</v>
      </c>
      <c r="P3516">
        <f t="shared" si="54"/>
        <v>0</v>
      </c>
    </row>
    <row r="3517" spans="1:16" x14ac:dyDescent="0.25">
      <c r="A3517" t="s">
        <v>669</v>
      </c>
      <c r="B3517">
        <v>9298</v>
      </c>
      <c r="C3517" t="s">
        <v>669</v>
      </c>
      <c r="D3517" t="s">
        <v>865</v>
      </c>
      <c r="E3517" t="s">
        <v>910</v>
      </c>
      <c r="F3517">
        <v>4</v>
      </c>
      <c r="H3517" t="s">
        <v>701</v>
      </c>
      <c r="K3517">
        <v>9298</v>
      </c>
      <c r="L3517" t="s">
        <v>920</v>
      </c>
      <c r="N3517">
        <v>9298</v>
      </c>
      <c r="O3517" t="s">
        <v>931</v>
      </c>
      <c r="P3517">
        <f t="shared" si="54"/>
        <v>0</v>
      </c>
    </row>
    <row r="3518" spans="1:16" x14ac:dyDescent="0.25">
      <c r="A3518" t="s">
        <v>438</v>
      </c>
      <c r="B3518">
        <v>3293</v>
      </c>
      <c r="C3518" t="s">
        <v>669</v>
      </c>
      <c r="D3518" t="s">
        <v>303</v>
      </c>
      <c r="E3518">
        <v>176</v>
      </c>
      <c r="F3518">
        <v>176</v>
      </c>
      <c r="G3518" t="s">
        <v>947</v>
      </c>
      <c r="H3518" t="s">
        <v>947</v>
      </c>
      <c r="K3518">
        <v>3293</v>
      </c>
      <c r="L3518" t="s">
        <v>303</v>
      </c>
      <c r="N3518">
        <v>3293</v>
      </c>
      <c r="O3518" t="s">
        <v>303</v>
      </c>
      <c r="P3518">
        <f t="shared" si="54"/>
        <v>0</v>
      </c>
    </row>
    <row r="3519" spans="1:16" x14ac:dyDescent="0.25">
      <c r="A3519" t="s">
        <v>438</v>
      </c>
      <c r="B3519">
        <v>3294</v>
      </c>
      <c r="C3519" t="s">
        <v>669</v>
      </c>
      <c r="D3519" t="s">
        <v>303</v>
      </c>
      <c r="E3519">
        <v>176</v>
      </c>
      <c r="F3519">
        <v>176</v>
      </c>
      <c r="G3519" t="s">
        <v>947</v>
      </c>
      <c r="H3519" t="s">
        <v>947</v>
      </c>
      <c r="K3519">
        <v>3294</v>
      </c>
      <c r="L3519" t="s">
        <v>303</v>
      </c>
      <c r="N3519">
        <v>3294</v>
      </c>
      <c r="O3519" t="s">
        <v>303</v>
      </c>
      <c r="P3519">
        <f t="shared" si="54"/>
        <v>0</v>
      </c>
    </row>
    <row r="3520" spans="1:16" x14ac:dyDescent="0.25">
      <c r="A3520" t="s">
        <v>438</v>
      </c>
      <c r="B3520">
        <v>3295</v>
      </c>
      <c r="C3520" t="s">
        <v>669</v>
      </c>
      <c r="D3520" t="s">
        <v>303</v>
      </c>
      <c r="E3520">
        <v>176</v>
      </c>
      <c r="F3520">
        <v>176</v>
      </c>
      <c r="G3520" t="s">
        <v>947</v>
      </c>
      <c r="H3520" t="s">
        <v>947</v>
      </c>
      <c r="K3520">
        <v>3295</v>
      </c>
      <c r="L3520" t="s">
        <v>303</v>
      </c>
      <c r="N3520">
        <v>3295</v>
      </c>
      <c r="O3520" t="s">
        <v>303</v>
      </c>
      <c r="P3520">
        <f t="shared" si="54"/>
        <v>0</v>
      </c>
    </row>
    <row r="3521" spans="1:16" x14ac:dyDescent="0.25">
      <c r="A3521" t="s">
        <v>438</v>
      </c>
      <c r="B3521">
        <v>3296</v>
      </c>
      <c r="C3521" t="s">
        <v>669</v>
      </c>
      <c r="D3521" t="s">
        <v>303</v>
      </c>
      <c r="E3521">
        <v>176</v>
      </c>
      <c r="F3521">
        <v>176</v>
      </c>
      <c r="G3521" t="s">
        <v>947</v>
      </c>
      <c r="H3521" t="s">
        <v>947</v>
      </c>
      <c r="K3521">
        <v>3296</v>
      </c>
      <c r="L3521" t="s">
        <v>303</v>
      </c>
      <c r="N3521">
        <v>3296</v>
      </c>
      <c r="O3521" t="s">
        <v>303</v>
      </c>
      <c r="P3521">
        <f t="shared" si="54"/>
        <v>0</v>
      </c>
    </row>
    <row r="3522" spans="1:16" x14ac:dyDescent="0.25">
      <c r="A3522" t="s">
        <v>438</v>
      </c>
      <c r="B3522">
        <v>3297</v>
      </c>
      <c r="C3522" t="s">
        <v>669</v>
      </c>
      <c r="D3522" t="s">
        <v>303</v>
      </c>
      <c r="E3522">
        <v>176</v>
      </c>
      <c r="F3522">
        <v>176</v>
      </c>
      <c r="G3522" t="s">
        <v>947</v>
      </c>
      <c r="H3522" t="s">
        <v>947</v>
      </c>
      <c r="K3522">
        <v>3297</v>
      </c>
      <c r="L3522" t="s">
        <v>303</v>
      </c>
      <c r="N3522">
        <v>3297</v>
      </c>
      <c r="O3522" t="s">
        <v>303</v>
      </c>
      <c r="P3522">
        <f t="shared" si="54"/>
        <v>0</v>
      </c>
    </row>
    <row r="3523" spans="1:16" x14ac:dyDescent="0.25">
      <c r="A3523" t="s">
        <v>438</v>
      </c>
      <c r="B3523">
        <v>3298</v>
      </c>
      <c r="C3523" t="s">
        <v>669</v>
      </c>
      <c r="D3523" t="s">
        <v>303</v>
      </c>
      <c r="E3523">
        <v>176</v>
      </c>
      <c r="F3523">
        <v>176</v>
      </c>
      <c r="G3523" t="s">
        <v>947</v>
      </c>
      <c r="H3523" t="s">
        <v>947</v>
      </c>
      <c r="K3523">
        <v>3298</v>
      </c>
      <c r="L3523" t="s">
        <v>303</v>
      </c>
      <c r="N3523">
        <v>3298</v>
      </c>
      <c r="O3523" t="s">
        <v>303</v>
      </c>
      <c r="P3523">
        <f t="shared" ref="P3523:P3586" si="55">LEN(I3523)</f>
        <v>0</v>
      </c>
    </row>
    <row r="3524" spans="1:16" x14ac:dyDescent="0.25">
      <c r="A3524" t="s">
        <v>438</v>
      </c>
      <c r="B3524">
        <v>3299</v>
      </c>
      <c r="C3524" t="s">
        <v>669</v>
      </c>
      <c r="D3524" t="s">
        <v>303</v>
      </c>
      <c r="E3524">
        <v>176</v>
      </c>
      <c r="F3524">
        <v>176</v>
      </c>
      <c r="G3524" t="s">
        <v>947</v>
      </c>
      <c r="H3524" t="s">
        <v>947</v>
      </c>
      <c r="K3524">
        <v>3299</v>
      </c>
      <c r="L3524" t="s">
        <v>303</v>
      </c>
      <c r="N3524">
        <v>3299</v>
      </c>
      <c r="O3524" t="s">
        <v>303</v>
      </c>
      <c r="P3524">
        <f t="shared" si="55"/>
        <v>0</v>
      </c>
    </row>
    <row r="3525" spans="1:16" x14ac:dyDescent="0.25">
      <c r="A3525" t="s">
        <v>438</v>
      </c>
      <c r="B3525">
        <v>3300</v>
      </c>
      <c r="C3525" t="s">
        <v>669</v>
      </c>
      <c r="D3525" t="s">
        <v>303</v>
      </c>
      <c r="E3525">
        <v>176</v>
      </c>
      <c r="F3525">
        <v>176</v>
      </c>
      <c r="G3525" t="s">
        <v>947</v>
      </c>
      <c r="H3525" t="s">
        <v>947</v>
      </c>
      <c r="K3525">
        <v>3300</v>
      </c>
      <c r="L3525" t="s">
        <v>303</v>
      </c>
      <c r="N3525">
        <v>3300</v>
      </c>
      <c r="O3525" t="s">
        <v>303</v>
      </c>
      <c r="P3525">
        <f t="shared" si="55"/>
        <v>0</v>
      </c>
    </row>
    <row r="3526" spans="1:16" x14ac:dyDescent="0.25">
      <c r="A3526" t="s">
        <v>438</v>
      </c>
      <c r="B3526">
        <v>3301</v>
      </c>
      <c r="C3526" t="s">
        <v>669</v>
      </c>
      <c r="D3526" t="s">
        <v>303</v>
      </c>
      <c r="E3526">
        <v>176</v>
      </c>
      <c r="F3526">
        <v>176</v>
      </c>
      <c r="G3526" t="s">
        <v>947</v>
      </c>
      <c r="H3526" t="s">
        <v>947</v>
      </c>
      <c r="K3526">
        <v>3301</v>
      </c>
      <c r="L3526" t="s">
        <v>303</v>
      </c>
      <c r="N3526">
        <v>3301</v>
      </c>
      <c r="O3526" t="s">
        <v>303</v>
      </c>
      <c r="P3526">
        <f t="shared" si="55"/>
        <v>0</v>
      </c>
    </row>
    <row r="3527" spans="1:16" x14ac:dyDescent="0.25">
      <c r="A3527" t="s">
        <v>438</v>
      </c>
      <c r="B3527">
        <v>3302</v>
      </c>
      <c r="C3527" t="s">
        <v>669</v>
      </c>
      <c r="D3527" t="s">
        <v>303</v>
      </c>
      <c r="E3527">
        <v>176</v>
      </c>
      <c r="F3527">
        <v>176</v>
      </c>
      <c r="G3527" t="s">
        <v>947</v>
      </c>
      <c r="H3527" t="s">
        <v>947</v>
      </c>
      <c r="K3527">
        <v>3302</v>
      </c>
      <c r="L3527" t="s">
        <v>303</v>
      </c>
      <c r="N3527">
        <v>3302</v>
      </c>
      <c r="O3527" t="s">
        <v>303</v>
      </c>
      <c r="P3527">
        <f t="shared" si="55"/>
        <v>0</v>
      </c>
    </row>
    <row r="3528" spans="1:16" x14ac:dyDescent="0.25">
      <c r="A3528" t="s">
        <v>438</v>
      </c>
      <c r="B3528">
        <v>3303</v>
      </c>
      <c r="C3528" t="s">
        <v>669</v>
      </c>
      <c r="D3528" t="s">
        <v>303</v>
      </c>
      <c r="E3528">
        <v>176</v>
      </c>
      <c r="F3528">
        <v>176</v>
      </c>
      <c r="G3528" t="s">
        <v>947</v>
      </c>
      <c r="H3528" t="s">
        <v>947</v>
      </c>
      <c r="K3528">
        <v>3303</v>
      </c>
      <c r="L3528" t="s">
        <v>303</v>
      </c>
      <c r="N3528">
        <v>3303</v>
      </c>
      <c r="O3528" t="s">
        <v>303</v>
      </c>
      <c r="P3528">
        <f t="shared" si="55"/>
        <v>0</v>
      </c>
    </row>
    <row r="3529" spans="1:16" x14ac:dyDescent="0.25">
      <c r="A3529" t="s">
        <v>438</v>
      </c>
      <c r="B3529">
        <v>3304</v>
      </c>
      <c r="C3529" t="s">
        <v>669</v>
      </c>
      <c r="D3529" t="s">
        <v>303</v>
      </c>
      <c r="E3529">
        <v>176</v>
      </c>
      <c r="F3529">
        <v>176</v>
      </c>
      <c r="G3529" t="s">
        <v>947</v>
      </c>
      <c r="H3529" t="s">
        <v>947</v>
      </c>
      <c r="K3529">
        <v>3304</v>
      </c>
      <c r="L3529" t="s">
        <v>303</v>
      </c>
      <c r="N3529">
        <v>3304</v>
      </c>
      <c r="O3529" t="s">
        <v>303</v>
      </c>
      <c r="P3529">
        <f t="shared" si="55"/>
        <v>0</v>
      </c>
    </row>
    <row r="3530" spans="1:16" x14ac:dyDescent="0.25">
      <c r="A3530" t="s">
        <v>438</v>
      </c>
      <c r="B3530">
        <v>3305</v>
      </c>
      <c r="C3530" t="s">
        <v>669</v>
      </c>
      <c r="D3530" t="s">
        <v>303</v>
      </c>
      <c r="E3530">
        <v>176</v>
      </c>
      <c r="F3530">
        <v>176</v>
      </c>
      <c r="G3530" t="s">
        <v>947</v>
      </c>
      <c r="H3530" t="s">
        <v>947</v>
      </c>
      <c r="K3530">
        <v>3305</v>
      </c>
      <c r="L3530" t="s">
        <v>303</v>
      </c>
      <c r="N3530">
        <v>3305</v>
      </c>
      <c r="O3530" t="s">
        <v>303</v>
      </c>
      <c r="P3530">
        <f t="shared" si="55"/>
        <v>0</v>
      </c>
    </row>
    <row r="3531" spans="1:16" x14ac:dyDescent="0.25">
      <c r="A3531" t="s">
        <v>438</v>
      </c>
      <c r="B3531">
        <v>3306</v>
      </c>
      <c r="C3531" t="s">
        <v>669</v>
      </c>
      <c r="D3531" t="s">
        <v>303</v>
      </c>
      <c r="E3531">
        <v>176</v>
      </c>
      <c r="F3531">
        <v>176</v>
      </c>
      <c r="G3531" t="s">
        <v>947</v>
      </c>
      <c r="H3531" t="s">
        <v>947</v>
      </c>
      <c r="K3531">
        <v>3306</v>
      </c>
      <c r="L3531" t="s">
        <v>303</v>
      </c>
      <c r="N3531">
        <v>3306</v>
      </c>
      <c r="O3531" t="s">
        <v>303</v>
      </c>
      <c r="P3531">
        <f t="shared" si="55"/>
        <v>0</v>
      </c>
    </row>
    <row r="3532" spans="1:16" x14ac:dyDescent="0.25">
      <c r="A3532" t="s">
        <v>438</v>
      </c>
      <c r="B3532">
        <v>3307</v>
      </c>
      <c r="C3532" t="s">
        <v>669</v>
      </c>
      <c r="D3532" t="s">
        <v>303</v>
      </c>
      <c r="E3532">
        <v>176</v>
      </c>
      <c r="F3532">
        <v>176</v>
      </c>
      <c r="G3532" t="s">
        <v>947</v>
      </c>
      <c r="H3532" t="s">
        <v>947</v>
      </c>
      <c r="K3532">
        <v>3307</v>
      </c>
      <c r="L3532" t="s">
        <v>303</v>
      </c>
      <c r="N3532">
        <v>3307</v>
      </c>
      <c r="O3532" t="s">
        <v>303</v>
      </c>
      <c r="P3532">
        <f t="shared" si="55"/>
        <v>0</v>
      </c>
    </row>
    <row r="3533" spans="1:16" x14ac:dyDescent="0.25">
      <c r="A3533" t="s">
        <v>438</v>
      </c>
      <c r="B3533">
        <v>3308</v>
      </c>
      <c r="C3533" t="s">
        <v>669</v>
      </c>
      <c r="D3533" t="s">
        <v>303</v>
      </c>
      <c r="E3533">
        <v>176</v>
      </c>
      <c r="F3533">
        <v>176</v>
      </c>
      <c r="G3533" t="s">
        <v>947</v>
      </c>
      <c r="H3533" t="s">
        <v>947</v>
      </c>
      <c r="K3533">
        <v>3308</v>
      </c>
      <c r="L3533" t="s">
        <v>303</v>
      </c>
      <c r="N3533">
        <v>3308</v>
      </c>
      <c r="O3533" t="s">
        <v>303</v>
      </c>
      <c r="P3533">
        <f t="shared" si="55"/>
        <v>0</v>
      </c>
    </row>
    <row r="3534" spans="1:16" x14ac:dyDescent="0.25">
      <c r="A3534" t="s">
        <v>438</v>
      </c>
      <c r="B3534">
        <v>3309</v>
      </c>
      <c r="C3534" t="s">
        <v>669</v>
      </c>
      <c r="D3534" t="s">
        <v>303</v>
      </c>
      <c r="E3534">
        <v>176</v>
      </c>
      <c r="F3534">
        <v>176</v>
      </c>
      <c r="G3534" t="s">
        <v>947</v>
      </c>
      <c r="H3534" t="s">
        <v>947</v>
      </c>
      <c r="K3534">
        <v>3309</v>
      </c>
      <c r="L3534" t="s">
        <v>303</v>
      </c>
      <c r="N3534">
        <v>3309</v>
      </c>
      <c r="O3534" t="s">
        <v>303</v>
      </c>
      <c r="P3534">
        <f t="shared" si="55"/>
        <v>0</v>
      </c>
    </row>
    <row r="3535" spans="1:16" x14ac:dyDescent="0.25">
      <c r="A3535" t="s">
        <v>438</v>
      </c>
      <c r="B3535">
        <v>3310</v>
      </c>
      <c r="C3535" t="s">
        <v>669</v>
      </c>
      <c r="D3535" t="s">
        <v>303</v>
      </c>
      <c r="E3535">
        <v>176</v>
      </c>
      <c r="F3535">
        <v>176</v>
      </c>
      <c r="G3535" t="s">
        <v>947</v>
      </c>
      <c r="H3535" t="s">
        <v>947</v>
      </c>
      <c r="K3535">
        <v>3310</v>
      </c>
      <c r="L3535" t="s">
        <v>303</v>
      </c>
      <c r="N3535">
        <v>3310</v>
      </c>
      <c r="O3535" t="s">
        <v>303</v>
      </c>
      <c r="P3535">
        <f t="shared" si="55"/>
        <v>0</v>
      </c>
    </row>
    <row r="3536" spans="1:16" x14ac:dyDescent="0.25">
      <c r="A3536" t="s">
        <v>438</v>
      </c>
      <c r="B3536">
        <v>3311</v>
      </c>
      <c r="C3536" t="s">
        <v>669</v>
      </c>
      <c r="D3536" t="s">
        <v>303</v>
      </c>
      <c r="E3536">
        <v>176</v>
      </c>
      <c r="F3536">
        <v>176</v>
      </c>
      <c r="G3536" t="s">
        <v>947</v>
      </c>
      <c r="H3536" t="s">
        <v>947</v>
      </c>
      <c r="K3536">
        <v>3311</v>
      </c>
      <c r="L3536" t="s">
        <v>303</v>
      </c>
      <c r="N3536">
        <v>3311</v>
      </c>
      <c r="O3536" t="s">
        <v>303</v>
      </c>
      <c r="P3536">
        <f t="shared" si="55"/>
        <v>0</v>
      </c>
    </row>
    <row r="3537" spans="1:16" x14ac:dyDescent="0.25">
      <c r="A3537" t="s">
        <v>438</v>
      </c>
      <c r="B3537">
        <v>3312</v>
      </c>
      <c r="C3537" t="s">
        <v>669</v>
      </c>
      <c r="D3537" t="s">
        <v>303</v>
      </c>
      <c r="E3537">
        <v>176</v>
      </c>
      <c r="F3537">
        <v>176</v>
      </c>
      <c r="G3537" t="s">
        <v>947</v>
      </c>
      <c r="H3537" t="s">
        <v>947</v>
      </c>
      <c r="K3537">
        <v>3312</v>
      </c>
      <c r="L3537" t="s">
        <v>303</v>
      </c>
      <c r="N3537">
        <v>3312</v>
      </c>
      <c r="O3537" t="s">
        <v>303</v>
      </c>
      <c r="P3537">
        <f t="shared" si="55"/>
        <v>0</v>
      </c>
    </row>
    <row r="3538" spans="1:16" x14ac:dyDescent="0.25">
      <c r="A3538" t="s">
        <v>438</v>
      </c>
      <c r="B3538">
        <v>3313</v>
      </c>
      <c r="C3538" t="s">
        <v>669</v>
      </c>
      <c r="D3538" t="s">
        <v>303</v>
      </c>
      <c r="E3538">
        <v>176</v>
      </c>
      <c r="F3538">
        <v>176</v>
      </c>
      <c r="G3538" t="s">
        <v>947</v>
      </c>
      <c r="H3538" t="s">
        <v>947</v>
      </c>
      <c r="K3538">
        <v>3313</v>
      </c>
      <c r="L3538" t="s">
        <v>303</v>
      </c>
      <c r="N3538">
        <v>3313</v>
      </c>
      <c r="O3538" t="s">
        <v>303</v>
      </c>
      <c r="P3538">
        <f t="shared" si="55"/>
        <v>0</v>
      </c>
    </row>
    <row r="3539" spans="1:16" x14ac:dyDescent="0.25">
      <c r="A3539" t="s">
        <v>438</v>
      </c>
      <c r="B3539">
        <v>3314</v>
      </c>
      <c r="C3539" t="s">
        <v>669</v>
      </c>
      <c r="D3539" t="s">
        <v>303</v>
      </c>
      <c r="E3539">
        <v>176</v>
      </c>
      <c r="F3539">
        <v>176</v>
      </c>
      <c r="G3539" t="s">
        <v>947</v>
      </c>
      <c r="H3539" t="s">
        <v>947</v>
      </c>
      <c r="K3539">
        <v>3314</v>
      </c>
      <c r="L3539" t="s">
        <v>303</v>
      </c>
      <c r="N3539">
        <v>3314</v>
      </c>
      <c r="O3539" t="s">
        <v>303</v>
      </c>
      <c r="P3539">
        <f t="shared" si="55"/>
        <v>0</v>
      </c>
    </row>
    <row r="3540" spans="1:16" x14ac:dyDescent="0.25">
      <c r="A3540" t="s">
        <v>438</v>
      </c>
      <c r="B3540">
        <v>3315</v>
      </c>
      <c r="C3540" t="s">
        <v>669</v>
      </c>
      <c r="D3540" t="s">
        <v>303</v>
      </c>
      <c r="E3540">
        <v>176</v>
      </c>
      <c r="F3540">
        <v>176</v>
      </c>
      <c r="G3540" t="s">
        <v>947</v>
      </c>
      <c r="H3540" t="s">
        <v>947</v>
      </c>
      <c r="K3540">
        <v>3315</v>
      </c>
      <c r="L3540" t="s">
        <v>303</v>
      </c>
      <c r="N3540">
        <v>3315</v>
      </c>
      <c r="O3540" t="s">
        <v>303</v>
      </c>
      <c r="P3540">
        <f t="shared" si="55"/>
        <v>0</v>
      </c>
    </row>
    <row r="3541" spans="1:16" x14ac:dyDescent="0.25">
      <c r="A3541" t="s">
        <v>438</v>
      </c>
      <c r="B3541">
        <v>3316</v>
      </c>
      <c r="C3541" t="s">
        <v>669</v>
      </c>
      <c r="D3541" t="s">
        <v>303</v>
      </c>
      <c r="E3541">
        <v>176</v>
      </c>
      <c r="F3541">
        <v>176</v>
      </c>
      <c r="G3541" t="s">
        <v>947</v>
      </c>
      <c r="H3541" t="s">
        <v>947</v>
      </c>
      <c r="K3541">
        <v>3316</v>
      </c>
      <c r="L3541" t="s">
        <v>303</v>
      </c>
      <c r="N3541">
        <v>3316</v>
      </c>
      <c r="O3541" t="s">
        <v>303</v>
      </c>
      <c r="P3541">
        <f t="shared" si="55"/>
        <v>0</v>
      </c>
    </row>
    <row r="3542" spans="1:16" x14ac:dyDescent="0.25">
      <c r="A3542" t="s">
        <v>438</v>
      </c>
      <c r="B3542">
        <v>3317</v>
      </c>
      <c r="C3542" t="s">
        <v>669</v>
      </c>
      <c r="D3542" t="s">
        <v>303</v>
      </c>
      <c r="E3542">
        <v>176</v>
      </c>
      <c r="F3542">
        <v>176</v>
      </c>
      <c r="G3542" t="s">
        <v>947</v>
      </c>
      <c r="H3542" t="s">
        <v>947</v>
      </c>
      <c r="K3542">
        <v>3317</v>
      </c>
      <c r="L3542" t="s">
        <v>303</v>
      </c>
      <c r="N3542">
        <v>3317</v>
      </c>
      <c r="O3542" t="s">
        <v>303</v>
      </c>
      <c r="P3542">
        <f t="shared" si="55"/>
        <v>0</v>
      </c>
    </row>
    <row r="3543" spans="1:16" x14ac:dyDescent="0.25">
      <c r="A3543" t="s">
        <v>438</v>
      </c>
      <c r="B3543">
        <v>3318</v>
      </c>
      <c r="C3543" t="s">
        <v>669</v>
      </c>
      <c r="D3543" t="s">
        <v>303</v>
      </c>
      <c r="E3543">
        <v>176</v>
      </c>
      <c r="F3543">
        <v>176</v>
      </c>
      <c r="G3543" t="s">
        <v>947</v>
      </c>
      <c r="H3543" t="s">
        <v>947</v>
      </c>
      <c r="K3543">
        <v>3318</v>
      </c>
      <c r="L3543" t="s">
        <v>303</v>
      </c>
      <c r="N3543">
        <v>3318</v>
      </c>
      <c r="O3543" t="s">
        <v>303</v>
      </c>
      <c r="P3543">
        <f t="shared" si="55"/>
        <v>0</v>
      </c>
    </row>
    <row r="3544" spans="1:16" x14ac:dyDescent="0.25">
      <c r="A3544" t="s">
        <v>438</v>
      </c>
      <c r="B3544">
        <v>3319</v>
      </c>
      <c r="C3544" t="s">
        <v>669</v>
      </c>
      <c r="D3544" t="s">
        <v>303</v>
      </c>
      <c r="E3544">
        <v>176</v>
      </c>
      <c r="F3544">
        <v>176</v>
      </c>
      <c r="G3544" t="s">
        <v>947</v>
      </c>
      <c r="H3544" t="s">
        <v>947</v>
      </c>
      <c r="K3544">
        <v>3319</v>
      </c>
      <c r="L3544" t="s">
        <v>303</v>
      </c>
      <c r="N3544">
        <v>3319</v>
      </c>
      <c r="O3544" t="s">
        <v>303</v>
      </c>
      <c r="P3544">
        <f t="shared" si="55"/>
        <v>0</v>
      </c>
    </row>
    <row r="3545" spans="1:16" x14ac:dyDescent="0.25">
      <c r="A3545" t="s">
        <v>438</v>
      </c>
      <c r="B3545">
        <v>3320</v>
      </c>
      <c r="C3545" t="s">
        <v>669</v>
      </c>
      <c r="D3545" t="s">
        <v>303</v>
      </c>
      <c r="E3545">
        <v>176</v>
      </c>
      <c r="F3545">
        <v>176</v>
      </c>
      <c r="G3545" t="s">
        <v>947</v>
      </c>
      <c r="H3545" t="s">
        <v>947</v>
      </c>
      <c r="K3545">
        <v>3320</v>
      </c>
      <c r="L3545" t="s">
        <v>303</v>
      </c>
      <c r="N3545">
        <v>3320</v>
      </c>
      <c r="O3545" t="s">
        <v>303</v>
      </c>
      <c r="P3545">
        <f t="shared" si="55"/>
        <v>0</v>
      </c>
    </row>
    <row r="3546" spans="1:16" x14ac:dyDescent="0.25">
      <c r="A3546" t="s">
        <v>438</v>
      </c>
      <c r="B3546">
        <v>3321</v>
      </c>
      <c r="C3546" t="s">
        <v>669</v>
      </c>
      <c r="D3546" t="s">
        <v>303</v>
      </c>
      <c r="E3546">
        <v>176</v>
      </c>
      <c r="F3546">
        <v>176</v>
      </c>
      <c r="G3546" t="s">
        <v>947</v>
      </c>
      <c r="H3546" t="s">
        <v>947</v>
      </c>
      <c r="K3546">
        <v>3321</v>
      </c>
      <c r="L3546" t="s">
        <v>303</v>
      </c>
      <c r="N3546">
        <v>3321</v>
      </c>
      <c r="O3546" t="s">
        <v>303</v>
      </c>
      <c r="P3546">
        <f t="shared" si="55"/>
        <v>0</v>
      </c>
    </row>
    <row r="3547" spans="1:16" x14ac:dyDescent="0.25">
      <c r="A3547" t="s">
        <v>438</v>
      </c>
      <c r="B3547">
        <v>3322</v>
      </c>
      <c r="C3547" t="s">
        <v>669</v>
      </c>
      <c r="D3547" t="s">
        <v>303</v>
      </c>
      <c r="E3547">
        <v>176</v>
      </c>
      <c r="F3547">
        <v>176</v>
      </c>
      <c r="G3547" t="s">
        <v>947</v>
      </c>
      <c r="H3547" t="s">
        <v>947</v>
      </c>
      <c r="K3547">
        <v>3322</v>
      </c>
      <c r="L3547" t="s">
        <v>303</v>
      </c>
      <c r="N3547">
        <v>3322</v>
      </c>
      <c r="O3547" t="s">
        <v>303</v>
      </c>
      <c r="P3547">
        <f t="shared" si="55"/>
        <v>0</v>
      </c>
    </row>
    <row r="3548" spans="1:16" x14ac:dyDescent="0.25">
      <c r="A3548" t="s">
        <v>438</v>
      </c>
      <c r="B3548">
        <v>3323</v>
      </c>
      <c r="C3548" t="s">
        <v>669</v>
      </c>
      <c r="D3548" t="s">
        <v>303</v>
      </c>
      <c r="E3548">
        <v>176</v>
      </c>
      <c r="F3548">
        <v>176</v>
      </c>
      <c r="G3548" t="s">
        <v>947</v>
      </c>
      <c r="H3548" t="s">
        <v>947</v>
      </c>
      <c r="K3548">
        <v>3323</v>
      </c>
      <c r="L3548" t="s">
        <v>303</v>
      </c>
      <c r="N3548">
        <v>3323</v>
      </c>
      <c r="O3548" t="s">
        <v>303</v>
      </c>
      <c r="P3548">
        <f t="shared" si="55"/>
        <v>0</v>
      </c>
    </row>
    <row r="3549" spans="1:16" x14ac:dyDescent="0.25">
      <c r="A3549" t="s">
        <v>438</v>
      </c>
      <c r="B3549">
        <v>3324</v>
      </c>
      <c r="C3549" t="s">
        <v>669</v>
      </c>
      <c r="D3549" t="s">
        <v>303</v>
      </c>
      <c r="E3549">
        <v>176</v>
      </c>
      <c r="F3549">
        <v>176</v>
      </c>
      <c r="G3549" t="s">
        <v>947</v>
      </c>
      <c r="H3549" t="s">
        <v>947</v>
      </c>
      <c r="K3549">
        <v>3324</v>
      </c>
      <c r="L3549" t="s">
        <v>303</v>
      </c>
      <c r="N3549">
        <v>3324</v>
      </c>
      <c r="O3549" t="s">
        <v>303</v>
      </c>
      <c r="P3549">
        <f t="shared" si="55"/>
        <v>0</v>
      </c>
    </row>
    <row r="3550" spans="1:16" x14ac:dyDescent="0.25">
      <c r="A3550" t="s">
        <v>438</v>
      </c>
      <c r="B3550">
        <v>3325</v>
      </c>
      <c r="C3550" t="s">
        <v>669</v>
      </c>
      <c r="D3550" t="s">
        <v>303</v>
      </c>
      <c r="E3550">
        <v>176</v>
      </c>
      <c r="F3550">
        <v>176</v>
      </c>
      <c r="G3550" t="s">
        <v>947</v>
      </c>
      <c r="H3550" t="s">
        <v>947</v>
      </c>
      <c r="K3550">
        <v>3325</v>
      </c>
      <c r="L3550" t="s">
        <v>303</v>
      </c>
      <c r="N3550">
        <v>3325</v>
      </c>
      <c r="O3550" t="s">
        <v>303</v>
      </c>
      <c r="P3550">
        <f t="shared" si="55"/>
        <v>0</v>
      </c>
    </row>
    <row r="3551" spans="1:16" x14ac:dyDescent="0.25">
      <c r="A3551" t="s">
        <v>438</v>
      </c>
      <c r="B3551">
        <v>3326</v>
      </c>
      <c r="C3551" t="s">
        <v>669</v>
      </c>
      <c r="D3551" t="s">
        <v>303</v>
      </c>
      <c r="E3551">
        <v>176</v>
      </c>
      <c r="F3551">
        <v>176</v>
      </c>
      <c r="G3551" t="s">
        <v>947</v>
      </c>
      <c r="H3551" t="s">
        <v>947</v>
      </c>
      <c r="K3551">
        <v>3326</v>
      </c>
      <c r="L3551" t="s">
        <v>303</v>
      </c>
      <c r="N3551">
        <v>3326</v>
      </c>
      <c r="O3551" t="s">
        <v>303</v>
      </c>
      <c r="P3551">
        <f t="shared" si="55"/>
        <v>0</v>
      </c>
    </row>
    <row r="3552" spans="1:16" x14ac:dyDescent="0.25">
      <c r="A3552" t="s">
        <v>438</v>
      </c>
      <c r="B3552">
        <v>3327</v>
      </c>
      <c r="C3552" t="s">
        <v>669</v>
      </c>
      <c r="D3552" t="s">
        <v>303</v>
      </c>
      <c r="E3552">
        <v>176</v>
      </c>
      <c r="F3552">
        <v>176</v>
      </c>
      <c r="G3552" t="s">
        <v>947</v>
      </c>
      <c r="H3552" t="s">
        <v>947</v>
      </c>
      <c r="K3552">
        <v>3327</v>
      </c>
      <c r="L3552" t="s">
        <v>303</v>
      </c>
      <c r="N3552">
        <v>3327</v>
      </c>
      <c r="O3552" t="s">
        <v>303</v>
      </c>
      <c r="P3552">
        <f t="shared" si="55"/>
        <v>0</v>
      </c>
    </row>
    <row r="3553" spans="1:16" x14ac:dyDescent="0.25">
      <c r="A3553" t="s">
        <v>438</v>
      </c>
      <c r="B3553">
        <v>3328</v>
      </c>
      <c r="C3553" t="s">
        <v>669</v>
      </c>
      <c r="D3553" t="s">
        <v>303</v>
      </c>
      <c r="E3553">
        <v>176</v>
      </c>
      <c r="F3553">
        <v>176</v>
      </c>
      <c r="G3553" t="s">
        <v>947</v>
      </c>
      <c r="H3553" t="s">
        <v>947</v>
      </c>
      <c r="K3553">
        <v>3328</v>
      </c>
      <c r="L3553" t="s">
        <v>303</v>
      </c>
      <c r="N3553">
        <v>3328</v>
      </c>
      <c r="O3553" t="s">
        <v>303</v>
      </c>
      <c r="P3553">
        <f t="shared" si="55"/>
        <v>0</v>
      </c>
    </row>
    <row r="3554" spans="1:16" x14ac:dyDescent="0.25">
      <c r="A3554" t="s">
        <v>438</v>
      </c>
      <c r="B3554">
        <v>3329</v>
      </c>
      <c r="C3554" t="s">
        <v>669</v>
      </c>
      <c r="D3554" t="s">
        <v>303</v>
      </c>
      <c r="E3554">
        <v>176</v>
      </c>
      <c r="F3554">
        <v>176</v>
      </c>
      <c r="G3554" t="s">
        <v>947</v>
      </c>
      <c r="H3554" t="s">
        <v>947</v>
      </c>
      <c r="K3554">
        <v>3329</v>
      </c>
      <c r="L3554" t="s">
        <v>303</v>
      </c>
      <c r="N3554">
        <v>3329</v>
      </c>
      <c r="O3554" t="s">
        <v>303</v>
      </c>
      <c r="P3554">
        <f t="shared" si="55"/>
        <v>0</v>
      </c>
    </row>
    <row r="3555" spans="1:16" x14ac:dyDescent="0.25">
      <c r="A3555" t="s">
        <v>438</v>
      </c>
      <c r="B3555">
        <v>3330</v>
      </c>
      <c r="C3555" t="s">
        <v>669</v>
      </c>
      <c r="D3555" t="s">
        <v>303</v>
      </c>
      <c r="E3555">
        <v>176</v>
      </c>
      <c r="F3555">
        <v>176</v>
      </c>
      <c r="G3555" t="s">
        <v>947</v>
      </c>
      <c r="H3555" t="s">
        <v>947</v>
      </c>
      <c r="K3555">
        <v>3330</v>
      </c>
      <c r="L3555" t="s">
        <v>303</v>
      </c>
      <c r="N3555">
        <v>3330</v>
      </c>
      <c r="O3555" t="s">
        <v>303</v>
      </c>
      <c r="P3555">
        <f t="shared" si="55"/>
        <v>0</v>
      </c>
    </row>
    <row r="3556" spans="1:16" x14ac:dyDescent="0.25">
      <c r="A3556" t="s">
        <v>438</v>
      </c>
      <c r="B3556">
        <v>3331</v>
      </c>
      <c r="C3556" t="s">
        <v>669</v>
      </c>
      <c r="D3556" t="s">
        <v>303</v>
      </c>
      <c r="E3556">
        <v>176</v>
      </c>
      <c r="F3556">
        <v>176</v>
      </c>
      <c r="G3556" t="s">
        <v>947</v>
      </c>
      <c r="H3556" t="s">
        <v>947</v>
      </c>
      <c r="K3556">
        <v>3331</v>
      </c>
      <c r="L3556" t="s">
        <v>303</v>
      </c>
      <c r="N3556">
        <v>3331</v>
      </c>
      <c r="O3556" t="s">
        <v>303</v>
      </c>
      <c r="P3556">
        <f t="shared" si="55"/>
        <v>0</v>
      </c>
    </row>
    <row r="3557" spans="1:16" x14ac:dyDescent="0.25">
      <c r="A3557" t="s">
        <v>438</v>
      </c>
      <c r="B3557">
        <v>3332</v>
      </c>
      <c r="C3557" t="s">
        <v>669</v>
      </c>
      <c r="D3557" t="s">
        <v>303</v>
      </c>
      <c r="E3557">
        <v>176</v>
      </c>
      <c r="F3557">
        <v>176</v>
      </c>
      <c r="G3557" t="s">
        <v>947</v>
      </c>
      <c r="H3557" t="s">
        <v>947</v>
      </c>
      <c r="K3557">
        <v>3332</v>
      </c>
      <c r="L3557" t="s">
        <v>303</v>
      </c>
      <c r="N3557">
        <v>3332</v>
      </c>
      <c r="O3557" t="s">
        <v>303</v>
      </c>
      <c r="P3557">
        <f t="shared" si="55"/>
        <v>0</v>
      </c>
    </row>
    <row r="3558" spans="1:16" x14ac:dyDescent="0.25">
      <c r="A3558" t="s">
        <v>438</v>
      </c>
      <c r="B3558">
        <v>3333</v>
      </c>
      <c r="C3558" t="s">
        <v>669</v>
      </c>
      <c r="D3558" t="s">
        <v>303</v>
      </c>
      <c r="E3558">
        <v>176</v>
      </c>
      <c r="F3558">
        <v>176</v>
      </c>
      <c r="G3558" t="s">
        <v>947</v>
      </c>
      <c r="H3558" t="s">
        <v>947</v>
      </c>
      <c r="K3558">
        <v>3333</v>
      </c>
      <c r="L3558" t="s">
        <v>303</v>
      </c>
      <c r="N3558">
        <v>3333</v>
      </c>
      <c r="O3558" t="s">
        <v>303</v>
      </c>
      <c r="P3558">
        <f t="shared" si="55"/>
        <v>0</v>
      </c>
    </row>
    <row r="3559" spans="1:16" x14ac:dyDescent="0.25">
      <c r="A3559" t="s">
        <v>438</v>
      </c>
      <c r="B3559">
        <v>3334</v>
      </c>
      <c r="C3559" t="s">
        <v>669</v>
      </c>
      <c r="D3559" t="s">
        <v>303</v>
      </c>
      <c r="E3559">
        <v>176</v>
      </c>
      <c r="F3559">
        <v>176</v>
      </c>
      <c r="G3559" t="s">
        <v>947</v>
      </c>
      <c r="H3559" t="s">
        <v>947</v>
      </c>
      <c r="K3559">
        <v>3334</v>
      </c>
      <c r="L3559" t="s">
        <v>303</v>
      </c>
      <c r="N3559">
        <v>3334</v>
      </c>
      <c r="O3559" t="s">
        <v>303</v>
      </c>
      <c r="P3559">
        <f t="shared" si="55"/>
        <v>0</v>
      </c>
    </row>
    <row r="3560" spans="1:16" x14ac:dyDescent="0.25">
      <c r="A3560" t="s">
        <v>438</v>
      </c>
      <c r="B3560">
        <v>3335</v>
      </c>
      <c r="C3560" t="s">
        <v>669</v>
      </c>
      <c r="D3560" t="s">
        <v>303</v>
      </c>
      <c r="E3560">
        <v>176</v>
      </c>
      <c r="F3560">
        <v>176</v>
      </c>
      <c r="G3560" t="s">
        <v>947</v>
      </c>
      <c r="H3560" t="s">
        <v>947</v>
      </c>
      <c r="K3560">
        <v>3335</v>
      </c>
      <c r="L3560" t="s">
        <v>303</v>
      </c>
      <c r="N3560">
        <v>3335</v>
      </c>
      <c r="O3560" t="s">
        <v>303</v>
      </c>
      <c r="P3560">
        <f t="shared" si="55"/>
        <v>0</v>
      </c>
    </row>
    <row r="3561" spans="1:16" x14ac:dyDescent="0.25">
      <c r="A3561" t="s">
        <v>438</v>
      </c>
      <c r="B3561">
        <v>3336</v>
      </c>
      <c r="C3561" t="s">
        <v>669</v>
      </c>
      <c r="D3561" t="s">
        <v>303</v>
      </c>
      <c r="E3561">
        <v>176</v>
      </c>
      <c r="F3561">
        <v>176</v>
      </c>
      <c r="G3561" t="s">
        <v>947</v>
      </c>
      <c r="H3561" t="s">
        <v>947</v>
      </c>
      <c r="K3561">
        <v>3336</v>
      </c>
      <c r="L3561" t="s">
        <v>303</v>
      </c>
      <c r="N3561">
        <v>3336</v>
      </c>
      <c r="O3561" t="s">
        <v>303</v>
      </c>
      <c r="P3561">
        <f t="shared" si="55"/>
        <v>0</v>
      </c>
    </row>
    <row r="3562" spans="1:16" x14ac:dyDescent="0.25">
      <c r="A3562" t="s">
        <v>438</v>
      </c>
      <c r="B3562">
        <v>3337</v>
      </c>
      <c r="C3562" t="s">
        <v>669</v>
      </c>
      <c r="D3562" t="s">
        <v>303</v>
      </c>
      <c r="E3562">
        <v>176</v>
      </c>
      <c r="F3562">
        <v>176</v>
      </c>
      <c r="G3562" t="s">
        <v>947</v>
      </c>
      <c r="H3562" t="s">
        <v>947</v>
      </c>
      <c r="K3562">
        <v>3337</v>
      </c>
      <c r="L3562" t="s">
        <v>303</v>
      </c>
      <c r="N3562">
        <v>3337</v>
      </c>
      <c r="O3562" t="s">
        <v>303</v>
      </c>
      <c r="P3562">
        <f t="shared" si="55"/>
        <v>0</v>
      </c>
    </row>
    <row r="3563" spans="1:16" x14ac:dyDescent="0.25">
      <c r="A3563" t="s">
        <v>438</v>
      </c>
      <c r="B3563">
        <v>3338</v>
      </c>
      <c r="C3563" t="s">
        <v>669</v>
      </c>
      <c r="D3563" t="s">
        <v>303</v>
      </c>
      <c r="E3563">
        <v>176</v>
      </c>
      <c r="F3563">
        <v>176</v>
      </c>
      <c r="G3563" t="s">
        <v>947</v>
      </c>
      <c r="H3563" t="s">
        <v>947</v>
      </c>
      <c r="K3563">
        <v>3338</v>
      </c>
      <c r="L3563" t="s">
        <v>303</v>
      </c>
      <c r="N3563">
        <v>3338</v>
      </c>
      <c r="O3563" t="s">
        <v>303</v>
      </c>
      <c r="P3563">
        <f t="shared" si="55"/>
        <v>0</v>
      </c>
    </row>
    <row r="3564" spans="1:16" x14ac:dyDescent="0.25">
      <c r="A3564" t="s">
        <v>438</v>
      </c>
      <c r="B3564">
        <v>3339</v>
      </c>
      <c r="C3564" t="s">
        <v>669</v>
      </c>
      <c r="D3564" t="s">
        <v>303</v>
      </c>
      <c r="E3564">
        <v>176</v>
      </c>
      <c r="F3564">
        <v>176</v>
      </c>
      <c r="G3564" t="s">
        <v>947</v>
      </c>
      <c r="H3564" t="s">
        <v>947</v>
      </c>
      <c r="K3564">
        <v>3339</v>
      </c>
      <c r="L3564" t="s">
        <v>303</v>
      </c>
      <c r="N3564">
        <v>3339</v>
      </c>
      <c r="O3564" t="s">
        <v>303</v>
      </c>
      <c r="P3564">
        <f t="shared" si="55"/>
        <v>0</v>
      </c>
    </row>
    <row r="3565" spans="1:16" x14ac:dyDescent="0.25">
      <c r="A3565" t="s">
        <v>438</v>
      </c>
      <c r="B3565">
        <v>3340</v>
      </c>
      <c r="C3565" t="s">
        <v>669</v>
      </c>
      <c r="D3565" t="s">
        <v>303</v>
      </c>
      <c r="E3565">
        <v>176</v>
      </c>
      <c r="F3565">
        <v>176</v>
      </c>
      <c r="G3565" t="s">
        <v>947</v>
      </c>
      <c r="H3565" t="s">
        <v>947</v>
      </c>
      <c r="K3565">
        <v>3340</v>
      </c>
      <c r="L3565" t="s">
        <v>303</v>
      </c>
      <c r="N3565">
        <v>3340</v>
      </c>
      <c r="O3565" t="s">
        <v>303</v>
      </c>
      <c r="P3565">
        <f t="shared" si="55"/>
        <v>0</v>
      </c>
    </row>
    <row r="3566" spans="1:16" x14ac:dyDescent="0.25">
      <c r="A3566" t="s">
        <v>438</v>
      </c>
      <c r="B3566">
        <v>3341</v>
      </c>
      <c r="C3566" t="s">
        <v>669</v>
      </c>
      <c r="D3566" t="s">
        <v>303</v>
      </c>
      <c r="E3566">
        <v>176</v>
      </c>
      <c r="F3566">
        <v>176</v>
      </c>
      <c r="G3566" t="s">
        <v>947</v>
      </c>
      <c r="H3566" t="s">
        <v>947</v>
      </c>
      <c r="K3566">
        <v>3341</v>
      </c>
      <c r="L3566" t="s">
        <v>303</v>
      </c>
      <c r="N3566">
        <v>3341</v>
      </c>
      <c r="O3566" t="s">
        <v>303</v>
      </c>
      <c r="P3566">
        <f t="shared" si="55"/>
        <v>0</v>
      </c>
    </row>
    <row r="3567" spans="1:16" x14ac:dyDescent="0.25">
      <c r="A3567" t="s">
        <v>438</v>
      </c>
      <c r="B3567">
        <v>3342</v>
      </c>
      <c r="C3567" t="s">
        <v>669</v>
      </c>
      <c r="D3567" t="s">
        <v>303</v>
      </c>
      <c r="E3567">
        <v>176</v>
      </c>
      <c r="F3567">
        <v>176</v>
      </c>
      <c r="G3567" t="s">
        <v>947</v>
      </c>
      <c r="H3567" t="s">
        <v>947</v>
      </c>
      <c r="K3567">
        <v>3342</v>
      </c>
      <c r="L3567" t="s">
        <v>303</v>
      </c>
      <c r="N3567">
        <v>3342</v>
      </c>
      <c r="O3567" t="s">
        <v>303</v>
      </c>
      <c r="P3567">
        <f t="shared" si="55"/>
        <v>0</v>
      </c>
    </row>
    <row r="3568" spans="1:16" x14ac:dyDescent="0.25">
      <c r="A3568" t="s">
        <v>438</v>
      </c>
      <c r="B3568">
        <v>3343</v>
      </c>
      <c r="C3568" t="s">
        <v>669</v>
      </c>
      <c r="D3568" t="s">
        <v>303</v>
      </c>
      <c r="E3568">
        <v>176</v>
      </c>
      <c r="F3568">
        <v>176</v>
      </c>
      <c r="G3568" t="s">
        <v>947</v>
      </c>
      <c r="H3568" t="s">
        <v>947</v>
      </c>
      <c r="K3568">
        <v>3343</v>
      </c>
      <c r="L3568" t="s">
        <v>303</v>
      </c>
      <c r="N3568">
        <v>3343</v>
      </c>
      <c r="O3568" t="s">
        <v>303</v>
      </c>
      <c r="P3568">
        <f t="shared" si="55"/>
        <v>0</v>
      </c>
    </row>
    <row r="3569" spans="1:16" x14ac:dyDescent="0.25">
      <c r="A3569" t="s">
        <v>438</v>
      </c>
      <c r="B3569">
        <v>3344</v>
      </c>
      <c r="C3569" t="s">
        <v>669</v>
      </c>
      <c r="D3569" t="s">
        <v>303</v>
      </c>
      <c r="E3569">
        <v>176</v>
      </c>
      <c r="F3569">
        <v>176</v>
      </c>
      <c r="G3569" t="s">
        <v>947</v>
      </c>
      <c r="H3569" t="s">
        <v>947</v>
      </c>
      <c r="K3569">
        <v>3344</v>
      </c>
      <c r="L3569" t="s">
        <v>303</v>
      </c>
      <c r="N3569">
        <v>3344</v>
      </c>
      <c r="O3569" t="s">
        <v>303</v>
      </c>
      <c r="P3569">
        <f t="shared" si="55"/>
        <v>0</v>
      </c>
    </row>
    <row r="3570" spans="1:16" x14ac:dyDescent="0.25">
      <c r="A3570" t="s">
        <v>438</v>
      </c>
      <c r="B3570">
        <v>3345</v>
      </c>
      <c r="C3570" t="s">
        <v>669</v>
      </c>
      <c r="D3570" t="s">
        <v>303</v>
      </c>
      <c r="E3570">
        <v>176</v>
      </c>
      <c r="F3570">
        <v>176</v>
      </c>
      <c r="G3570" t="s">
        <v>947</v>
      </c>
      <c r="H3570" t="s">
        <v>947</v>
      </c>
      <c r="K3570">
        <v>3345</v>
      </c>
      <c r="L3570" t="s">
        <v>303</v>
      </c>
      <c r="N3570">
        <v>3345</v>
      </c>
      <c r="O3570" t="s">
        <v>303</v>
      </c>
      <c r="P3570">
        <f t="shared" si="55"/>
        <v>0</v>
      </c>
    </row>
    <row r="3571" spans="1:16" x14ac:dyDescent="0.25">
      <c r="A3571" t="s">
        <v>438</v>
      </c>
      <c r="B3571">
        <v>3346</v>
      </c>
      <c r="C3571" t="s">
        <v>669</v>
      </c>
      <c r="D3571" t="s">
        <v>303</v>
      </c>
      <c r="E3571">
        <v>176</v>
      </c>
      <c r="F3571">
        <v>176</v>
      </c>
      <c r="G3571" t="s">
        <v>947</v>
      </c>
      <c r="H3571" t="s">
        <v>947</v>
      </c>
      <c r="K3571">
        <v>3346</v>
      </c>
      <c r="L3571" t="s">
        <v>303</v>
      </c>
      <c r="N3571">
        <v>3346</v>
      </c>
      <c r="O3571" t="s">
        <v>303</v>
      </c>
      <c r="P3571">
        <f t="shared" si="55"/>
        <v>0</v>
      </c>
    </row>
    <row r="3572" spans="1:16" x14ac:dyDescent="0.25">
      <c r="A3572" t="s">
        <v>438</v>
      </c>
      <c r="B3572">
        <v>3347</v>
      </c>
      <c r="C3572" t="s">
        <v>669</v>
      </c>
      <c r="D3572" t="s">
        <v>303</v>
      </c>
      <c r="E3572">
        <v>176</v>
      </c>
      <c r="F3572">
        <v>176</v>
      </c>
      <c r="G3572" t="s">
        <v>947</v>
      </c>
      <c r="H3572" t="s">
        <v>947</v>
      </c>
      <c r="K3572">
        <v>3347</v>
      </c>
      <c r="L3572" t="s">
        <v>303</v>
      </c>
      <c r="N3572">
        <v>3347</v>
      </c>
      <c r="O3572" t="s">
        <v>303</v>
      </c>
      <c r="P3572">
        <f t="shared" si="55"/>
        <v>0</v>
      </c>
    </row>
    <row r="3573" spans="1:16" x14ac:dyDescent="0.25">
      <c r="A3573" t="s">
        <v>438</v>
      </c>
      <c r="B3573">
        <v>3348</v>
      </c>
      <c r="C3573" t="s">
        <v>669</v>
      </c>
      <c r="D3573" t="s">
        <v>303</v>
      </c>
      <c r="E3573">
        <v>176</v>
      </c>
      <c r="F3573">
        <v>176</v>
      </c>
      <c r="G3573" t="s">
        <v>947</v>
      </c>
      <c r="H3573" t="s">
        <v>947</v>
      </c>
      <c r="K3573">
        <v>3348</v>
      </c>
      <c r="L3573" t="s">
        <v>303</v>
      </c>
      <c r="N3573">
        <v>3348</v>
      </c>
      <c r="O3573" t="s">
        <v>303</v>
      </c>
      <c r="P3573">
        <f t="shared" si="55"/>
        <v>0</v>
      </c>
    </row>
    <row r="3574" spans="1:16" x14ac:dyDescent="0.25">
      <c r="A3574" t="s">
        <v>438</v>
      </c>
      <c r="B3574">
        <v>3349</v>
      </c>
      <c r="C3574" t="s">
        <v>669</v>
      </c>
      <c r="D3574" t="s">
        <v>303</v>
      </c>
      <c r="E3574">
        <v>176</v>
      </c>
      <c r="F3574">
        <v>176</v>
      </c>
      <c r="G3574" t="s">
        <v>947</v>
      </c>
      <c r="H3574" t="s">
        <v>947</v>
      </c>
      <c r="K3574">
        <v>3349</v>
      </c>
      <c r="L3574" t="s">
        <v>303</v>
      </c>
      <c r="N3574">
        <v>3349</v>
      </c>
      <c r="O3574" t="s">
        <v>303</v>
      </c>
      <c r="P3574">
        <f t="shared" si="55"/>
        <v>0</v>
      </c>
    </row>
    <row r="3575" spans="1:16" x14ac:dyDescent="0.25">
      <c r="A3575" t="s">
        <v>438</v>
      </c>
      <c r="B3575">
        <v>3350</v>
      </c>
      <c r="C3575" t="s">
        <v>669</v>
      </c>
      <c r="D3575" t="s">
        <v>303</v>
      </c>
      <c r="E3575">
        <v>176</v>
      </c>
      <c r="F3575">
        <v>176</v>
      </c>
      <c r="G3575" t="s">
        <v>947</v>
      </c>
      <c r="H3575" t="s">
        <v>947</v>
      </c>
      <c r="K3575">
        <v>3350</v>
      </c>
      <c r="L3575" t="s">
        <v>303</v>
      </c>
      <c r="N3575">
        <v>3350</v>
      </c>
      <c r="O3575" t="s">
        <v>303</v>
      </c>
      <c r="P3575">
        <f t="shared" si="55"/>
        <v>0</v>
      </c>
    </row>
    <row r="3576" spans="1:16" x14ac:dyDescent="0.25">
      <c r="A3576" t="s">
        <v>438</v>
      </c>
      <c r="B3576">
        <v>3351</v>
      </c>
      <c r="C3576" t="s">
        <v>669</v>
      </c>
      <c r="D3576" t="s">
        <v>303</v>
      </c>
      <c r="E3576">
        <v>176</v>
      </c>
      <c r="F3576">
        <v>176</v>
      </c>
      <c r="G3576" t="s">
        <v>947</v>
      </c>
      <c r="H3576" t="s">
        <v>947</v>
      </c>
      <c r="K3576">
        <v>3351</v>
      </c>
      <c r="L3576" t="s">
        <v>303</v>
      </c>
      <c r="N3576">
        <v>3351</v>
      </c>
      <c r="O3576" t="s">
        <v>303</v>
      </c>
      <c r="P3576">
        <f t="shared" si="55"/>
        <v>0</v>
      </c>
    </row>
    <row r="3577" spans="1:16" x14ac:dyDescent="0.25">
      <c r="A3577" t="s">
        <v>438</v>
      </c>
      <c r="B3577">
        <v>3352</v>
      </c>
      <c r="C3577" t="s">
        <v>669</v>
      </c>
      <c r="D3577" t="s">
        <v>303</v>
      </c>
      <c r="E3577">
        <v>176</v>
      </c>
      <c r="F3577">
        <v>176</v>
      </c>
      <c r="G3577" t="s">
        <v>947</v>
      </c>
      <c r="H3577" t="s">
        <v>947</v>
      </c>
      <c r="K3577">
        <v>3352</v>
      </c>
      <c r="L3577" t="s">
        <v>303</v>
      </c>
      <c r="N3577">
        <v>3352</v>
      </c>
      <c r="O3577" t="s">
        <v>303</v>
      </c>
      <c r="P3577">
        <f t="shared" si="55"/>
        <v>0</v>
      </c>
    </row>
    <row r="3578" spans="1:16" x14ac:dyDescent="0.25">
      <c r="A3578" t="s">
        <v>438</v>
      </c>
      <c r="B3578">
        <v>3353</v>
      </c>
      <c r="C3578" t="s">
        <v>669</v>
      </c>
      <c r="D3578" t="s">
        <v>303</v>
      </c>
      <c r="E3578">
        <v>176</v>
      </c>
      <c r="F3578">
        <v>176</v>
      </c>
      <c r="G3578" t="s">
        <v>947</v>
      </c>
      <c r="H3578" t="s">
        <v>947</v>
      </c>
      <c r="K3578">
        <v>3353</v>
      </c>
      <c r="L3578" t="s">
        <v>303</v>
      </c>
      <c r="N3578">
        <v>3353</v>
      </c>
      <c r="O3578" t="s">
        <v>303</v>
      </c>
      <c r="P3578">
        <f t="shared" si="55"/>
        <v>0</v>
      </c>
    </row>
    <row r="3579" spans="1:16" x14ac:dyDescent="0.25">
      <c r="A3579" t="s">
        <v>438</v>
      </c>
      <c r="B3579">
        <v>3354</v>
      </c>
      <c r="C3579" t="s">
        <v>669</v>
      </c>
      <c r="D3579" t="s">
        <v>303</v>
      </c>
      <c r="E3579">
        <v>176</v>
      </c>
      <c r="F3579">
        <v>176</v>
      </c>
      <c r="G3579" t="s">
        <v>947</v>
      </c>
      <c r="H3579" t="s">
        <v>947</v>
      </c>
      <c r="K3579">
        <v>3354</v>
      </c>
      <c r="L3579" t="s">
        <v>303</v>
      </c>
      <c r="N3579">
        <v>3354</v>
      </c>
      <c r="O3579" t="s">
        <v>303</v>
      </c>
      <c r="P3579">
        <f t="shared" si="55"/>
        <v>0</v>
      </c>
    </row>
    <row r="3580" spans="1:16" x14ac:dyDescent="0.25">
      <c r="A3580" t="s">
        <v>438</v>
      </c>
      <c r="B3580">
        <v>3355</v>
      </c>
      <c r="C3580" t="s">
        <v>669</v>
      </c>
      <c r="D3580" t="s">
        <v>303</v>
      </c>
      <c r="E3580">
        <v>176</v>
      </c>
      <c r="F3580">
        <v>176</v>
      </c>
      <c r="G3580" t="s">
        <v>947</v>
      </c>
      <c r="H3580" t="s">
        <v>947</v>
      </c>
      <c r="K3580">
        <v>3355</v>
      </c>
      <c r="L3580" t="s">
        <v>303</v>
      </c>
      <c r="N3580">
        <v>3355</v>
      </c>
      <c r="O3580" t="s">
        <v>303</v>
      </c>
      <c r="P3580">
        <f t="shared" si="55"/>
        <v>0</v>
      </c>
    </row>
    <row r="3581" spans="1:16" x14ac:dyDescent="0.25">
      <c r="A3581" t="s">
        <v>438</v>
      </c>
      <c r="B3581">
        <v>3356</v>
      </c>
      <c r="C3581" t="s">
        <v>669</v>
      </c>
      <c r="D3581" t="s">
        <v>303</v>
      </c>
      <c r="E3581">
        <v>176</v>
      </c>
      <c r="F3581">
        <v>176</v>
      </c>
      <c r="G3581" t="s">
        <v>947</v>
      </c>
      <c r="H3581" t="s">
        <v>947</v>
      </c>
      <c r="K3581">
        <v>3356</v>
      </c>
      <c r="L3581" t="s">
        <v>303</v>
      </c>
      <c r="N3581">
        <v>3356</v>
      </c>
      <c r="O3581" t="s">
        <v>303</v>
      </c>
      <c r="P3581">
        <f t="shared" si="55"/>
        <v>0</v>
      </c>
    </row>
    <row r="3582" spans="1:16" x14ac:dyDescent="0.25">
      <c r="A3582" t="s">
        <v>438</v>
      </c>
      <c r="B3582">
        <v>3357</v>
      </c>
      <c r="C3582" t="s">
        <v>669</v>
      </c>
      <c r="D3582" t="s">
        <v>303</v>
      </c>
      <c r="E3582">
        <v>176</v>
      </c>
      <c r="F3582">
        <v>176</v>
      </c>
      <c r="G3582" t="s">
        <v>947</v>
      </c>
      <c r="H3582" t="s">
        <v>947</v>
      </c>
      <c r="K3582">
        <v>3357</v>
      </c>
      <c r="L3582" t="s">
        <v>303</v>
      </c>
      <c r="N3582">
        <v>3357</v>
      </c>
      <c r="O3582" t="s">
        <v>303</v>
      </c>
      <c r="P3582">
        <f t="shared" si="55"/>
        <v>0</v>
      </c>
    </row>
    <row r="3583" spans="1:16" x14ac:dyDescent="0.25">
      <c r="A3583" t="s">
        <v>438</v>
      </c>
      <c r="B3583">
        <v>3358</v>
      </c>
      <c r="C3583" t="s">
        <v>669</v>
      </c>
      <c r="D3583" t="s">
        <v>303</v>
      </c>
      <c r="E3583">
        <v>176</v>
      </c>
      <c r="F3583">
        <v>176</v>
      </c>
      <c r="G3583" t="s">
        <v>947</v>
      </c>
      <c r="H3583" t="s">
        <v>947</v>
      </c>
      <c r="K3583">
        <v>3358</v>
      </c>
      <c r="L3583" t="s">
        <v>303</v>
      </c>
      <c r="N3583">
        <v>3358</v>
      </c>
      <c r="O3583" t="s">
        <v>303</v>
      </c>
      <c r="P3583">
        <f t="shared" si="55"/>
        <v>0</v>
      </c>
    </row>
    <row r="3584" spans="1:16" x14ac:dyDescent="0.25">
      <c r="A3584" t="s">
        <v>438</v>
      </c>
      <c r="B3584">
        <v>3359</v>
      </c>
      <c r="C3584" t="s">
        <v>669</v>
      </c>
      <c r="D3584" t="s">
        <v>303</v>
      </c>
      <c r="E3584">
        <v>176</v>
      </c>
      <c r="F3584">
        <v>176</v>
      </c>
      <c r="G3584" t="s">
        <v>947</v>
      </c>
      <c r="H3584" t="s">
        <v>947</v>
      </c>
      <c r="K3584">
        <v>3359</v>
      </c>
      <c r="L3584" t="s">
        <v>303</v>
      </c>
      <c r="N3584">
        <v>3359</v>
      </c>
      <c r="O3584" t="s">
        <v>303</v>
      </c>
      <c r="P3584">
        <f t="shared" si="55"/>
        <v>0</v>
      </c>
    </row>
    <row r="3585" spans="1:16" x14ac:dyDescent="0.25">
      <c r="A3585" t="s">
        <v>438</v>
      </c>
      <c r="B3585">
        <v>3360</v>
      </c>
      <c r="C3585" t="s">
        <v>669</v>
      </c>
      <c r="D3585" t="s">
        <v>303</v>
      </c>
      <c r="E3585">
        <v>176</v>
      </c>
      <c r="F3585">
        <v>176</v>
      </c>
      <c r="G3585" t="s">
        <v>947</v>
      </c>
      <c r="H3585" t="s">
        <v>947</v>
      </c>
      <c r="K3585">
        <v>3360</v>
      </c>
      <c r="L3585" t="s">
        <v>303</v>
      </c>
      <c r="N3585">
        <v>3360</v>
      </c>
      <c r="O3585" t="s">
        <v>303</v>
      </c>
      <c r="P3585">
        <f t="shared" si="55"/>
        <v>0</v>
      </c>
    </row>
    <row r="3586" spans="1:16" x14ac:dyDescent="0.25">
      <c r="A3586" t="s">
        <v>438</v>
      </c>
      <c r="B3586">
        <v>3361</v>
      </c>
      <c r="C3586" t="s">
        <v>669</v>
      </c>
      <c r="D3586" t="s">
        <v>303</v>
      </c>
      <c r="E3586">
        <v>176</v>
      </c>
      <c r="F3586">
        <v>176</v>
      </c>
      <c r="G3586" t="s">
        <v>947</v>
      </c>
      <c r="H3586" t="s">
        <v>947</v>
      </c>
      <c r="K3586">
        <v>3361</v>
      </c>
      <c r="L3586" t="s">
        <v>303</v>
      </c>
      <c r="N3586">
        <v>3361</v>
      </c>
      <c r="O3586" t="s">
        <v>303</v>
      </c>
      <c r="P3586">
        <f t="shared" si="55"/>
        <v>0</v>
      </c>
    </row>
    <row r="3587" spans="1:16" x14ac:dyDescent="0.25">
      <c r="A3587" t="s">
        <v>438</v>
      </c>
      <c r="B3587">
        <v>3362</v>
      </c>
      <c r="C3587" t="s">
        <v>669</v>
      </c>
      <c r="D3587" t="s">
        <v>303</v>
      </c>
      <c r="E3587">
        <v>176</v>
      </c>
      <c r="F3587">
        <v>176</v>
      </c>
      <c r="G3587" t="s">
        <v>947</v>
      </c>
      <c r="H3587" t="s">
        <v>947</v>
      </c>
      <c r="K3587">
        <v>3362</v>
      </c>
      <c r="L3587" t="s">
        <v>303</v>
      </c>
      <c r="N3587">
        <v>3362</v>
      </c>
      <c r="O3587" t="s">
        <v>303</v>
      </c>
      <c r="P3587">
        <f t="shared" ref="P3587:P3650" si="56">LEN(I3587)</f>
        <v>0</v>
      </c>
    </row>
    <row r="3588" spans="1:16" x14ac:dyDescent="0.25">
      <c r="A3588" t="s">
        <v>438</v>
      </c>
      <c r="B3588">
        <v>3363</v>
      </c>
      <c r="C3588" t="s">
        <v>669</v>
      </c>
      <c r="D3588" t="s">
        <v>303</v>
      </c>
      <c r="E3588">
        <v>176</v>
      </c>
      <c r="F3588">
        <v>176</v>
      </c>
      <c r="G3588" t="s">
        <v>947</v>
      </c>
      <c r="H3588" t="s">
        <v>947</v>
      </c>
      <c r="K3588">
        <v>3363</v>
      </c>
      <c r="L3588" t="s">
        <v>303</v>
      </c>
      <c r="N3588">
        <v>3363</v>
      </c>
      <c r="O3588" t="s">
        <v>303</v>
      </c>
      <c r="P3588">
        <f t="shared" si="56"/>
        <v>0</v>
      </c>
    </row>
    <row r="3589" spans="1:16" x14ac:dyDescent="0.25">
      <c r="A3589" t="s">
        <v>669</v>
      </c>
      <c r="B3589">
        <v>9317</v>
      </c>
      <c r="C3589" t="s">
        <v>669</v>
      </c>
      <c r="D3589" t="s">
        <v>865</v>
      </c>
      <c r="E3589" t="s">
        <v>910</v>
      </c>
      <c r="F3589">
        <v>4</v>
      </c>
      <c r="H3589" t="s">
        <v>701</v>
      </c>
      <c r="K3589">
        <v>9317</v>
      </c>
      <c r="L3589" t="s">
        <v>920</v>
      </c>
      <c r="N3589">
        <v>9317</v>
      </c>
      <c r="O3589" t="s">
        <v>931</v>
      </c>
      <c r="P3589">
        <f t="shared" si="56"/>
        <v>0</v>
      </c>
    </row>
    <row r="3590" spans="1:16" x14ac:dyDescent="0.25">
      <c r="A3590" t="s">
        <v>438</v>
      </c>
      <c r="B3590">
        <v>3364</v>
      </c>
      <c r="C3590" t="s">
        <v>669</v>
      </c>
      <c r="D3590" t="s">
        <v>303</v>
      </c>
      <c r="E3590">
        <v>176</v>
      </c>
      <c r="F3590">
        <v>176</v>
      </c>
      <c r="G3590" t="s">
        <v>947</v>
      </c>
      <c r="H3590" t="s">
        <v>947</v>
      </c>
      <c r="K3590">
        <v>3364</v>
      </c>
      <c r="L3590" t="s">
        <v>303</v>
      </c>
      <c r="N3590">
        <v>3364</v>
      </c>
      <c r="O3590" t="s">
        <v>303</v>
      </c>
      <c r="P3590">
        <f t="shared" si="56"/>
        <v>0</v>
      </c>
    </row>
    <row r="3591" spans="1:16" x14ac:dyDescent="0.25">
      <c r="A3591" t="s">
        <v>438</v>
      </c>
      <c r="B3591">
        <v>3365</v>
      </c>
      <c r="C3591" t="s">
        <v>669</v>
      </c>
      <c r="D3591" t="s">
        <v>303</v>
      </c>
      <c r="E3591">
        <v>176</v>
      </c>
      <c r="F3591">
        <v>176</v>
      </c>
      <c r="G3591" t="s">
        <v>947</v>
      </c>
      <c r="H3591" t="s">
        <v>947</v>
      </c>
      <c r="K3591">
        <v>3365</v>
      </c>
      <c r="L3591" t="s">
        <v>303</v>
      </c>
      <c r="N3591">
        <v>3365</v>
      </c>
      <c r="O3591" t="s">
        <v>303</v>
      </c>
      <c r="P3591">
        <f t="shared" si="56"/>
        <v>0</v>
      </c>
    </row>
    <row r="3592" spans="1:16" x14ac:dyDescent="0.25">
      <c r="A3592" t="s">
        <v>438</v>
      </c>
      <c r="B3592">
        <v>3366</v>
      </c>
      <c r="C3592" t="s">
        <v>669</v>
      </c>
      <c r="D3592" t="s">
        <v>303</v>
      </c>
      <c r="E3592">
        <v>176</v>
      </c>
      <c r="F3592">
        <v>176</v>
      </c>
      <c r="G3592" t="s">
        <v>947</v>
      </c>
      <c r="H3592" t="s">
        <v>947</v>
      </c>
      <c r="K3592">
        <v>3366</v>
      </c>
      <c r="L3592" t="s">
        <v>303</v>
      </c>
      <c r="N3592">
        <v>3366</v>
      </c>
      <c r="O3592" t="s">
        <v>303</v>
      </c>
      <c r="P3592">
        <f t="shared" si="56"/>
        <v>0</v>
      </c>
    </row>
    <row r="3593" spans="1:16" x14ac:dyDescent="0.25">
      <c r="A3593" t="s">
        <v>438</v>
      </c>
      <c r="B3593">
        <v>3367</v>
      </c>
      <c r="C3593" t="s">
        <v>669</v>
      </c>
      <c r="D3593" t="s">
        <v>303</v>
      </c>
      <c r="E3593">
        <v>176</v>
      </c>
      <c r="F3593">
        <v>176</v>
      </c>
      <c r="G3593" t="s">
        <v>947</v>
      </c>
      <c r="H3593" t="s">
        <v>947</v>
      </c>
      <c r="K3593">
        <v>3367</v>
      </c>
      <c r="L3593" t="s">
        <v>303</v>
      </c>
      <c r="N3593">
        <v>3367</v>
      </c>
      <c r="O3593" t="s">
        <v>303</v>
      </c>
      <c r="P3593">
        <f t="shared" si="56"/>
        <v>0</v>
      </c>
    </row>
    <row r="3594" spans="1:16" x14ac:dyDescent="0.25">
      <c r="A3594" t="s">
        <v>438</v>
      </c>
      <c r="B3594">
        <v>3368</v>
      </c>
      <c r="C3594" t="s">
        <v>669</v>
      </c>
      <c r="D3594" t="s">
        <v>303</v>
      </c>
      <c r="E3594">
        <v>176</v>
      </c>
      <c r="F3594">
        <v>176</v>
      </c>
      <c r="G3594" t="s">
        <v>947</v>
      </c>
      <c r="H3594" t="s">
        <v>947</v>
      </c>
      <c r="K3594">
        <v>3368</v>
      </c>
      <c r="L3594" t="s">
        <v>303</v>
      </c>
      <c r="N3594">
        <v>3368</v>
      </c>
      <c r="O3594" t="s">
        <v>303</v>
      </c>
      <c r="P3594">
        <f t="shared" si="56"/>
        <v>0</v>
      </c>
    </row>
    <row r="3595" spans="1:16" x14ac:dyDescent="0.25">
      <c r="A3595" t="s">
        <v>438</v>
      </c>
      <c r="B3595">
        <v>3369</v>
      </c>
      <c r="C3595" t="s">
        <v>669</v>
      </c>
      <c r="D3595" t="s">
        <v>303</v>
      </c>
      <c r="E3595">
        <v>176</v>
      </c>
      <c r="F3595">
        <v>176</v>
      </c>
      <c r="G3595" t="s">
        <v>947</v>
      </c>
      <c r="H3595" t="s">
        <v>947</v>
      </c>
      <c r="K3595">
        <v>3369</v>
      </c>
      <c r="L3595" t="s">
        <v>303</v>
      </c>
      <c r="N3595">
        <v>3369</v>
      </c>
      <c r="O3595" t="s">
        <v>303</v>
      </c>
      <c r="P3595">
        <f t="shared" si="56"/>
        <v>0</v>
      </c>
    </row>
    <row r="3596" spans="1:16" x14ac:dyDescent="0.25">
      <c r="A3596" t="s">
        <v>438</v>
      </c>
      <c r="B3596">
        <v>3370</v>
      </c>
      <c r="C3596" t="s">
        <v>669</v>
      </c>
      <c r="D3596" t="s">
        <v>303</v>
      </c>
      <c r="E3596">
        <v>176</v>
      </c>
      <c r="F3596">
        <v>176</v>
      </c>
      <c r="G3596" t="s">
        <v>947</v>
      </c>
      <c r="H3596" t="s">
        <v>947</v>
      </c>
      <c r="K3596">
        <v>3370</v>
      </c>
      <c r="L3596" t="s">
        <v>303</v>
      </c>
      <c r="N3596">
        <v>3370</v>
      </c>
      <c r="O3596" t="s">
        <v>303</v>
      </c>
      <c r="P3596">
        <f t="shared" si="56"/>
        <v>0</v>
      </c>
    </row>
    <row r="3597" spans="1:16" x14ac:dyDescent="0.25">
      <c r="A3597" t="s">
        <v>438</v>
      </c>
      <c r="B3597">
        <v>3371</v>
      </c>
      <c r="C3597" t="s">
        <v>669</v>
      </c>
      <c r="D3597" t="s">
        <v>303</v>
      </c>
      <c r="E3597">
        <v>176</v>
      </c>
      <c r="F3597">
        <v>176</v>
      </c>
      <c r="G3597" t="s">
        <v>947</v>
      </c>
      <c r="H3597" t="s">
        <v>947</v>
      </c>
      <c r="K3597">
        <v>3371</v>
      </c>
      <c r="L3597" t="s">
        <v>303</v>
      </c>
      <c r="N3597">
        <v>3371</v>
      </c>
      <c r="O3597" t="s">
        <v>303</v>
      </c>
      <c r="P3597">
        <f t="shared" si="56"/>
        <v>0</v>
      </c>
    </row>
    <row r="3598" spans="1:16" x14ac:dyDescent="0.25">
      <c r="A3598" t="s">
        <v>438</v>
      </c>
      <c r="B3598">
        <v>3372</v>
      </c>
      <c r="C3598" t="s">
        <v>669</v>
      </c>
      <c r="D3598" t="s">
        <v>303</v>
      </c>
      <c r="E3598">
        <v>176</v>
      </c>
      <c r="F3598">
        <v>176</v>
      </c>
      <c r="G3598" t="s">
        <v>947</v>
      </c>
      <c r="H3598" t="s">
        <v>947</v>
      </c>
      <c r="K3598">
        <v>3372</v>
      </c>
      <c r="L3598" t="s">
        <v>303</v>
      </c>
      <c r="N3598">
        <v>3372</v>
      </c>
      <c r="O3598" t="s">
        <v>303</v>
      </c>
      <c r="P3598">
        <f t="shared" si="56"/>
        <v>0</v>
      </c>
    </row>
    <row r="3599" spans="1:16" x14ac:dyDescent="0.25">
      <c r="A3599" t="s">
        <v>438</v>
      </c>
      <c r="B3599">
        <v>3373</v>
      </c>
      <c r="C3599" t="s">
        <v>669</v>
      </c>
      <c r="D3599" t="s">
        <v>303</v>
      </c>
      <c r="E3599">
        <v>176</v>
      </c>
      <c r="F3599">
        <v>176</v>
      </c>
      <c r="G3599" t="s">
        <v>947</v>
      </c>
      <c r="H3599" t="s">
        <v>947</v>
      </c>
      <c r="K3599">
        <v>3373</v>
      </c>
      <c r="L3599" t="s">
        <v>303</v>
      </c>
      <c r="N3599">
        <v>3373</v>
      </c>
      <c r="O3599" t="s">
        <v>303</v>
      </c>
      <c r="P3599">
        <f t="shared" si="56"/>
        <v>0</v>
      </c>
    </row>
    <row r="3600" spans="1:16" x14ac:dyDescent="0.25">
      <c r="A3600" t="s">
        <v>438</v>
      </c>
      <c r="B3600">
        <v>3374</v>
      </c>
      <c r="C3600" t="s">
        <v>669</v>
      </c>
      <c r="D3600" t="s">
        <v>303</v>
      </c>
      <c r="E3600">
        <v>176</v>
      </c>
      <c r="F3600">
        <v>176</v>
      </c>
      <c r="G3600" t="s">
        <v>947</v>
      </c>
      <c r="H3600" t="s">
        <v>947</v>
      </c>
      <c r="K3600">
        <v>3374</v>
      </c>
      <c r="L3600" t="s">
        <v>303</v>
      </c>
      <c r="N3600">
        <v>3374</v>
      </c>
      <c r="O3600" t="s">
        <v>303</v>
      </c>
      <c r="P3600">
        <f t="shared" si="56"/>
        <v>0</v>
      </c>
    </row>
    <row r="3601" spans="1:16" x14ac:dyDescent="0.25">
      <c r="A3601" t="s">
        <v>438</v>
      </c>
      <c r="B3601">
        <v>3375</v>
      </c>
      <c r="C3601" t="s">
        <v>669</v>
      </c>
      <c r="D3601" t="s">
        <v>303</v>
      </c>
      <c r="E3601">
        <v>176</v>
      </c>
      <c r="F3601">
        <v>176</v>
      </c>
      <c r="G3601" t="s">
        <v>947</v>
      </c>
      <c r="H3601" t="s">
        <v>947</v>
      </c>
      <c r="K3601">
        <v>3375</v>
      </c>
      <c r="L3601" t="s">
        <v>303</v>
      </c>
      <c r="N3601">
        <v>3375</v>
      </c>
      <c r="O3601" t="s">
        <v>303</v>
      </c>
      <c r="P3601">
        <f t="shared" si="56"/>
        <v>0</v>
      </c>
    </row>
    <row r="3602" spans="1:16" x14ac:dyDescent="0.25">
      <c r="A3602" t="s">
        <v>438</v>
      </c>
      <c r="B3602">
        <v>3376</v>
      </c>
      <c r="C3602" t="s">
        <v>669</v>
      </c>
      <c r="D3602" t="s">
        <v>303</v>
      </c>
      <c r="E3602">
        <v>176</v>
      </c>
      <c r="F3602">
        <v>176</v>
      </c>
      <c r="G3602" t="s">
        <v>947</v>
      </c>
      <c r="H3602" t="s">
        <v>947</v>
      </c>
      <c r="K3602">
        <v>3376</v>
      </c>
      <c r="L3602" t="s">
        <v>303</v>
      </c>
      <c r="N3602">
        <v>3376</v>
      </c>
      <c r="O3602" t="s">
        <v>303</v>
      </c>
      <c r="P3602">
        <f t="shared" si="56"/>
        <v>0</v>
      </c>
    </row>
    <row r="3603" spans="1:16" x14ac:dyDescent="0.25">
      <c r="A3603" t="s">
        <v>438</v>
      </c>
      <c r="B3603">
        <v>3377</v>
      </c>
      <c r="C3603" t="s">
        <v>669</v>
      </c>
      <c r="D3603" t="s">
        <v>303</v>
      </c>
      <c r="E3603">
        <v>176</v>
      </c>
      <c r="F3603">
        <v>176</v>
      </c>
      <c r="G3603" t="s">
        <v>947</v>
      </c>
      <c r="H3603" t="s">
        <v>947</v>
      </c>
      <c r="K3603">
        <v>3377</v>
      </c>
      <c r="L3603" t="s">
        <v>303</v>
      </c>
      <c r="N3603">
        <v>3377</v>
      </c>
      <c r="O3603" t="s">
        <v>303</v>
      </c>
      <c r="P3603">
        <f t="shared" si="56"/>
        <v>0</v>
      </c>
    </row>
    <row r="3604" spans="1:16" x14ac:dyDescent="0.25">
      <c r="A3604" t="s">
        <v>438</v>
      </c>
      <c r="B3604">
        <v>3378</v>
      </c>
      <c r="C3604" t="s">
        <v>669</v>
      </c>
      <c r="D3604" t="s">
        <v>303</v>
      </c>
      <c r="E3604">
        <v>176</v>
      </c>
      <c r="F3604">
        <v>176</v>
      </c>
      <c r="G3604" t="s">
        <v>947</v>
      </c>
      <c r="H3604" t="s">
        <v>947</v>
      </c>
      <c r="K3604">
        <v>3378</v>
      </c>
      <c r="L3604" t="s">
        <v>303</v>
      </c>
      <c r="N3604">
        <v>3378</v>
      </c>
      <c r="O3604" t="s">
        <v>303</v>
      </c>
      <c r="P3604">
        <f t="shared" si="56"/>
        <v>0</v>
      </c>
    </row>
    <row r="3605" spans="1:16" x14ac:dyDescent="0.25">
      <c r="A3605" t="s">
        <v>438</v>
      </c>
      <c r="B3605">
        <v>3379</v>
      </c>
      <c r="C3605" t="s">
        <v>669</v>
      </c>
      <c r="D3605" t="s">
        <v>303</v>
      </c>
      <c r="E3605">
        <v>176</v>
      </c>
      <c r="F3605">
        <v>176</v>
      </c>
      <c r="G3605" t="s">
        <v>947</v>
      </c>
      <c r="H3605" t="s">
        <v>947</v>
      </c>
      <c r="K3605">
        <v>3379</v>
      </c>
      <c r="L3605" t="s">
        <v>303</v>
      </c>
      <c r="N3605">
        <v>3379</v>
      </c>
      <c r="O3605" t="s">
        <v>303</v>
      </c>
      <c r="P3605">
        <f t="shared" si="56"/>
        <v>0</v>
      </c>
    </row>
    <row r="3606" spans="1:16" x14ac:dyDescent="0.25">
      <c r="A3606" t="s">
        <v>438</v>
      </c>
      <c r="B3606">
        <v>3380</v>
      </c>
      <c r="C3606" t="s">
        <v>669</v>
      </c>
      <c r="D3606" t="s">
        <v>303</v>
      </c>
      <c r="E3606">
        <v>176</v>
      </c>
      <c r="F3606">
        <v>176</v>
      </c>
      <c r="G3606" t="s">
        <v>947</v>
      </c>
      <c r="H3606" t="s">
        <v>947</v>
      </c>
      <c r="K3606">
        <v>3380</v>
      </c>
      <c r="L3606" t="s">
        <v>303</v>
      </c>
      <c r="N3606">
        <v>3380</v>
      </c>
      <c r="O3606" t="s">
        <v>303</v>
      </c>
      <c r="P3606">
        <f t="shared" si="56"/>
        <v>0</v>
      </c>
    </row>
    <row r="3607" spans="1:16" x14ac:dyDescent="0.25">
      <c r="A3607" t="s">
        <v>438</v>
      </c>
      <c r="B3607">
        <v>3381</v>
      </c>
      <c r="C3607" t="s">
        <v>669</v>
      </c>
      <c r="D3607" t="s">
        <v>303</v>
      </c>
      <c r="E3607">
        <v>176</v>
      </c>
      <c r="F3607">
        <v>176</v>
      </c>
      <c r="G3607" t="s">
        <v>947</v>
      </c>
      <c r="H3607" t="s">
        <v>947</v>
      </c>
      <c r="K3607">
        <v>3381</v>
      </c>
      <c r="L3607" t="s">
        <v>303</v>
      </c>
      <c r="N3607">
        <v>3381</v>
      </c>
      <c r="O3607" t="s">
        <v>303</v>
      </c>
      <c r="P3607">
        <f t="shared" si="56"/>
        <v>0</v>
      </c>
    </row>
    <row r="3608" spans="1:16" x14ac:dyDescent="0.25">
      <c r="A3608" t="s">
        <v>438</v>
      </c>
      <c r="B3608">
        <v>3382</v>
      </c>
      <c r="C3608" t="s">
        <v>669</v>
      </c>
      <c r="D3608" t="s">
        <v>303</v>
      </c>
      <c r="E3608">
        <v>176</v>
      </c>
      <c r="F3608">
        <v>176</v>
      </c>
      <c r="G3608" t="s">
        <v>947</v>
      </c>
      <c r="H3608" t="s">
        <v>947</v>
      </c>
      <c r="K3608">
        <v>3382</v>
      </c>
      <c r="L3608" t="s">
        <v>303</v>
      </c>
      <c r="N3608">
        <v>3382</v>
      </c>
      <c r="O3608" t="s">
        <v>303</v>
      </c>
      <c r="P3608">
        <f t="shared" si="56"/>
        <v>0</v>
      </c>
    </row>
    <row r="3609" spans="1:16" x14ac:dyDescent="0.25">
      <c r="A3609" t="s">
        <v>438</v>
      </c>
      <c r="B3609">
        <v>3383</v>
      </c>
      <c r="C3609" t="s">
        <v>669</v>
      </c>
      <c r="D3609" t="s">
        <v>303</v>
      </c>
      <c r="E3609">
        <v>176</v>
      </c>
      <c r="F3609">
        <v>176</v>
      </c>
      <c r="G3609" t="s">
        <v>947</v>
      </c>
      <c r="H3609" t="s">
        <v>947</v>
      </c>
      <c r="K3609">
        <v>3383</v>
      </c>
      <c r="L3609" t="s">
        <v>303</v>
      </c>
      <c r="N3609">
        <v>3383</v>
      </c>
      <c r="O3609" t="s">
        <v>303</v>
      </c>
      <c r="P3609">
        <f t="shared" si="56"/>
        <v>0</v>
      </c>
    </row>
    <row r="3610" spans="1:16" x14ac:dyDescent="0.25">
      <c r="A3610" t="s">
        <v>438</v>
      </c>
      <c r="B3610">
        <v>3384</v>
      </c>
      <c r="C3610" t="s">
        <v>669</v>
      </c>
      <c r="D3610" t="s">
        <v>303</v>
      </c>
      <c r="E3610">
        <v>176</v>
      </c>
      <c r="F3610">
        <v>176</v>
      </c>
      <c r="G3610" t="s">
        <v>947</v>
      </c>
      <c r="H3610" t="s">
        <v>947</v>
      </c>
      <c r="K3610">
        <v>3384</v>
      </c>
      <c r="L3610" t="s">
        <v>303</v>
      </c>
      <c r="N3610">
        <v>3384</v>
      </c>
      <c r="O3610" t="s">
        <v>303</v>
      </c>
      <c r="P3610">
        <f t="shared" si="56"/>
        <v>0</v>
      </c>
    </row>
    <row r="3611" spans="1:16" x14ac:dyDescent="0.25">
      <c r="A3611" t="s">
        <v>438</v>
      </c>
      <c r="B3611">
        <v>3385</v>
      </c>
      <c r="C3611" t="s">
        <v>669</v>
      </c>
      <c r="D3611" t="s">
        <v>303</v>
      </c>
      <c r="E3611">
        <v>176</v>
      </c>
      <c r="F3611">
        <v>176</v>
      </c>
      <c r="G3611" t="s">
        <v>947</v>
      </c>
      <c r="H3611" t="s">
        <v>947</v>
      </c>
      <c r="K3611">
        <v>3385</v>
      </c>
      <c r="L3611" t="s">
        <v>303</v>
      </c>
      <c r="N3611">
        <v>3385</v>
      </c>
      <c r="O3611" t="s">
        <v>303</v>
      </c>
      <c r="P3611">
        <f t="shared" si="56"/>
        <v>0</v>
      </c>
    </row>
    <row r="3612" spans="1:16" x14ac:dyDescent="0.25">
      <c r="A3612" t="s">
        <v>438</v>
      </c>
      <c r="B3612">
        <v>3386</v>
      </c>
      <c r="C3612" t="s">
        <v>669</v>
      </c>
      <c r="D3612" t="s">
        <v>303</v>
      </c>
      <c r="E3612">
        <v>176</v>
      </c>
      <c r="F3612">
        <v>176</v>
      </c>
      <c r="G3612" t="s">
        <v>947</v>
      </c>
      <c r="H3612" t="s">
        <v>947</v>
      </c>
      <c r="K3612">
        <v>3386</v>
      </c>
      <c r="L3612" t="s">
        <v>303</v>
      </c>
      <c r="N3612">
        <v>3386</v>
      </c>
      <c r="O3612" t="s">
        <v>303</v>
      </c>
      <c r="P3612">
        <f t="shared" si="56"/>
        <v>0</v>
      </c>
    </row>
    <row r="3613" spans="1:16" x14ac:dyDescent="0.25">
      <c r="A3613" t="s">
        <v>438</v>
      </c>
      <c r="B3613">
        <v>3387</v>
      </c>
      <c r="C3613" t="s">
        <v>669</v>
      </c>
      <c r="D3613" t="s">
        <v>303</v>
      </c>
      <c r="E3613">
        <v>176</v>
      </c>
      <c r="F3613">
        <v>176</v>
      </c>
      <c r="G3613" t="s">
        <v>947</v>
      </c>
      <c r="H3613" t="s">
        <v>947</v>
      </c>
      <c r="K3613">
        <v>3387</v>
      </c>
      <c r="L3613" t="s">
        <v>303</v>
      </c>
      <c r="N3613">
        <v>3387</v>
      </c>
      <c r="O3613" t="s">
        <v>303</v>
      </c>
      <c r="P3613">
        <f t="shared" si="56"/>
        <v>0</v>
      </c>
    </row>
    <row r="3614" spans="1:16" x14ac:dyDescent="0.25">
      <c r="A3614" t="s">
        <v>438</v>
      </c>
      <c r="B3614">
        <v>3388</v>
      </c>
      <c r="C3614" t="s">
        <v>669</v>
      </c>
      <c r="D3614" t="s">
        <v>303</v>
      </c>
      <c r="E3614">
        <v>176</v>
      </c>
      <c r="F3614">
        <v>176</v>
      </c>
      <c r="G3614" t="s">
        <v>947</v>
      </c>
      <c r="H3614" t="s">
        <v>947</v>
      </c>
      <c r="K3614">
        <v>3388</v>
      </c>
      <c r="L3614" t="s">
        <v>303</v>
      </c>
      <c r="N3614">
        <v>3388</v>
      </c>
      <c r="O3614" t="s">
        <v>303</v>
      </c>
      <c r="P3614">
        <f t="shared" si="56"/>
        <v>0</v>
      </c>
    </row>
    <row r="3615" spans="1:16" x14ac:dyDescent="0.25">
      <c r="A3615" t="s">
        <v>438</v>
      </c>
      <c r="B3615">
        <v>3389</v>
      </c>
      <c r="C3615" t="s">
        <v>669</v>
      </c>
      <c r="D3615" t="s">
        <v>303</v>
      </c>
      <c r="E3615">
        <v>176</v>
      </c>
      <c r="F3615">
        <v>176</v>
      </c>
      <c r="G3615" t="s">
        <v>947</v>
      </c>
      <c r="H3615" t="s">
        <v>947</v>
      </c>
      <c r="K3615">
        <v>3389</v>
      </c>
      <c r="L3615" t="s">
        <v>303</v>
      </c>
      <c r="N3615">
        <v>3389</v>
      </c>
      <c r="O3615" t="s">
        <v>303</v>
      </c>
      <c r="P3615">
        <f t="shared" si="56"/>
        <v>0</v>
      </c>
    </row>
    <row r="3616" spans="1:16" x14ac:dyDescent="0.25">
      <c r="A3616" t="s">
        <v>438</v>
      </c>
      <c r="B3616">
        <v>3390</v>
      </c>
      <c r="C3616" t="s">
        <v>669</v>
      </c>
      <c r="D3616" t="s">
        <v>303</v>
      </c>
      <c r="E3616">
        <v>176</v>
      </c>
      <c r="F3616">
        <v>176</v>
      </c>
      <c r="G3616" t="s">
        <v>947</v>
      </c>
      <c r="H3616" t="s">
        <v>947</v>
      </c>
      <c r="K3616">
        <v>3390</v>
      </c>
      <c r="L3616" t="s">
        <v>303</v>
      </c>
      <c r="N3616">
        <v>3390</v>
      </c>
      <c r="O3616" t="s">
        <v>303</v>
      </c>
      <c r="P3616">
        <f t="shared" si="56"/>
        <v>0</v>
      </c>
    </row>
    <row r="3617" spans="1:16" x14ac:dyDescent="0.25">
      <c r="A3617" t="s">
        <v>438</v>
      </c>
      <c r="B3617">
        <v>3391</v>
      </c>
      <c r="C3617" t="s">
        <v>669</v>
      </c>
      <c r="D3617" t="s">
        <v>303</v>
      </c>
      <c r="E3617">
        <v>176</v>
      </c>
      <c r="F3617">
        <v>176</v>
      </c>
      <c r="G3617" t="s">
        <v>947</v>
      </c>
      <c r="H3617" t="s">
        <v>947</v>
      </c>
      <c r="K3617">
        <v>3391</v>
      </c>
      <c r="L3617" t="s">
        <v>303</v>
      </c>
      <c r="N3617">
        <v>3391</v>
      </c>
      <c r="O3617" t="s">
        <v>303</v>
      </c>
      <c r="P3617">
        <f t="shared" si="56"/>
        <v>0</v>
      </c>
    </row>
    <row r="3618" spans="1:16" x14ac:dyDescent="0.25">
      <c r="A3618" t="s">
        <v>669</v>
      </c>
      <c r="B3618">
        <v>3435</v>
      </c>
      <c r="C3618" t="s">
        <v>669</v>
      </c>
      <c r="D3618" t="s">
        <v>669</v>
      </c>
      <c r="E3618" t="s">
        <v>910</v>
      </c>
      <c r="F3618" t="s">
        <v>910</v>
      </c>
      <c r="I3618" t="s">
        <v>928</v>
      </c>
      <c r="K3618">
        <v>3435</v>
      </c>
      <c r="L3618" t="s">
        <v>851</v>
      </c>
      <c r="N3618">
        <v>3435</v>
      </c>
      <c r="P3618">
        <f t="shared" si="56"/>
        <v>21</v>
      </c>
    </row>
    <row r="3619" spans="1:16" x14ac:dyDescent="0.25">
      <c r="A3619" t="s">
        <v>438</v>
      </c>
      <c r="B3619">
        <v>3392</v>
      </c>
      <c r="C3619" t="s">
        <v>669</v>
      </c>
      <c r="D3619" t="s">
        <v>303</v>
      </c>
      <c r="E3619">
        <v>176</v>
      </c>
      <c r="F3619">
        <v>176</v>
      </c>
      <c r="G3619" t="s">
        <v>947</v>
      </c>
      <c r="H3619" t="s">
        <v>947</v>
      </c>
      <c r="K3619">
        <v>3392</v>
      </c>
      <c r="L3619" t="s">
        <v>303</v>
      </c>
      <c r="N3619">
        <v>3392</v>
      </c>
      <c r="O3619" t="s">
        <v>303</v>
      </c>
      <c r="P3619">
        <f t="shared" si="56"/>
        <v>0</v>
      </c>
    </row>
    <row r="3620" spans="1:16" x14ac:dyDescent="0.25">
      <c r="A3620" t="s">
        <v>438</v>
      </c>
      <c r="B3620">
        <v>3393</v>
      </c>
      <c r="C3620" t="s">
        <v>669</v>
      </c>
      <c r="D3620" t="s">
        <v>303</v>
      </c>
      <c r="E3620">
        <v>176</v>
      </c>
      <c r="F3620">
        <v>176</v>
      </c>
      <c r="G3620" t="s">
        <v>947</v>
      </c>
      <c r="H3620" t="s">
        <v>947</v>
      </c>
      <c r="K3620">
        <v>3393</v>
      </c>
      <c r="L3620" t="s">
        <v>303</v>
      </c>
      <c r="N3620">
        <v>3393</v>
      </c>
      <c r="O3620" t="s">
        <v>303</v>
      </c>
      <c r="P3620">
        <f t="shared" si="56"/>
        <v>0</v>
      </c>
    </row>
    <row r="3621" spans="1:16" x14ac:dyDescent="0.25">
      <c r="A3621" t="s">
        <v>438</v>
      </c>
      <c r="B3621">
        <v>3394</v>
      </c>
      <c r="C3621" t="s">
        <v>669</v>
      </c>
      <c r="D3621" t="s">
        <v>303</v>
      </c>
      <c r="E3621">
        <v>176</v>
      </c>
      <c r="F3621">
        <v>176</v>
      </c>
      <c r="G3621" t="s">
        <v>947</v>
      </c>
      <c r="H3621" t="s">
        <v>947</v>
      </c>
      <c r="K3621">
        <v>3394</v>
      </c>
      <c r="L3621" t="s">
        <v>303</v>
      </c>
      <c r="N3621">
        <v>3394</v>
      </c>
      <c r="O3621" t="s">
        <v>303</v>
      </c>
      <c r="P3621">
        <f t="shared" si="56"/>
        <v>0</v>
      </c>
    </row>
    <row r="3622" spans="1:16" x14ac:dyDescent="0.25">
      <c r="A3622" t="s">
        <v>438</v>
      </c>
      <c r="B3622">
        <v>3395</v>
      </c>
      <c r="C3622" t="s">
        <v>669</v>
      </c>
      <c r="D3622" t="s">
        <v>303</v>
      </c>
      <c r="E3622">
        <v>176</v>
      </c>
      <c r="F3622">
        <v>176</v>
      </c>
      <c r="G3622" t="s">
        <v>947</v>
      </c>
      <c r="H3622" t="s">
        <v>947</v>
      </c>
      <c r="K3622">
        <v>3395</v>
      </c>
      <c r="L3622" t="s">
        <v>303</v>
      </c>
      <c r="N3622">
        <v>3395</v>
      </c>
      <c r="O3622" t="s">
        <v>303</v>
      </c>
      <c r="P3622">
        <f t="shared" si="56"/>
        <v>0</v>
      </c>
    </row>
    <row r="3623" spans="1:16" x14ac:dyDescent="0.25">
      <c r="A3623" t="s">
        <v>438</v>
      </c>
      <c r="B3623">
        <v>3396</v>
      </c>
      <c r="C3623" t="s">
        <v>669</v>
      </c>
      <c r="D3623" t="s">
        <v>303</v>
      </c>
      <c r="E3623">
        <v>176</v>
      </c>
      <c r="F3623">
        <v>176</v>
      </c>
      <c r="G3623" t="s">
        <v>947</v>
      </c>
      <c r="H3623" t="s">
        <v>947</v>
      </c>
      <c r="K3623">
        <v>3396</v>
      </c>
      <c r="L3623" t="s">
        <v>303</v>
      </c>
      <c r="N3623">
        <v>3396</v>
      </c>
      <c r="O3623" t="s">
        <v>303</v>
      </c>
      <c r="P3623">
        <f t="shared" si="56"/>
        <v>0</v>
      </c>
    </row>
    <row r="3624" spans="1:16" x14ac:dyDescent="0.25">
      <c r="A3624" t="s">
        <v>438</v>
      </c>
      <c r="B3624">
        <v>3397</v>
      </c>
      <c r="C3624" t="s">
        <v>669</v>
      </c>
      <c r="D3624" t="s">
        <v>303</v>
      </c>
      <c r="E3624">
        <v>176</v>
      </c>
      <c r="F3624">
        <v>176</v>
      </c>
      <c r="G3624" t="s">
        <v>947</v>
      </c>
      <c r="H3624" t="s">
        <v>947</v>
      </c>
      <c r="K3624">
        <v>3397</v>
      </c>
      <c r="L3624" t="s">
        <v>303</v>
      </c>
      <c r="N3624">
        <v>3397</v>
      </c>
      <c r="O3624" t="s">
        <v>303</v>
      </c>
      <c r="P3624">
        <f t="shared" si="56"/>
        <v>0</v>
      </c>
    </row>
    <row r="3625" spans="1:16" x14ac:dyDescent="0.25">
      <c r="A3625" t="s">
        <v>438</v>
      </c>
      <c r="B3625">
        <v>3398</v>
      </c>
      <c r="C3625" t="s">
        <v>669</v>
      </c>
      <c r="D3625" t="s">
        <v>303</v>
      </c>
      <c r="E3625">
        <v>176</v>
      </c>
      <c r="F3625">
        <v>176</v>
      </c>
      <c r="G3625" t="s">
        <v>947</v>
      </c>
      <c r="H3625" t="s">
        <v>947</v>
      </c>
      <c r="K3625">
        <v>3398</v>
      </c>
      <c r="L3625" t="s">
        <v>303</v>
      </c>
      <c r="N3625">
        <v>3398</v>
      </c>
      <c r="O3625" t="s">
        <v>303</v>
      </c>
      <c r="P3625">
        <f t="shared" si="56"/>
        <v>0</v>
      </c>
    </row>
    <row r="3626" spans="1:16" x14ac:dyDescent="0.25">
      <c r="A3626" t="s">
        <v>438</v>
      </c>
      <c r="B3626">
        <v>3399</v>
      </c>
      <c r="C3626" t="s">
        <v>669</v>
      </c>
      <c r="D3626" t="s">
        <v>303</v>
      </c>
      <c r="E3626">
        <v>176</v>
      </c>
      <c r="F3626">
        <v>176</v>
      </c>
      <c r="G3626" t="s">
        <v>947</v>
      </c>
      <c r="H3626" t="s">
        <v>947</v>
      </c>
      <c r="K3626">
        <v>3399</v>
      </c>
      <c r="L3626" t="s">
        <v>303</v>
      </c>
      <c r="N3626">
        <v>3399</v>
      </c>
      <c r="O3626" t="s">
        <v>303</v>
      </c>
      <c r="P3626">
        <f t="shared" si="56"/>
        <v>0</v>
      </c>
    </row>
    <row r="3627" spans="1:16" x14ac:dyDescent="0.25">
      <c r="A3627" t="s">
        <v>438</v>
      </c>
      <c r="B3627">
        <v>3400</v>
      </c>
      <c r="C3627" t="s">
        <v>669</v>
      </c>
      <c r="D3627" t="s">
        <v>303</v>
      </c>
      <c r="E3627">
        <v>176</v>
      </c>
      <c r="F3627">
        <v>176</v>
      </c>
      <c r="G3627" t="s">
        <v>947</v>
      </c>
      <c r="H3627" t="s">
        <v>947</v>
      </c>
      <c r="K3627">
        <v>3400</v>
      </c>
      <c r="L3627" t="s">
        <v>303</v>
      </c>
      <c r="N3627">
        <v>3400</v>
      </c>
      <c r="O3627" t="s">
        <v>303</v>
      </c>
      <c r="P3627">
        <f t="shared" si="56"/>
        <v>0</v>
      </c>
    </row>
    <row r="3628" spans="1:16" x14ac:dyDescent="0.25">
      <c r="A3628" t="s">
        <v>438</v>
      </c>
      <c r="B3628">
        <v>3401</v>
      </c>
      <c r="C3628" t="s">
        <v>669</v>
      </c>
      <c r="D3628" t="s">
        <v>303</v>
      </c>
      <c r="E3628">
        <v>176</v>
      </c>
      <c r="F3628">
        <v>176</v>
      </c>
      <c r="G3628" t="s">
        <v>947</v>
      </c>
      <c r="H3628" t="s">
        <v>947</v>
      </c>
      <c r="K3628">
        <v>3401</v>
      </c>
      <c r="L3628" t="s">
        <v>303</v>
      </c>
      <c r="N3628">
        <v>3401</v>
      </c>
      <c r="O3628" t="s">
        <v>303</v>
      </c>
      <c r="P3628">
        <f t="shared" si="56"/>
        <v>0</v>
      </c>
    </row>
    <row r="3629" spans="1:16" x14ac:dyDescent="0.25">
      <c r="A3629" t="s">
        <v>438</v>
      </c>
      <c r="B3629">
        <v>3402</v>
      </c>
      <c r="C3629" t="s">
        <v>669</v>
      </c>
      <c r="D3629" t="s">
        <v>303</v>
      </c>
      <c r="E3629">
        <v>176</v>
      </c>
      <c r="F3629">
        <v>176</v>
      </c>
      <c r="G3629" t="s">
        <v>947</v>
      </c>
      <c r="H3629" t="s">
        <v>947</v>
      </c>
      <c r="K3629">
        <v>3402</v>
      </c>
      <c r="L3629" t="s">
        <v>303</v>
      </c>
      <c r="N3629">
        <v>3402</v>
      </c>
      <c r="O3629" t="s">
        <v>303</v>
      </c>
      <c r="P3629">
        <f t="shared" si="56"/>
        <v>0</v>
      </c>
    </row>
    <row r="3630" spans="1:16" x14ac:dyDescent="0.25">
      <c r="A3630" t="s">
        <v>438</v>
      </c>
      <c r="B3630">
        <v>3403</v>
      </c>
      <c r="C3630" t="s">
        <v>669</v>
      </c>
      <c r="D3630" t="s">
        <v>303</v>
      </c>
      <c r="E3630">
        <v>176</v>
      </c>
      <c r="F3630">
        <v>176</v>
      </c>
      <c r="G3630" t="s">
        <v>947</v>
      </c>
      <c r="H3630" t="s">
        <v>947</v>
      </c>
      <c r="K3630">
        <v>3403</v>
      </c>
      <c r="L3630" t="s">
        <v>303</v>
      </c>
      <c r="N3630">
        <v>3403</v>
      </c>
      <c r="O3630" t="s">
        <v>303</v>
      </c>
      <c r="P3630">
        <f t="shared" si="56"/>
        <v>0</v>
      </c>
    </row>
    <row r="3631" spans="1:16" x14ac:dyDescent="0.25">
      <c r="A3631" t="s">
        <v>438</v>
      </c>
      <c r="B3631">
        <v>3404</v>
      </c>
      <c r="C3631" t="s">
        <v>669</v>
      </c>
      <c r="D3631" t="s">
        <v>303</v>
      </c>
      <c r="E3631">
        <v>176</v>
      </c>
      <c r="F3631">
        <v>176</v>
      </c>
      <c r="G3631" t="s">
        <v>947</v>
      </c>
      <c r="H3631" t="s">
        <v>947</v>
      </c>
      <c r="K3631">
        <v>3404</v>
      </c>
      <c r="L3631" t="s">
        <v>303</v>
      </c>
      <c r="N3631">
        <v>3404</v>
      </c>
      <c r="O3631" t="s">
        <v>303</v>
      </c>
      <c r="P3631">
        <f t="shared" si="56"/>
        <v>0</v>
      </c>
    </row>
    <row r="3632" spans="1:16" x14ac:dyDescent="0.25">
      <c r="A3632" t="s">
        <v>438</v>
      </c>
      <c r="B3632">
        <v>3405</v>
      </c>
      <c r="C3632" t="s">
        <v>669</v>
      </c>
      <c r="D3632" t="s">
        <v>303</v>
      </c>
      <c r="E3632">
        <v>176</v>
      </c>
      <c r="F3632">
        <v>176</v>
      </c>
      <c r="G3632" t="s">
        <v>947</v>
      </c>
      <c r="H3632" t="s">
        <v>947</v>
      </c>
      <c r="K3632">
        <v>3405</v>
      </c>
      <c r="L3632" t="s">
        <v>303</v>
      </c>
      <c r="N3632">
        <v>3405</v>
      </c>
      <c r="O3632" t="s">
        <v>303</v>
      </c>
      <c r="P3632">
        <f t="shared" si="56"/>
        <v>0</v>
      </c>
    </row>
    <row r="3633" spans="1:16" x14ac:dyDescent="0.25">
      <c r="A3633" t="s">
        <v>438</v>
      </c>
      <c r="B3633">
        <v>3406</v>
      </c>
      <c r="C3633" t="s">
        <v>669</v>
      </c>
      <c r="D3633" t="s">
        <v>303</v>
      </c>
      <c r="E3633">
        <v>176</v>
      </c>
      <c r="F3633">
        <v>176</v>
      </c>
      <c r="G3633" t="s">
        <v>947</v>
      </c>
      <c r="H3633" t="s">
        <v>947</v>
      </c>
      <c r="K3633">
        <v>3406</v>
      </c>
      <c r="L3633" t="s">
        <v>303</v>
      </c>
      <c r="N3633">
        <v>3406</v>
      </c>
      <c r="O3633" t="s">
        <v>303</v>
      </c>
      <c r="P3633">
        <f t="shared" si="56"/>
        <v>0</v>
      </c>
    </row>
    <row r="3634" spans="1:16" x14ac:dyDescent="0.25">
      <c r="A3634" t="s">
        <v>438</v>
      </c>
      <c r="B3634">
        <v>3407</v>
      </c>
      <c r="C3634" t="s">
        <v>669</v>
      </c>
      <c r="D3634" t="s">
        <v>303</v>
      </c>
      <c r="E3634">
        <v>176</v>
      </c>
      <c r="F3634">
        <v>176</v>
      </c>
      <c r="G3634" t="s">
        <v>947</v>
      </c>
      <c r="H3634" t="s">
        <v>947</v>
      </c>
      <c r="K3634">
        <v>3407</v>
      </c>
      <c r="L3634" t="s">
        <v>303</v>
      </c>
      <c r="N3634">
        <v>3407</v>
      </c>
      <c r="O3634" t="s">
        <v>303</v>
      </c>
      <c r="P3634">
        <f t="shared" si="56"/>
        <v>0</v>
      </c>
    </row>
    <row r="3635" spans="1:16" x14ac:dyDescent="0.25">
      <c r="A3635" t="s">
        <v>438</v>
      </c>
      <c r="B3635">
        <v>3408</v>
      </c>
      <c r="C3635" t="s">
        <v>669</v>
      </c>
      <c r="D3635" t="s">
        <v>303</v>
      </c>
      <c r="E3635">
        <v>176</v>
      </c>
      <c r="F3635">
        <v>176</v>
      </c>
      <c r="G3635" t="s">
        <v>947</v>
      </c>
      <c r="H3635" t="s">
        <v>947</v>
      </c>
      <c r="K3635">
        <v>3408</v>
      </c>
      <c r="L3635" t="s">
        <v>303</v>
      </c>
      <c r="N3635">
        <v>3408</v>
      </c>
      <c r="O3635" t="s">
        <v>303</v>
      </c>
      <c r="P3635">
        <f t="shared" si="56"/>
        <v>0</v>
      </c>
    </row>
    <row r="3636" spans="1:16" x14ac:dyDescent="0.25">
      <c r="A3636" t="s">
        <v>438</v>
      </c>
      <c r="B3636">
        <v>3409</v>
      </c>
      <c r="C3636" t="s">
        <v>669</v>
      </c>
      <c r="D3636" t="s">
        <v>303</v>
      </c>
      <c r="E3636">
        <v>176</v>
      </c>
      <c r="F3636">
        <v>176</v>
      </c>
      <c r="G3636" t="s">
        <v>947</v>
      </c>
      <c r="H3636" t="s">
        <v>947</v>
      </c>
      <c r="K3636">
        <v>3409</v>
      </c>
      <c r="L3636" t="s">
        <v>303</v>
      </c>
      <c r="N3636">
        <v>3409</v>
      </c>
      <c r="O3636" t="s">
        <v>303</v>
      </c>
      <c r="P3636">
        <f t="shared" si="56"/>
        <v>0</v>
      </c>
    </row>
    <row r="3637" spans="1:16" x14ac:dyDescent="0.25">
      <c r="A3637" t="s">
        <v>438</v>
      </c>
      <c r="B3637">
        <v>3410</v>
      </c>
      <c r="C3637" t="s">
        <v>669</v>
      </c>
      <c r="D3637" t="s">
        <v>303</v>
      </c>
      <c r="E3637">
        <v>176</v>
      </c>
      <c r="F3637">
        <v>176</v>
      </c>
      <c r="G3637" t="s">
        <v>947</v>
      </c>
      <c r="H3637" t="s">
        <v>947</v>
      </c>
      <c r="K3637">
        <v>3410</v>
      </c>
      <c r="L3637" t="s">
        <v>303</v>
      </c>
      <c r="N3637">
        <v>3410</v>
      </c>
      <c r="O3637" t="s">
        <v>303</v>
      </c>
      <c r="P3637">
        <f t="shared" si="56"/>
        <v>0</v>
      </c>
    </row>
    <row r="3638" spans="1:16" x14ac:dyDescent="0.25">
      <c r="A3638" t="s">
        <v>438</v>
      </c>
      <c r="B3638">
        <v>3411</v>
      </c>
      <c r="C3638" t="s">
        <v>669</v>
      </c>
      <c r="D3638" t="s">
        <v>303</v>
      </c>
      <c r="E3638">
        <v>176</v>
      </c>
      <c r="F3638">
        <v>176</v>
      </c>
      <c r="G3638" t="s">
        <v>947</v>
      </c>
      <c r="H3638" t="s">
        <v>947</v>
      </c>
      <c r="K3638">
        <v>3411</v>
      </c>
      <c r="L3638" t="s">
        <v>303</v>
      </c>
      <c r="N3638">
        <v>3411</v>
      </c>
      <c r="O3638" t="s">
        <v>303</v>
      </c>
      <c r="P3638">
        <f t="shared" si="56"/>
        <v>0</v>
      </c>
    </row>
    <row r="3639" spans="1:16" x14ac:dyDescent="0.25">
      <c r="A3639" t="s">
        <v>438</v>
      </c>
      <c r="B3639">
        <v>3412</v>
      </c>
      <c r="C3639" t="s">
        <v>669</v>
      </c>
      <c r="D3639" t="s">
        <v>303</v>
      </c>
      <c r="E3639">
        <v>176</v>
      </c>
      <c r="F3639">
        <v>176</v>
      </c>
      <c r="G3639" t="s">
        <v>947</v>
      </c>
      <c r="H3639" t="s">
        <v>947</v>
      </c>
      <c r="K3639">
        <v>3412</v>
      </c>
      <c r="L3639" t="s">
        <v>303</v>
      </c>
      <c r="N3639">
        <v>3412</v>
      </c>
      <c r="O3639" t="s">
        <v>303</v>
      </c>
      <c r="P3639">
        <f t="shared" si="56"/>
        <v>0</v>
      </c>
    </row>
    <row r="3640" spans="1:16" x14ac:dyDescent="0.25">
      <c r="A3640" t="s">
        <v>438</v>
      </c>
      <c r="B3640">
        <v>3413</v>
      </c>
      <c r="C3640" t="s">
        <v>669</v>
      </c>
      <c r="D3640" t="s">
        <v>303</v>
      </c>
      <c r="E3640">
        <v>176</v>
      </c>
      <c r="F3640">
        <v>176</v>
      </c>
      <c r="G3640" t="s">
        <v>947</v>
      </c>
      <c r="H3640" t="s">
        <v>947</v>
      </c>
      <c r="K3640">
        <v>3413</v>
      </c>
      <c r="L3640" t="s">
        <v>303</v>
      </c>
      <c r="N3640">
        <v>3413</v>
      </c>
      <c r="O3640" t="s">
        <v>303</v>
      </c>
      <c r="P3640">
        <f t="shared" si="56"/>
        <v>0</v>
      </c>
    </row>
    <row r="3641" spans="1:16" x14ac:dyDescent="0.25">
      <c r="A3641" t="s">
        <v>438</v>
      </c>
      <c r="B3641">
        <v>3414</v>
      </c>
      <c r="C3641" t="s">
        <v>669</v>
      </c>
      <c r="D3641" t="s">
        <v>303</v>
      </c>
      <c r="E3641">
        <v>176</v>
      </c>
      <c r="F3641">
        <v>176</v>
      </c>
      <c r="G3641" t="s">
        <v>947</v>
      </c>
      <c r="H3641" t="s">
        <v>947</v>
      </c>
      <c r="K3641">
        <v>3414</v>
      </c>
      <c r="L3641" t="s">
        <v>303</v>
      </c>
      <c r="N3641">
        <v>3414</v>
      </c>
      <c r="O3641" t="s">
        <v>303</v>
      </c>
      <c r="P3641">
        <f t="shared" si="56"/>
        <v>0</v>
      </c>
    </row>
    <row r="3642" spans="1:16" x14ac:dyDescent="0.25">
      <c r="A3642" t="s">
        <v>438</v>
      </c>
      <c r="B3642">
        <v>3415</v>
      </c>
      <c r="C3642" t="s">
        <v>669</v>
      </c>
      <c r="D3642" t="s">
        <v>303</v>
      </c>
      <c r="E3642">
        <v>176</v>
      </c>
      <c r="F3642">
        <v>176</v>
      </c>
      <c r="G3642" t="s">
        <v>947</v>
      </c>
      <c r="H3642" t="s">
        <v>947</v>
      </c>
      <c r="K3642">
        <v>3415</v>
      </c>
      <c r="L3642" t="s">
        <v>303</v>
      </c>
      <c r="N3642">
        <v>3415</v>
      </c>
      <c r="O3642" t="s">
        <v>303</v>
      </c>
      <c r="P3642">
        <f t="shared" si="56"/>
        <v>0</v>
      </c>
    </row>
    <row r="3643" spans="1:16" x14ac:dyDescent="0.25">
      <c r="A3643" t="s">
        <v>438</v>
      </c>
      <c r="B3643">
        <v>3416</v>
      </c>
      <c r="C3643" t="s">
        <v>669</v>
      </c>
      <c r="D3643" t="s">
        <v>303</v>
      </c>
      <c r="E3643">
        <v>176</v>
      </c>
      <c r="F3643">
        <v>176</v>
      </c>
      <c r="G3643" t="s">
        <v>947</v>
      </c>
      <c r="H3643" t="s">
        <v>947</v>
      </c>
      <c r="K3643">
        <v>3416</v>
      </c>
      <c r="L3643" t="s">
        <v>303</v>
      </c>
      <c r="N3643">
        <v>3416</v>
      </c>
      <c r="O3643" t="s">
        <v>303</v>
      </c>
      <c r="P3643">
        <f t="shared" si="56"/>
        <v>0</v>
      </c>
    </row>
    <row r="3644" spans="1:16" x14ac:dyDescent="0.25">
      <c r="A3644" t="s">
        <v>438</v>
      </c>
      <c r="B3644">
        <v>3417</v>
      </c>
      <c r="C3644" t="s">
        <v>669</v>
      </c>
      <c r="D3644" t="s">
        <v>303</v>
      </c>
      <c r="E3644">
        <v>176</v>
      </c>
      <c r="F3644">
        <v>176</v>
      </c>
      <c r="G3644" t="s">
        <v>947</v>
      </c>
      <c r="H3644" t="s">
        <v>947</v>
      </c>
      <c r="K3644">
        <v>3417</v>
      </c>
      <c r="L3644" t="s">
        <v>303</v>
      </c>
      <c r="N3644">
        <v>3417</v>
      </c>
      <c r="O3644" t="s">
        <v>303</v>
      </c>
      <c r="P3644">
        <f t="shared" si="56"/>
        <v>0</v>
      </c>
    </row>
    <row r="3645" spans="1:16" x14ac:dyDescent="0.25">
      <c r="A3645" t="s">
        <v>438</v>
      </c>
      <c r="B3645">
        <v>3418</v>
      </c>
      <c r="C3645" t="s">
        <v>669</v>
      </c>
      <c r="D3645" t="s">
        <v>303</v>
      </c>
      <c r="E3645">
        <v>176</v>
      </c>
      <c r="F3645">
        <v>176</v>
      </c>
      <c r="G3645" t="s">
        <v>947</v>
      </c>
      <c r="H3645" t="s">
        <v>947</v>
      </c>
      <c r="K3645">
        <v>3418</v>
      </c>
      <c r="L3645" t="s">
        <v>303</v>
      </c>
      <c r="N3645">
        <v>3418</v>
      </c>
      <c r="O3645" t="s">
        <v>303</v>
      </c>
      <c r="P3645">
        <f t="shared" si="56"/>
        <v>0</v>
      </c>
    </row>
    <row r="3646" spans="1:16" x14ac:dyDescent="0.25">
      <c r="A3646" t="s">
        <v>438</v>
      </c>
      <c r="B3646">
        <v>3419</v>
      </c>
      <c r="C3646" t="s">
        <v>669</v>
      </c>
      <c r="D3646" t="s">
        <v>303</v>
      </c>
      <c r="E3646">
        <v>176</v>
      </c>
      <c r="F3646">
        <v>176</v>
      </c>
      <c r="G3646" t="s">
        <v>947</v>
      </c>
      <c r="H3646" t="s">
        <v>947</v>
      </c>
      <c r="K3646">
        <v>3419</v>
      </c>
      <c r="L3646" t="s">
        <v>303</v>
      </c>
      <c r="N3646">
        <v>3419</v>
      </c>
      <c r="O3646" t="s">
        <v>303</v>
      </c>
      <c r="P3646">
        <f t="shared" si="56"/>
        <v>0</v>
      </c>
    </row>
    <row r="3647" spans="1:16" x14ac:dyDescent="0.25">
      <c r="A3647" t="s">
        <v>438</v>
      </c>
      <c r="B3647">
        <v>3420</v>
      </c>
      <c r="C3647" t="s">
        <v>669</v>
      </c>
      <c r="D3647" t="s">
        <v>303</v>
      </c>
      <c r="E3647">
        <v>176</v>
      </c>
      <c r="F3647">
        <v>176</v>
      </c>
      <c r="G3647" t="s">
        <v>947</v>
      </c>
      <c r="H3647" t="s">
        <v>947</v>
      </c>
      <c r="K3647">
        <v>3420</v>
      </c>
      <c r="L3647" t="s">
        <v>303</v>
      </c>
      <c r="N3647">
        <v>3420</v>
      </c>
      <c r="O3647" t="s">
        <v>303</v>
      </c>
      <c r="P3647">
        <f t="shared" si="56"/>
        <v>0</v>
      </c>
    </row>
    <row r="3648" spans="1:16" x14ac:dyDescent="0.25">
      <c r="A3648" t="s">
        <v>438</v>
      </c>
      <c r="B3648">
        <v>3421</v>
      </c>
      <c r="C3648" t="s">
        <v>669</v>
      </c>
      <c r="D3648" t="s">
        <v>303</v>
      </c>
      <c r="E3648">
        <v>176</v>
      </c>
      <c r="F3648">
        <v>176</v>
      </c>
      <c r="G3648" t="s">
        <v>947</v>
      </c>
      <c r="H3648" t="s">
        <v>947</v>
      </c>
      <c r="K3648">
        <v>3421</v>
      </c>
      <c r="L3648" t="s">
        <v>303</v>
      </c>
      <c r="N3648">
        <v>3421</v>
      </c>
      <c r="O3648" t="s">
        <v>303</v>
      </c>
      <c r="P3648">
        <f t="shared" si="56"/>
        <v>0</v>
      </c>
    </row>
    <row r="3649" spans="1:16" x14ac:dyDescent="0.25">
      <c r="A3649" t="s">
        <v>438</v>
      </c>
      <c r="B3649">
        <v>3422</v>
      </c>
      <c r="C3649" t="s">
        <v>669</v>
      </c>
      <c r="D3649" t="s">
        <v>303</v>
      </c>
      <c r="E3649">
        <v>176</v>
      </c>
      <c r="F3649">
        <v>176</v>
      </c>
      <c r="G3649" t="s">
        <v>947</v>
      </c>
      <c r="H3649" t="s">
        <v>947</v>
      </c>
      <c r="K3649">
        <v>3422</v>
      </c>
      <c r="L3649" t="s">
        <v>303</v>
      </c>
      <c r="N3649">
        <v>3422</v>
      </c>
      <c r="O3649" t="s">
        <v>303</v>
      </c>
      <c r="P3649">
        <f t="shared" si="56"/>
        <v>0</v>
      </c>
    </row>
    <row r="3650" spans="1:16" x14ac:dyDescent="0.25">
      <c r="A3650" t="s">
        <v>438</v>
      </c>
      <c r="B3650">
        <v>3423</v>
      </c>
      <c r="C3650" t="s">
        <v>669</v>
      </c>
      <c r="D3650" t="s">
        <v>303</v>
      </c>
      <c r="E3650">
        <v>176</v>
      </c>
      <c r="F3650">
        <v>176</v>
      </c>
      <c r="G3650" t="s">
        <v>947</v>
      </c>
      <c r="H3650" t="s">
        <v>947</v>
      </c>
      <c r="K3650">
        <v>3423</v>
      </c>
      <c r="L3650" t="s">
        <v>303</v>
      </c>
      <c r="N3650">
        <v>3423</v>
      </c>
      <c r="O3650" t="s">
        <v>303</v>
      </c>
      <c r="P3650">
        <f t="shared" si="56"/>
        <v>0</v>
      </c>
    </row>
    <row r="3651" spans="1:16" x14ac:dyDescent="0.25">
      <c r="A3651" t="s">
        <v>669</v>
      </c>
      <c r="B3651">
        <v>9332</v>
      </c>
      <c r="C3651" t="s">
        <v>669</v>
      </c>
      <c r="D3651" t="s">
        <v>865</v>
      </c>
      <c r="E3651" t="s">
        <v>910</v>
      </c>
      <c r="F3651">
        <v>4</v>
      </c>
      <c r="H3651" t="s">
        <v>701</v>
      </c>
      <c r="K3651">
        <v>9332</v>
      </c>
      <c r="L3651" t="s">
        <v>920</v>
      </c>
      <c r="N3651">
        <v>9332</v>
      </c>
      <c r="O3651" t="s">
        <v>931</v>
      </c>
      <c r="P3651">
        <f t="shared" ref="P3651:P3714" si="57">LEN(I3651)</f>
        <v>0</v>
      </c>
    </row>
    <row r="3652" spans="1:16" x14ac:dyDescent="0.25">
      <c r="A3652" t="s">
        <v>438</v>
      </c>
      <c r="B3652">
        <v>3424</v>
      </c>
      <c r="C3652" t="s">
        <v>669</v>
      </c>
      <c r="D3652" t="s">
        <v>303</v>
      </c>
      <c r="E3652">
        <v>176</v>
      </c>
      <c r="F3652">
        <v>176</v>
      </c>
      <c r="G3652" t="s">
        <v>947</v>
      </c>
      <c r="H3652" t="s">
        <v>947</v>
      </c>
      <c r="K3652">
        <v>3424</v>
      </c>
      <c r="L3652" t="s">
        <v>303</v>
      </c>
      <c r="N3652">
        <v>3424</v>
      </c>
      <c r="O3652" t="s">
        <v>303</v>
      </c>
      <c r="P3652">
        <f t="shared" si="57"/>
        <v>0</v>
      </c>
    </row>
    <row r="3653" spans="1:16" x14ac:dyDescent="0.25">
      <c r="A3653" t="s">
        <v>438</v>
      </c>
      <c r="B3653">
        <v>3425</v>
      </c>
      <c r="C3653" t="s">
        <v>669</v>
      </c>
      <c r="D3653" t="s">
        <v>303</v>
      </c>
      <c r="E3653">
        <v>176</v>
      </c>
      <c r="F3653">
        <v>176</v>
      </c>
      <c r="G3653" t="s">
        <v>947</v>
      </c>
      <c r="H3653" t="s">
        <v>947</v>
      </c>
      <c r="K3653">
        <v>3425</v>
      </c>
      <c r="L3653" t="s">
        <v>303</v>
      </c>
      <c r="N3653">
        <v>3425</v>
      </c>
      <c r="O3653" t="s">
        <v>303</v>
      </c>
      <c r="P3653">
        <f t="shared" si="57"/>
        <v>0</v>
      </c>
    </row>
    <row r="3654" spans="1:16" x14ac:dyDescent="0.25">
      <c r="A3654" t="s">
        <v>438</v>
      </c>
      <c r="B3654">
        <v>3426</v>
      </c>
      <c r="C3654" t="s">
        <v>669</v>
      </c>
      <c r="D3654" t="s">
        <v>303</v>
      </c>
      <c r="E3654">
        <v>176</v>
      </c>
      <c r="F3654">
        <v>176</v>
      </c>
      <c r="G3654" t="s">
        <v>947</v>
      </c>
      <c r="H3654" t="s">
        <v>947</v>
      </c>
      <c r="K3654">
        <v>3426</v>
      </c>
      <c r="L3654" t="s">
        <v>303</v>
      </c>
      <c r="N3654">
        <v>3426</v>
      </c>
      <c r="O3654" t="s">
        <v>303</v>
      </c>
      <c r="P3654">
        <f t="shared" si="57"/>
        <v>0</v>
      </c>
    </row>
    <row r="3655" spans="1:16" x14ac:dyDescent="0.25">
      <c r="A3655" t="s">
        <v>438</v>
      </c>
      <c r="B3655">
        <v>3427</v>
      </c>
      <c r="C3655" t="s">
        <v>669</v>
      </c>
      <c r="D3655" t="s">
        <v>303</v>
      </c>
      <c r="E3655">
        <v>176</v>
      </c>
      <c r="F3655">
        <v>176</v>
      </c>
      <c r="G3655" t="s">
        <v>947</v>
      </c>
      <c r="H3655" t="s">
        <v>947</v>
      </c>
      <c r="K3655">
        <v>3427</v>
      </c>
      <c r="L3655" t="s">
        <v>303</v>
      </c>
      <c r="N3655">
        <v>3427</v>
      </c>
      <c r="O3655" t="s">
        <v>303</v>
      </c>
      <c r="P3655">
        <f t="shared" si="57"/>
        <v>0</v>
      </c>
    </row>
    <row r="3656" spans="1:16" x14ac:dyDescent="0.25">
      <c r="A3656" t="s">
        <v>438</v>
      </c>
      <c r="B3656">
        <v>3428</v>
      </c>
      <c r="C3656" t="s">
        <v>669</v>
      </c>
      <c r="D3656" t="s">
        <v>303</v>
      </c>
      <c r="E3656">
        <v>176</v>
      </c>
      <c r="F3656">
        <v>176</v>
      </c>
      <c r="G3656" t="s">
        <v>947</v>
      </c>
      <c r="H3656" t="s">
        <v>947</v>
      </c>
      <c r="K3656">
        <v>3428</v>
      </c>
      <c r="L3656" t="s">
        <v>303</v>
      </c>
      <c r="N3656">
        <v>3428</v>
      </c>
      <c r="O3656" t="s">
        <v>303</v>
      </c>
      <c r="P3656">
        <f t="shared" si="57"/>
        <v>0</v>
      </c>
    </row>
    <row r="3657" spans="1:16" x14ac:dyDescent="0.25">
      <c r="A3657" t="s">
        <v>438</v>
      </c>
      <c r="B3657">
        <v>3429</v>
      </c>
      <c r="C3657" t="s">
        <v>669</v>
      </c>
      <c r="D3657" t="s">
        <v>303</v>
      </c>
      <c r="E3657">
        <v>176</v>
      </c>
      <c r="F3657">
        <v>176</v>
      </c>
      <c r="G3657" t="s">
        <v>947</v>
      </c>
      <c r="H3657" t="s">
        <v>947</v>
      </c>
      <c r="K3657">
        <v>3429</v>
      </c>
      <c r="L3657" t="s">
        <v>303</v>
      </c>
      <c r="N3657">
        <v>3429</v>
      </c>
      <c r="O3657" t="s">
        <v>303</v>
      </c>
      <c r="P3657">
        <f t="shared" si="57"/>
        <v>0</v>
      </c>
    </row>
    <row r="3658" spans="1:16" x14ac:dyDescent="0.25">
      <c r="A3658" t="s">
        <v>438</v>
      </c>
      <c r="B3658">
        <v>3430</v>
      </c>
      <c r="C3658" t="s">
        <v>669</v>
      </c>
      <c r="D3658" t="s">
        <v>303</v>
      </c>
      <c r="E3658">
        <v>176</v>
      </c>
      <c r="F3658">
        <v>176</v>
      </c>
      <c r="G3658" t="s">
        <v>947</v>
      </c>
      <c r="H3658" t="s">
        <v>947</v>
      </c>
      <c r="K3658">
        <v>3430</v>
      </c>
      <c r="L3658" t="s">
        <v>303</v>
      </c>
      <c r="N3658">
        <v>3430</v>
      </c>
      <c r="O3658" t="s">
        <v>303</v>
      </c>
      <c r="P3658">
        <f t="shared" si="57"/>
        <v>0</v>
      </c>
    </row>
    <row r="3659" spans="1:16" x14ac:dyDescent="0.25">
      <c r="A3659" t="s">
        <v>438</v>
      </c>
      <c r="B3659">
        <v>3431</v>
      </c>
      <c r="C3659" t="s">
        <v>669</v>
      </c>
      <c r="D3659" t="s">
        <v>303</v>
      </c>
      <c r="E3659">
        <v>176</v>
      </c>
      <c r="F3659">
        <v>176</v>
      </c>
      <c r="G3659" t="s">
        <v>947</v>
      </c>
      <c r="H3659" t="s">
        <v>947</v>
      </c>
      <c r="K3659">
        <v>3431</v>
      </c>
      <c r="L3659" t="s">
        <v>303</v>
      </c>
      <c r="N3659">
        <v>3431</v>
      </c>
      <c r="O3659" t="s">
        <v>303</v>
      </c>
      <c r="P3659">
        <f t="shared" si="57"/>
        <v>0</v>
      </c>
    </row>
    <row r="3660" spans="1:16" x14ac:dyDescent="0.25">
      <c r="A3660" t="s">
        <v>438</v>
      </c>
      <c r="B3660">
        <v>3432</v>
      </c>
      <c r="C3660" t="s">
        <v>669</v>
      </c>
      <c r="D3660" t="s">
        <v>303</v>
      </c>
      <c r="E3660">
        <v>176</v>
      </c>
      <c r="F3660">
        <v>176</v>
      </c>
      <c r="G3660" t="s">
        <v>947</v>
      </c>
      <c r="H3660" t="s">
        <v>947</v>
      </c>
      <c r="K3660">
        <v>3432</v>
      </c>
      <c r="L3660" t="s">
        <v>303</v>
      </c>
      <c r="N3660">
        <v>3432</v>
      </c>
      <c r="O3660" t="s">
        <v>303</v>
      </c>
      <c r="P3660">
        <f t="shared" si="57"/>
        <v>0</v>
      </c>
    </row>
    <row r="3661" spans="1:16" x14ac:dyDescent="0.25">
      <c r="A3661" t="s">
        <v>438</v>
      </c>
      <c r="B3661">
        <v>3433</v>
      </c>
      <c r="C3661" t="s">
        <v>669</v>
      </c>
      <c r="D3661" t="s">
        <v>303</v>
      </c>
      <c r="E3661">
        <v>176</v>
      </c>
      <c r="F3661">
        <v>176</v>
      </c>
      <c r="G3661" t="s">
        <v>947</v>
      </c>
      <c r="H3661" t="s">
        <v>947</v>
      </c>
      <c r="K3661">
        <v>3433</v>
      </c>
      <c r="L3661" t="s">
        <v>303</v>
      </c>
      <c r="N3661">
        <v>3433</v>
      </c>
      <c r="O3661" t="s">
        <v>303</v>
      </c>
      <c r="P3661">
        <f t="shared" si="57"/>
        <v>0</v>
      </c>
    </row>
    <row r="3662" spans="1:16" x14ac:dyDescent="0.25">
      <c r="A3662" t="s">
        <v>438</v>
      </c>
      <c r="B3662">
        <v>3434</v>
      </c>
      <c r="C3662" t="s">
        <v>669</v>
      </c>
      <c r="D3662" t="s">
        <v>303</v>
      </c>
      <c r="E3662">
        <v>176</v>
      </c>
      <c r="F3662">
        <v>176</v>
      </c>
      <c r="G3662" t="s">
        <v>947</v>
      </c>
      <c r="H3662" t="s">
        <v>947</v>
      </c>
      <c r="K3662">
        <v>3434</v>
      </c>
      <c r="L3662" t="s">
        <v>303</v>
      </c>
      <c r="N3662">
        <v>3434</v>
      </c>
      <c r="O3662" t="s">
        <v>303</v>
      </c>
      <c r="P3662">
        <f t="shared" si="57"/>
        <v>0</v>
      </c>
    </row>
    <row r="3663" spans="1:16" x14ac:dyDescent="0.25">
      <c r="A3663" t="s">
        <v>438</v>
      </c>
      <c r="B3663">
        <v>3435</v>
      </c>
      <c r="C3663" t="s">
        <v>669</v>
      </c>
      <c r="D3663" t="s">
        <v>303</v>
      </c>
      <c r="E3663">
        <v>176</v>
      </c>
      <c r="F3663">
        <v>176</v>
      </c>
      <c r="G3663" t="s">
        <v>947</v>
      </c>
      <c r="H3663" t="s">
        <v>947</v>
      </c>
      <c r="K3663">
        <v>3435</v>
      </c>
      <c r="L3663" t="s">
        <v>303</v>
      </c>
      <c r="N3663">
        <v>3435</v>
      </c>
      <c r="O3663" t="s">
        <v>303</v>
      </c>
      <c r="P3663">
        <f t="shared" si="57"/>
        <v>0</v>
      </c>
    </row>
    <row r="3664" spans="1:16" x14ac:dyDescent="0.25">
      <c r="A3664" t="s">
        <v>438</v>
      </c>
      <c r="B3664">
        <v>3436</v>
      </c>
      <c r="C3664" t="s">
        <v>669</v>
      </c>
      <c r="D3664" t="s">
        <v>303</v>
      </c>
      <c r="E3664">
        <v>176</v>
      </c>
      <c r="F3664">
        <v>176</v>
      </c>
      <c r="G3664" t="s">
        <v>947</v>
      </c>
      <c r="H3664" t="s">
        <v>947</v>
      </c>
      <c r="K3664">
        <v>3436</v>
      </c>
      <c r="L3664" t="s">
        <v>303</v>
      </c>
      <c r="N3664">
        <v>3436</v>
      </c>
      <c r="O3664" t="s">
        <v>303</v>
      </c>
      <c r="P3664">
        <f t="shared" si="57"/>
        <v>0</v>
      </c>
    </row>
    <row r="3665" spans="1:16" x14ac:dyDescent="0.25">
      <c r="A3665" t="s">
        <v>669</v>
      </c>
      <c r="B3665">
        <v>9334</v>
      </c>
      <c r="C3665" t="s">
        <v>669</v>
      </c>
      <c r="D3665" t="s">
        <v>865</v>
      </c>
      <c r="E3665" t="s">
        <v>910</v>
      </c>
      <c r="F3665">
        <v>4</v>
      </c>
      <c r="H3665" t="s">
        <v>701</v>
      </c>
      <c r="K3665">
        <v>9334</v>
      </c>
      <c r="L3665" t="s">
        <v>920</v>
      </c>
      <c r="N3665">
        <v>9334</v>
      </c>
      <c r="O3665" t="s">
        <v>931</v>
      </c>
      <c r="P3665">
        <f t="shared" si="57"/>
        <v>0</v>
      </c>
    </row>
    <row r="3666" spans="1:16" x14ac:dyDescent="0.25">
      <c r="A3666" t="s">
        <v>438</v>
      </c>
      <c r="B3666">
        <v>3437</v>
      </c>
      <c r="C3666" t="s">
        <v>669</v>
      </c>
      <c r="D3666" t="s">
        <v>303</v>
      </c>
      <c r="E3666">
        <v>176</v>
      </c>
      <c r="F3666">
        <v>176</v>
      </c>
      <c r="G3666" t="s">
        <v>947</v>
      </c>
      <c r="H3666" t="s">
        <v>947</v>
      </c>
      <c r="K3666">
        <v>3437</v>
      </c>
      <c r="L3666" t="s">
        <v>303</v>
      </c>
      <c r="N3666">
        <v>3437</v>
      </c>
      <c r="O3666" t="s">
        <v>303</v>
      </c>
      <c r="P3666">
        <f t="shared" si="57"/>
        <v>0</v>
      </c>
    </row>
    <row r="3667" spans="1:16" x14ac:dyDescent="0.25">
      <c r="A3667" t="s">
        <v>438</v>
      </c>
      <c r="B3667">
        <v>3438</v>
      </c>
      <c r="C3667" t="s">
        <v>669</v>
      </c>
      <c r="D3667" t="s">
        <v>303</v>
      </c>
      <c r="E3667">
        <v>176</v>
      </c>
      <c r="F3667">
        <v>176</v>
      </c>
      <c r="G3667" t="s">
        <v>947</v>
      </c>
      <c r="H3667" t="s">
        <v>947</v>
      </c>
      <c r="K3667">
        <v>3438</v>
      </c>
      <c r="L3667" t="s">
        <v>303</v>
      </c>
      <c r="N3667">
        <v>3438</v>
      </c>
      <c r="O3667" t="s">
        <v>303</v>
      </c>
      <c r="P3667">
        <f t="shared" si="57"/>
        <v>0</v>
      </c>
    </row>
    <row r="3668" spans="1:16" x14ac:dyDescent="0.25">
      <c r="A3668" t="s">
        <v>438</v>
      </c>
      <c r="B3668">
        <v>3439</v>
      </c>
      <c r="C3668" t="s">
        <v>669</v>
      </c>
      <c r="D3668" t="s">
        <v>303</v>
      </c>
      <c r="E3668">
        <v>176</v>
      </c>
      <c r="F3668">
        <v>176</v>
      </c>
      <c r="G3668" t="s">
        <v>947</v>
      </c>
      <c r="H3668" t="s">
        <v>947</v>
      </c>
      <c r="K3668">
        <v>3439</v>
      </c>
      <c r="L3668" t="s">
        <v>303</v>
      </c>
      <c r="N3668">
        <v>3439</v>
      </c>
      <c r="O3668" t="s">
        <v>303</v>
      </c>
      <c r="P3668">
        <f t="shared" si="57"/>
        <v>0</v>
      </c>
    </row>
    <row r="3669" spans="1:16" x14ac:dyDescent="0.25">
      <c r="A3669" t="s">
        <v>438</v>
      </c>
      <c r="B3669">
        <v>3440</v>
      </c>
      <c r="C3669" t="s">
        <v>669</v>
      </c>
      <c r="D3669" t="s">
        <v>303</v>
      </c>
      <c r="E3669">
        <v>176</v>
      </c>
      <c r="F3669">
        <v>176</v>
      </c>
      <c r="G3669" t="s">
        <v>947</v>
      </c>
      <c r="H3669" t="s">
        <v>947</v>
      </c>
      <c r="K3669">
        <v>3440</v>
      </c>
      <c r="L3669" t="s">
        <v>303</v>
      </c>
      <c r="N3669">
        <v>3440</v>
      </c>
      <c r="O3669" t="s">
        <v>303</v>
      </c>
      <c r="P3669">
        <f t="shared" si="57"/>
        <v>0</v>
      </c>
    </row>
    <row r="3670" spans="1:16" x14ac:dyDescent="0.25">
      <c r="A3670" t="s">
        <v>438</v>
      </c>
      <c r="B3670">
        <v>3441</v>
      </c>
      <c r="C3670" t="s">
        <v>669</v>
      </c>
      <c r="D3670" t="s">
        <v>303</v>
      </c>
      <c r="E3670">
        <v>176</v>
      </c>
      <c r="F3670">
        <v>176</v>
      </c>
      <c r="G3670" t="s">
        <v>947</v>
      </c>
      <c r="H3670" t="s">
        <v>947</v>
      </c>
      <c r="K3670">
        <v>3441</v>
      </c>
      <c r="L3670" t="s">
        <v>303</v>
      </c>
      <c r="N3670">
        <v>3441</v>
      </c>
      <c r="O3670" t="s">
        <v>303</v>
      </c>
      <c r="P3670">
        <f t="shared" si="57"/>
        <v>0</v>
      </c>
    </row>
    <row r="3671" spans="1:16" x14ac:dyDescent="0.25">
      <c r="A3671" t="s">
        <v>438</v>
      </c>
      <c r="B3671">
        <v>3442</v>
      </c>
      <c r="C3671" t="s">
        <v>669</v>
      </c>
      <c r="D3671" t="s">
        <v>303</v>
      </c>
      <c r="E3671">
        <v>176</v>
      </c>
      <c r="F3671">
        <v>176</v>
      </c>
      <c r="G3671" t="s">
        <v>947</v>
      </c>
      <c r="H3671" t="s">
        <v>947</v>
      </c>
      <c r="K3671">
        <v>3442</v>
      </c>
      <c r="L3671" t="s">
        <v>303</v>
      </c>
      <c r="N3671">
        <v>3442</v>
      </c>
      <c r="O3671" t="s">
        <v>303</v>
      </c>
      <c r="P3671">
        <f t="shared" si="57"/>
        <v>0</v>
      </c>
    </row>
    <row r="3672" spans="1:16" x14ac:dyDescent="0.25">
      <c r="A3672" t="s">
        <v>438</v>
      </c>
      <c r="B3672">
        <v>3443</v>
      </c>
      <c r="C3672" t="s">
        <v>669</v>
      </c>
      <c r="D3672" t="s">
        <v>303</v>
      </c>
      <c r="E3672">
        <v>176</v>
      </c>
      <c r="F3672">
        <v>176</v>
      </c>
      <c r="G3672" t="s">
        <v>947</v>
      </c>
      <c r="H3672" t="s">
        <v>947</v>
      </c>
      <c r="K3672">
        <v>3443</v>
      </c>
      <c r="L3672" t="s">
        <v>303</v>
      </c>
      <c r="N3672">
        <v>3443</v>
      </c>
      <c r="O3672" t="s">
        <v>303</v>
      </c>
      <c r="P3672">
        <f t="shared" si="57"/>
        <v>0</v>
      </c>
    </row>
    <row r="3673" spans="1:16" x14ac:dyDescent="0.25">
      <c r="A3673" t="s">
        <v>438</v>
      </c>
      <c r="B3673">
        <v>3444</v>
      </c>
      <c r="C3673" t="s">
        <v>669</v>
      </c>
      <c r="D3673" t="s">
        <v>303</v>
      </c>
      <c r="E3673">
        <v>176</v>
      </c>
      <c r="F3673">
        <v>176</v>
      </c>
      <c r="G3673" t="s">
        <v>947</v>
      </c>
      <c r="H3673" t="s">
        <v>947</v>
      </c>
      <c r="K3673">
        <v>3444</v>
      </c>
      <c r="L3673" t="s">
        <v>303</v>
      </c>
      <c r="N3673">
        <v>3444</v>
      </c>
      <c r="O3673" t="s">
        <v>303</v>
      </c>
      <c r="P3673">
        <f t="shared" si="57"/>
        <v>0</v>
      </c>
    </row>
    <row r="3674" spans="1:16" x14ac:dyDescent="0.25">
      <c r="A3674" t="s">
        <v>438</v>
      </c>
      <c r="B3674">
        <v>3445</v>
      </c>
      <c r="C3674" t="s">
        <v>669</v>
      </c>
      <c r="D3674" t="s">
        <v>303</v>
      </c>
      <c r="E3674">
        <v>176</v>
      </c>
      <c r="F3674">
        <v>176</v>
      </c>
      <c r="G3674" t="s">
        <v>947</v>
      </c>
      <c r="H3674" t="s">
        <v>947</v>
      </c>
      <c r="K3674">
        <v>3445</v>
      </c>
      <c r="L3674" t="s">
        <v>303</v>
      </c>
      <c r="N3674">
        <v>3445</v>
      </c>
      <c r="O3674" t="s">
        <v>303</v>
      </c>
      <c r="P3674">
        <f t="shared" si="57"/>
        <v>0</v>
      </c>
    </row>
    <row r="3675" spans="1:16" x14ac:dyDescent="0.25">
      <c r="A3675" t="s">
        <v>438</v>
      </c>
      <c r="B3675">
        <v>3446</v>
      </c>
      <c r="C3675" t="s">
        <v>669</v>
      </c>
      <c r="D3675" t="s">
        <v>303</v>
      </c>
      <c r="E3675">
        <v>176</v>
      </c>
      <c r="F3675">
        <v>176</v>
      </c>
      <c r="G3675" t="s">
        <v>947</v>
      </c>
      <c r="H3675" t="s">
        <v>947</v>
      </c>
      <c r="K3675">
        <v>3446</v>
      </c>
      <c r="L3675" t="s">
        <v>303</v>
      </c>
      <c r="N3675">
        <v>3446</v>
      </c>
      <c r="O3675" t="s">
        <v>303</v>
      </c>
      <c r="P3675">
        <f t="shared" si="57"/>
        <v>0</v>
      </c>
    </row>
    <row r="3676" spans="1:16" x14ac:dyDescent="0.25">
      <c r="A3676" t="s">
        <v>438</v>
      </c>
      <c r="B3676">
        <v>3447</v>
      </c>
      <c r="C3676" t="s">
        <v>669</v>
      </c>
      <c r="D3676" t="s">
        <v>303</v>
      </c>
      <c r="E3676">
        <v>176</v>
      </c>
      <c r="F3676">
        <v>176</v>
      </c>
      <c r="G3676" t="s">
        <v>947</v>
      </c>
      <c r="H3676" t="s">
        <v>947</v>
      </c>
      <c r="K3676">
        <v>3447</v>
      </c>
      <c r="L3676" t="s">
        <v>303</v>
      </c>
      <c r="N3676">
        <v>3447</v>
      </c>
      <c r="O3676" t="s">
        <v>303</v>
      </c>
      <c r="P3676">
        <f t="shared" si="57"/>
        <v>0</v>
      </c>
    </row>
    <row r="3677" spans="1:16" x14ac:dyDescent="0.25">
      <c r="A3677" t="s">
        <v>438</v>
      </c>
      <c r="B3677">
        <v>3448</v>
      </c>
      <c r="C3677" t="s">
        <v>669</v>
      </c>
      <c r="D3677" t="s">
        <v>303</v>
      </c>
      <c r="E3677">
        <v>176</v>
      </c>
      <c r="F3677">
        <v>176</v>
      </c>
      <c r="G3677" t="s">
        <v>947</v>
      </c>
      <c r="H3677" t="s">
        <v>947</v>
      </c>
      <c r="K3677">
        <v>3448</v>
      </c>
      <c r="L3677" t="s">
        <v>303</v>
      </c>
      <c r="N3677">
        <v>3448</v>
      </c>
      <c r="O3677" t="s">
        <v>303</v>
      </c>
      <c r="P3677">
        <f t="shared" si="57"/>
        <v>0</v>
      </c>
    </row>
    <row r="3678" spans="1:16" x14ac:dyDescent="0.25">
      <c r="A3678" t="s">
        <v>438</v>
      </c>
      <c r="B3678">
        <v>3449</v>
      </c>
      <c r="C3678" t="s">
        <v>669</v>
      </c>
      <c r="D3678" t="s">
        <v>303</v>
      </c>
      <c r="E3678">
        <v>176</v>
      </c>
      <c r="F3678">
        <v>176</v>
      </c>
      <c r="G3678" t="s">
        <v>947</v>
      </c>
      <c r="H3678" t="s">
        <v>947</v>
      </c>
      <c r="K3678">
        <v>3449</v>
      </c>
      <c r="L3678" t="s">
        <v>303</v>
      </c>
      <c r="N3678">
        <v>3449</v>
      </c>
      <c r="O3678" t="s">
        <v>303</v>
      </c>
      <c r="P3678">
        <f t="shared" si="57"/>
        <v>0</v>
      </c>
    </row>
    <row r="3679" spans="1:16" x14ac:dyDescent="0.25">
      <c r="A3679" t="s">
        <v>438</v>
      </c>
      <c r="B3679">
        <v>3450</v>
      </c>
      <c r="C3679" t="s">
        <v>669</v>
      </c>
      <c r="D3679" t="s">
        <v>303</v>
      </c>
      <c r="E3679">
        <v>176</v>
      </c>
      <c r="F3679">
        <v>176</v>
      </c>
      <c r="G3679" t="s">
        <v>947</v>
      </c>
      <c r="H3679" t="s">
        <v>947</v>
      </c>
      <c r="K3679">
        <v>3450</v>
      </c>
      <c r="L3679" t="s">
        <v>303</v>
      </c>
      <c r="N3679">
        <v>3450</v>
      </c>
      <c r="O3679" t="s">
        <v>303</v>
      </c>
      <c r="P3679">
        <f t="shared" si="57"/>
        <v>0</v>
      </c>
    </row>
    <row r="3680" spans="1:16" x14ac:dyDescent="0.25">
      <c r="A3680" t="s">
        <v>438</v>
      </c>
      <c r="B3680">
        <v>3451</v>
      </c>
      <c r="C3680" t="s">
        <v>669</v>
      </c>
      <c r="D3680" t="s">
        <v>303</v>
      </c>
      <c r="E3680">
        <v>176</v>
      </c>
      <c r="F3680">
        <v>176</v>
      </c>
      <c r="G3680" t="s">
        <v>947</v>
      </c>
      <c r="H3680" t="s">
        <v>947</v>
      </c>
      <c r="K3680">
        <v>3451</v>
      </c>
      <c r="L3680" t="s">
        <v>303</v>
      </c>
      <c r="N3680">
        <v>3451</v>
      </c>
      <c r="O3680" t="s">
        <v>303</v>
      </c>
      <c r="P3680">
        <f t="shared" si="57"/>
        <v>0</v>
      </c>
    </row>
    <row r="3681" spans="1:16" x14ac:dyDescent="0.25">
      <c r="A3681" t="s">
        <v>438</v>
      </c>
      <c r="B3681">
        <v>3452</v>
      </c>
      <c r="C3681" t="s">
        <v>669</v>
      </c>
      <c r="D3681" t="s">
        <v>303</v>
      </c>
      <c r="E3681">
        <v>176</v>
      </c>
      <c r="F3681">
        <v>176</v>
      </c>
      <c r="G3681" t="s">
        <v>947</v>
      </c>
      <c r="H3681" t="s">
        <v>947</v>
      </c>
      <c r="K3681">
        <v>3452</v>
      </c>
      <c r="L3681" t="s">
        <v>303</v>
      </c>
      <c r="N3681">
        <v>3452</v>
      </c>
      <c r="O3681" t="s">
        <v>303</v>
      </c>
      <c r="P3681">
        <f t="shared" si="57"/>
        <v>0</v>
      </c>
    </row>
    <row r="3682" spans="1:16" x14ac:dyDescent="0.25">
      <c r="A3682" t="s">
        <v>438</v>
      </c>
      <c r="B3682">
        <v>3453</v>
      </c>
      <c r="C3682" t="s">
        <v>669</v>
      </c>
      <c r="D3682" t="s">
        <v>303</v>
      </c>
      <c r="E3682">
        <v>176</v>
      </c>
      <c r="F3682">
        <v>176</v>
      </c>
      <c r="G3682" t="s">
        <v>947</v>
      </c>
      <c r="H3682" t="s">
        <v>947</v>
      </c>
      <c r="K3682">
        <v>3453</v>
      </c>
      <c r="L3682" t="s">
        <v>303</v>
      </c>
      <c r="N3682">
        <v>3453</v>
      </c>
      <c r="O3682" t="s">
        <v>303</v>
      </c>
      <c r="P3682">
        <f t="shared" si="57"/>
        <v>0</v>
      </c>
    </row>
    <row r="3683" spans="1:16" x14ac:dyDescent="0.25">
      <c r="A3683" t="s">
        <v>438</v>
      </c>
      <c r="B3683">
        <v>3454</v>
      </c>
      <c r="C3683" t="s">
        <v>669</v>
      </c>
      <c r="D3683" t="s">
        <v>303</v>
      </c>
      <c r="E3683">
        <v>176</v>
      </c>
      <c r="F3683">
        <v>176</v>
      </c>
      <c r="G3683" t="s">
        <v>947</v>
      </c>
      <c r="H3683" t="s">
        <v>947</v>
      </c>
      <c r="K3683">
        <v>3454</v>
      </c>
      <c r="L3683" t="s">
        <v>303</v>
      </c>
      <c r="N3683">
        <v>3454</v>
      </c>
      <c r="O3683" t="s">
        <v>303</v>
      </c>
      <c r="P3683">
        <f t="shared" si="57"/>
        <v>0</v>
      </c>
    </row>
    <row r="3684" spans="1:16" x14ac:dyDescent="0.25">
      <c r="A3684" t="s">
        <v>438</v>
      </c>
      <c r="B3684">
        <v>3455</v>
      </c>
      <c r="C3684" t="s">
        <v>669</v>
      </c>
      <c r="D3684" t="s">
        <v>303</v>
      </c>
      <c r="E3684">
        <v>176</v>
      </c>
      <c r="F3684">
        <v>176</v>
      </c>
      <c r="G3684" t="s">
        <v>947</v>
      </c>
      <c r="H3684" t="s">
        <v>947</v>
      </c>
      <c r="K3684">
        <v>3455</v>
      </c>
      <c r="L3684" t="s">
        <v>303</v>
      </c>
      <c r="N3684">
        <v>3455</v>
      </c>
      <c r="O3684" t="s">
        <v>303</v>
      </c>
      <c r="P3684">
        <f t="shared" si="57"/>
        <v>0</v>
      </c>
    </row>
    <row r="3685" spans="1:16" x14ac:dyDescent="0.25">
      <c r="A3685" t="s">
        <v>438</v>
      </c>
      <c r="B3685">
        <v>3456</v>
      </c>
      <c r="C3685" t="s">
        <v>669</v>
      </c>
      <c r="D3685" t="s">
        <v>303</v>
      </c>
      <c r="E3685">
        <v>176</v>
      </c>
      <c r="F3685">
        <v>176</v>
      </c>
      <c r="G3685" t="s">
        <v>947</v>
      </c>
      <c r="H3685" t="s">
        <v>947</v>
      </c>
      <c r="K3685">
        <v>3456</v>
      </c>
      <c r="L3685" t="s">
        <v>303</v>
      </c>
      <c r="N3685">
        <v>3456</v>
      </c>
      <c r="O3685" t="s">
        <v>303</v>
      </c>
      <c r="P3685">
        <f t="shared" si="57"/>
        <v>0</v>
      </c>
    </row>
    <row r="3686" spans="1:16" x14ac:dyDescent="0.25">
      <c r="A3686" t="s">
        <v>438</v>
      </c>
      <c r="B3686">
        <v>3457</v>
      </c>
      <c r="C3686" t="s">
        <v>669</v>
      </c>
      <c r="D3686" t="s">
        <v>303</v>
      </c>
      <c r="E3686">
        <v>176</v>
      </c>
      <c r="F3686">
        <v>176</v>
      </c>
      <c r="G3686" t="s">
        <v>947</v>
      </c>
      <c r="H3686" t="s">
        <v>947</v>
      </c>
      <c r="K3686">
        <v>3457</v>
      </c>
      <c r="L3686" t="s">
        <v>303</v>
      </c>
      <c r="N3686">
        <v>3457</v>
      </c>
      <c r="O3686" t="s">
        <v>303</v>
      </c>
      <c r="P3686">
        <f t="shared" si="57"/>
        <v>0</v>
      </c>
    </row>
    <row r="3687" spans="1:16" x14ac:dyDescent="0.25">
      <c r="A3687" t="s">
        <v>438</v>
      </c>
      <c r="B3687">
        <v>3458</v>
      </c>
      <c r="C3687" t="s">
        <v>669</v>
      </c>
      <c r="D3687" t="s">
        <v>303</v>
      </c>
      <c r="E3687">
        <v>176</v>
      </c>
      <c r="F3687">
        <v>176</v>
      </c>
      <c r="G3687" t="s">
        <v>947</v>
      </c>
      <c r="H3687" t="s">
        <v>947</v>
      </c>
      <c r="K3687">
        <v>3458</v>
      </c>
      <c r="L3687" t="s">
        <v>303</v>
      </c>
      <c r="N3687">
        <v>3458</v>
      </c>
      <c r="O3687" t="s">
        <v>303</v>
      </c>
      <c r="P3687">
        <f t="shared" si="57"/>
        <v>0</v>
      </c>
    </row>
    <row r="3688" spans="1:16" x14ac:dyDescent="0.25">
      <c r="A3688" t="s">
        <v>438</v>
      </c>
      <c r="B3688">
        <v>3459</v>
      </c>
      <c r="C3688" t="s">
        <v>669</v>
      </c>
      <c r="D3688" t="s">
        <v>303</v>
      </c>
      <c r="E3688">
        <v>176</v>
      </c>
      <c r="F3688">
        <v>176</v>
      </c>
      <c r="G3688" t="s">
        <v>947</v>
      </c>
      <c r="H3688" t="s">
        <v>947</v>
      </c>
      <c r="K3688">
        <v>3459</v>
      </c>
      <c r="L3688" t="s">
        <v>303</v>
      </c>
      <c r="N3688">
        <v>3459</v>
      </c>
      <c r="O3688" t="s">
        <v>303</v>
      </c>
      <c r="P3688">
        <f t="shared" si="57"/>
        <v>0</v>
      </c>
    </row>
    <row r="3689" spans="1:16" x14ac:dyDescent="0.25">
      <c r="A3689" t="s">
        <v>438</v>
      </c>
      <c r="B3689">
        <v>3460</v>
      </c>
      <c r="C3689" t="s">
        <v>669</v>
      </c>
      <c r="D3689" t="s">
        <v>303</v>
      </c>
      <c r="E3689">
        <v>176</v>
      </c>
      <c r="F3689">
        <v>176</v>
      </c>
      <c r="G3689" t="s">
        <v>947</v>
      </c>
      <c r="H3689" t="s">
        <v>947</v>
      </c>
      <c r="K3689">
        <v>3460</v>
      </c>
      <c r="L3689" t="s">
        <v>303</v>
      </c>
      <c r="N3689">
        <v>3460</v>
      </c>
      <c r="O3689" t="s">
        <v>303</v>
      </c>
      <c r="P3689">
        <f t="shared" si="57"/>
        <v>0</v>
      </c>
    </row>
    <row r="3690" spans="1:16" x14ac:dyDescent="0.25">
      <c r="A3690" t="s">
        <v>438</v>
      </c>
      <c r="B3690">
        <v>3461</v>
      </c>
      <c r="C3690" t="s">
        <v>669</v>
      </c>
      <c r="D3690" t="s">
        <v>303</v>
      </c>
      <c r="E3690">
        <v>176</v>
      </c>
      <c r="F3690">
        <v>176</v>
      </c>
      <c r="G3690" t="s">
        <v>947</v>
      </c>
      <c r="H3690" t="s">
        <v>947</v>
      </c>
      <c r="K3690">
        <v>3461</v>
      </c>
      <c r="L3690" t="s">
        <v>303</v>
      </c>
      <c r="N3690">
        <v>3461</v>
      </c>
      <c r="O3690" t="s">
        <v>303</v>
      </c>
      <c r="P3690">
        <f t="shared" si="57"/>
        <v>0</v>
      </c>
    </row>
    <row r="3691" spans="1:16" x14ac:dyDescent="0.25">
      <c r="A3691" t="s">
        <v>438</v>
      </c>
      <c r="B3691">
        <v>3462</v>
      </c>
      <c r="C3691" t="s">
        <v>669</v>
      </c>
      <c r="D3691" t="s">
        <v>303</v>
      </c>
      <c r="E3691">
        <v>176</v>
      </c>
      <c r="F3691">
        <v>176</v>
      </c>
      <c r="G3691" t="s">
        <v>947</v>
      </c>
      <c r="H3691" t="s">
        <v>947</v>
      </c>
      <c r="K3691">
        <v>3462</v>
      </c>
      <c r="L3691" t="s">
        <v>303</v>
      </c>
      <c r="N3691">
        <v>3462</v>
      </c>
      <c r="O3691" t="s">
        <v>303</v>
      </c>
      <c r="P3691">
        <f t="shared" si="57"/>
        <v>0</v>
      </c>
    </row>
    <row r="3692" spans="1:16" x14ac:dyDescent="0.25">
      <c r="A3692" t="s">
        <v>438</v>
      </c>
      <c r="B3692">
        <v>3463</v>
      </c>
      <c r="C3692" t="s">
        <v>669</v>
      </c>
      <c r="D3692" t="s">
        <v>303</v>
      </c>
      <c r="E3692">
        <v>176</v>
      </c>
      <c r="F3692">
        <v>176</v>
      </c>
      <c r="G3692" t="s">
        <v>947</v>
      </c>
      <c r="H3692" t="s">
        <v>947</v>
      </c>
      <c r="K3692">
        <v>3463</v>
      </c>
      <c r="L3692" t="s">
        <v>303</v>
      </c>
      <c r="N3692">
        <v>3463</v>
      </c>
      <c r="O3692" t="s">
        <v>303</v>
      </c>
      <c r="P3692">
        <f t="shared" si="57"/>
        <v>0</v>
      </c>
    </row>
    <row r="3693" spans="1:16" x14ac:dyDescent="0.25">
      <c r="A3693" t="s">
        <v>438</v>
      </c>
      <c r="B3693">
        <v>3464</v>
      </c>
      <c r="C3693" t="s">
        <v>669</v>
      </c>
      <c r="D3693" t="s">
        <v>303</v>
      </c>
      <c r="E3693">
        <v>176</v>
      </c>
      <c r="F3693">
        <v>176</v>
      </c>
      <c r="G3693" t="s">
        <v>947</v>
      </c>
      <c r="H3693" t="s">
        <v>947</v>
      </c>
      <c r="K3693">
        <v>3464</v>
      </c>
      <c r="L3693" t="s">
        <v>303</v>
      </c>
      <c r="N3693">
        <v>3464</v>
      </c>
      <c r="O3693" t="s">
        <v>303</v>
      </c>
      <c r="P3693">
        <f t="shared" si="57"/>
        <v>0</v>
      </c>
    </row>
    <row r="3694" spans="1:16" x14ac:dyDescent="0.25">
      <c r="A3694" t="s">
        <v>438</v>
      </c>
      <c r="B3694">
        <v>3465</v>
      </c>
      <c r="C3694" t="s">
        <v>669</v>
      </c>
      <c r="D3694" t="s">
        <v>303</v>
      </c>
      <c r="E3694">
        <v>176</v>
      </c>
      <c r="F3694">
        <v>176</v>
      </c>
      <c r="G3694" t="s">
        <v>947</v>
      </c>
      <c r="H3694" t="s">
        <v>947</v>
      </c>
      <c r="K3694">
        <v>3465</v>
      </c>
      <c r="L3694" t="s">
        <v>303</v>
      </c>
      <c r="N3694">
        <v>3465</v>
      </c>
      <c r="O3694" t="s">
        <v>303</v>
      </c>
      <c r="P3694">
        <f t="shared" si="57"/>
        <v>0</v>
      </c>
    </row>
    <row r="3695" spans="1:16" x14ac:dyDescent="0.25">
      <c r="A3695" t="s">
        <v>438</v>
      </c>
      <c r="B3695">
        <v>3466</v>
      </c>
      <c r="C3695" t="s">
        <v>669</v>
      </c>
      <c r="D3695" t="s">
        <v>303</v>
      </c>
      <c r="E3695">
        <v>176</v>
      </c>
      <c r="F3695">
        <v>176</v>
      </c>
      <c r="G3695" t="s">
        <v>947</v>
      </c>
      <c r="H3695" t="s">
        <v>947</v>
      </c>
      <c r="K3695">
        <v>3466</v>
      </c>
      <c r="L3695" t="s">
        <v>303</v>
      </c>
      <c r="N3695">
        <v>3466</v>
      </c>
      <c r="O3695" t="s">
        <v>303</v>
      </c>
      <c r="P3695">
        <f t="shared" si="57"/>
        <v>0</v>
      </c>
    </row>
    <row r="3696" spans="1:16" x14ac:dyDescent="0.25">
      <c r="A3696" t="s">
        <v>438</v>
      </c>
      <c r="B3696">
        <v>3467</v>
      </c>
      <c r="C3696" t="s">
        <v>669</v>
      </c>
      <c r="D3696" t="s">
        <v>303</v>
      </c>
      <c r="E3696">
        <v>176</v>
      </c>
      <c r="F3696">
        <v>176</v>
      </c>
      <c r="G3696" t="s">
        <v>947</v>
      </c>
      <c r="H3696" t="s">
        <v>947</v>
      </c>
      <c r="K3696">
        <v>3467</v>
      </c>
      <c r="L3696" t="s">
        <v>303</v>
      </c>
      <c r="N3696">
        <v>3467</v>
      </c>
      <c r="O3696" t="s">
        <v>303</v>
      </c>
      <c r="P3696">
        <f t="shared" si="57"/>
        <v>0</v>
      </c>
    </row>
    <row r="3697" spans="1:16" x14ac:dyDescent="0.25">
      <c r="A3697" t="s">
        <v>438</v>
      </c>
      <c r="B3697">
        <v>3468</v>
      </c>
      <c r="C3697" t="s">
        <v>669</v>
      </c>
      <c r="D3697" t="s">
        <v>303</v>
      </c>
      <c r="E3697">
        <v>176</v>
      </c>
      <c r="F3697">
        <v>176</v>
      </c>
      <c r="G3697" t="s">
        <v>947</v>
      </c>
      <c r="H3697" t="s">
        <v>947</v>
      </c>
      <c r="K3697">
        <v>3468</v>
      </c>
      <c r="L3697" t="s">
        <v>303</v>
      </c>
      <c r="N3697">
        <v>3468</v>
      </c>
      <c r="O3697" t="s">
        <v>303</v>
      </c>
      <c r="P3697">
        <f t="shared" si="57"/>
        <v>0</v>
      </c>
    </row>
    <row r="3698" spans="1:16" x14ac:dyDescent="0.25">
      <c r="A3698" t="s">
        <v>438</v>
      </c>
      <c r="B3698">
        <v>3469</v>
      </c>
      <c r="C3698" t="s">
        <v>669</v>
      </c>
      <c r="D3698" t="s">
        <v>303</v>
      </c>
      <c r="E3698">
        <v>176</v>
      </c>
      <c r="F3698">
        <v>176</v>
      </c>
      <c r="G3698" t="s">
        <v>947</v>
      </c>
      <c r="H3698" t="s">
        <v>947</v>
      </c>
      <c r="K3698">
        <v>3469</v>
      </c>
      <c r="L3698" t="s">
        <v>303</v>
      </c>
      <c r="N3698">
        <v>3469</v>
      </c>
      <c r="O3698" t="s">
        <v>303</v>
      </c>
      <c r="P3698">
        <f t="shared" si="57"/>
        <v>0</v>
      </c>
    </row>
    <row r="3699" spans="1:16" x14ac:dyDescent="0.25">
      <c r="A3699" t="s">
        <v>438</v>
      </c>
      <c r="B3699">
        <v>3470</v>
      </c>
      <c r="C3699" t="s">
        <v>669</v>
      </c>
      <c r="D3699" t="s">
        <v>303</v>
      </c>
      <c r="E3699">
        <v>176</v>
      </c>
      <c r="F3699">
        <v>176</v>
      </c>
      <c r="G3699" t="s">
        <v>947</v>
      </c>
      <c r="H3699" t="s">
        <v>947</v>
      </c>
      <c r="K3699">
        <v>3470</v>
      </c>
      <c r="L3699" t="s">
        <v>303</v>
      </c>
      <c r="N3699">
        <v>3470</v>
      </c>
      <c r="O3699" t="s">
        <v>303</v>
      </c>
      <c r="P3699">
        <f t="shared" si="57"/>
        <v>0</v>
      </c>
    </row>
    <row r="3700" spans="1:16" x14ac:dyDescent="0.25">
      <c r="A3700" t="s">
        <v>438</v>
      </c>
      <c r="B3700">
        <v>3471</v>
      </c>
      <c r="C3700" t="s">
        <v>669</v>
      </c>
      <c r="D3700" t="s">
        <v>303</v>
      </c>
      <c r="E3700">
        <v>176</v>
      </c>
      <c r="F3700">
        <v>176</v>
      </c>
      <c r="G3700" t="s">
        <v>947</v>
      </c>
      <c r="H3700" t="s">
        <v>947</v>
      </c>
      <c r="K3700">
        <v>3471</v>
      </c>
      <c r="L3700" t="s">
        <v>303</v>
      </c>
      <c r="N3700">
        <v>3471</v>
      </c>
      <c r="O3700" t="s">
        <v>303</v>
      </c>
      <c r="P3700">
        <f t="shared" si="57"/>
        <v>0</v>
      </c>
    </row>
    <row r="3701" spans="1:16" x14ac:dyDescent="0.25">
      <c r="A3701" t="s">
        <v>669</v>
      </c>
      <c r="B3701">
        <v>3515</v>
      </c>
      <c r="C3701" t="s">
        <v>669</v>
      </c>
      <c r="D3701" t="s">
        <v>669</v>
      </c>
      <c r="E3701" t="s">
        <v>910</v>
      </c>
      <c r="F3701" t="s">
        <v>910</v>
      </c>
      <c r="I3701" t="s">
        <v>928</v>
      </c>
      <c r="K3701">
        <v>3515</v>
      </c>
      <c r="L3701" t="s">
        <v>851</v>
      </c>
      <c r="N3701">
        <v>3515</v>
      </c>
      <c r="P3701">
        <f t="shared" si="57"/>
        <v>21</v>
      </c>
    </row>
    <row r="3702" spans="1:16" x14ac:dyDescent="0.25">
      <c r="A3702" t="s">
        <v>438</v>
      </c>
      <c r="B3702">
        <v>3472</v>
      </c>
      <c r="C3702" t="s">
        <v>669</v>
      </c>
      <c r="D3702" t="s">
        <v>303</v>
      </c>
      <c r="E3702">
        <v>176</v>
      </c>
      <c r="F3702">
        <v>176</v>
      </c>
      <c r="G3702" t="s">
        <v>947</v>
      </c>
      <c r="H3702" t="s">
        <v>947</v>
      </c>
      <c r="K3702">
        <v>3472</v>
      </c>
      <c r="L3702" t="s">
        <v>303</v>
      </c>
      <c r="N3702">
        <v>3472</v>
      </c>
      <c r="O3702" t="s">
        <v>303</v>
      </c>
      <c r="P3702">
        <f t="shared" si="57"/>
        <v>0</v>
      </c>
    </row>
    <row r="3703" spans="1:16" x14ac:dyDescent="0.25">
      <c r="A3703" t="s">
        <v>438</v>
      </c>
      <c r="B3703">
        <v>3473</v>
      </c>
      <c r="C3703" t="s">
        <v>669</v>
      </c>
      <c r="D3703" t="s">
        <v>303</v>
      </c>
      <c r="E3703">
        <v>176</v>
      </c>
      <c r="F3703">
        <v>176</v>
      </c>
      <c r="G3703" t="s">
        <v>947</v>
      </c>
      <c r="H3703" t="s">
        <v>947</v>
      </c>
      <c r="K3703">
        <v>3473</v>
      </c>
      <c r="L3703" t="s">
        <v>303</v>
      </c>
      <c r="N3703">
        <v>3473</v>
      </c>
      <c r="O3703" t="s">
        <v>303</v>
      </c>
      <c r="P3703">
        <f t="shared" si="57"/>
        <v>0</v>
      </c>
    </row>
    <row r="3704" spans="1:16" x14ac:dyDescent="0.25">
      <c r="A3704" t="s">
        <v>438</v>
      </c>
      <c r="B3704">
        <v>3474</v>
      </c>
      <c r="C3704" t="s">
        <v>669</v>
      </c>
      <c r="D3704" t="s">
        <v>303</v>
      </c>
      <c r="E3704">
        <v>176</v>
      </c>
      <c r="F3704">
        <v>176</v>
      </c>
      <c r="G3704" t="s">
        <v>947</v>
      </c>
      <c r="H3704" t="s">
        <v>947</v>
      </c>
      <c r="K3704">
        <v>3474</v>
      </c>
      <c r="L3704" t="s">
        <v>303</v>
      </c>
      <c r="N3704">
        <v>3474</v>
      </c>
      <c r="O3704" t="s">
        <v>303</v>
      </c>
      <c r="P3704">
        <f t="shared" si="57"/>
        <v>0</v>
      </c>
    </row>
    <row r="3705" spans="1:16" x14ac:dyDescent="0.25">
      <c r="A3705" t="s">
        <v>438</v>
      </c>
      <c r="B3705">
        <v>3475</v>
      </c>
      <c r="C3705" t="s">
        <v>669</v>
      </c>
      <c r="D3705" t="s">
        <v>303</v>
      </c>
      <c r="E3705">
        <v>176</v>
      </c>
      <c r="F3705">
        <v>176</v>
      </c>
      <c r="G3705" t="s">
        <v>947</v>
      </c>
      <c r="H3705" t="s">
        <v>947</v>
      </c>
      <c r="K3705">
        <v>3475</v>
      </c>
      <c r="L3705" t="s">
        <v>303</v>
      </c>
      <c r="N3705">
        <v>3475</v>
      </c>
      <c r="O3705" t="s">
        <v>303</v>
      </c>
      <c r="P3705">
        <f t="shared" si="57"/>
        <v>0</v>
      </c>
    </row>
    <row r="3706" spans="1:16" x14ac:dyDescent="0.25">
      <c r="A3706" t="s">
        <v>438</v>
      </c>
      <c r="B3706">
        <v>3476</v>
      </c>
      <c r="C3706" t="s">
        <v>669</v>
      </c>
      <c r="D3706" t="s">
        <v>303</v>
      </c>
      <c r="E3706">
        <v>176</v>
      </c>
      <c r="F3706">
        <v>176</v>
      </c>
      <c r="G3706" t="s">
        <v>947</v>
      </c>
      <c r="H3706" t="s">
        <v>947</v>
      </c>
      <c r="K3706">
        <v>3476</v>
      </c>
      <c r="L3706" t="s">
        <v>303</v>
      </c>
      <c r="N3706">
        <v>3476</v>
      </c>
      <c r="O3706" t="s">
        <v>303</v>
      </c>
      <c r="P3706">
        <f t="shared" si="57"/>
        <v>0</v>
      </c>
    </row>
    <row r="3707" spans="1:16" x14ac:dyDescent="0.25">
      <c r="A3707" t="s">
        <v>438</v>
      </c>
      <c r="B3707">
        <v>3477</v>
      </c>
      <c r="C3707" t="s">
        <v>669</v>
      </c>
      <c r="D3707" t="s">
        <v>303</v>
      </c>
      <c r="E3707">
        <v>176</v>
      </c>
      <c r="F3707">
        <v>176</v>
      </c>
      <c r="G3707" t="s">
        <v>947</v>
      </c>
      <c r="H3707" t="s">
        <v>947</v>
      </c>
      <c r="K3707">
        <v>3477</v>
      </c>
      <c r="L3707" t="s">
        <v>303</v>
      </c>
      <c r="N3707">
        <v>3477</v>
      </c>
      <c r="O3707" t="s">
        <v>303</v>
      </c>
      <c r="P3707">
        <f t="shared" si="57"/>
        <v>0</v>
      </c>
    </row>
    <row r="3708" spans="1:16" x14ac:dyDescent="0.25">
      <c r="A3708" t="s">
        <v>438</v>
      </c>
      <c r="B3708">
        <v>3478</v>
      </c>
      <c r="C3708" t="s">
        <v>669</v>
      </c>
      <c r="D3708" t="s">
        <v>303</v>
      </c>
      <c r="E3708">
        <v>176</v>
      </c>
      <c r="F3708">
        <v>176</v>
      </c>
      <c r="G3708" t="s">
        <v>947</v>
      </c>
      <c r="H3708" t="s">
        <v>947</v>
      </c>
      <c r="K3708">
        <v>3478</v>
      </c>
      <c r="L3708" t="s">
        <v>303</v>
      </c>
      <c r="N3708">
        <v>3478</v>
      </c>
      <c r="O3708" t="s">
        <v>303</v>
      </c>
      <c r="P3708">
        <f t="shared" si="57"/>
        <v>0</v>
      </c>
    </row>
    <row r="3709" spans="1:16" x14ac:dyDescent="0.25">
      <c r="A3709" t="s">
        <v>438</v>
      </c>
      <c r="B3709">
        <v>3479</v>
      </c>
      <c r="C3709" t="s">
        <v>669</v>
      </c>
      <c r="D3709" t="s">
        <v>303</v>
      </c>
      <c r="E3709">
        <v>176</v>
      </c>
      <c r="F3709">
        <v>176</v>
      </c>
      <c r="G3709" t="s">
        <v>947</v>
      </c>
      <c r="H3709" t="s">
        <v>947</v>
      </c>
      <c r="K3709">
        <v>3479</v>
      </c>
      <c r="L3709" t="s">
        <v>303</v>
      </c>
      <c r="N3709">
        <v>3479</v>
      </c>
      <c r="O3709" t="s">
        <v>303</v>
      </c>
      <c r="P3709">
        <f t="shared" si="57"/>
        <v>0</v>
      </c>
    </row>
    <row r="3710" spans="1:16" x14ac:dyDescent="0.25">
      <c r="A3710" t="s">
        <v>438</v>
      </c>
      <c r="B3710">
        <v>3480</v>
      </c>
      <c r="C3710" t="s">
        <v>669</v>
      </c>
      <c r="D3710" t="s">
        <v>303</v>
      </c>
      <c r="E3710">
        <v>176</v>
      </c>
      <c r="F3710">
        <v>176</v>
      </c>
      <c r="G3710" t="s">
        <v>947</v>
      </c>
      <c r="H3710" t="s">
        <v>947</v>
      </c>
      <c r="K3710">
        <v>3480</v>
      </c>
      <c r="L3710" t="s">
        <v>303</v>
      </c>
      <c r="N3710">
        <v>3480</v>
      </c>
      <c r="O3710" t="s">
        <v>303</v>
      </c>
      <c r="P3710">
        <f t="shared" si="57"/>
        <v>0</v>
      </c>
    </row>
    <row r="3711" spans="1:16" x14ac:dyDescent="0.25">
      <c r="A3711" t="s">
        <v>438</v>
      </c>
      <c r="B3711">
        <v>3481</v>
      </c>
      <c r="C3711" t="s">
        <v>669</v>
      </c>
      <c r="D3711" t="s">
        <v>303</v>
      </c>
      <c r="E3711">
        <v>176</v>
      </c>
      <c r="F3711">
        <v>176</v>
      </c>
      <c r="G3711" t="s">
        <v>947</v>
      </c>
      <c r="H3711" t="s">
        <v>947</v>
      </c>
      <c r="K3711">
        <v>3481</v>
      </c>
      <c r="L3711" t="s">
        <v>303</v>
      </c>
      <c r="N3711">
        <v>3481</v>
      </c>
      <c r="O3711" t="s">
        <v>303</v>
      </c>
      <c r="P3711">
        <f t="shared" si="57"/>
        <v>0</v>
      </c>
    </row>
    <row r="3712" spans="1:16" x14ac:dyDescent="0.25">
      <c r="A3712" t="s">
        <v>438</v>
      </c>
      <c r="B3712">
        <v>3482</v>
      </c>
      <c r="C3712" t="s">
        <v>669</v>
      </c>
      <c r="D3712" t="s">
        <v>303</v>
      </c>
      <c r="E3712">
        <v>176</v>
      </c>
      <c r="F3712">
        <v>176</v>
      </c>
      <c r="G3712" t="s">
        <v>947</v>
      </c>
      <c r="H3712" t="s">
        <v>947</v>
      </c>
      <c r="K3712">
        <v>3482</v>
      </c>
      <c r="L3712" t="s">
        <v>303</v>
      </c>
      <c r="N3712">
        <v>3482</v>
      </c>
      <c r="O3712" t="s">
        <v>303</v>
      </c>
      <c r="P3712">
        <f t="shared" si="57"/>
        <v>0</v>
      </c>
    </row>
    <row r="3713" spans="1:16" x14ac:dyDescent="0.25">
      <c r="A3713" t="s">
        <v>438</v>
      </c>
      <c r="B3713">
        <v>3483</v>
      </c>
      <c r="C3713" t="s">
        <v>669</v>
      </c>
      <c r="D3713" t="s">
        <v>303</v>
      </c>
      <c r="E3713">
        <v>176</v>
      </c>
      <c r="F3713">
        <v>176</v>
      </c>
      <c r="G3713" t="s">
        <v>947</v>
      </c>
      <c r="H3713" t="s">
        <v>947</v>
      </c>
      <c r="K3713">
        <v>3483</v>
      </c>
      <c r="L3713" t="s">
        <v>303</v>
      </c>
      <c r="N3713">
        <v>3483</v>
      </c>
      <c r="O3713" t="s">
        <v>303</v>
      </c>
      <c r="P3713">
        <f t="shared" si="57"/>
        <v>0</v>
      </c>
    </row>
    <row r="3714" spans="1:16" x14ac:dyDescent="0.25">
      <c r="A3714" t="s">
        <v>438</v>
      </c>
      <c r="B3714">
        <v>3484</v>
      </c>
      <c r="C3714" t="s">
        <v>669</v>
      </c>
      <c r="D3714" t="s">
        <v>303</v>
      </c>
      <c r="E3714">
        <v>176</v>
      </c>
      <c r="F3714">
        <v>176</v>
      </c>
      <c r="G3714" t="s">
        <v>947</v>
      </c>
      <c r="H3714" t="s">
        <v>947</v>
      </c>
      <c r="K3714">
        <v>3484</v>
      </c>
      <c r="L3714" t="s">
        <v>303</v>
      </c>
      <c r="N3714">
        <v>3484</v>
      </c>
      <c r="O3714" t="s">
        <v>303</v>
      </c>
      <c r="P3714">
        <f t="shared" si="57"/>
        <v>0</v>
      </c>
    </row>
    <row r="3715" spans="1:16" x14ac:dyDescent="0.25">
      <c r="A3715" t="s">
        <v>438</v>
      </c>
      <c r="B3715">
        <v>3485</v>
      </c>
      <c r="C3715" t="s">
        <v>669</v>
      </c>
      <c r="D3715" t="s">
        <v>303</v>
      </c>
      <c r="E3715">
        <v>176</v>
      </c>
      <c r="F3715">
        <v>176</v>
      </c>
      <c r="G3715" t="s">
        <v>947</v>
      </c>
      <c r="H3715" t="s">
        <v>947</v>
      </c>
      <c r="K3715">
        <v>3485</v>
      </c>
      <c r="L3715" t="s">
        <v>303</v>
      </c>
      <c r="N3715">
        <v>3485</v>
      </c>
      <c r="O3715" t="s">
        <v>303</v>
      </c>
      <c r="P3715">
        <f t="shared" ref="P3715:P3778" si="58">LEN(I3715)</f>
        <v>0</v>
      </c>
    </row>
    <row r="3716" spans="1:16" x14ac:dyDescent="0.25">
      <c r="A3716" t="s">
        <v>438</v>
      </c>
      <c r="B3716">
        <v>3486</v>
      </c>
      <c r="C3716" t="s">
        <v>669</v>
      </c>
      <c r="D3716" t="s">
        <v>303</v>
      </c>
      <c r="E3716">
        <v>176</v>
      </c>
      <c r="F3716">
        <v>176</v>
      </c>
      <c r="G3716" t="s">
        <v>947</v>
      </c>
      <c r="H3716" t="s">
        <v>947</v>
      </c>
      <c r="K3716">
        <v>3486</v>
      </c>
      <c r="L3716" t="s">
        <v>303</v>
      </c>
      <c r="N3716">
        <v>3486</v>
      </c>
      <c r="O3716" t="s">
        <v>303</v>
      </c>
      <c r="P3716">
        <f t="shared" si="58"/>
        <v>0</v>
      </c>
    </row>
    <row r="3717" spans="1:16" x14ac:dyDescent="0.25">
      <c r="A3717" t="s">
        <v>438</v>
      </c>
      <c r="B3717">
        <v>3487</v>
      </c>
      <c r="C3717" t="s">
        <v>669</v>
      </c>
      <c r="D3717" t="s">
        <v>303</v>
      </c>
      <c r="E3717">
        <v>176</v>
      </c>
      <c r="F3717">
        <v>176</v>
      </c>
      <c r="G3717" t="s">
        <v>947</v>
      </c>
      <c r="H3717" t="s">
        <v>947</v>
      </c>
      <c r="K3717">
        <v>3487</v>
      </c>
      <c r="L3717" t="s">
        <v>303</v>
      </c>
      <c r="N3717">
        <v>3487</v>
      </c>
      <c r="O3717" t="s">
        <v>303</v>
      </c>
      <c r="P3717">
        <f t="shared" si="58"/>
        <v>0</v>
      </c>
    </row>
    <row r="3718" spans="1:16" x14ac:dyDescent="0.25">
      <c r="A3718" t="s">
        <v>438</v>
      </c>
      <c r="B3718">
        <v>3488</v>
      </c>
      <c r="C3718" t="s">
        <v>669</v>
      </c>
      <c r="D3718" t="s">
        <v>303</v>
      </c>
      <c r="E3718">
        <v>176</v>
      </c>
      <c r="F3718">
        <v>176</v>
      </c>
      <c r="G3718" t="s">
        <v>947</v>
      </c>
      <c r="H3718" t="s">
        <v>947</v>
      </c>
      <c r="K3718">
        <v>3488</v>
      </c>
      <c r="L3718" t="s">
        <v>303</v>
      </c>
      <c r="N3718">
        <v>3488</v>
      </c>
      <c r="O3718" t="s">
        <v>303</v>
      </c>
      <c r="P3718">
        <f t="shared" si="58"/>
        <v>0</v>
      </c>
    </row>
    <row r="3719" spans="1:16" x14ac:dyDescent="0.25">
      <c r="A3719" t="s">
        <v>438</v>
      </c>
      <c r="B3719">
        <v>3489</v>
      </c>
      <c r="C3719" t="s">
        <v>669</v>
      </c>
      <c r="D3719" t="s">
        <v>303</v>
      </c>
      <c r="E3719">
        <v>176</v>
      </c>
      <c r="F3719">
        <v>176</v>
      </c>
      <c r="G3719" t="s">
        <v>947</v>
      </c>
      <c r="H3719" t="s">
        <v>947</v>
      </c>
      <c r="K3719">
        <v>3489</v>
      </c>
      <c r="L3719" t="s">
        <v>303</v>
      </c>
      <c r="N3719">
        <v>3489</v>
      </c>
      <c r="O3719" t="s">
        <v>303</v>
      </c>
      <c r="P3719">
        <f t="shared" si="58"/>
        <v>0</v>
      </c>
    </row>
    <row r="3720" spans="1:16" x14ac:dyDescent="0.25">
      <c r="A3720" t="s">
        <v>438</v>
      </c>
      <c r="B3720">
        <v>3490</v>
      </c>
      <c r="C3720" t="s">
        <v>669</v>
      </c>
      <c r="D3720" t="s">
        <v>303</v>
      </c>
      <c r="E3720">
        <v>176</v>
      </c>
      <c r="F3720">
        <v>176</v>
      </c>
      <c r="G3720" t="s">
        <v>947</v>
      </c>
      <c r="H3720" t="s">
        <v>947</v>
      </c>
      <c r="K3720">
        <v>3490</v>
      </c>
      <c r="L3720" t="s">
        <v>303</v>
      </c>
      <c r="N3720">
        <v>3490</v>
      </c>
      <c r="O3720" t="s">
        <v>303</v>
      </c>
      <c r="P3720">
        <f t="shared" si="58"/>
        <v>0</v>
      </c>
    </row>
    <row r="3721" spans="1:16" x14ac:dyDescent="0.25">
      <c r="A3721" t="s">
        <v>438</v>
      </c>
      <c r="B3721">
        <v>3491</v>
      </c>
      <c r="C3721" t="s">
        <v>669</v>
      </c>
      <c r="D3721" t="s">
        <v>303</v>
      </c>
      <c r="E3721">
        <v>176</v>
      </c>
      <c r="F3721">
        <v>176</v>
      </c>
      <c r="G3721" t="s">
        <v>947</v>
      </c>
      <c r="H3721" t="s">
        <v>947</v>
      </c>
      <c r="K3721">
        <v>3491</v>
      </c>
      <c r="L3721" t="s">
        <v>303</v>
      </c>
      <c r="N3721">
        <v>3491</v>
      </c>
      <c r="O3721" t="s">
        <v>303</v>
      </c>
      <c r="P3721">
        <f t="shared" si="58"/>
        <v>0</v>
      </c>
    </row>
    <row r="3722" spans="1:16" x14ac:dyDescent="0.25">
      <c r="A3722" t="s">
        <v>438</v>
      </c>
      <c r="B3722">
        <v>3492</v>
      </c>
      <c r="C3722" t="s">
        <v>669</v>
      </c>
      <c r="D3722" t="s">
        <v>303</v>
      </c>
      <c r="E3722">
        <v>176</v>
      </c>
      <c r="F3722">
        <v>176</v>
      </c>
      <c r="G3722" t="s">
        <v>947</v>
      </c>
      <c r="H3722" t="s">
        <v>947</v>
      </c>
      <c r="K3722">
        <v>3492</v>
      </c>
      <c r="L3722" t="s">
        <v>303</v>
      </c>
      <c r="N3722">
        <v>3492</v>
      </c>
      <c r="O3722" t="s">
        <v>303</v>
      </c>
      <c r="P3722">
        <f t="shared" si="58"/>
        <v>0</v>
      </c>
    </row>
    <row r="3723" spans="1:16" x14ac:dyDescent="0.25">
      <c r="A3723" t="s">
        <v>669</v>
      </c>
      <c r="B3723">
        <v>9336</v>
      </c>
      <c r="C3723" t="s">
        <v>669</v>
      </c>
      <c r="D3723" t="s">
        <v>865</v>
      </c>
      <c r="E3723" t="s">
        <v>910</v>
      </c>
      <c r="F3723">
        <v>4</v>
      </c>
      <c r="H3723" t="s">
        <v>701</v>
      </c>
      <c r="K3723">
        <v>9336</v>
      </c>
      <c r="L3723" t="s">
        <v>920</v>
      </c>
      <c r="N3723">
        <v>9336</v>
      </c>
      <c r="O3723" t="s">
        <v>931</v>
      </c>
      <c r="P3723">
        <f t="shared" si="58"/>
        <v>0</v>
      </c>
    </row>
    <row r="3724" spans="1:16" x14ac:dyDescent="0.25">
      <c r="A3724" t="s">
        <v>438</v>
      </c>
      <c r="B3724">
        <v>3493</v>
      </c>
      <c r="C3724" t="s">
        <v>669</v>
      </c>
      <c r="D3724" t="s">
        <v>303</v>
      </c>
      <c r="E3724">
        <v>176</v>
      </c>
      <c r="F3724">
        <v>176</v>
      </c>
      <c r="G3724" t="s">
        <v>947</v>
      </c>
      <c r="H3724" t="s">
        <v>947</v>
      </c>
      <c r="K3724">
        <v>3493</v>
      </c>
      <c r="L3724" t="s">
        <v>303</v>
      </c>
      <c r="N3724">
        <v>3493</v>
      </c>
      <c r="O3724" t="s">
        <v>303</v>
      </c>
      <c r="P3724">
        <f t="shared" si="58"/>
        <v>0</v>
      </c>
    </row>
    <row r="3725" spans="1:16" x14ac:dyDescent="0.25">
      <c r="A3725" t="s">
        <v>438</v>
      </c>
      <c r="B3725">
        <v>3494</v>
      </c>
      <c r="C3725" t="s">
        <v>669</v>
      </c>
      <c r="D3725" t="s">
        <v>303</v>
      </c>
      <c r="E3725">
        <v>176</v>
      </c>
      <c r="F3725">
        <v>176</v>
      </c>
      <c r="G3725" t="s">
        <v>947</v>
      </c>
      <c r="H3725" t="s">
        <v>947</v>
      </c>
      <c r="K3725">
        <v>3494</v>
      </c>
      <c r="L3725" t="s">
        <v>303</v>
      </c>
      <c r="N3725">
        <v>3494</v>
      </c>
      <c r="O3725" t="s">
        <v>303</v>
      </c>
      <c r="P3725">
        <f t="shared" si="58"/>
        <v>0</v>
      </c>
    </row>
    <row r="3726" spans="1:16" x14ac:dyDescent="0.25">
      <c r="A3726" t="s">
        <v>438</v>
      </c>
      <c r="B3726">
        <v>3495</v>
      </c>
      <c r="C3726" t="s">
        <v>669</v>
      </c>
      <c r="D3726" t="s">
        <v>303</v>
      </c>
      <c r="E3726">
        <v>176</v>
      </c>
      <c r="F3726">
        <v>176</v>
      </c>
      <c r="G3726" t="s">
        <v>947</v>
      </c>
      <c r="H3726" t="s">
        <v>947</v>
      </c>
      <c r="K3726">
        <v>3495</v>
      </c>
      <c r="L3726" t="s">
        <v>303</v>
      </c>
      <c r="N3726">
        <v>3495</v>
      </c>
      <c r="O3726" t="s">
        <v>303</v>
      </c>
      <c r="P3726">
        <f t="shared" si="58"/>
        <v>0</v>
      </c>
    </row>
    <row r="3727" spans="1:16" x14ac:dyDescent="0.25">
      <c r="A3727" t="s">
        <v>438</v>
      </c>
      <c r="B3727">
        <v>3496</v>
      </c>
      <c r="C3727" t="s">
        <v>669</v>
      </c>
      <c r="D3727" t="s">
        <v>303</v>
      </c>
      <c r="E3727">
        <v>176</v>
      </c>
      <c r="F3727">
        <v>176</v>
      </c>
      <c r="G3727" t="s">
        <v>947</v>
      </c>
      <c r="H3727" t="s">
        <v>947</v>
      </c>
      <c r="K3727">
        <v>3496</v>
      </c>
      <c r="L3727" t="s">
        <v>303</v>
      </c>
      <c r="N3727">
        <v>3496</v>
      </c>
      <c r="O3727" t="s">
        <v>303</v>
      </c>
      <c r="P3727">
        <f t="shared" si="58"/>
        <v>0</v>
      </c>
    </row>
    <row r="3728" spans="1:16" x14ac:dyDescent="0.25">
      <c r="A3728" t="s">
        <v>438</v>
      </c>
      <c r="B3728">
        <v>3497</v>
      </c>
      <c r="C3728" t="s">
        <v>669</v>
      </c>
      <c r="D3728" t="s">
        <v>303</v>
      </c>
      <c r="E3728">
        <v>176</v>
      </c>
      <c r="F3728">
        <v>176</v>
      </c>
      <c r="G3728" t="s">
        <v>947</v>
      </c>
      <c r="H3728" t="s">
        <v>947</v>
      </c>
      <c r="K3728">
        <v>3497</v>
      </c>
      <c r="L3728" t="s">
        <v>303</v>
      </c>
      <c r="N3728">
        <v>3497</v>
      </c>
      <c r="O3728" t="s">
        <v>303</v>
      </c>
      <c r="P3728">
        <f t="shared" si="58"/>
        <v>0</v>
      </c>
    </row>
    <row r="3729" spans="1:16" x14ac:dyDescent="0.25">
      <c r="A3729" t="s">
        <v>438</v>
      </c>
      <c r="B3729">
        <v>3498</v>
      </c>
      <c r="C3729" t="s">
        <v>669</v>
      </c>
      <c r="D3729" t="s">
        <v>303</v>
      </c>
      <c r="E3729">
        <v>176</v>
      </c>
      <c r="F3729">
        <v>176</v>
      </c>
      <c r="G3729" t="s">
        <v>947</v>
      </c>
      <c r="H3729" t="s">
        <v>947</v>
      </c>
      <c r="K3729">
        <v>3498</v>
      </c>
      <c r="L3729" t="s">
        <v>303</v>
      </c>
      <c r="N3729">
        <v>3498</v>
      </c>
      <c r="O3729" t="s">
        <v>303</v>
      </c>
      <c r="P3729">
        <f t="shared" si="58"/>
        <v>0</v>
      </c>
    </row>
    <row r="3730" spans="1:16" x14ac:dyDescent="0.25">
      <c r="A3730" t="s">
        <v>669</v>
      </c>
      <c r="B3730">
        <v>9364</v>
      </c>
      <c r="C3730" t="s">
        <v>669</v>
      </c>
      <c r="D3730" t="s">
        <v>865</v>
      </c>
      <c r="E3730" t="s">
        <v>910</v>
      </c>
      <c r="F3730">
        <v>4</v>
      </c>
      <c r="H3730" t="s">
        <v>701</v>
      </c>
      <c r="K3730">
        <v>9364</v>
      </c>
      <c r="L3730" t="s">
        <v>920</v>
      </c>
      <c r="N3730">
        <v>9364</v>
      </c>
      <c r="O3730" t="s">
        <v>931</v>
      </c>
      <c r="P3730">
        <f t="shared" si="58"/>
        <v>0</v>
      </c>
    </row>
    <row r="3731" spans="1:16" x14ac:dyDescent="0.25">
      <c r="A3731" t="s">
        <v>669</v>
      </c>
      <c r="B3731">
        <v>9377</v>
      </c>
      <c r="C3731" t="s">
        <v>669</v>
      </c>
      <c r="D3731" t="s">
        <v>865</v>
      </c>
      <c r="E3731" t="s">
        <v>910</v>
      </c>
      <c r="F3731">
        <v>4</v>
      </c>
      <c r="H3731" t="s">
        <v>701</v>
      </c>
      <c r="K3731">
        <v>9377</v>
      </c>
      <c r="L3731" t="s">
        <v>920</v>
      </c>
      <c r="N3731">
        <v>9377</v>
      </c>
      <c r="O3731" t="s">
        <v>931</v>
      </c>
      <c r="P3731">
        <f t="shared" si="58"/>
        <v>0</v>
      </c>
    </row>
    <row r="3732" spans="1:16" x14ac:dyDescent="0.25">
      <c r="A3732" t="s">
        <v>669</v>
      </c>
      <c r="B3732">
        <v>3690</v>
      </c>
      <c r="C3732" t="s">
        <v>669</v>
      </c>
      <c r="D3732" t="s">
        <v>669</v>
      </c>
      <c r="E3732" t="s">
        <v>910</v>
      </c>
      <c r="F3732" t="s">
        <v>910</v>
      </c>
      <c r="I3732" t="s">
        <v>928</v>
      </c>
      <c r="K3732">
        <v>3690</v>
      </c>
      <c r="L3732" t="s">
        <v>851</v>
      </c>
      <c r="N3732">
        <v>3690</v>
      </c>
      <c r="P3732">
        <f t="shared" si="58"/>
        <v>21</v>
      </c>
    </row>
    <row r="3733" spans="1:16" x14ac:dyDescent="0.25">
      <c r="A3733" t="s">
        <v>669</v>
      </c>
      <c r="B3733">
        <v>9380</v>
      </c>
      <c r="C3733" t="s">
        <v>669</v>
      </c>
      <c r="D3733" t="s">
        <v>865</v>
      </c>
      <c r="E3733" t="s">
        <v>910</v>
      </c>
      <c r="F3733">
        <v>4</v>
      </c>
      <c r="H3733" t="s">
        <v>701</v>
      </c>
      <c r="K3733">
        <v>9380</v>
      </c>
      <c r="L3733" t="s">
        <v>920</v>
      </c>
      <c r="N3733">
        <v>9380</v>
      </c>
      <c r="O3733" t="s">
        <v>931</v>
      </c>
      <c r="P3733">
        <f t="shared" si="58"/>
        <v>0</v>
      </c>
    </row>
    <row r="3734" spans="1:16" x14ac:dyDescent="0.25">
      <c r="A3734" t="s">
        <v>669</v>
      </c>
      <c r="B3734">
        <v>4125</v>
      </c>
      <c r="C3734" t="s">
        <v>669</v>
      </c>
      <c r="D3734" t="s">
        <v>669</v>
      </c>
      <c r="E3734" t="s">
        <v>910</v>
      </c>
      <c r="F3734" t="s">
        <v>910</v>
      </c>
      <c r="I3734" t="s">
        <v>928</v>
      </c>
      <c r="K3734">
        <v>4125</v>
      </c>
      <c r="L3734" t="s">
        <v>851</v>
      </c>
      <c r="N3734">
        <v>4125</v>
      </c>
      <c r="P3734">
        <f t="shared" si="58"/>
        <v>21</v>
      </c>
    </row>
    <row r="3735" spans="1:16" x14ac:dyDescent="0.25">
      <c r="A3735" t="s">
        <v>669</v>
      </c>
      <c r="B3735">
        <v>4420</v>
      </c>
      <c r="C3735" t="s">
        <v>669</v>
      </c>
      <c r="D3735" t="s">
        <v>669</v>
      </c>
      <c r="E3735" t="s">
        <v>910</v>
      </c>
      <c r="F3735" t="s">
        <v>910</v>
      </c>
      <c r="I3735" t="s">
        <v>928</v>
      </c>
      <c r="K3735">
        <v>4420</v>
      </c>
      <c r="L3735" t="s">
        <v>851</v>
      </c>
      <c r="N3735">
        <v>4420</v>
      </c>
      <c r="P3735">
        <f t="shared" si="58"/>
        <v>21</v>
      </c>
    </row>
    <row r="3736" spans="1:16" x14ac:dyDescent="0.25">
      <c r="A3736" t="s">
        <v>669</v>
      </c>
      <c r="B3736">
        <v>9381</v>
      </c>
      <c r="C3736" t="s">
        <v>669</v>
      </c>
      <c r="D3736" t="s">
        <v>865</v>
      </c>
      <c r="E3736" t="s">
        <v>910</v>
      </c>
      <c r="F3736">
        <v>4</v>
      </c>
      <c r="H3736" t="s">
        <v>701</v>
      </c>
      <c r="K3736">
        <v>9381</v>
      </c>
      <c r="L3736" t="s">
        <v>920</v>
      </c>
      <c r="N3736">
        <v>9381</v>
      </c>
      <c r="O3736" t="s">
        <v>931</v>
      </c>
      <c r="P3736">
        <f t="shared" si="58"/>
        <v>0</v>
      </c>
    </row>
    <row r="3737" spans="1:16" x14ac:dyDescent="0.25">
      <c r="A3737" t="s">
        <v>669</v>
      </c>
      <c r="B3737">
        <v>9400</v>
      </c>
      <c r="C3737">
        <v>9480</v>
      </c>
      <c r="D3737" t="s">
        <v>857</v>
      </c>
      <c r="E3737">
        <v>4</v>
      </c>
      <c r="F3737">
        <v>4</v>
      </c>
      <c r="G3737" t="s">
        <v>701</v>
      </c>
      <c r="H3737" t="s">
        <v>701</v>
      </c>
      <c r="J3737">
        <v>9480</v>
      </c>
      <c r="K3737">
        <v>9400</v>
      </c>
      <c r="L3737" t="s">
        <v>921</v>
      </c>
      <c r="M3737">
        <v>9480</v>
      </c>
      <c r="N3737">
        <v>9400</v>
      </c>
      <c r="O3737" t="s">
        <v>921</v>
      </c>
      <c r="P3737">
        <f t="shared" si="58"/>
        <v>0</v>
      </c>
    </row>
    <row r="3738" spans="1:16" x14ac:dyDescent="0.25">
      <c r="A3738" t="s">
        <v>669</v>
      </c>
      <c r="B3738">
        <v>9403</v>
      </c>
      <c r="C3738" t="s">
        <v>669</v>
      </c>
      <c r="D3738" t="s">
        <v>865</v>
      </c>
      <c r="E3738" t="s">
        <v>910</v>
      </c>
      <c r="F3738">
        <v>4</v>
      </c>
      <c r="H3738" t="s">
        <v>701</v>
      </c>
      <c r="K3738">
        <v>9403</v>
      </c>
      <c r="L3738" t="s">
        <v>920</v>
      </c>
      <c r="N3738">
        <v>9403</v>
      </c>
      <c r="O3738" t="s">
        <v>931</v>
      </c>
      <c r="P3738">
        <f t="shared" si="58"/>
        <v>0</v>
      </c>
    </row>
    <row r="3739" spans="1:16" x14ac:dyDescent="0.25">
      <c r="A3739" t="s">
        <v>669</v>
      </c>
      <c r="B3739">
        <v>9421</v>
      </c>
      <c r="C3739" t="s">
        <v>669</v>
      </c>
      <c r="D3739" t="s">
        <v>865</v>
      </c>
      <c r="E3739" t="s">
        <v>910</v>
      </c>
      <c r="F3739">
        <v>4</v>
      </c>
      <c r="H3739" t="s">
        <v>701</v>
      </c>
      <c r="K3739">
        <v>9421</v>
      </c>
      <c r="L3739" t="s">
        <v>920</v>
      </c>
      <c r="N3739">
        <v>9421</v>
      </c>
      <c r="O3739" t="s">
        <v>931</v>
      </c>
      <c r="P3739">
        <f t="shared" si="58"/>
        <v>0</v>
      </c>
    </row>
    <row r="3740" spans="1:16" x14ac:dyDescent="0.25">
      <c r="A3740" t="s">
        <v>669</v>
      </c>
      <c r="B3740">
        <v>9427</v>
      </c>
      <c r="C3740" t="s">
        <v>669</v>
      </c>
      <c r="D3740" t="s">
        <v>865</v>
      </c>
      <c r="E3740" t="s">
        <v>910</v>
      </c>
      <c r="F3740">
        <v>4</v>
      </c>
      <c r="H3740" t="s">
        <v>701</v>
      </c>
      <c r="K3740">
        <v>9427</v>
      </c>
      <c r="L3740" t="s">
        <v>920</v>
      </c>
      <c r="N3740">
        <v>9427</v>
      </c>
      <c r="O3740" t="s">
        <v>931</v>
      </c>
      <c r="P3740">
        <f t="shared" si="58"/>
        <v>0</v>
      </c>
    </row>
    <row r="3741" spans="1:16" x14ac:dyDescent="0.25">
      <c r="A3741" t="s">
        <v>669</v>
      </c>
      <c r="B3741">
        <v>9429</v>
      </c>
      <c r="C3741" t="s">
        <v>669</v>
      </c>
      <c r="D3741" t="s">
        <v>865</v>
      </c>
      <c r="E3741" t="s">
        <v>910</v>
      </c>
      <c r="F3741">
        <v>4</v>
      </c>
      <c r="H3741" t="s">
        <v>701</v>
      </c>
      <c r="K3741">
        <v>9429</v>
      </c>
      <c r="L3741" t="s">
        <v>920</v>
      </c>
      <c r="N3741">
        <v>9429</v>
      </c>
      <c r="O3741" t="s">
        <v>931</v>
      </c>
      <c r="P3741">
        <f t="shared" si="58"/>
        <v>0</v>
      </c>
    </row>
    <row r="3742" spans="1:16" x14ac:dyDescent="0.25">
      <c r="A3742" t="s">
        <v>669</v>
      </c>
      <c r="B3742">
        <v>9439</v>
      </c>
      <c r="C3742" t="s">
        <v>669</v>
      </c>
      <c r="D3742" t="s">
        <v>865</v>
      </c>
      <c r="E3742" t="s">
        <v>910</v>
      </c>
      <c r="F3742">
        <v>4</v>
      </c>
      <c r="H3742" t="s">
        <v>701</v>
      </c>
      <c r="K3742">
        <v>9439</v>
      </c>
      <c r="L3742" t="s">
        <v>920</v>
      </c>
      <c r="N3742">
        <v>9439</v>
      </c>
      <c r="O3742" t="s">
        <v>931</v>
      </c>
      <c r="P3742">
        <f t="shared" si="58"/>
        <v>0</v>
      </c>
    </row>
    <row r="3743" spans="1:16" x14ac:dyDescent="0.25">
      <c r="A3743" t="s">
        <v>669</v>
      </c>
      <c r="B3743">
        <v>9456</v>
      </c>
      <c r="C3743" t="s">
        <v>669</v>
      </c>
      <c r="D3743" t="s">
        <v>865</v>
      </c>
      <c r="E3743" t="s">
        <v>910</v>
      </c>
      <c r="F3743">
        <v>4</v>
      </c>
      <c r="H3743" t="s">
        <v>701</v>
      </c>
      <c r="K3743">
        <v>9456</v>
      </c>
      <c r="L3743" t="s">
        <v>920</v>
      </c>
      <c r="N3743">
        <v>9456</v>
      </c>
      <c r="O3743" t="s">
        <v>931</v>
      </c>
      <c r="P3743">
        <f t="shared" si="58"/>
        <v>0</v>
      </c>
    </row>
    <row r="3744" spans="1:16" x14ac:dyDescent="0.25">
      <c r="A3744" t="s">
        <v>669</v>
      </c>
      <c r="B3744">
        <v>9522</v>
      </c>
      <c r="C3744" t="s">
        <v>669</v>
      </c>
      <c r="D3744" t="s">
        <v>865</v>
      </c>
      <c r="E3744" t="s">
        <v>910</v>
      </c>
      <c r="F3744">
        <v>4</v>
      </c>
      <c r="H3744" t="s">
        <v>701</v>
      </c>
      <c r="K3744">
        <v>9522</v>
      </c>
      <c r="L3744" t="s">
        <v>920</v>
      </c>
      <c r="N3744">
        <v>9522</v>
      </c>
      <c r="O3744" t="s">
        <v>931</v>
      </c>
      <c r="P3744">
        <f t="shared" si="58"/>
        <v>0</v>
      </c>
    </row>
    <row r="3745" spans="1:16" x14ac:dyDescent="0.25">
      <c r="A3745" t="s">
        <v>669</v>
      </c>
      <c r="B3745">
        <v>9557</v>
      </c>
      <c r="C3745">
        <v>9897</v>
      </c>
      <c r="D3745" t="s">
        <v>866</v>
      </c>
      <c r="E3745">
        <v>4</v>
      </c>
      <c r="F3745">
        <v>4</v>
      </c>
      <c r="G3745" t="s">
        <v>701</v>
      </c>
      <c r="H3745" t="s">
        <v>701</v>
      </c>
      <c r="J3745">
        <v>9897</v>
      </c>
      <c r="K3745">
        <v>9557</v>
      </c>
      <c r="L3745" t="s">
        <v>920</v>
      </c>
      <c r="M3745">
        <v>9897</v>
      </c>
      <c r="N3745">
        <v>9557</v>
      </c>
      <c r="O3745" t="s">
        <v>920</v>
      </c>
      <c r="P3745">
        <f t="shared" si="58"/>
        <v>0</v>
      </c>
    </row>
    <row r="3746" spans="1:16" x14ac:dyDescent="0.25">
      <c r="A3746" t="s">
        <v>669</v>
      </c>
      <c r="B3746">
        <v>9558</v>
      </c>
      <c r="C3746" t="s">
        <v>669</v>
      </c>
      <c r="D3746" t="s">
        <v>865</v>
      </c>
      <c r="E3746" t="s">
        <v>910</v>
      </c>
      <c r="F3746">
        <v>4</v>
      </c>
      <c r="H3746" t="s">
        <v>701</v>
      </c>
      <c r="K3746">
        <v>9558</v>
      </c>
      <c r="L3746" t="s">
        <v>920</v>
      </c>
      <c r="N3746">
        <v>9558</v>
      </c>
      <c r="O3746" t="s">
        <v>931</v>
      </c>
      <c r="P3746">
        <f t="shared" si="58"/>
        <v>0</v>
      </c>
    </row>
    <row r="3747" spans="1:16" x14ac:dyDescent="0.25">
      <c r="A3747" t="s">
        <v>669</v>
      </c>
      <c r="B3747">
        <v>9568</v>
      </c>
      <c r="C3747" t="s">
        <v>669</v>
      </c>
      <c r="D3747" t="s">
        <v>865</v>
      </c>
      <c r="E3747" t="s">
        <v>910</v>
      </c>
      <c r="F3747">
        <v>4</v>
      </c>
      <c r="H3747" t="s">
        <v>701</v>
      </c>
      <c r="K3747">
        <v>9568</v>
      </c>
      <c r="L3747" t="s">
        <v>920</v>
      </c>
      <c r="N3747">
        <v>9568</v>
      </c>
      <c r="O3747" t="s">
        <v>931</v>
      </c>
      <c r="P3747">
        <f t="shared" si="58"/>
        <v>0</v>
      </c>
    </row>
    <row r="3748" spans="1:16" x14ac:dyDescent="0.25">
      <c r="A3748" t="s">
        <v>669</v>
      </c>
      <c r="B3748">
        <v>9622</v>
      </c>
      <c r="C3748" t="s">
        <v>669</v>
      </c>
      <c r="D3748" t="s">
        <v>865</v>
      </c>
      <c r="E3748" t="s">
        <v>910</v>
      </c>
      <c r="F3748">
        <v>4</v>
      </c>
      <c r="H3748" t="s">
        <v>701</v>
      </c>
      <c r="K3748">
        <v>9622</v>
      </c>
      <c r="L3748" t="s">
        <v>920</v>
      </c>
      <c r="N3748">
        <v>9622</v>
      </c>
      <c r="O3748" t="s">
        <v>931</v>
      </c>
      <c r="P3748">
        <f t="shared" si="58"/>
        <v>0</v>
      </c>
    </row>
    <row r="3749" spans="1:16" x14ac:dyDescent="0.25">
      <c r="A3749" t="s">
        <v>669</v>
      </c>
      <c r="B3749">
        <v>9630</v>
      </c>
      <c r="C3749" t="s">
        <v>669</v>
      </c>
      <c r="D3749" t="s">
        <v>669</v>
      </c>
      <c r="E3749" t="s">
        <v>910</v>
      </c>
      <c r="F3749">
        <v>4</v>
      </c>
      <c r="H3749" t="s">
        <v>701</v>
      </c>
      <c r="I3749" t="s">
        <v>927</v>
      </c>
      <c r="K3749">
        <v>9630</v>
      </c>
      <c r="L3749" t="s">
        <v>921</v>
      </c>
      <c r="N3749">
        <v>9630</v>
      </c>
      <c r="P3749">
        <f t="shared" si="58"/>
        <v>14</v>
      </c>
    </row>
    <row r="3750" spans="1:16" x14ac:dyDescent="0.25">
      <c r="A3750" t="s">
        <v>213</v>
      </c>
      <c r="B3750">
        <v>10</v>
      </c>
      <c r="C3750">
        <v>12</v>
      </c>
      <c r="D3750" t="s">
        <v>862</v>
      </c>
      <c r="E3750">
        <v>8</v>
      </c>
      <c r="F3750">
        <v>4</v>
      </c>
      <c r="G3750" t="s">
        <v>687</v>
      </c>
      <c r="H3750" t="s">
        <v>701</v>
      </c>
      <c r="J3750">
        <v>12000</v>
      </c>
      <c r="K3750">
        <v>10000</v>
      </c>
      <c r="L3750" t="s">
        <v>931</v>
      </c>
      <c r="M3750">
        <v>12</v>
      </c>
      <c r="N3750">
        <v>10</v>
      </c>
      <c r="O3750" t="s">
        <v>862</v>
      </c>
      <c r="P3750">
        <f t="shared" si="58"/>
        <v>0</v>
      </c>
    </row>
    <row r="3751" spans="1:16" x14ac:dyDescent="0.25">
      <c r="A3751" t="s">
        <v>669</v>
      </c>
      <c r="B3751">
        <v>10</v>
      </c>
      <c r="C3751">
        <v>12</v>
      </c>
      <c r="D3751" t="s">
        <v>862</v>
      </c>
      <c r="E3751">
        <v>8</v>
      </c>
      <c r="F3751">
        <v>4</v>
      </c>
      <c r="G3751" t="s">
        <v>687</v>
      </c>
      <c r="H3751" t="s">
        <v>701</v>
      </c>
      <c r="J3751">
        <v>12000</v>
      </c>
      <c r="K3751">
        <v>10000</v>
      </c>
      <c r="L3751" t="s">
        <v>931</v>
      </c>
      <c r="M3751">
        <v>12</v>
      </c>
      <c r="N3751">
        <v>10</v>
      </c>
      <c r="O3751" t="s">
        <v>862</v>
      </c>
      <c r="P3751">
        <f t="shared" si="58"/>
        <v>0</v>
      </c>
    </row>
    <row r="3752" spans="1:16" x14ac:dyDescent="0.25">
      <c r="A3752" t="s">
        <v>669</v>
      </c>
      <c r="B3752">
        <v>10</v>
      </c>
      <c r="C3752" t="s">
        <v>669</v>
      </c>
      <c r="D3752" t="s">
        <v>864</v>
      </c>
      <c r="E3752" t="s">
        <v>910</v>
      </c>
      <c r="F3752">
        <v>4</v>
      </c>
      <c r="H3752" t="s">
        <v>701</v>
      </c>
      <c r="K3752">
        <v>10000</v>
      </c>
      <c r="L3752" t="s">
        <v>931</v>
      </c>
      <c r="N3752">
        <v>10</v>
      </c>
      <c r="O3752" t="s">
        <v>862</v>
      </c>
      <c r="P3752">
        <f t="shared" si="58"/>
        <v>0</v>
      </c>
    </row>
    <row r="3753" spans="1:16" x14ac:dyDescent="0.25">
      <c r="A3753" t="s">
        <v>669</v>
      </c>
      <c r="B3753">
        <v>10</v>
      </c>
      <c r="C3753" t="s">
        <v>669</v>
      </c>
      <c r="D3753" t="s">
        <v>862</v>
      </c>
      <c r="E3753" t="s">
        <v>910</v>
      </c>
      <c r="F3753">
        <v>4</v>
      </c>
      <c r="H3753" t="s">
        <v>701</v>
      </c>
      <c r="K3753">
        <v>10000</v>
      </c>
      <c r="L3753" t="s">
        <v>931</v>
      </c>
      <c r="N3753">
        <v>10</v>
      </c>
      <c r="O3753" t="s">
        <v>862</v>
      </c>
      <c r="P3753">
        <f t="shared" si="58"/>
        <v>0</v>
      </c>
    </row>
    <row r="3754" spans="1:16" x14ac:dyDescent="0.25">
      <c r="A3754" t="s">
        <v>669</v>
      </c>
      <c r="B3754">
        <v>10122</v>
      </c>
      <c r="C3754" t="s">
        <v>669</v>
      </c>
      <c r="D3754" t="s">
        <v>865</v>
      </c>
      <c r="E3754" t="s">
        <v>910</v>
      </c>
      <c r="F3754">
        <v>4</v>
      </c>
      <c r="H3754" t="s">
        <v>701</v>
      </c>
      <c r="K3754">
        <v>10122</v>
      </c>
      <c r="L3754" t="s">
        <v>920</v>
      </c>
      <c r="N3754">
        <v>10122</v>
      </c>
      <c r="O3754" t="s">
        <v>931</v>
      </c>
      <c r="P3754">
        <f t="shared" si="58"/>
        <v>0</v>
      </c>
    </row>
    <row r="3755" spans="1:16" x14ac:dyDescent="0.25">
      <c r="A3755" t="s">
        <v>669</v>
      </c>
      <c r="B3755">
        <v>10182</v>
      </c>
      <c r="C3755" t="s">
        <v>669</v>
      </c>
      <c r="D3755" t="s">
        <v>865</v>
      </c>
      <c r="E3755" t="s">
        <v>910</v>
      </c>
      <c r="F3755">
        <v>4</v>
      </c>
      <c r="H3755" t="s">
        <v>701</v>
      </c>
      <c r="K3755">
        <v>10182</v>
      </c>
      <c r="L3755" t="s">
        <v>920</v>
      </c>
      <c r="N3755">
        <v>10182</v>
      </c>
      <c r="O3755" t="s">
        <v>931</v>
      </c>
      <c r="P3755">
        <f t="shared" si="58"/>
        <v>0</v>
      </c>
    </row>
    <row r="3756" spans="1:16" x14ac:dyDescent="0.25">
      <c r="A3756" t="s">
        <v>669</v>
      </c>
      <c r="B3756">
        <v>10205</v>
      </c>
      <c r="C3756" t="s">
        <v>669</v>
      </c>
      <c r="D3756" t="s">
        <v>865</v>
      </c>
      <c r="E3756" t="s">
        <v>910</v>
      </c>
      <c r="F3756">
        <v>4</v>
      </c>
      <c r="H3756" t="s">
        <v>701</v>
      </c>
      <c r="K3756">
        <v>10205</v>
      </c>
      <c r="L3756" t="s">
        <v>920</v>
      </c>
      <c r="N3756">
        <v>10205</v>
      </c>
      <c r="O3756" t="s">
        <v>931</v>
      </c>
      <c r="P3756">
        <f t="shared" si="58"/>
        <v>0</v>
      </c>
    </row>
    <row r="3757" spans="1:16" x14ac:dyDescent="0.25">
      <c r="A3757" t="s">
        <v>669</v>
      </c>
      <c r="B3757">
        <v>10216</v>
      </c>
      <c r="C3757" t="s">
        <v>669</v>
      </c>
      <c r="D3757" t="s">
        <v>865</v>
      </c>
      <c r="E3757" t="s">
        <v>910</v>
      </c>
      <c r="F3757">
        <v>4</v>
      </c>
      <c r="H3757" t="s">
        <v>701</v>
      </c>
      <c r="K3757">
        <v>10216</v>
      </c>
      <c r="L3757" t="s">
        <v>920</v>
      </c>
      <c r="N3757">
        <v>10216</v>
      </c>
      <c r="O3757" t="s">
        <v>931</v>
      </c>
      <c r="P3757">
        <f t="shared" si="58"/>
        <v>0</v>
      </c>
    </row>
    <row r="3758" spans="1:16" x14ac:dyDescent="0.25">
      <c r="A3758" t="s">
        <v>669</v>
      </c>
      <c r="B3758">
        <v>10226</v>
      </c>
      <c r="C3758">
        <v>11969</v>
      </c>
      <c r="D3758" t="s">
        <v>866</v>
      </c>
      <c r="E3758">
        <v>8</v>
      </c>
      <c r="F3758">
        <v>4</v>
      </c>
      <c r="G3758" t="s">
        <v>687</v>
      </c>
      <c r="H3758" t="s">
        <v>701</v>
      </c>
      <c r="J3758">
        <v>11969</v>
      </c>
      <c r="K3758">
        <v>10226</v>
      </c>
      <c r="L3758" t="s">
        <v>920</v>
      </c>
      <c r="M3758">
        <v>11969</v>
      </c>
      <c r="N3758">
        <v>10226</v>
      </c>
      <c r="O3758" t="s">
        <v>920</v>
      </c>
      <c r="P3758">
        <f t="shared" si="58"/>
        <v>0</v>
      </c>
    </row>
    <row r="3759" spans="1:16" x14ac:dyDescent="0.25">
      <c r="A3759" t="s">
        <v>669</v>
      </c>
      <c r="B3759">
        <v>10246</v>
      </c>
      <c r="C3759">
        <v>10499</v>
      </c>
      <c r="D3759" t="s">
        <v>866</v>
      </c>
      <c r="E3759">
        <v>4</v>
      </c>
      <c r="F3759">
        <v>4</v>
      </c>
      <c r="G3759" t="s">
        <v>701</v>
      </c>
      <c r="H3759" t="s">
        <v>701</v>
      </c>
      <c r="J3759">
        <v>10499</v>
      </c>
      <c r="K3759">
        <v>10246</v>
      </c>
      <c r="L3759" t="s">
        <v>920</v>
      </c>
      <c r="M3759">
        <v>10499</v>
      </c>
      <c r="N3759">
        <v>10246</v>
      </c>
      <c r="O3759" t="s">
        <v>920</v>
      </c>
      <c r="P3759">
        <f t="shared" si="58"/>
        <v>0</v>
      </c>
    </row>
    <row r="3760" spans="1:16" x14ac:dyDescent="0.25">
      <c r="A3760" t="s">
        <v>669</v>
      </c>
      <c r="B3760">
        <v>10262</v>
      </c>
      <c r="C3760" t="s">
        <v>669</v>
      </c>
      <c r="D3760" t="s">
        <v>865</v>
      </c>
      <c r="E3760" t="s">
        <v>910</v>
      </c>
      <c r="F3760">
        <v>4</v>
      </c>
      <c r="H3760" t="s">
        <v>701</v>
      </c>
      <c r="K3760">
        <v>10262</v>
      </c>
      <c r="L3760" t="s">
        <v>920</v>
      </c>
      <c r="N3760">
        <v>10262</v>
      </c>
      <c r="O3760" t="s">
        <v>931</v>
      </c>
      <c r="P3760">
        <f t="shared" si="58"/>
        <v>0</v>
      </c>
    </row>
    <row r="3761" spans="1:16" x14ac:dyDescent="0.25">
      <c r="A3761" t="s">
        <v>669</v>
      </c>
      <c r="B3761">
        <v>10272</v>
      </c>
      <c r="C3761" t="s">
        <v>669</v>
      </c>
      <c r="D3761" t="s">
        <v>865</v>
      </c>
      <c r="E3761" t="s">
        <v>910</v>
      </c>
      <c r="F3761">
        <v>4</v>
      </c>
      <c r="H3761" t="s">
        <v>701</v>
      </c>
      <c r="K3761">
        <v>10272</v>
      </c>
      <c r="L3761" t="s">
        <v>920</v>
      </c>
      <c r="N3761">
        <v>10272</v>
      </c>
      <c r="O3761" t="s">
        <v>931</v>
      </c>
      <c r="P3761">
        <f t="shared" si="58"/>
        <v>0</v>
      </c>
    </row>
    <row r="3762" spans="1:16" x14ac:dyDescent="0.25">
      <c r="A3762" t="s">
        <v>669</v>
      </c>
      <c r="B3762">
        <v>10283</v>
      </c>
      <c r="C3762" t="s">
        <v>669</v>
      </c>
      <c r="D3762" t="s">
        <v>865</v>
      </c>
      <c r="E3762" t="s">
        <v>910</v>
      </c>
      <c r="F3762">
        <v>4</v>
      </c>
      <c r="H3762" t="s">
        <v>701</v>
      </c>
      <c r="K3762">
        <v>10283</v>
      </c>
      <c r="L3762" t="s">
        <v>920</v>
      </c>
      <c r="N3762">
        <v>10283</v>
      </c>
      <c r="O3762" t="s">
        <v>931</v>
      </c>
      <c r="P3762">
        <f t="shared" si="58"/>
        <v>0</v>
      </c>
    </row>
    <row r="3763" spans="1:16" x14ac:dyDescent="0.25">
      <c r="A3763" t="s">
        <v>669</v>
      </c>
      <c r="B3763">
        <v>10300</v>
      </c>
      <c r="C3763" t="s">
        <v>669</v>
      </c>
      <c r="D3763" t="s">
        <v>865</v>
      </c>
      <c r="E3763" t="s">
        <v>910</v>
      </c>
      <c r="F3763">
        <v>4</v>
      </c>
      <c r="H3763" t="s">
        <v>701</v>
      </c>
      <c r="K3763">
        <v>10300</v>
      </c>
      <c r="L3763" t="s">
        <v>920</v>
      </c>
      <c r="N3763">
        <v>10300</v>
      </c>
      <c r="O3763" t="s">
        <v>931</v>
      </c>
      <c r="P3763">
        <f t="shared" si="58"/>
        <v>0</v>
      </c>
    </row>
    <row r="3764" spans="1:16" x14ac:dyDescent="0.25">
      <c r="A3764" t="s">
        <v>669</v>
      </c>
      <c r="B3764">
        <v>10335</v>
      </c>
      <c r="C3764" t="s">
        <v>669</v>
      </c>
      <c r="D3764" t="s">
        <v>669</v>
      </c>
      <c r="E3764" t="s">
        <v>910</v>
      </c>
      <c r="F3764">
        <v>4</v>
      </c>
      <c r="H3764" t="s">
        <v>701</v>
      </c>
      <c r="I3764" t="s">
        <v>927</v>
      </c>
      <c r="K3764">
        <v>10335</v>
      </c>
      <c r="L3764" t="s">
        <v>921</v>
      </c>
      <c r="N3764">
        <v>10335</v>
      </c>
      <c r="P3764">
        <f t="shared" si="58"/>
        <v>14</v>
      </c>
    </row>
    <row r="3765" spans="1:16" x14ac:dyDescent="0.25">
      <c r="A3765" t="s">
        <v>669</v>
      </c>
      <c r="B3765">
        <v>10357</v>
      </c>
      <c r="C3765" t="s">
        <v>669</v>
      </c>
      <c r="D3765" t="s">
        <v>865</v>
      </c>
      <c r="E3765" t="s">
        <v>910</v>
      </c>
      <c r="F3765">
        <v>4</v>
      </c>
      <c r="H3765" t="s">
        <v>701</v>
      </c>
      <c r="K3765">
        <v>10357</v>
      </c>
      <c r="L3765" t="s">
        <v>920</v>
      </c>
      <c r="N3765">
        <v>10357</v>
      </c>
      <c r="O3765" t="s">
        <v>931</v>
      </c>
      <c r="P3765">
        <f t="shared" si="58"/>
        <v>0</v>
      </c>
    </row>
    <row r="3766" spans="1:16" x14ac:dyDescent="0.25">
      <c r="A3766" t="s">
        <v>669</v>
      </c>
      <c r="B3766">
        <v>10366</v>
      </c>
      <c r="C3766" t="s">
        <v>669</v>
      </c>
      <c r="D3766" t="s">
        <v>865</v>
      </c>
      <c r="E3766" t="s">
        <v>910</v>
      </c>
      <c r="F3766">
        <v>4</v>
      </c>
      <c r="H3766" t="s">
        <v>701</v>
      </c>
      <c r="K3766">
        <v>10366</v>
      </c>
      <c r="L3766" t="s">
        <v>920</v>
      </c>
      <c r="N3766">
        <v>10366</v>
      </c>
      <c r="O3766" t="s">
        <v>931</v>
      </c>
      <c r="P3766">
        <f t="shared" si="58"/>
        <v>0</v>
      </c>
    </row>
    <row r="3767" spans="1:16" x14ac:dyDescent="0.25">
      <c r="A3767" t="s">
        <v>669</v>
      </c>
      <c r="B3767">
        <v>10491</v>
      </c>
      <c r="C3767" t="s">
        <v>669</v>
      </c>
      <c r="D3767" t="s">
        <v>865</v>
      </c>
      <c r="E3767" t="s">
        <v>910</v>
      </c>
      <c r="F3767">
        <v>4</v>
      </c>
      <c r="H3767" t="s">
        <v>701</v>
      </c>
      <c r="K3767">
        <v>10491</v>
      </c>
      <c r="L3767" t="s">
        <v>920</v>
      </c>
      <c r="N3767">
        <v>10491</v>
      </c>
      <c r="O3767" t="s">
        <v>931</v>
      </c>
      <c r="P3767">
        <f t="shared" si="58"/>
        <v>0</v>
      </c>
    </row>
    <row r="3768" spans="1:16" x14ac:dyDescent="0.25">
      <c r="A3768" t="s">
        <v>669</v>
      </c>
      <c r="B3768">
        <v>10500</v>
      </c>
      <c r="C3768" t="s">
        <v>669</v>
      </c>
      <c r="D3768" t="s">
        <v>669</v>
      </c>
      <c r="E3768" t="s">
        <v>910</v>
      </c>
      <c r="F3768">
        <v>4</v>
      </c>
      <c r="H3768" t="s">
        <v>701</v>
      </c>
      <c r="I3768" t="s">
        <v>927</v>
      </c>
      <c r="K3768">
        <v>10500</v>
      </c>
      <c r="L3768" t="s">
        <v>921</v>
      </c>
      <c r="N3768">
        <v>10500</v>
      </c>
      <c r="P3768">
        <f t="shared" si="58"/>
        <v>14</v>
      </c>
    </row>
    <row r="3769" spans="1:16" x14ac:dyDescent="0.25">
      <c r="A3769" t="s">
        <v>669</v>
      </c>
      <c r="B3769">
        <v>10570</v>
      </c>
      <c r="C3769" t="s">
        <v>669</v>
      </c>
      <c r="D3769" t="s">
        <v>865</v>
      </c>
      <c r="E3769" t="s">
        <v>910</v>
      </c>
      <c r="F3769">
        <v>4</v>
      </c>
      <c r="H3769" t="s">
        <v>701</v>
      </c>
      <c r="K3769">
        <v>10570</v>
      </c>
      <c r="L3769" t="s">
        <v>920</v>
      </c>
      <c r="N3769">
        <v>10570</v>
      </c>
      <c r="O3769" t="s">
        <v>931</v>
      </c>
      <c r="P3769">
        <f t="shared" si="58"/>
        <v>0</v>
      </c>
    </row>
    <row r="3770" spans="1:16" x14ac:dyDescent="0.25">
      <c r="A3770" t="s">
        <v>669</v>
      </c>
      <c r="B3770">
        <v>10578</v>
      </c>
      <c r="C3770">
        <v>11070</v>
      </c>
      <c r="D3770" t="s">
        <v>866</v>
      </c>
      <c r="E3770">
        <v>4</v>
      </c>
      <c r="F3770">
        <v>4</v>
      </c>
      <c r="G3770" t="s">
        <v>701</v>
      </c>
      <c r="H3770" t="s">
        <v>701</v>
      </c>
      <c r="J3770">
        <v>11070</v>
      </c>
      <c r="K3770">
        <v>10578</v>
      </c>
      <c r="L3770" t="s">
        <v>920</v>
      </c>
      <c r="M3770">
        <v>11070</v>
      </c>
      <c r="N3770">
        <v>10578</v>
      </c>
      <c r="O3770" t="s">
        <v>920</v>
      </c>
      <c r="P3770">
        <f t="shared" si="58"/>
        <v>0</v>
      </c>
    </row>
    <row r="3771" spans="1:16" x14ac:dyDescent="0.25">
      <c r="A3771" t="s">
        <v>669</v>
      </c>
      <c r="B3771">
        <v>10579</v>
      </c>
      <c r="C3771" t="s">
        <v>669</v>
      </c>
      <c r="D3771" t="s">
        <v>865</v>
      </c>
      <c r="E3771" t="s">
        <v>910</v>
      </c>
      <c r="F3771">
        <v>4</v>
      </c>
      <c r="H3771" t="s">
        <v>701</v>
      </c>
      <c r="K3771">
        <v>10579</v>
      </c>
      <c r="L3771" t="s">
        <v>920</v>
      </c>
      <c r="N3771">
        <v>10579</v>
      </c>
      <c r="O3771" t="s">
        <v>931</v>
      </c>
      <c r="P3771">
        <f t="shared" si="58"/>
        <v>0</v>
      </c>
    </row>
    <row r="3772" spans="1:16" x14ac:dyDescent="0.25">
      <c r="A3772" t="s">
        <v>669</v>
      </c>
      <c r="B3772">
        <v>10583</v>
      </c>
      <c r="C3772">
        <v>10643</v>
      </c>
      <c r="D3772" t="s">
        <v>669</v>
      </c>
      <c r="E3772">
        <v>4</v>
      </c>
      <c r="F3772">
        <v>4</v>
      </c>
      <c r="G3772" t="s">
        <v>701</v>
      </c>
      <c r="H3772" t="s">
        <v>701</v>
      </c>
      <c r="I3772" t="s">
        <v>927</v>
      </c>
      <c r="J3772">
        <v>10643</v>
      </c>
      <c r="K3772">
        <v>10583</v>
      </c>
      <c r="L3772" t="s">
        <v>921</v>
      </c>
      <c r="M3772">
        <v>10643</v>
      </c>
      <c r="N3772">
        <v>10583</v>
      </c>
      <c r="P3772">
        <f t="shared" si="58"/>
        <v>14</v>
      </c>
    </row>
    <row r="3773" spans="1:16" x14ac:dyDescent="0.25">
      <c r="A3773" t="s">
        <v>669</v>
      </c>
      <c r="B3773">
        <v>10643</v>
      </c>
      <c r="C3773">
        <v>11306</v>
      </c>
      <c r="D3773" t="s">
        <v>669</v>
      </c>
      <c r="E3773">
        <v>4</v>
      </c>
      <c r="F3773">
        <v>4</v>
      </c>
      <c r="G3773" t="s">
        <v>701</v>
      </c>
      <c r="H3773" t="s">
        <v>701</v>
      </c>
      <c r="I3773" t="s">
        <v>927</v>
      </c>
      <c r="J3773">
        <v>11306</v>
      </c>
      <c r="K3773">
        <v>10643</v>
      </c>
      <c r="L3773" t="s">
        <v>921</v>
      </c>
      <c r="M3773">
        <v>11306</v>
      </c>
      <c r="N3773">
        <v>10643</v>
      </c>
      <c r="P3773">
        <f t="shared" si="58"/>
        <v>14</v>
      </c>
    </row>
    <row r="3774" spans="1:16" x14ac:dyDescent="0.25">
      <c r="A3774" t="s">
        <v>669</v>
      </c>
      <c r="B3774">
        <v>10663</v>
      </c>
      <c r="C3774">
        <v>11078</v>
      </c>
      <c r="D3774" t="s">
        <v>866</v>
      </c>
      <c r="E3774">
        <v>4</v>
      </c>
      <c r="F3774">
        <v>4</v>
      </c>
      <c r="G3774" t="s">
        <v>701</v>
      </c>
      <c r="H3774" t="s">
        <v>701</v>
      </c>
      <c r="J3774">
        <v>11078</v>
      </c>
      <c r="K3774">
        <v>10663</v>
      </c>
      <c r="L3774" t="s">
        <v>920</v>
      </c>
      <c r="M3774">
        <v>11078</v>
      </c>
      <c r="N3774">
        <v>10663</v>
      </c>
      <c r="O3774" t="s">
        <v>920</v>
      </c>
      <c r="P3774">
        <f t="shared" si="58"/>
        <v>0</v>
      </c>
    </row>
    <row r="3775" spans="1:16" x14ac:dyDescent="0.25">
      <c r="A3775" t="s">
        <v>669</v>
      </c>
      <c r="B3775">
        <v>10670</v>
      </c>
      <c r="C3775" t="s">
        <v>669</v>
      </c>
      <c r="D3775" t="s">
        <v>865</v>
      </c>
      <c r="E3775" t="s">
        <v>910</v>
      </c>
      <c r="F3775">
        <v>4</v>
      </c>
      <c r="H3775" t="s">
        <v>701</v>
      </c>
      <c r="K3775">
        <v>10670</v>
      </c>
      <c r="L3775" t="s">
        <v>920</v>
      </c>
      <c r="N3775">
        <v>10670</v>
      </c>
      <c r="O3775" t="s">
        <v>931</v>
      </c>
      <c r="P3775">
        <f t="shared" si="58"/>
        <v>0</v>
      </c>
    </row>
    <row r="3776" spans="1:16" x14ac:dyDescent="0.25">
      <c r="A3776" t="s">
        <v>669</v>
      </c>
      <c r="B3776">
        <v>10897</v>
      </c>
      <c r="C3776">
        <v>11245</v>
      </c>
      <c r="D3776" t="s">
        <v>866</v>
      </c>
      <c r="E3776">
        <v>4</v>
      </c>
      <c r="F3776">
        <v>4</v>
      </c>
      <c r="G3776" t="s">
        <v>701</v>
      </c>
      <c r="H3776" t="s">
        <v>701</v>
      </c>
      <c r="J3776">
        <v>11245</v>
      </c>
      <c r="K3776">
        <v>10897</v>
      </c>
      <c r="L3776" t="s">
        <v>920</v>
      </c>
      <c r="M3776">
        <v>11245</v>
      </c>
      <c r="N3776">
        <v>10897</v>
      </c>
      <c r="O3776" t="s">
        <v>920</v>
      </c>
      <c r="P3776">
        <f t="shared" si="58"/>
        <v>0</v>
      </c>
    </row>
    <row r="3777" spans="1:16" x14ac:dyDescent="0.25">
      <c r="A3777" t="s">
        <v>669</v>
      </c>
      <c r="B3777">
        <v>10900</v>
      </c>
      <c r="C3777" t="s">
        <v>669</v>
      </c>
      <c r="D3777" t="s">
        <v>865</v>
      </c>
      <c r="E3777" t="s">
        <v>910</v>
      </c>
      <c r="F3777">
        <v>4</v>
      </c>
      <c r="H3777" t="s">
        <v>701</v>
      </c>
      <c r="K3777">
        <v>10900</v>
      </c>
      <c r="L3777" t="s">
        <v>920</v>
      </c>
      <c r="N3777">
        <v>10900</v>
      </c>
      <c r="O3777" t="s">
        <v>931</v>
      </c>
      <c r="P3777">
        <f t="shared" si="58"/>
        <v>0</v>
      </c>
    </row>
    <row r="3778" spans="1:16" x14ac:dyDescent="0.25">
      <c r="A3778" t="s">
        <v>669</v>
      </c>
      <c r="B3778">
        <v>10903</v>
      </c>
      <c r="C3778" t="s">
        <v>669</v>
      </c>
      <c r="D3778" t="s">
        <v>865</v>
      </c>
      <c r="E3778" t="s">
        <v>910</v>
      </c>
      <c r="F3778">
        <v>4</v>
      </c>
      <c r="H3778" t="s">
        <v>701</v>
      </c>
      <c r="K3778">
        <v>10903</v>
      </c>
      <c r="L3778" t="s">
        <v>920</v>
      </c>
      <c r="N3778">
        <v>10903</v>
      </c>
      <c r="O3778" t="s">
        <v>931</v>
      </c>
      <c r="P3778">
        <f t="shared" si="58"/>
        <v>0</v>
      </c>
    </row>
    <row r="3779" spans="1:16" x14ac:dyDescent="0.25">
      <c r="A3779" t="s">
        <v>669</v>
      </c>
      <c r="B3779">
        <v>10919</v>
      </c>
      <c r="C3779" t="s">
        <v>669</v>
      </c>
      <c r="D3779" t="s">
        <v>865</v>
      </c>
      <c r="E3779" t="s">
        <v>910</v>
      </c>
      <c r="F3779">
        <v>4</v>
      </c>
      <c r="H3779" t="s">
        <v>701</v>
      </c>
      <c r="K3779">
        <v>10919</v>
      </c>
      <c r="L3779" t="s">
        <v>920</v>
      </c>
      <c r="N3779">
        <v>10919</v>
      </c>
      <c r="O3779" t="s">
        <v>931</v>
      </c>
      <c r="P3779">
        <f t="shared" ref="P3779:P3842" si="59">LEN(I3779)</f>
        <v>0</v>
      </c>
    </row>
    <row r="3780" spans="1:16" x14ac:dyDescent="0.25">
      <c r="A3780" t="s">
        <v>669</v>
      </c>
      <c r="B3780">
        <v>10920</v>
      </c>
      <c r="C3780" t="s">
        <v>669</v>
      </c>
      <c r="D3780" t="s">
        <v>865</v>
      </c>
      <c r="E3780" t="s">
        <v>910</v>
      </c>
      <c r="F3780">
        <v>4</v>
      </c>
      <c r="H3780" t="s">
        <v>701</v>
      </c>
      <c r="K3780">
        <v>10920</v>
      </c>
      <c r="L3780" t="s">
        <v>920</v>
      </c>
      <c r="N3780">
        <v>10920</v>
      </c>
      <c r="O3780" t="s">
        <v>931</v>
      </c>
      <c r="P3780">
        <f t="shared" si="59"/>
        <v>0</v>
      </c>
    </row>
    <row r="3781" spans="1:16" x14ac:dyDescent="0.25">
      <c r="A3781" t="s">
        <v>669</v>
      </c>
      <c r="B3781">
        <v>11</v>
      </c>
      <c r="C3781" t="s">
        <v>669</v>
      </c>
      <c r="D3781" t="s">
        <v>864</v>
      </c>
      <c r="E3781" t="s">
        <v>910</v>
      </c>
      <c r="F3781">
        <v>4</v>
      </c>
      <c r="H3781" t="s">
        <v>701</v>
      </c>
      <c r="K3781">
        <v>11000</v>
      </c>
      <c r="L3781" t="s">
        <v>931</v>
      </c>
      <c r="N3781">
        <v>11</v>
      </c>
      <c r="O3781" t="s">
        <v>862</v>
      </c>
      <c r="P3781">
        <f t="shared" si="59"/>
        <v>0</v>
      </c>
    </row>
    <row r="3782" spans="1:16" x14ac:dyDescent="0.25">
      <c r="A3782" t="s">
        <v>669</v>
      </c>
      <c r="B3782">
        <v>11</v>
      </c>
      <c r="C3782" t="s">
        <v>669</v>
      </c>
      <c r="D3782" t="s">
        <v>862</v>
      </c>
      <c r="E3782" t="s">
        <v>910</v>
      </c>
      <c r="F3782">
        <v>4</v>
      </c>
      <c r="H3782" t="s">
        <v>701</v>
      </c>
      <c r="K3782">
        <v>11000</v>
      </c>
      <c r="L3782" t="s">
        <v>931</v>
      </c>
      <c r="N3782">
        <v>11</v>
      </c>
      <c r="O3782" t="s">
        <v>862</v>
      </c>
      <c r="P3782">
        <f t="shared" si="59"/>
        <v>0</v>
      </c>
    </row>
    <row r="3783" spans="1:16" x14ac:dyDescent="0.25">
      <c r="A3783" t="s">
        <v>669</v>
      </c>
      <c r="B3783">
        <v>11008</v>
      </c>
      <c r="C3783" t="s">
        <v>669</v>
      </c>
      <c r="D3783" t="s">
        <v>865</v>
      </c>
      <c r="E3783" t="s">
        <v>910</v>
      </c>
      <c r="F3783">
        <v>4</v>
      </c>
      <c r="H3783" t="s">
        <v>701</v>
      </c>
      <c r="K3783">
        <v>11008</v>
      </c>
      <c r="L3783" t="s">
        <v>920</v>
      </c>
      <c r="N3783">
        <v>11008</v>
      </c>
      <c r="O3783" t="s">
        <v>931</v>
      </c>
      <c r="P3783">
        <f t="shared" si="59"/>
        <v>0</v>
      </c>
    </row>
    <row r="3784" spans="1:16" x14ac:dyDescent="0.25">
      <c r="A3784" t="s">
        <v>669</v>
      </c>
      <c r="B3784">
        <v>11057</v>
      </c>
      <c r="C3784" t="s">
        <v>669</v>
      </c>
      <c r="D3784" t="s">
        <v>865</v>
      </c>
      <c r="E3784" t="s">
        <v>910</v>
      </c>
      <c r="F3784">
        <v>4</v>
      </c>
      <c r="H3784" t="s">
        <v>701</v>
      </c>
      <c r="K3784">
        <v>11057</v>
      </c>
      <c r="L3784" t="s">
        <v>920</v>
      </c>
      <c r="N3784">
        <v>11057</v>
      </c>
      <c r="O3784" t="s">
        <v>931</v>
      </c>
      <c r="P3784">
        <f t="shared" si="59"/>
        <v>0</v>
      </c>
    </row>
    <row r="3785" spans="1:16" x14ac:dyDescent="0.25">
      <c r="A3785" t="s">
        <v>669</v>
      </c>
      <c r="B3785">
        <v>11483</v>
      </c>
      <c r="C3785" t="s">
        <v>669</v>
      </c>
      <c r="D3785" t="s">
        <v>865</v>
      </c>
      <c r="E3785" t="s">
        <v>910</v>
      </c>
      <c r="F3785">
        <v>4</v>
      </c>
      <c r="H3785" t="s">
        <v>701</v>
      </c>
      <c r="K3785">
        <v>11483</v>
      </c>
      <c r="L3785" t="s">
        <v>920</v>
      </c>
      <c r="N3785">
        <v>11483</v>
      </c>
      <c r="O3785" t="s">
        <v>931</v>
      </c>
      <c r="P3785">
        <f t="shared" si="59"/>
        <v>0</v>
      </c>
    </row>
    <row r="3786" spans="1:16" x14ac:dyDescent="0.25">
      <c r="A3786" t="s">
        <v>669</v>
      </c>
      <c r="B3786">
        <v>11649</v>
      </c>
      <c r="C3786" t="s">
        <v>669</v>
      </c>
      <c r="D3786" t="s">
        <v>865</v>
      </c>
      <c r="E3786" t="s">
        <v>910</v>
      </c>
      <c r="F3786">
        <v>4</v>
      </c>
      <c r="H3786" t="s">
        <v>701</v>
      </c>
      <c r="K3786">
        <v>11649</v>
      </c>
      <c r="L3786" t="s">
        <v>920</v>
      </c>
      <c r="N3786">
        <v>11649</v>
      </c>
      <c r="O3786" t="s">
        <v>931</v>
      </c>
      <c r="P3786">
        <f t="shared" si="59"/>
        <v>0</v>
      </c>
    </row>
    <row r="3787" spans="1:16" x14ac:dyDescent="0.25">
      <c r="A3787" t="s">
        <v>669</v>
      </c>
      <c r="B3787">
        <v>11725</v>
      </c>
      <c r="C3787" t="s">
        <v>669</v>
      </c>
      <c r="D3787" t="s">
        <v>865</v>
      </c>
      <c r="E3787" t="s">
        <v>910</v>
      </c>
      <c r="F3787">
        <v>4</v>
      </c>
      <c r="H3787" t="s">
        <v>701</v>
      </c>
      <c r="K3787">
        <v>11725</v>
      </c>
      <c r="L3787" t="s">
        <v>920</v>
      </c>
      <c r="N3787">
        <v>11725</v>
      </c>
      <c r="O3787" t="s">
        <v>931</v>
      </c>
      <c r="P3787">
        <f t="shared" si="59"/>
        <v>0</v>
      </c>
    </row>
    <row r="3788" spans="1:16" x14ac:dyDescent="0.25">
      <c r="A3788" t="s">
        <v>669</v>
      </c>
      <c r="B3788">
        <v>11746</v>
      </c>
      <c r="C3788" t="s">
        <v>669</v>
      </c>
      <c r="D3788" t="s">
        <v>865</v>
      </c>
      <c r="E3788" t="s">
        <v>910</v>
      </c>
      <c r="F3788">
        <v>4</v>
      </c>
      <c r="H3788" t="s">
        <v>701</v>
      </c>
      <c r="K3788">
        <v>11746</v>
      </c>
      <c r="L3788" t="s">
        <v>920</v>
      </c>
      <c r="N3788">
        <v>11746</v>
      </c>
      <c r="O3788" t="s">
        <v>931</v>
      </c>
      <c r="P3788">
        <f t="shared" si="59"/>
        <v>0</v>
      </c>
    </row>
    <row r="3789" spans="1:16" x14ac:dyDescent="0.25">
      <c r="A3789" t="s">
        <v>669</v>
      </c>
      <c r="B3789">
        <v>11757</v>
      </c>
      <c r="C3789" t="s">
        <v>669</v>
      </c>
      <c r="D3789" t="s">
        <v>865</v>
      </c>
      <c r="E3789" t="s">
        <v>910</v>
      </c>
      <c r="F3789">
        <v>4</v>
      </c>
      <c r="H3789" t="s">
        <v>701</v>
      </c>
      <c r="K3789">
        <v>11757</v>
      </c>
      <c r="L3789" t="s">
        <v>920</v>
      </c>
      <c r="N3789">
        <v>11757</v>
      </c>
      <c r="O3789" t="s">
        <v>931</v>
      </c>
      <c r="P3789">
        <f t="shared" si="59"/>
        <v>0</v>
      </c>
    </row>
    <row r="3790" spans="1:16" x14ac:dyDescent="0.25">
      <c r="A3790" t="s">
        <v>213</v>
      </c>
      <c r="B3790" t="s">
        <v>669</v>
      </c>
      <c r="C3790">
        <v>0</v>
      </c>
      <c r="D3790" t="s">
        <v>857</v>
      </c>
      <c r="E3790">
        <v>5</v>
      </c>
      <c r="F3790" t="s">
        <v>910</v>
      </c>
      <c r="G3790" t="s">
        <v>684</v>
      </c>
      <c r="J3790">
        <v>0</v>
      </c>
      <c r="L3790" t="s">
        <v>921</v>
      </c>
      <c r="M3790">
        <v>0</v>
      </c>
      <c r="O3790" t="s">
        <v>921</v>
      </c>
      <c r="P3790">
        <f t="shared" si="59"/>
        <v>0</v>
      </c>
    </row>
    <row r="3791" spans="1:16" x14ac:dyDescent="0.25">
      <c r="A3791" t="s">
        <v>213</v>
      </c>
      <c r="B3791" t="s">
        <v>669</v>
      </c>
      <c r="C3791">
        <v>2</v>
      </c>
      <c r="D3791" t="s">
        <v>857</v>
      </c>
      <c r="E3791">
        <v>5</v>
      </c>
      <c r="F3791" t="s">
        <v>910</v>
      </c>
      <c r="G3791" t="s">
        <v>684</v>
      </c>
      <c r="J3791">
        <v>2</v>
      </c>
      <c r="L3791" t="s">
        <v>921</v>
      </c>
      <c r="M3791">
        <v>2</v>
      </c>
      <c r="O3791" t="s">
        <v>921</v>
      </c>
      <c r="P3791">
        <f t="shared" si="59"/>
        <v>0</v>
      </c>
    </row>
    <row r="3792" spans="1:16" x14ac:dyDescent="0.25">
      <c r="A3792" t="s">
        <v>213</v>
      </c>
      <c r="B3792" t="s">
        <v>669</v>
      </c>
      <c r="C3792">
        <v>10</v>
      </c>
      <c r="D3792" t="s">
        <v>857</v>
      </c>
      <c r="E3792">
        <v>5</v>
      </c>
      <c r="F3792" t="s">
        <v>910</v>
      </c>
      <c r="G3792" t="s">
        <v>684</v>
      </c>
      <c r="J3792">
        <v>10</v>
      </c>
      <c r="L3792" t="s">
        <v>921</v>
      </c>
      <c r="M3792">
        <v>10</v>
      </c>
      <c r="O3792" t="s">
        <v>921</v>
      </c>
      <c r="P3792">
        <f t="shared" si="59"/>
        <v>0</v>
      </c>
    </row>
    <row r="3793" spans="1:16" x14ac:dyDescent="0.25">
      <c r="A3793" t="s">
        <v>213</v>
      </c>
      <c r="B3793" t="s">
        <v>669</v>
      </c>
      <c r="C3793">
        <v>20</v>
      </c>
      <c r="D3793" t="s">
        <v>857</v>
      </c>
      <c r="E3793">
        <v>5</v>
      </c>
      <c r="F3793" t="s">
        <v>910</v>
      </c>
      <c r="G3793" t="s">
        <v>684</v>
      </c>
      <c r="J3793">
        <v>20</v>
      </c>
      <c r="L3793" t="s">
        <v>921</v>
      </c>
      <c r="M3793">
        <v>20</v>
      </c>
      <c r="O3793" t="s">
        <v>921</v>
      </c>
      <c r="P3793">
        <f t="shared" si="59"/>
        <v>0</v>
      </c>
    </row>
    <row r="3794" spans="1:16" x14ac:dyDescent="0.25">
      <c r="A3794" t="s">
        <v>213</v>
      </c>
      <c r="B3794" t="s">
        <v>669</v>
      </c>
      <c r="C3794">
        <v>30</v>
      </c>
      <c r="D3794" t="s">
        <v>857</v>
      </c>
      <c r="E3794">
        <v>5</v>
      </c>
      <c r="F3794" t="s">
        <v>910</v>
      </c>
      <c r="G3794" t="s">
        <v>684</v>
      </c>
      <c r="J3794">
        <v>30</v>
      </c>
      <c r="L3794" t="s">
        <v>921</v>
      </c>
      <c r="M3794">
        <v>30</v>
      </c>
      <c r="O3794" t="s">
        <v>921</v>
      </c>
      <c r="P3794">
        <f t="shared" si="59"/>
        <v>0</v>
      </c>
    </row>
    <row r="3795" spans="1:16" x14ac:dyDescent="0.25">
      <c r="A3795" t="s">
        <v>213</v>
      </c>
      <c r="B3795" t="s">
        <v>669</v>
      </c>
      <c r="C3795">
        <v>50</v>
      </c>
      <c r="D3795" t="s">
        <v>857</v>
      </c>
      <c r="E3795">
        <v>5</v>
      </c>
      <c r="F3795" t="s">
        <v>910</v>
      </c>
      <c r="G3795" t="s">
        <v>684</v>
      </c>
      <c r="J3795">
        <v>50</v>
      </c>
      <c r="L3795" t="s">
        <v>921</v>
      </c>
      <c r="M3795">
        <v>50</v>
      </c>
      <c r="O3795" t="s">
        <v>921</v>
      </c>
      <c r="P3795">
        <f t="shared" si="59"/>
        <v>0</v>
      </c>
    </row>
    <row r="3796" spans="1:16" x14ac:dyDescent="0.25">
      <c r="A3796" t="s">
        <v>213</v>
      </c>
      <c r="B3796" t="s">
        <v>669</v>
      </c>
      <c r="C3796">
        <v>100</v>
      </c>
      <c r="D3796" t="s">
        <v>857</v>
      </c>
      <c r="E3796">
        <v>5</v>
      </c>
      <c r="F3796" t="s">
        <v>910</v>
      </c>
      <c r="G3796" t="s">
        <v>684</v>
      </c>
      <c r="J3796">
        <v>100</v>
      </c>
      <c r="L3796" t="s">
        <v>921</v>
      </c>
      <c r="M3796">
        <v>100</v>
      </c>
      <c r="O3796" t="s">
        <v>921</v>
      </c>
      <c r="P3796">
        <f t="shared" si="59"/>
        <v>0</v>
      </c>
    </row>
    <row r="3797" spans="1:16" x14ac:dyDescent="0.25">
      <c r="A3797" t="s">
        <v>213</v>
      </c>
      <c r="B3797" t="s">
        <v>669</v>
      </c>
      <c r="C3797">
        <v>130</v>
      </c>
      <c r="D3797" t="s">
        <v>857</v>
      </c>
      <c r="E3797">
        <v>5</v>
      </c>
      <c r="F3797" t="s">
        <v>910</v>
      </c>
      <c r="G3797" t="s">
        <v>684</v>
      </c>
      <c r="J3797">
        <v>130</v>
      </c>
      <c r="L3797" t="s">
        <v>921</v>
      </c>
      <c r="M3797">
        <v>130</v>
      </c>
      <c r="O3797" t="s">
        <v>921</v>
      </c>
      <c r="P3797">
        <f t="shared" si="59"/>
        <v>0</v>
      </c>
    </row>
    <row r="3798" spans="1:16" x14ac:dyDescent="0.25">
      <c r="A3798" t="s">
        <v>213</v>
      </c>
      <c r="B3798" t="s">
        <v>669</v>
      </c>
      <c r="C3798">
        <v>150</v>
      </c>
      <c r="D3798" t="s">
        <v>857</v>
      </c>
      <c r="E3798">
        <v>5</v>
      </c>
      <c r="F3798" t="s">
        <v>910</v>
      </c>
      <c r="G3798" t="s">
        <v>684</v>
      </c>
      <c r="J3798">
        <v>150</v>
      </c>
      <c r="L3798" t="s">
        <v>921</v>
      </c>
      <c r="M3798">
        <v>150</v>
      </c>
      <c r="O3798" t="s">
        <v>921</v>
      </c>
      <c r="P3798">
        <f t="shared" si="59"/>
        <v>0</v>
      </c>
    </row>
    <row r="3799" spans="1:16" x14ac:dyDescent="0.25">
      <c r="A3799" t="s">
        <v>213</v>
      </c>
      <c r="B3799" t="s">
        <v>669</v>
      </c>
      <c r="C3799">
        <v>200</v>
      </c>
      <c r="D3799" t="s">
        <v>857</v>
      </c>
      <c r="E3799">
        <v>5</v>
      </c>
      <c r="F3799" t="s">
        <v>910</v>
      </c>
      <c r="G3799" t="s">
        <v>684</v>
      </c>
      <c r="J3799">
        <v>200</v>
      </c>
      <c r="L3799" t="s">
        <v>921</v>
      </c>
      <c r="M3799">
        <v>200</v>
      </c>
      <c r="O3799" t="s">
        <v>921</v>
      </c>
      <c r="P3799">
        <f t="shared" si="59"/>
        <v>0</v>
      </c>
    </row>
    <row r="3800" spans="1:16" x14ac:dyDescent="0.25">
      <c r="A3800" t="s">
        <v>214</v>
      </c>
      <c r="B3800" t="s">
        <v>669</v>
      </c>
      <c r="C3800">
        <v>200</v>
      </c>
      <c r="D3800" t="s">
        <v>857</v>
      </c>
      <c r="E3800">
        <v>5</v>
      </c>
      <c r="F3800" t="s">
        <v>910</v>
      </c>
      <c r="G3800" t="s">
        <v>684</v>
      </c>
      <c r="J3800">
        <v>200</v>
      </c>
      <c r="L3800" t="s">
        <v>921</v>
      </c>
      <c r="M3800">
        <v>200</v>
      </c>
      <c r="O3800" t="s">
        <v>921</v>
      </c>
      <c r="P3800">
        <f t="shared" si="59"/>
        <v>0</v>
      </c>
    </row>
    <row r="3801" spans="1:16" x14ac:dyDescent="0.25">
      <c r="A3801" t="s">
        <v>213</v>
      </c>
      <c r="B3801" t="s">
        <v>669</v>
      </c>
      <c r="C3801">
        <v>250</v>
      </c>
      <c r="D3801" t="s">
        <v>857</v>
      </c>
      <c r="E3801">
        <v>5</v>
      </c>
      <c r="F3801" t="s">
        <v>910</v>
      </c>
      <c r="G3801" t="s">
        <v>684</v>
      </c>
      <c r="J3801">
        <v>250</v>
      </c>
      <c r="L3801" t="s">
        <v>921</v>
      </c>
      <c r="M3801">
        <v>250</v>
      </c>
      <c r="O3801" t="s">
        <v>921</v>
      </c>
      <c r="P3801">
        <f t="shared" si="59"/>
        <v>0</v>
      </c>
    </row>
    <row r="3802" spans="1:16" x14ac:dyDescent="0.25">
      <c r="A3802" t="s">
        <v>669</v>
      </c>
      <c r="B3802" t="s">
        <v>669</v>
      </c>
      <c r="C3802">
        <v>287</v>
      </c>
      <c r="D3802" t="s">
        <v>861</v>
      </c>
      <c r="E3802">
        <v>5</v>
      </c>
      <c r="F3802" t="s">
        <v>910</v>
      </c>
      <c r="G3802" t="s">
        <v>684</v>
      </c>
      <c r="J3802">
        <v>287</v>
      </c>
      <c r="L3802" t="s">
        <v>920</v>
      </c>
      <c r="M3802">
        <v>287</v>
      </c>
      <c r="O3802" t="s">
        <v>920</v>
      </c>
      <c r="P3802">
        <f t="shared" si="59"/>
        <v>0</v>
      </c>
    </row>
    <row r="3803" spans="1:16" x14ac:dyDescent="0.25">
      <c r="A3803" t="s">
        <v>669</v>
      </c>
      <c r="B3803" t="s">
        <v>669</v>
      </c>
      <c r="C3803">
        <v>295</v>
      </c>
      <c r="D3803" t="s">
        <v>861</v>
      </c>
      <c r="E3803">
        <v>5</v>
      </c>
      <c r="F3803" t="s">
        <v>910</v>
      </c>
      <c r="G3803" t="s">
        <v>684</v>
      </c>
      <c r="J3803">
        <v>295</v>
      </c>
      <c r="L3803" t="s">
        <v>920</v>
      </c>
      <c r="M3803">
        <v>295</v>
      </c>
      <c r="O3803" t="s">
        <v>920</v>
      </c>
      <c r="P3803">
        <f t="shared" si="59"/>
        <v>0</v>
      </c>
    </row>
    <row r="3804" spans="1:16" x14ac:dyDescent="0.25">
      <c r="A3804" t="s">
        <v>213</v>
      </c>
      <c r="B3804" t="s">
        <v>669</v>
      </c>
      <c r="C3804">
        <v>300</v>
      </c>
      <c r="D3804" t="s">
        <v>857</v>
      </c>
      <c r="E3804">
        <v>5</v>
      </c>
      <c r="F3804" t="s">
        <v>910</v>
      </c>
      <c r="G3804" t="s">
        <v>684</v>
      </c>
      <c r="J3804">
        <v>300</v>
      </c>
      <c r="L3804" t="s">
        <v>921</v>
      </c>
      <c r="M3804">
        <v>300</v>
      </c>
      <c r="O3804" t="s">
        <v>921</v>
      </c>
      <c r="P3804">
        <f t="shared" si="59"/>
        <v>0</v>
      </c>
    </row>
    <row r="3805" spans="1:16" x14ac:dyDescent="0.25">
      <c r="A3805" t="s">
        <v>213</v>
      </c>
      <c r="B3805" t="s">
        <v>669</v>
      </c>
      <c r="C3805">
        <v>350</v>
      </c>
      <c r="D3805" t="s">
        <v>857</v>
      </c>
      <c r="E3805">
        <v>5</v>
      </c>
      <c r="F3805" t="s">
        <v>910</v>
      </c>
      <c r="G3805" t="s">
        <v>684</v>
      </c>
      <c r="J3805">
        <v>350</v>
      </c>
      <c r="L3805" t="s">
        <v>921</v>
      </c>
      <c r="M3805">
        <v>350</v>
      </c>
      <c r="O3805" t="s">
        <v>921</v>
      </c>
      <c r="P3805">
        <f t="shared" si="59"/>
        <v>0</v>
      </c>
    </row>
    <row r="3806" spans="1:16" x14ac:dyDescent="0.25">
      <c r="A3806" t="s">
        <v>213</v>
      </c>
      <c r="B3806" t="s">
        <v>669</v>
      </c>
      <c r="C3806">
        <v>500</v>
      </c>
      <c r="D3806" t="s">
        <v>857</v>
      </c>
      <c r="E3806">
        <v>5</v>
      </c>
      <c r="F3806" t="s">
        <v>910</v>
      </c>
      <c r="G3806" t="s">
        <v>684</v>
      </c>
      <c r="J3806">
        <v>500</v>
      </c>
      <c r="L3806" t="s">
        <v>921</v>
      </c>
      <c r="M3806">
        <v>500</v>
      </c>
      <c r="O3806" t="s">
        <v>921</v>
      </c>
      <c r="P3806">
        <f t="shared" si="59"/>
        <v>0</v>
      </c>
    </row>
    <row r="3807" spans="1:16" x14ac:dyDescent="0.25">
      <c r="A3807" t="s">
        <v>59</v>
      </c>
      <c r="B3807" t="s">
        <v>669</v>
      </c>
      <c r="C3807">
        <v>0.7</v>
      </c>
      <c r="D3807" t="s">
        <v>862</v>
      </c>
      <c r="E3807">
        <v>5</v>
      </c>
      <c r="F3807" t="s">
        <v>910</v>
      </c>
      <c r="G3807" t="s">
        <v>684</v>
      </c>
      <c r="J3807">
        <v>700</v>
      </c>
      <c r="L3807" t="s">
        <v>931</v>
      </c>
      <c r="M3807">
        <v>0.7</v>
      </c>
      <c r="O3807" t="s">
        <v>862</v>
      </c>
      <c r="P3807">
        <f t="shared" si="59"/>
        <v>0</v>
      </c>
    </row>
    <row r="3808" spans="1:16" x14ac:dyDescent="0.25">
      <c r="A3808" t="s">
        <v>669</v>
      </c>
      <c r="B3808" t="s">
        <v>669</v>
      </c>
      <c r="C3808">
        <v>0.7</v>
      </c>
      <c r="D3808" t="s">
        <v>862</v>
      </c>
      <c r="E3808">
        <v>5</v>
      </c>
      <c r="F3808" t="s">
        <v>910</v>
      </c>
      <c r="G3808" t="s">
        <v>684</v>
      </c>
      <c r="J3808">
        <v>700</v>
      </c>
      <c r="L3808" t="s">
        <v>931</v>
      </c>
      <c r="M3808">
        <v>0.7</v>
      </c>
      <c r="O3808" t="s">
        <v>862</v>
      </c>
      <c r="P3808">
        <f t="shared" si="59"/>
        <v>0</v>
      </c>
    </row>
    <row r="3809" spans="1:16" x14ac:dyDescent="0.25">
      <c r="A3809" t="s">
        <v>213</v>
      </c>
      <c r="B3809" t="s">
        <v>669</v>
      </c>
      <c r="C3809">
        <v>750</v>
      </c>
      <c r="D3809" t="s">
        <v>857</v>
      </c>
      <c r="E3809">
        <v>5</v>
      </c>
      <c r="F3809" t="s">
        <v>910</v>
      </c>
      <c r="G3809" t="s">
        <v>684</v>
      </c>
      <c r="J3809">
        <v>750</v>
      </c>
      <c r="L3809" t="s">
        <v>921</v>
      </c>
      <c r="M3809">
        <v>750</v>
      </c>
      <c r="O3809" t="s">
        <v>921</v>
      </c>
      <c r="P3809">
        <f t="shared" si="59"/>
        <v>0</v>
      </c>
    </row>
    <row r="3810" spans="1:16" x14ac:dyDescent="0.25">
      <c r="A3810" t="s">
        <v>213</v>
      </c>
      <c r="B3810" t="s">
        <v>669</v>
      </c>
      <c r="C3810">
        <v>800</v>
      </c>
      <c r="D3810" t="s">
        <v>857</v>
      </c>
      <c r="E3810">
        <v>5</v>
      </c>
      <c r="F3810" t="s">
        <v>910</v>
      </c>
      <c r="G3810" t="s">
        <v>684</v>
      </c>
      <c r="J3810">
        <v>800</v>
      </c>
      <c r="L3810" t="s">
        <v>921</v>
      </c>
      <c r="M3810">
        <v>800</v>
      </c>
      <c r="O3810" t="s">
        <v>921</v>
      </c>
      <c r="P3810">
        <f t="shared" si="59"/>
        <v>0</v>
      </c>
    </row>
    <row r="3811" spans="1:16" x14ac:dyDescent="0.25">
      <c r="A3811" t="s">
        <v>213</v>
      </c>
      <c r="B3811" t="s">
        <v>669</v>
      </c>
      <c r="C3811">
        <v>1000</v>
      </c>
      <c r="D3811" t="s">
        <v>857</v>
      </c>
      <c r="E3811">
        <v>5</v>
      </c>
      <c r="F3811" t="s">
        <v>910</v>
      </c>
      <c r="G3811" t="s">
        <v>684</v>
      </c>
      <c r="J3811">
        <v>1000</v>
      </c>
      <c r="L3811" t="s">
        <v>921</v>
      </c>
      <c r="M3811">
        <v>1000</v>
      </c>
      <c r="O3811" t="s">
        <v>921</v>
      </c>
      <c r="P3811">
        <f t="shared" si="59"/>
        <v>0</v>
      </c>
    </row>
    <row r="3812" spans="1:16" x14ac:dyDescent="0.25">
      <c r="A3812" t="s">
        <v>669</v>
      </c>
      <c r="B3812" t="s">
        <v>669</v>
      </c>
      <c r="C3812">
        <v>1000</v>
      </c>
      <c r="D3812" t="s">
        <v>857</v>
      </c>
      <c r="E3812">
        <v>5</v>
      </c>
      <c r="F3812" t="s">
        <v>910</v>
      </c>
      <c r="G3812" t="s">
        <v>684</v>
      </c>
      <c r="J3812">
        <v>1000</v>
      </c>
      <c r="L3812" t="s">
        <v>921</v>
      </c>
      <c r="M3812">
        <v>1000</v>
      </c>
      <c r="O3812" t="s">
        <v>921</v>
      </c>
      <c r="P3812">
        <f t="shared" si="59"/>
        <v>0</v>
      </c>
    </row>
    <row r="3813" spans="1:16" x14ac:dyDescent="0.25">
      <c r="A3813" t="s">
        <v>213</v>
      </c>
      <c r="B3813" t="s">
        <v>669</v>
      </c>
      <c r="C3813">
        <v>1100</v>
      </c>
      <c r="D3813" t="s">
        <v>857</v>
      </c>
      <c r="E3813">
        <v>5</v>
      </c>
      <c r="F3813" t="s">
        <v>910</v>
      </c>
      <c r="G3813" t="s">
        <v>684</v>
      </c>
      <c r="J3813">
        <v>1100</v>
      </c>
      <c r="L3813" t="s">
        <v>921</v>
      </c>
      <c r="M3813">
        <v>1100</v>
      </c>
      <c r="O3813" t="s">
        <v>921</v>
      </c>
      <c r="P3813">
        <f t="shared" si="59"/>
        <v>0</v>
      </c>
    </row>
    <row r="3814" spans="1:16" x14ac:dyDescent="0.25">
      <c r="A3814" t="s">
        <v>213</v>
      </c>
      <c r="B3814" t="s">
        <v>669</v>
      </c>
      <c r="C3814">
        <v>1400</v>
      </c>
      <c r="D3814" t="s">
        <v>857</v>
      </c>
      <c r="E3814">
        <v>5</v>
      </c>
      <c r="F3814" t="s">
        <v>910</v>
      </c>
      <c r="G3814" t="s">
        <v>684</v>
      </c>
      <c r="J3814">
        <v>1400</v>
      </c>
      <c r="L3814" t="s">
        <v>921</v>
      </c>
      <c r="M3814">
        <v>1400</v>
      </c>
      <c r="O3814" t="s">
        <v>921</v>
      </c>
      <c r="P3814">
        <f t="shared" si="59"/>
        <v>0</v>
      </c>
    </row>
    <row r="3815" spans="1:16" x14ac:dyDescent="0.25">
      <c r="A3815" t="s">
        <v>213</v>
      </c>
      <c r="B3815" t="s">
        <v>669</v>
      </c>
      <c r="C3815">
        <v>1500</v>
      </c>
      <c r="D3815" t="s">
        <v>857</v>
      </c>
      <c r="E3815">
        <v>5</v>
      </c>
      <c r="F3815" t="s">
        <v>910</v>
      </c>
      <c r="G3815" t="s">
        <v>684</v>
      </c>
      <c r="J3815">
        <v>1500</v>
      </c>
      <c r="L3815" t="s">
        <v>921</v>
      </c>
      <c r="M3815">
        <v>1500</v>
      </c>
      <c r="O3815" t="s">
        <v>921</v>
      </c>
      <c r="P3815">
        <f t="shared" si="59"/>
        <v>0</v>
      </c>
    </row>
    <row r="3816" spans="1:16" x14ac:dyDescent="0.25">
      <c r="A3816" t="s">
        <v>59</v>
      </c>
      <c r="B3816" t="s">
        <v>669</v>
      </c>
      <c r="C3816">
        <v>2</v>
      </c>
      <c r="D3816" t="s">
        <v>862</v>
      </c>
      <c r="E3816">
        <v>5</v>
      </c>
      <c r="F3816" t="s">
        <v>910</v>
      </c>
      <c r="G3816" t="s">
        <v>684</v>
      </c>
      <c r="J3816">
        <v>2000</v>
      </c>
      <c r="L3816" t="s">
        <v>931</v>
      </c>
      <c r="M3816">
        <v>2</v>
      </c>
      <c r="O3816" t="s">
        <v>862</v>
      </c>
      <c r="P3816">
        <f t="shared" si="59"/>
        <v>0</v>
      </c>
    </row>
    <row r="3817" spans="1:16" x14ac:dyDescent="0.25">
      <c r="A3817" t="s">
        <v>669</v>
      </c>
      <c r="B3817" t="s">
        <v>669</v>
      </c>
      <c r="C3817">
        <v>2</v>
      </c>
      <c r="D3817" t="s">
        <v>862</v>
      </c>
      <c r="E3817">
        <v>5</v>
      </c>
      <c r="F3817" t="s">
        <v>910</v>
      </c>
      <c r="G3817" t="s">
        <v>684</v>
      </c>
      <c r="J3817">
        <v>2000</v>
      </c>
      <c r="L3817" t="s">
        <v>931</v>
      </c>
      <c r="M3817">
        <v>2</v>
      </c>
      <c r="O3817" t="s">
        <v>862</v>
      </c>
      <c r="P3817">
        <f t="shared" si="59"/>
        <v>0</v>
      </c>
    </row>
    <row r="3818" spans="1:16" x14ac:dyDescent="0.25">
      <c r="A3818" t="s">
        <v>213</v>
      </c>
      <c r="B3818" t="s">
        <v>669</v>
      </c>
      <c r="C3818">
        <v>2000</v>
      </c>
      <c r="D3818" t="s">
        <v>857</v>
      </c>
      <c r="E3818">
        <v>5</v>
      </c>
      <c r="F3818" t="s">
        <v>910</v>
      </c>
      <c r="G3818" t="s">
        <v>684</v>
      </c>
      <c r="J3818">
        <v>2000</v>
      </c>
      <c r="L3818" t="s">
        <v>921</v>
      </c>
      <c r="M3818">
        <v>2000</v>
      </c>
      <c r="O3818" t="s">
        <v>921</v>
      </c>
      <c r="P3818">
        <f t="shared" si="59"/>
        <v>0</v>
      </c>
    </row>
    <row r="3819" spans="1:16" x14ac:dyDescent="0.25">
      <c r="A3819" t="s">
        <v>213</v>
      </c>
      <c r="B3819" t="s">
        <v>669</v>
      </c>
      <c r="C3819">
        <v>2500</v>
      </c>
      <c r="D3819" t="s">
        <v>857</v>
      </c>
      <c r="E3819">
        <v>5</v>
      </c>
      <c r="F3819" t="s">
        <v>910</v>
      </c>
      <c r="G3819" t="s">
        <v>684</v>
      </c>
      <c r="J3819">
        <v>2500</v>
      </c>
      <c r="L3819" t="s">
        <v>921</v>
      </c>
      <c r="M3819">
        <v>2500</v>
      </c>
      <c r="O3819" t="s">
        <v>921</v>
      </c>
      <c r="P3819">
        <f t="shared" si="59"/>
        <v>0</v>
      </c>
    </row>
    <row r="3820" spans="1:16" x14ac:dyDescent="0.25">
      <c r="A3820" t="s">
        <v>213</v>
      </c>
      <c r="B3820" t="s">
        <v>669</v>
      </c>
      <c r="C3820">
        <v>2750</v>
      </c>
      <c r="D3820" t="s">
        <v>857</v>
      </c>
      <c r="E3820">
        <v>5</v>
      </c>
      <c r="F3820" t="s">
        <v>910</v>
      </c>
      <c r="G3820" t="s">
        <v>684</v>
      </c>
      <c r="J3820">
        <v>2750</v>
      </c>
      <c r="L3820" t="s">
        <v>921</v>
      </c>
      <c r="M3820">
        <v>2750</v>
      </c>
      <c r="O3820" t="s">
        <v>921</v>
      </c>
      <c r="P3820">
        <f t="shared" si="59"/>
        <v>0</v>
      </c>
    </row>
    <row r="3821" spans="1:16" x14ac:dyDescent="0.25">
      <c r="A3821" t="s">
        <v>59</v>
      </c>
      <c r="B3821" t="s">
        <v>669</v>
      </c>
      <c r="C3821">
        <v>3</v>
      </c>
      <c r="D3821" t="s">
        <v>862</v>
      </c>
      <c r="E3821">
        <v>5</v>
      </c>
      <c r="F3821" t="s">
        <v>910</v>
      </c>
      <c r="G3821" t="s">
        <v>684</v>
      </c>
      <c r="J3821">
        <v>3000</v>
      </c>
      <c r="L3821" t="s">
        <v>931</v>
      </c>
      <c r="M3821">
        <v>3</v>
      </c>
      <c r="O3821" t="s">
        <v>862</v>
      </c>
      <c r="P3821">
        <f t="shared" si="59"/>
        <v>0</v>
      </c>
    </row>
    <row r="3822" spans="1:16" x14ac:dyDescent="0.25">
      <c r="A3822" t="s">
        <v>669</v>
      </c>
      <c r="B3822" t="s">
        <v>669</v>
      </c>
      <c r="C3822">
        <v>3</v>
      </c>
      <c r="D3822" t="s">
        <v>864</v>
      </c>
      <c r="E3822">
        <v>5</v>
      </c>
      <c r="F3822" t="s">
        <v>910</v>
      </c>
      <c r="G3822" t="s">
        <v>684</v>
      </c>
      <c r="J3822">
        <v>3000</v>
      </c>
      <c r="L3822" t="s">
        <v>931</v>
      </c>
      <c r="M3822">
        <v>3</v>
      </c>
      <c r="O3822" t="s">
        <v>862</v>
      </c>
      <c r="P3822">
        <f t="shared" si="59"/>
        <v>0</v>
      </c>
    </row>
    <row r="3823" spans="1:16" x14ac:dyDescent="0.25">
      <c r="A3823" t="s">
        <v>669</v>
      </c>
      <c r="B3823" t="s">
        <v>669</v>
      </c>
      <c r="C3823">
        <v>3</v>
      </c>
      <c r="D3823" t="s">
        <v>862</v>
      </c>
      <c r="E3823">
        <v>5</v>
      </c>
      <c r="F3823" t="s">
        <v>910</v>
      </c>
      <c r="G3823" t="s">
        <v>684</v>
      </c>
      <c r="J3823">
        <v>3000</v>
      </c>
      <c r="L3823" t="s">
        <v>931</v>
      </c>
      <c r="M3823">
        <v>3</v>
      </c>
      <c r="O3823" t="s">
        <v>862</v>
      </c>
      <c r="P3823">
        <f t="shared" si="59"/>
        <v>0</v>
      </c>
    </row>
    <row r="3824" spans="1:16" x14ac:dyDescent="0.25">
      <c r="A3824" t="s">
        <v>213</v>
      </c>
      <c r="B3824" t="s">
        <v>669</v>
      </c>
      <c r="C3824">
        <v>3000</v>
      </c>
      <c r="D3824" t="s">
        <v>857</v>
      </c>
      <c r="E3824">
        <v>5</v>
      </c>
      <c r="F3824" t="s">
        <v>910</v>
      </c>
      <c r="G3824" t="s">
        <v>684</v>
      </c>
      <c r="J3824">
        <v>3000</v>
      </c>
      <c r="L3824" t="s">
        <v>921</v>
      </c>
      <c r="M3824">
        <v>3000</v>
      </c>
      <c r="O3824" t="s">
        <v>921</v>
      </c>
      <c r="P3824">
        <f t="shared" si="59"/>
        <v>0</v>
      </c>
    </row>
    <row r="3825" spans="1:16" x14ac:dyDescent="0.25">
      <c r="A3825" t="s">
        <v>213</v>
      </c>
      <c r="B3825" t="s">
        <v>669</v>
      </c>
      <c r="C3825">
        <v>3500</v>
      </c>
      <c r="D3825" t="s">
        <v>857</v>
      </c>
      <c r="E3825">
        <v>5</v>
      </c>
      <c r="F3825" t="s">
        <v>910</v>
      </c>
      <c r="G3825" t="s">
        <v>684</v>
      </c>
      <c r="J3825">
        <v>3500</v>
      </c>
      <c r="L3825" t="s">
        <v>921</v>
      </c>
      <c r="M3825">
        <v>3500</v>
      </c>
      <c r="O3825" t="s">
        <v>921</v>
      </c>
      <c r="P3825">
        <f t="shared" si="59"/>
        <v>0</v>
      </c>
    </row>
    <row r="3826" spans="1:16" x14ac:dyDescent="0.25">
      <c r="A3826" t="s">
        <v>213</v>
      </c>
      <c r="B3826" t="s">
        <v>669</v>
      </c>
      <c r="C3826">
        <v>4500</v>
      </c>
      <c r="D3826" t="s">
        <v>857</v>
      </c>
      <c r="E3826">
        <v>4</v>
      </c>
      <c r="F3826" t="s">
        <v>910</v>
      </c>
      <c r="G3826" t="s">
        <v>701</v>
      </c>
      <c r="J3826">
        <v>4500</v>
      </c>
      <c r="L3826" t="s">
        <v>921</v>
      </c>
      <c r="M3826">
        <v>4500</v>
      </c>
      <c r="O3826" t="s">
        <v>921</v>
      </c>
      <c r="P3826">
        <f t="shared" si="59"/>
        <v>0</v>
      </c>
    </row>
    <row r="3827" spans="1:16" x14ac:dyDescent="0.25">
      <c r="A3827" t="s">
        <v>213</v>
      </c>
      <c r="B3827" t="s">
        <v>669</v>
      </c>
      <c r="C3827">
        <v>5000</v>
      </c>
      <c r="D3827" t="s">
        <v>857</v>
      </c>
      <c r="E3827">
        <v>4</v>
      </c>
      <c r="F3827" t="s">
        <v>910</v>
      </c>
      <c r="G3827" t="s">
        <v>701</v>
      </c>
      <c r="J3827">
        <v>5000</v>
      </c>
      <c r="L3827" t="s">
        <v>921</v>
      </c>
      <c r="M3827">
        <v>5000</v>
      </c>
      <c r="O3827" t="s">
        <v>921</v>
      </c>
      <c r="P3827">
        <f t="shared" si="59"/>
        <v>0</v>
      </c>
    </row>
    <row r="3828" spans="1:16" x14ac:dyDescent="0.25">
      <c r="A3828" t="s">
        <v>213</v>
      </c>
      <c r="B3828" t="s">
        <v>669</v>
      </c>
      <c r="C3828">
        <v>6000</v>
      </c>
      <c r="D3828" t="s">
        <v>857</v>
      </c>
      <c r="E3828">
        <v>4</v>
      </c>
      <c r="F3828" t="s">
        <v>910</v>
      </c>
      <c r="G3828" t="s">
        <v>701</v>
      </c>
      <c r="J3828">
        <v>6000</v>
      </c>
      <c r="L3828" t="s">
        <v>921</v>
      </c>
      <c r="M3828">
        <v>6000</v>
      </c>
      <c r="O3828" t="s">
        <v>921</v>
      </c>
      <c r="P3828">
        <f t="shared" si="59"/>
        <v>0</v>
      </c>
    </row>
    <row r="3829" spans="1:16" x14ac:dyDescent="0.25">
      <c r="A3829" t="s">
        <v>213</v>
      </c>
      <c r="B3829" t="s">
        <v>669</v>
      </c>
      <c r="C3829">
        <v>7000</v>
      </c>
      <c r="D3829" t="s">
        <v>857</v>
      </c>
      <c r="E3829">
        <v>4</v>
      </c>
      <c r="F3829" t="s">
        <v>910</v>
      </c>
      <c r="G3829" t="s">
        <v>701</v>
      </c>
      <c r="J3829">
        <v>7000</v>
      </c>
      <c r="L3829" t="s">
        <v>921</v>
      </c>
      <c r="M3829">
        <v>7000</v>
      </c>
      <c r="O3829" t="s">
        <v>921</v>
      </c>
      <c r="P3829">
        <f t="shared" si="59"/>
        <v>0</v>
      </c>
    </row>
    <row r="3830" spans="1:16" x14ac:dyDescent="0.25">
      <c r="A3830" t="s">
        <v>669</v>
      </c>
      <c r="B3830" t="s">
        <v>669</v>
      </c>
      <c r="C3830">
        <v>7040</v>
      </c>
      <c r="D3830" t="s">
        <v>857</v>
      </c>
      <c r="E3830">
        <v>4</v>
      </c>
      <c r="F3830" t="s">
        <v>910</v>
      </c>
      <c r="G3830" t="s">
        <v>701</v>
      </c>
      <c r="J3830">
        <v>7040</v>
      </c>
      <c r="L3830" t="s">
        <v>921</v>
      </c>
      <c r="M3830">
        <v>7040</v>
      </c>
      <c r="O3830" t="s">
        <v>921</v>
      </c>
      <c r="P3830">
        <f t="shared" si="59"/>
        <v>0</v>
      </c>
    </row>
    <row r="3831" spans="1:16" x14ac:dyDescent="0.25">
      <c r="A3831" t="s">
        <v>213</v>
      </c>
      <c r="B3831" t="s">
        <v>669</v>
      </c>
      <c r="C3831">
        <v>8000</v>
      </c>
      <c r="D3831" t="s">
        <v>857</v>
      </c>
      <c r="E3831">
        <v>4</v>
      </c>
      <c r="F3831" t="s">
        <v>910</v>
      </c>
      <c r="G3831" t="s">
        <v>701</v>
      </c>
      <c r="J3831">
        <v>8000</v>
      </c>
      <c r="L3831" t="s">
        <v>921</v>
      </c>
      <c r="M3831">
        <v>8000</v>
      </c>
      <c r="O3831" t="s">
        <v>921</v>
      </c>
      <c r="P3831">
        <f t="shared" si="59"/>
        <v>0</v>
      </c>
    </row>
    <row r="3832" spans="1:16" x14ac:dyDescent="0.25">
      <c r="A3832" t="s">
        <v>213</v>
      </c>
      <c r="B3832" t="s">
        <v>669</v>
      </c>
      <c r="C3832">
        <v>9000</v>
      </c>
      <c r="D3832" t="s">
        <v>857</v>
      </c>
      <c r="E3832">
        <v>4</v>
      </c>
      <c r="F3832" t="s">
        <v>910</v>
      </c>
      <c r="G3832" t="s">
        <v>701</v>
      </c>
      <c r="J3832">
        <v>9000</v>
      </c>
      <c r="L3832" t="s">
        <v>921</v>
      </c>
      <c r="M3832">
        <v>9000</v>
      </c>
      <c r="O3832" t="s">
        <v>921</v>
      </c>
      <c r="P3832">
        <f t="shared" si="59"/>
        <v>0</v>
      </c>
    </row>
    <row r="3833" spans="1:16" x14ac:dyDescent="0.25">
      <c r="A3833" t="s">
        <v>59</v>
      </c>
      <c r="B3833" t="s">
        <v>669</v>
      </c>
      <c r="C3833">
        <v>10</v>
      </c>
      <c r="D3833" t="s">
        <v>862</v>
      </c>
      <c r="E3833">
        <v>4</v>
      </c>
      <c r="F3833" t="s">
        <v>910</v>
      </c>
      <c r="G3833" t="s">
        <v>701</v>
      </c>
      <c r="J3833">
        <v>10000</v>
      </c>
      <c r="L3833" t="s">
        <v>931</v>
      </c>
      <c r="M3833">
        <v>10</v>
      </c>
      <c r="O3833" t="s">
        <v>862</v>
      </c>
      <c r="P3833">
        <f t="shared" si="59"/>
        <v>0</v>
      </c>
    </row>
    <row r="3834" spans="1:16" x14ac:dyDescent="0.25">
      <c r="A3834" t="s">
        <v>669</v>
      </c>
      <c r="B3834" t="s">
        <v>669</v>
      </c>
      <c r="C3834">
        <v>10</v>
      </c>
      <c r="D3834" t="s">
        <v>864</v>
      </c>
      <c r="E3834">
        <v>4</v>
      </c>
      <c r="F3834" t="s">
        <v>910</v>
      </c>
      <c r="G3834" t="s">
        <v>701</v>
      </c>
      <c r="J3834">
        <v>10000</v>
      </c>
      <c r="L3834" t="s">
        <v>931</v>
      </c>
      <c r="M3834">
        <v>10</v>
      </c>
      <c r="O3834" t="s">
        <v>862</v>
      </c>
      <c r="P3834">
        <f t="shared" si="59"/>
        <v>0</v>
      </c>
    </row>
    <row r="3835" spans="1:16" x14ac:dyDescent="0.25">
      <c r="A3835" t="s">
        <v>213</v>
      </c>
      <c r="B3835" t="s">
        <v>669</v>
      </c>
      <c r="C3835">
        <v>10000</v>
      </c>
      <c r="D3835" t="s">
        <v>857</v>
      </c>
      <c r="E3835">
        <v>4</v>
      </c>
      <c r="F3835" t="s">
        <v>910</v>
      </c>
      <c r="G3835" t="s">
        <v>701</v>
      </c>
      <c r="J3835">
        <v>10000</v>
      </c>
      <c r="L3835" t="s">
        <v>921</v>
      </c>
      <c r="M3835">
        <v>10000</v>
      </c>
      <c r="O3835" t="s">
        <v>921</v>
      </c>
      <c r="P3835">
        <f t="shared" si="59"/>
        <v>0</v>
      </c>
    </row>
    <row r="3836" spans="1:16" x14ac:dyDescent="0.25">
      <c r="A3836" t="s">
        <v>669</v>
      </c>
      <c r="B3836" t="s">
        <v>669</v>
      </c>
      <c r="C3836">
        <v>10000</v>
      </c>
      <c r="D3836" t="s">
        <v>857</v>
      </c>
      <c r="E3836">
        <v>4</v>
      </c>
      <c r="F3836" t="s">
        <v>910</v>
      </c>
      <c r="G3836" t="s">
        <v>701</v>
      </c>
      <c r="J3836">
        <v>10000</v>
      </c>
      <c r="L3836" t="s">
        <v>921</v>
      </c>
      <c r="M3836">
        <v>10000</v>
      </c>
      <c r="O3836" t="s">
        <v>921</v>
      </c>
      <c r="P3836">
        <f t="shared" si="59"/>
        <v>0</v>
      </c>
    </row>
    <row r="3837" spans="1:16" x14ac:dyDescent="0.25">
      <c r="A3837" t="s">
        <v>213</v>
      </c>
      <c r="B3837" t="s">
        <v>669</v>
      </c>
      <c r="C3837">
        <v>11500</v>
      </c>
      <c r="D3837" t="s">
        <v>857</v>
      </c>
      <c r="E3837">
        <v>4</v>
      </c>
      <c r="F3837" t="s">
        <v>910</v>
      </c>
      <c r="G3837" t="s">
        <v>701</v>
      </c>
      <c r="J3837">
        <v>11500</v>
      </c>
      <c r="L3837" t="s">
        <v>921</v>
      </c>
      <c r="M3837">
        <v>11500</v>
      </c>
      <c r="O3837" t="s">
        <v>921</v>
      </c>
      <c r="P3837">
        <f t="shared" si="59"/>
        <v>0</v>
      </c>
    </row>
    <row r="3838" spans="1:16" x14ac:dyDescent="0.25">
      <c r="A3838" t="s">
        <v>438</v>
      </c>
      <c r="B3838">
        <v>3499</v>
      </c>
      <c r="C3838" t="s">
        <v>669</v>
      </c>
      <c r="D3838" t="s">
        <v>303</v>
      </c>
      <c r="E3838">
        <v>176</v>
      </c>
      <c r="F3838">
        <v>176</v>
      </c>
      <c r="G3838" t="s">
        <v>947</v>
      </c>
      <c r="H3838" t="s">
        <v>947</v>
      </c>
      <c r="K3838">
        <v>3499</v>
      </c>
      <c r="L3838" t="s">
        <v>303</v>
      </c>
      <c r="N3838">
        <v>3499</v>
      </c>
      <c r="O3838" t="s">
        <v>303</v>
      </c>
      <c r="P3838">
        <f t="shared" si="59"/>
        <v>0</v>
      </c>
    </row>
    <row r="3839" spans="1:16" x14ac:dyDescent="0.25">
      <c r="A3839" t="s">
        <v>438</v>
      </c>
      <c r="B3839">
        <v>3500</v>
      </c>
      <c r="C3839" t="s">
        <v>669</v>
      </c>
      <c r="D3839" t="s">
        <v>303</v>
      </c>
      <c r="E3839">
        <v>176</v>
      </c>
      <c r="F3839">
        <v>176</v>
      </c>
      <c r="G3839" t="s">
        <v>947</v>
      </c>
      <c r="H3839" t="s">
        <v>947</v>
      </c>
      <c r="K3839">
        <v>3500</v>
      </c>
      <c r="L3839" t="s">
        <v>303</v>
      </c>
      <c r="N3839">
        <v>3500</v>
      </c>
      <c r="O3839" t="s">
        <v>303</v>
      </c>
      <c r="P3839">
        <f t="shared" si="59"/>
        <v>0</v>
      </c>
    </row>
    <row r="3840" spans="1:16" x14ac:dyDescent="0.25">
      <c r="A3840" t="s">
        <v>438</v>
      </c>
      <c r="B3840">
        <v>3501</v>
      </c>
      <c r="C3840" t="s">
        <v>669</v>
      </c>
      <c r="D3840" t="s">
        <v>303</v>
      </c>
      <c r="E3840">
        <v>176</v>
      </c>
      <c r="F3840">
        <v>176</v>
      </c>
      <c r="G3840" t="s">
        <v>947</v>
      </c>
      <c r="H3840" t="s">
        <v>947</v>
      </c>
      <c r="K3840">
        <v>3501</v>
      </c>
      <c r="L3840" t="s">
        <v>303</v>
      </c>
      <c r="N3840">
        <v>3501</v>
      </c>
      <c r="O3840" t="s">
        <v>303</v>
      </c>
      <c r="P3840">
        <f t="shared" si="59"/>
        <v>0</v>
      </c>
    </row>
    <row r="3841" spans="1:16" x14ac:dyDescent="0.25">
      <c r="A3841" t="s">
        <v>438</v>
      </c>
      <c r="B3841">
        <v>3502</v>
      </c>
      <c r="C3841" t="s">
        <v>669</v>
      </c>
      <c r="D3841" t="s">
        <v>303</v>
      </c>
      <c r="E3841">
        <v>176</v>
      </c>
      <c r="F3841">
        <v>176</v>
      </c>
      <c r="G3841" t="s">
        <v>947</v>
      </c>
      <c r="H3841" t="s">
        <v>947</v>
      </c>
      <c r="K3841">
        <v>3502</v>
      </c>
      <c r="L3841" t="s">
        <v>303</v>
      </c>
      <c r="N3841">
        <v>3502</v>
      </c>
      <c r="O3841" t="s">
        <v>303</v>
      </c>
      <c r="P3841">
        <f t="shared" si="59"/>
        <v>0</v>
      </c>
    </row>
    <row r="3842" spans="1:16" x14ac:dyDescent="0.25">
      <c r="A3842" t="s">
        <v>438</v>
      </c>
      <c r="B3842">
        <v>3503</v>
      </c>
      <c r="C3842" t="s">
        <v>669</v>
      </c>
      <c r="D3842" t="s">
        <v>303</v>
      </c>
      <c r="E3842">
        <v>176</v>
      </c>
      <c r="F3842">
        <v>176</v>
      </c>
      <c r="G3842" t="s">
        <v>947</v>
      </c>
      <c r="H3842" t="s">
        <v>947</v>
      </c>
      <c r="K3842">
        <v>3503</v>
      </c>
      <c r="L3842" t="s">
        <v>303</v>
      </c>
      <c r="N3842">
        <v>3503</v>
      </c>
      <c r="O3842" t="s">
        <v>303</v>
      </c>
      <c r="P3842">
        <f t="shared" si="59"/>
        <v>0</v>
      </c>
    </row>
    <row r="3843" spans="1:16" x14ac:dyDescent="0.25">
      <c r="A3843" t="s">
        <v>438</v>
      </c>
      <c r="B3843">
        <v>3504</v>
      </c>
      <c r="C3843" t="s">
        <v>669</v>
      </c>
      <c r="D3843" t="s">
        <v>303</v>
      </c>
      <c r="E3843">
        <v>176</v>
      </c>
      <c r="F3843">
        <v>176</v>
      </c>
      <c r="G3843" t="s">
        <v>947</v>
      </c>
      <c r="H3843" t="s">
        <v>947</v>
      </c>
      <c r="K3843">
        <v>3504</v>
      </c>
      <c r="L3843" t="s">
        <v>303</v>
      </c>
      <c r="N3843">
        <v>3504</v>
      </c>
      <c r="O3843" t="s">
        <v>303</v>
      </c>
      <c r="P3843">
        <f t="shared" ref="P3843:P3906" si="60">LEN(I3843)</f>
        <v>0</v>
      </c>
    </row>
    <row r="3844" spans="1:16" x14ac:dyDescent="0.25">
      <c r="A3844" t="s">
        <v>438</v>
      </c>
      <c r="B3844">
        <v>3505</v>
      </c>
      <c r="C3844" t="s">
        <v>669</v>
      </c>
      <c r="D3844" t="s">
        <v>303</v>
      </c>
      <c r="E3844">
        <v>176</v>
      </c>
      <c r="F3844">
        <v>176</v>
      </c>
      <c r="G3844" t="s">
        <v>947</v>
      </c>
      <c r="H3844" t="s">
        <v>947</v>
      </c>
      <c r="K3844">
        <v>3505</v>
      </c>
      <c r="L3844" t="s">
        <v>303</v>
      </c>
      <c r="N3844">
        <v>3505</v>
      </c>
      <c r="O3844" t="s">
        <v>303</v>
      </c>
      <c r="P3844">
        <f t="shared" si="60"/>
        <v>0</v>
      </c>
    </row>
    <row r="3845" spans="1:16" x14ac:dyDescent="0.25">
      <c r="A3845" t="s">
        <v>438</v>
      </c>
      <c r="B3845">
        <v>3506</v>
      </c>
      <c r="C3845" t="s">
        <v>669</v>
      </c>
      <c r="D3845" t="s">
        <v>303</v>
      </c>
      <c r="E3845">
        <v>176</v>
      </c>
      <c r="F3845">
        <v>176</v>
      </c>
      <c r="G3845" t="s">
        <v>947</v>
      </c>
      <c r="H3845" t="s">
        <v>947</v>
      </c>
      <c r="K3845">
        <v>3506</v>
      </c>
      <c r="L3845" t="s">
        <v>303</v>
      </c>
      <c r="N3845">
        <v>3506</v>
      </c>
      <c r="O3845" t="s">
        <v>303</v>
      </c>
      <c r="P3845">
        <f t="shared" si="60"/>
        <v>0</v>
      </c>
    </row>
    <row r="3846" spans="1:16" x14ac:dyDescent="0.25">
      <c r="A3846" t="s">
        <v>438</v>
      </c>
      <c r="B3846">
        <v>3507</v>
      </c>
      <c r="C3846" t="s">
        <v>669</v>
      </c>
      <c r="D3846" t="s">
        <v>303</v>
      </c>
      <c r="E3846">
        <v>176</v>
      </c>
      <c r="F3846">
        <v>176</v>
      </c>
      <c r="G3846" t="s">
        <v>947</v>
      </c>
      <c r="H3846" t="s">
        <v>947</v>
      </c>
      <c r="K3846">
        <v>3507</v>
      </c>
      <c r="L3846" t="s">
        <v>303</v>
      </c>
      <c r="N3846">
        <v>3507</v>
      </c>
      <c r="O3846" t="s">
        <v>303</v>
      </c>
      <c r="P3846">
        <f t="shared" si="60"/>
        <v>0</v>
      </c>
    </row>
    <row r="3847" spans="1:16" x14ac:dyDescent="0.25">
      <c r="A3847" t="s">
        <v>438</v>
      </c>
      <c r="B3847">
        <v>3508</v>
      </c>
      <c r="C3847" t="s">
        <v>669</v>
      </c>
      <c r="D3847" t="s">
        <v>303</v>
      </c>
      <c r="E3847">
        <v>176</v>
      </c>
      <c r="F3847">
        <v>176</v>
      </c>
      <c r="G3847" t="s">
        <v>947</v>
      </c>
      <c r="H3847" t="s">
        <v>947</v>
      </c>
      <c r="K3847">
        <v>3508</v>
      </c>
      <c r="L3847" t="s">
        <v>303</v>
      </c>
      <c r="N3847">
        <v>3508</v>
      </c>
      <c r="O3847" t="s">
        <v>303</v>
      </c>
      <c r="P3847">
        <f t="shared" si="60"/>
        <v>0</v>
      </c>
    </row>
    <row r="3848" spans="1:16" x14ac:dyDescent="0.25">
      <c r="A3848" t="s">
        <v>438</v>
      </c>
      <c r="B3848">
        <v>3509</v>
      </c>
      <c r="C3848" t="s">
        <v>669</v>
      </c>
      <c r="D3848" t="s">
        <v>303</v>
      </c>
      <c r="E3848">
        <v>176</v>
      </c>
      <c r="F3848">
        <v>176</v>
      </c>
      <c r="G3848" t="s">
        <v>947</v>
      </c>
      <c r="H3848" t="s">
        <v>947</v>
      </c>
      <c r="K3848">
        <v>3509</v>
      </c>
      <c r="L3848" t="s">
        <v>303</v>
      </c>
      <c r="N3848">
        <v>3509</v>
      </c>
      <c r="O3848" t="s">
        <v>303</v>
      </c>
      <c r="P3848">
        <f t="shared" si="60"/>
        <v>0</v>
      </c>
    </row>
    <row r="3849" spans="1:16" x14ac:dyDescent="0.25">
      <c r="A3849" t="s">
        <v>438</v>
      </c>
      <c r="B3849">
        <v>3510</v>
      </c>
      <c r="C3849" t="s">
        <v>669</v>
      </c>
      <c r="D3849" t="s">
        <v>303</v>
      </c>
      <c r="E3849">
        <v>176</v>
      </c>
      <c r="F3849">
        <v>176</v>
      </c>
      <c r="G3849" t="s">
        <v>947</v>
      </c>
      <c r="H3849" t="s">
        <v>947</v>
      </c>
      <c r="K3849">
        <v>3510</v>
      </c>
      <c r="L3849" t="s">
        <v>303</v>
      </c>
      <c r="N3849">
        <v>3510</v>
      </c>
      <c r="O3849" t="s">
        <v>303</v>
      </c>
      <c r="P3849">
        <f t="shared" si="60"/>
        <v>0</v>
      </c>
    </row>
    <row r="3850" spans="1:16" x14ac:dyDescent="0.25">
      <c r="A3850" t="s">
        <v>438</v>
      </c>
      <c r="B3850">
        <v>3511</v>
      </c>
      <c r="C3850" t="s">
        <v>669</v>
      </c>
      <c r="D3850" t="s">
        <v>303</v>
      </c>
      <c r="E3850">
        <v>176</v>
      </c>
      <c r="F3850">
        <v>176</v>
      </c>
      <c r="G3850" t="s">
        <v>947</v>
      </c>
      <c r="H3850" t="s">
        <v>947</v>
      </c>
      <c r="K3850">
        <v>3511</v>
      </c>
      <c r="L3850" t="s">
        <v>303</v>
      </c>
      <c r="N3850">
        <v>3511</v>
      </c>
      <c r="O3850" t="s">
        <v>303</v>
      </c>
      <c r="P3850">
        <f t="shared" si="60"/>
        <v>0</v>
      </c>
    </row>
    <row r="3851" spans="1:16" x14ac:dyDescent="0.25">
      <c r="A3851" t="s">
        <v>438</v>
      </c>
      <c r="B3851">
        <v>3512</v>
      </c>
      <c r="C3851" t="s">
        <v>669</v>
      </c>
      <c r="D3851" t="s">
        <v>303</v>
      </c>
      <c r="E3851">
        <v>176</v>
      </c>
      <c r="F3851">
        <v>176</v>
      </c>
      <c r="G3851" t="s">
        <v>947</v>
      </c>
      <c r="H3851" t="s">
        <v>947</v>
      </c>
      <c r="K3851">
        <v>3512</v>
      </c>
      <c r="L3851" t="s">
        <v>303</v>
      </c>
      <c r="N3851">
        <v>3512</v>
      </c>
      <c r="O3851" t="s">
        <v>303</v>
      </c>
      <c r="P3851">
        <f t="shared" si="60"/>
        <v>0</v>
      </c>
    </row>
    <row r="3852" spans="1:16" x14ac:dyDescent="0.25">
      <c r="A3852" t="s">
        <v>438</v>
      </c>
      <c r="B3852">
        <v>3513</v>
      </c>
      <c r="C3852" t="s">
        <v>669</v>
      </c>
      <c r="D3852" t="s">
        <v>303</v>
      </c>
      <c r="E3852">
        <v>176</v>
      </c>
      <c r="F3852">
        <v>176</v>
      </c>
      <c r="G3852" t="s">
        <v>947</v>
      </c>
      <c r="H3852" t="s">
        <v>947</v>
      </c>
      <c r="K3852">
        <v>3513</v>
      </c>
      <c r="L3852" t="s">
        <v>303</v>
      </c>
      <c r="N3852">
        <v>3513</v>
      </c>
      <c r="O3852" t="s">
        <v>303</v>
      </c>
      <c r="P3852">
        <f t="shared" si="60"/>
        <v>0</v>
      </c>
    </row>
    <row r="3853" spans="1:16" x14ac:dyDescent="0.25">
      <c r="A3853" t="s">
        <v>438</v>
      </c>
      <c r="B3853">
        <v>3514</v>
      </c>
      <c r="C3853" t="s">
        <v>669</v>
      </c>
      <c r="D3853" t="s">
        <v>303</v>
      </c>
      <c r="E3853">
        <v>176</v>
      </c>
      <c r="F3853">
        <v>176</v>
      </c>
      <c r="G3853" t="s">
        <v>947</v>
      </c>
      <c r="H3853" t="s">
        <v>947</v>
      </c>
      <c r="K3853">
        <v>3514</v>
      </c>
      <c r="L3853" t="s">
        <v>303</v>
      </c>
      <c r="N3853">
        <v>3514</v>
      </c>
      <c r="O3853" t="s">
        <v>303</v>
      </c>
      <c r="P3853">
        <f t="shared" si="60"/>
        <v>0</v>
      </c>
    </row>
    <row r="3854" spans="1:16" x14ac:dyDescent="0.25">
      <c r="A3854" t="s">
        <v>438</v>
      </c>
      <c r="B3854">
        <v>3515</v>
      </c>
      <c r="C3854" t="s">
        <v>669</v>
      </c>
      <c r="D3854" t="s">
        <v>303</v>
      </c>
      <c r="E3854">
        <v>176</v>
      </c>
      <c r="F3854">
        <v>176</v>
      </c>
      <c r="G3854" t="s">
        <v>947</v>
      </c>
      <c r="H3854" t="s">
        <v>947</v>
      </c>
      <c r="K3854">
        <v>3515</v>
      </c>
      <c r="L3854" t="s">
        <v>303</v>
      </c>
      <c r="N3854">
        <v>3515</v>
      </c>
      <c r="O3854" t="s">
        <v>303</v>
      </c>
      <c r="P3854">
        <f t="shared" si="60"/>
        <v>0</v>
      </c>
    </row>
    <row r="3855" spans="1:16" x14ac:dyDescent="0.25">
      <c r="A3855" t="s">
        <v>438</v>
      </c>
      <c r="B3855">
        <v>3516</v>
      </c>
      <c r="C3855" t="s">
        <v>669</v>
      </c>
      <c r="D3855" t="s">
        <v>303</v>
      </c>
      <c r="E3855">
        <v>176</v>
      </c>
      <c r="F3855">
        <v>176</v>
      </c>
      <c r="G3855" t="s">
        <v>947</v>
      </c>
      <c r="H3855" t="s">
        <v>947</v>
      </c>
      <c r="K3855">
        <v>3516</v>
      </c>
      <c r="L3855" t="s">
        <v>303</v>
      </c>
      <c r="N3855">
        <v>3516</v>
      </c>
      <c r="O3855" t="s">
        <v>303</v>
      </c>
      <c r="P3855">
        <f t="shared" si="60"/>
        <v>0</v>
      </c>
    </row>
    <row r="3856" spans="1:16" x14ac:dyDescent="0.25">
      <c r="A3856" t="s">
        <v>438</v>
      </c>
      <c r="B3856">
        <v>3517</v>
      </c>
      <c r="C3856" t="s">
        <v>669</v>
      </c>
      <c r="D3856" t="s">
        <v>303</v>
      </c>
      <c r="E3856">
        <v>176</v>
      </c>
      <c r="F3856">
        <v>176</v>
      </c>
      <c r="G3856" t="s">
        <v>947</v>
      </c>
      <c r="H3856" t="s">
        <v>947</v>
      </c>
      <c r="K3856">
        <v>3517</v>
      </c>
      <c r="L3856" t="s">
        <v>303</v>
      </c>
      <c r="N3856">
        <v>3517</v>
      </c>
      <c r="O3856" t="s">
        <v>303</v>
      </c>
      <c r="P3856">
        <f t="shared" si="60"/>
        <v>0</v>
      </c>
    </row>
    <row r="3857" spans="1:16" x14ac:dyDescent="0.25">
      <c r="A3857" t="s">
        <v>438</v>
      </c>
      <c r="B3857">
        <v>3518</v>
      </c>
      <c r="C3857" t="s">
        <v>669</v>
      </c>
      <c r="D3857" t="s">
        <v>303</v>
      </c>
      <c r="E3857">
        <v>176</v>
      </c>
      <c r="F3857">
        <v>176</v>
      </c>
      <c r="G3857" t="s">
        <v>947</v>
      </c>
      <c r="H3857" t="s">
        <v>947</v>
      </c>
      <c r="K3857">
        <v>3518</v>
      </c>
      <c r="L3857" t="s">
        <v>303</v>
      </c>
      <c r="N3857">
        <v>3518</v>
      </c>
      <c r="O3857" t="s">
        <v>303</v>
      </c>
      <c r="P3857">
        <f t="shared" si="60"/>
        <v>0</v>
      </c>
    </row>
    <row r="3858" spans="1:16" x14ac:dyDescent="0.25">
      <c r="A3858" t="s">
        <v>438</v>
      </c>
      <c r="B3858">
        <v>3519</v>
      </c>
      <c r="C3858" t="s">
        <v>669</v>
      </c>
      <c r="D3858" t="s">
        <v>303</v>
      </c>
      <c r="E3858">
        <v>176</v>
      </c>
      <c r="F3858">
        <v>176</v>
      </c>
      <c r="G3858" t="s">
        <v>947</v>
      </c>
      <c r="H3858" t="s">
        <v>947</v>
      </c>
      <c r="K3858">
        <v>3519</v>
      </c>
      <c r="L3858" t="s">
        <v>303</v>
      </c>
      <c r="N3858">
        <v>3519</v>
      </c>
      <c r="O3858" t="s">
        <v>303</v>
      </c>
      <c r="P3858">
        <f t="shared" si="60"/>
        <v>0</v>
      </c>
    </row>
    <row r="3859" spans="1:16" x14ac:dyDescent="0.25">
      <c r="A3859" t="s">
        <v>438</v>
      </c>
      <c r="B3859">
        <v>3520</v>
      </c>
      <c r="C3859" t="s">
        <v>669</v>
      </c>
      <c r="D3859" t="s">
        <v>303</v>
      </c>
      <c r="E3859">
        <v>176</v>
      </c>
      <c r="F3859">
        <v>176</v>
      </c>
      <c r="G3859" t="s">
        <v>947</v>
      </c>
      <c r="H3859" t="s">
        <v>947</v>
      </c>
      <c r="K3859">
        <v>3520</v>
      </c>
      <c r="L3859" t="s">
        <v>303</v>
      </c>
      <c r="N3859">
        <v>3520</v>
      </c>
      <c r="O3859" t="s">
        <v>303</v>
      </c>
      <c r="P3859">
        <f t="shared" si="60"/>
        <v>0</v>
      </c>
    </row>
    <row r="3860" spans="1:16" x14ac:dyDescent="0.25">
      <c r="A3860" t="s">
        <v>438</v>
      </c>
      <c r="B3860">
        <v>3521</v>
      </c>
      <c r="C3860" t="s">
        <v>669</v>
      </c>
      <c r="D3860" t="s">
        <v>303</v>
      </c>
      <c r="E3860">
        <v>176</v>
      </c>
      <c r="F3860">
        <v>176</v>
      </c>
      <c r="G3860" t="s">
        <v>947</v>
      </c>
      <c r="H3860" t="s">
        <v>947</v>
      </c>
      <c r="K3860">
        <v>3521</v>
      </c>
      <c r="L3860" t="s">
        <v>303</v>
      </c>
      <c r="N3860">
        <v>3521</v>
      </c>
      <c r="O3860" t="s">
        <v>303</v>
      </c>
      <c r="P3860">
        <f t="shared" si="60"/>
        <v>0</v>
      </c>
    </row>
    <row r="3861" spans="1:16" x14ac:dyDescent="0.25">
      <c r="A3861" t="s">
        <v>438</v>
      </c>
      <c r="B3861">
        <v>3522</v>
      </c>
      <c r="C3861" t="s">
        <v>669</v>
      </c>
      <c r="D3861" t="s">
        <v>303</v>
      </c>
      <c r="E3861">
        <v>176</v>
      </c>
      <c r="F3861">
        <v>176</v>
      </c>
      <c r="G3861" t="s">
        <v>947</v>
      </c>
      <c r="H3861" t="s">
        <v>947</v>
      </c>
      <c r="K3861">
        <v>3522</v>
      </c>
      <c r="L3861" t="s">
        <v>303</v>
      </c>
      <c r="N3861">
        <v>3522</v>
      </c>
      <c r="O3861" t="s">
        <v>303</v>
      </c>
      <c r="P3861">
        <f t="shared" si="60"/>
        <v>0</v>
      </c>
    </row>
    <row r="3862" spans="1:16" x14ac:dyDescent="0.25">
      <c r="A3862" t="s">
        <v>438</v>
      </c>
      <c r="B3862">
        <v>3523</v>
      </c>
      <c r="C3862" t="s">
        <v>669</v>
      </c>
      <c r="D3862" t="s">
        <v>303</v>
      </c>
      <c r="E3862">
        <v>176</v>
      </c>
      <c r="F3862">
        <v>176</v>
      </c>
      <c r="G3862" t="s">
        <v>947</v>
      </c>
      <c r="H3862" t="s">
        <v>947</v>
      </c>
      <c r="K3862">
        <v>3523</v>
      </c>
      <c r="L3862" t="s">
        <v>303</v>
      </c>
      <c r="N3862">
        <v>3523</v>
      </c>
      <c r="O3862" t="s">
        <v>303</v>
      </c>
      <c r="P3862">
        <f t="shared" si="60"/>
        <v>0</v>
      </c>
    </row>
    <row r="3863" spans="1:16" x14ac:dyDescent="0.25">
      <c r="A3863" t="s">
        <v>438</v>
      </c>
      <c r="B3863">
        <v>3524</v>
      </c>
      <c r="C3863" t="s">
        <v>669</v>
      </c>
      <c r="D3863" t="s">
        <v>303</v>
      </c>
      <c r="E3863">
        <v>176</v>
      </c>
      <c r="F3863">
        <v>176</v>
      </c>
      <c r="G3863" t="s">
        <v>947</v>
      </c>
      <c r="H3863" t="s">
        <v>947</v>
      </c>
      <c r="K3863">
        <v>3524</v>
      </c>
      <c r="L3863" t="s">
        <v>303</v>
      </c>
      <c r="N3863">
        <v>3524</v>
      </c>
      <c r="O3863" t="s">
        <v>303</v>
      </c>
      <c r="P3863">
        <f t="shared" si="60"/>
        <v>0</v>
      </c>
    </row>
    <row r="3864" spans="1:16" x14ac:dyDescent="0.25">
      <c r="A3864" t="s">
        <v>438</v>
      </c>
      <c r="B3864">
        <v>3525</v>
      </c>
      <c r="C3864" t="s">
        <v>669</v>
      </c>
      <c r="D3864" t="s">
        <v>303</v>
      </c>
      <c r="E3864">
        <v>176</v>
      </c>
      <c r="F3864">
        <v>176</v>
      </c>
      <c r="G3864" t="s">
        <v>947</v>
      </c>
      <c r="H3864" t="s">
        <v>947</v>
      </c>
      <c r="K3864">
        <v>3525</v>
      </c>
      <c r="L3864" t="s">
        <v>303</v>
      </c>
      <c r="N3864">
        <v>3525</v>
      </c>
      <c r="O3864" t="s">
        <v>303</v>
      </c>
      <c r="P3864">
        <f t="shared" si="60"/>
        <v>0</v>
      </c>
    </row>
    <row r="3865" spans="1:16" x14ac:dyDescent="0.25">
      <c r="A3865" t="s">
        <v>438</v>
      </c>
      <c r="B3865">
        <v>3526</v>
      </c>
      <c r="C3865" t="s">
        <v>669</v>
      </c>
      <c r="D3865" t="s">
        <v>303</v>
      </c>
      <c r="E3865">
        <v>176</v>
      </c>
      <c r="F3865">
        <v>176</v>
      </c>
      <c r="G3865" t="s">
        <v>947</v>
      </c>
      <c r="H3865" t="s">
        <v>947</v>
      </c>
      <c r="K3865">
        <v>3526</v>
      </c>
      <c r="L3865" t="s">
        <v>303</v>
      </c>
      <c r="N3865">
        <v>3526</v>
      </c>
      <c r="O3865" t="s">
        <v>303</v>
      </c>
      <c r="P3865">
        <f t="shared" si="60"/>
        <v>0</v>
      </c>
    </row>
    <row r="3866" spans="1:16" x14ac:dyDescent="0.25">
      <c r="A3866" t="s">
        <v>438</v>
      </c>
      <c r="B3866">
        <v>3527</v>
      </c>
      <c r="C3866" t="s">
        <v>669</v>
      </c>
      <c r="D3866" t="s">
        <v>303</v>
      </c>
      <c r="E3866">
        <v>176</v>
      </c>
      <c r="F3866">
        <v>176</v>
      </c>
      <c r="G3866" t="s">
        <v>947</v>
      </c>
      <c r="H3866" t="s">
        <v>947</v>
      </c>
      <c r="K3866">
        <v>3527</v>
      </c>
      <c r="L3866" t="s">
        <v>303</v>
      </c>
      <c r="N3866">
        <v>3527</v>
      </c>
      <c r="O3866" t="s">
        <v>303</v>
      </c>
      <c r="P3866">
        <f t="shared" si="60"/>
        <v>0</v>
      </c>
    </row>
    <row r="3867" spans="1:16" x14ac:dyDescent="0.25">
      <c r="A3867" t="s">
        <v>438</v>
      </c>
      <c r="B3867">
        <v>3528</v>
      </c>
      <c r="C3867" t="s">
        <v>669</v>
      </c>
      <c r="D3867" t="s">
        <v>303</v>
      </c>
      <c r="E3867">
        <v>176</v>
      </c>
      <c r="F3867">
        <v>176</v>
      </c>
      <c r="G3867" t="s">
        <v>947</v>
      </c>
      <c r="H3867" t="s">
        <v>947</v>
      </c>
      <c r="K3867">
        <v>3528</v>
      </c>
      <c r="L3867" t="s">
        <v>303</v>
      </c>
      <c r="N3867">
        <v>3528</v>
      </c>
      <c r="O3867" t="s">
        <v>303</v>
      </c>
      <c r="P3867">
        <f t="shared" si="60"/>
        <v>0</v>
      </c>
    </row>
    <row r="3868" spans="1:16" x14ac:dyDescent="0.25">
      <c r="A3868" t="s">
        <v>438</v>
      </c>
      <c r="B3868">
        <v>3529</v>
      </c>
      <c r="C3868" t="s">
        <v>669</v>
      </c>
      <c r="D3868" t="s">
        <v>303</v>
      </c>
      <c r="E3868">
        <v>176</v>
      </c>
      <c r="F3868">
        <v>176</v>
      </c>
      <c r="G3868" t="s">
        <v>947</v>
      </c>
      <c r="H3868" t="s">
        <v>947</v>
      </c>
      <c r="K3868">
        <v>3529</v>
      </c>
      <c r="L3868" t="s">
        <v>303</v>
      </c>
      <c r="N3868">
        <v>3529</v>
      </c>
      <c r="O3868" t="s">
        <v>303</v>
      </c>
      <c r="P3868">
        <f t="shared" si="60"/>
        <v>0</v>
      </c>
    </row>
    <row r="3869" spans="1:16" x14ac:dyDescent="0.25">
      <c r="A3869" t="s">
        <v>438</v>
      </c>
      <c r="B3869">
        <v>3530</v>
      </c>
      <c r="C3869" t="s">
        <v>669</v>
      </c>
      <c r="D3869" t="s">
        <v>303</v>
      </c>
      <c r="E3869">
        <v>176</v>
      </c>
      <c r="F3869">
        <v>176</v>
      </c>
      <c r="G3869" t="s">
        <v>947</v>
      </c>
      <c r="H3869" t="s">
        <v>947</v>
      </c>
      <c r="K3869">
        <v>3530</v>
      </c>
      <c r="L3869" t="s">
        <v>303</v>
      </c>
      <c r="N3869">
        <v>3530</v>
      </c>
      <c r="O3869" t="s">
        <v>303</v>
      </c>
      <c r="P3869">
        <f t="shared" si="60"/>
        <v>0</v>
      </c>
    </row>
    <row r="3870" spans="1:16" x14ac:dyDescent="0.25">
      <c r="A3870" t="s">
        <v>438</v>
      </c>
      <c r="B3870">
        <v>3531</v>
      </c>
      <c r="C3870" t="s">
        <v>669</v>
      </c>
      <c r="D3870" t="s">
        <v>303</v>
      </c>
      <c r="E3870">
        <v>176</v>
      </c>
      <c r="F3870">
        <v>176</v>
      </c>
      <c r="G3870" t="s">
        <v>947</v>
      </c>
      <c r="H3870" t="s">
        <v>947</v>
      </c>
      <c r="K3870">
        <v>3531</v>
      </c>
      <c r="L3870" t="s">
        <v>303</v>
      </c>
      <c r="N3870">
        <v>3531</v>
      </c>
      <c r="O3870" t="s">
        <v>303</v>
      </c>
      <c r="P3870">
        <f t="shared" si="60"/>
        <v>0</v>
      </c>
    </row>
    <row r="3871" spans="1:16" x14ac:dyDescent="0.25">
      <c r="A3871" t="s">
        <v>438</v>
      </c>
      <c r="B3871">
        <v>3532</v>
      </c>
      <c r="C3871" t="s">
        <v>669</v>
      </c>
      <c r="D3871" t="s">
        <v>303</v>
      </c>
      <c r="E3871">
        <v>176</v>
      </c>
      <c r="F3871">
        <v>176</v>
      </c>
      <c r="G3871" t="s">
        <v>947</v>
      </c>
      <c r="H3871" t="s">
        <v>947</v>
      </c>
      <c r="K3871">
        <v>3532</v>
      </c>
      <c r="L3871" t="s">
        <v>303</v>
      </c>
      <c r="N3871">
        <v>3532</v>
      </c>
      <c r="O3871" t="s">
        <v>303</v>
      </c>
      <c r="P3871">
        <f t="shared" si="60"/>
        <v>0</v>
      </c>
    </row>
    <row r="3872" spans="1:16" x14ac:dyDescent="0.25">
      <c r="A3872" t="s">
        <v>438</v>
      </c>
      <c r="B3872">
        <v>3533</v>
      </c>
      <c r="C3872" t="s">
        <v>669</v>
      </c>
      <c r="D3872" t="s">
        <v>303</v>
      </c>
      <c r="E3872">
        <v>176</v>
      </c>
      <c r="F3872">
        <v>176</v>
      </c>
      <c r="G3872" t="s">
        <v>947</v>
      </c>
      <c r="H3872" t="s">
        <v>947</v>
      </c>
      <c r="K3872">
        <v>3533</v>
      </c>
      <c r="L3872" t="s">
        <v>303</v>
      </c>
      <c r="N3872">
        <v>3533</v>
      </c>
      <c r="O3872" t="s">
        <v>303</v>
      </c>
      <c r="P3872">
        <f t="shared" si="60"/>
        <v>0</v>
      </c>
    </row>
    <row r="3873" spans="1:16" x14ac:dyDescent="0.25">
      <c r="A3873" t="s">
        <v>438</v>
      </c>
      <c r="B3873">
        <v>3534</v>
      </c>
      <c r="C3873" t="s">
        <v>669</v>
      </c>
      <c r="D3873" t="s">
        <v>303</v>
      </c>
      <c r="E3873">
        <v>176</v>
      </c>
      <c r="F3873">
        <v>176</v>
      </c>
      <c r="G3873" t="s">
        <v>947</v>
      </c>
      <c r="H3873" t="s">
        <v>947</v>
      </c>
      <c r="K3873">
        <v>3534</v>
      </c>
      <c r="L3873" t="s">
        <v>303</v>
      </c>
      <c r="N3873">
        <v>3534</v>
      </c>
      <c r="O3873" t="s">
        <v>303</v>
      </c>
      <c r="P3873">
        <f t="shared" si="60"/>
        <v>0</v>
      </c>
    </row>
    <row r="3874" spans="1:16" x14ac:dyDescent="0.25">
      <c r="A3874" t="s">
        <v>438</v>
      </c>
      <c r="B3874">
        <v>3535</v>
      </c>
      <c r="C3874" t="s">
        <v>669</v>
      </c>
      <c r="D3874" t="s">
        <v>303</v>
      </c>
      <c r="E3874">
        <v>176</v>
      </c>
      <c r="F3874">
        <v>176</v>
      </c>
      <c r="G3874" t="s">
        <v>947</v>
      </c>
      <c r="H3874" t="s">
        <v>947</v>
      </c>
      <c r="K3874">
        <v>3535</v>
      </c>
      <c r="L3874" t="s">
        <v>303</v>
      </c>
      <c r="N3874">
        <v>3535</v>
      </c>
      <c r="O3874" t="s">
        <v>303</v>
      </c>
      <c r="P3874">
        <f t="shared" si="60"/>
        <v>0</v>
      </c>
    </row>
    <row r="3875" spans="1:16" x14ac:dyDescent="0.25">
      <c r="A3875" t="s">
        <v>438</v>
      </c>
      <c r="B3875">
        <v>3536</v>
      </c>
      <c r="C3875" t="s">
        <v>669</v>
      </c>
      <c r="D3875" t="s">
        <v>303</v>
      </c>
      <c r="E3875">
        <v>176</v>
      </c>
      <c r="F3875">
        <v>176</v>
      </c>
      <c r="G3875" t="s">
        <v>947</v>
      </c>
      <c r="H3875" t="s">
        <v>947</v>
      </c>
      <c r="K3875">
        <v>3536</v>
      </c>
      <c r="L3875" t="s">
        <v>303</v>
      </c>
      <c r="N3875">
        <v>3536</v>
      </c>
      <c r="O3875" t="s">
        <v>303</v>
      </c>
      <c r="P3875">
        <f t="shared" si="60"/>
        <v>0</v>
      </c>
    </row>
    <row r="3876" spans="1:16" x14ac:dyDescent="0.25">
      <c r="A3876" t="s">
        <v>438</v>
      </c>
      <c r="B3876">
        <v>3537</v>
      </c>
      <c r="C3876" t="s">
        <v>669</v>
      </c>
      <c r="D3876" t="s">
        <v>303</v>
      </c>
      <c r="E3876">
        <v>176</v>
      </c>
      <c r="F3876">
        <v>176</v>
      </c>
      <c r="G3876" t="s">
        <v>947</v>
      </c>
      <c r="H3876" t="s">
        <v>947</v>
      </c>
      <c r="K3876">
        <v>3537</v>
      </c>
      <c r="L3876" t="s">
        <v>303</v>
      </c>
      <c r="N3876">
        <v>3537</v>
      </c>
      <c r="O3876" t="s">
        <v>303</v>
      </c>
      <c r="P3876">
        <f t="shared" si="60"/>
        <v>0</v>
      </c>
    </row>
    <row r="3877" spans="1:16" x14ac:dyDescent="0.25">
      <c r="A3877" t="s">
        <v>438</v>
      </c>
      <c r="B3877">
        <v>3538</v>
      </c>
      <c r="C3877" t="s">
        <v>669</v>
      </c>
      <c r="D3877" t="s">
        <v>303</v>
      </c>
      <c r="E3877">
        <v>176</v>
      </c>
      <c r="F3877">
        <v>176</v>
      </c>
      <c r="G3877" t="s">
        <v>947</v>
      </c>
      <c r="H3877" t="s">
        <v>947</v>
      </c>
      <c r="K3877">
        <v>3538</v>
      </c>
      <c r="L3877" t="s">
        <v>303</v>
      </c>
      <c r="N3877">
        <v>3538</v>
      </c>
      <c r="O3877" t="s">
        <v>303</v>
      </c>
      <c r="P3877">
        <f t="shared" si="60"/>
        <v>0</v>
      </c>
    </row>
    <row r="3878" spans="1:16" x14ac:dyDescent="0.25">
      <c r="A3878" t="s">
        <v>438</v>
      </c>
      <c r="B3878">
        <v>3539</v>
      </c>
      <c r="C3878" t="s">
        <v>669</v>
      </c>
      <c r="D3878" t="s">
        <v>303</v>
      </c>
      <c r="E3878">
        <v>176</v>
      </c>
      <c r="F3878">
        <v>176</v>
      </c>
      <c r="G3878" t="s">
        <v>947</v>
      </c>
      <c r="H3878" t="s">
        <v>947</v>
      </c>
      <c r="K3878">
        <v>3539</v>
      </c>
      <c r="L3878" t="s">
        <v>303</v>
      </c>
      <c r="N3878">
        <v>3539</v>
      </c>
      <c r="O3878" t="s">
        <v>303</v>
      </c>
      <c r="P3878">
        <f t="shared" si="60"/>
        <v>0</v>
      </c>
    </row>
    <row r="3879" spans="1:16" x14ac:dyDescent="0.25">
      <c r="A3879" t="s">
        <v>438</v>
      </c>
      <c r="B3879">
        <v>3540</v>
      </c>
      <c r="C3879" t="s">
        <v>669</v>
      </c>
      <c r="D3879" t="s">
        <v>303</v>
      </c>
      <c r="E3879">
        <v>176</v>
      </c>
      <c r="F3879">
        <v>176</v>
      </c>
      <c r="G3879" t="s">
        <v>947</v>
      </c>
      <c r="H3879" t="s">
        <v>947</v>
      </c>
      <c r="K3879">
        <v>3540</v>
      </c>
      <c r="L3879" t="s">
        <v>303</v>
      </c>
      <c r="N3879">
        <v>3540</v>
      </c>
      <c r="O3879" t="s">
        <v>303</v>
      </c>
      <c r="P3879">
        <f t="shared" si="60"/>
        <v>0</v>
      </c>
    </row>
    <row r="3880" spans="1:16" x14ac:dyDescent="0.25">
      <c r="A3880" t="s">
        <v>438</v>
      </c>
      <c r="B3880">
        <v>3541</v>
      </c>
      <c r="C3880" t="s">
        <v>669</v>
      </c>
      <c r="D3880" t="s">
        <v>303</v>
      </c>
      <c r="E3880">
        <v>176</v>
      </c>
      <c r="F3880">
        <v>176</v>
      </c>
      <c r="G3880" t="s">
        <v>947</v>
      </c>
      <c r="H3880" t="s">
        <v>947</v>
      </c>
      <c r="K3880">
        <v>3541</v>
      </c>
      <c r="L3880" t="s">
        <v>303</v>
      </c>
      <c r="N3880">
        <v>3541</v>
      </c>
      <c r="O3880" t="s">
        <v>303</v>
      </c>
      <c r="P3880">
        <f t="shared" si="60"/>
        <v>0</v>
      </c>
    </row>
    <row r="3881" spans="1:16" x14ac:dyDescent="0.25">
      <c r="A3881" t="s">
        <v>438</v>
      </c>
      <c r="B3881">
        <v>3542</v>
      </c>
      <c r="C3881" t="s">
        <v>669</v>
      </c>
      <c r="D3881" t="s">
        <v>303</v>
      </c>
      <c r="E3881">
        <v>176</v>
      </c>
      <c r="F3881">
        <v>176</v>
      </c>
      <c r="G3881" t="s">
        <v>947</v>
      </c>
      <c r="H3881" t="s">
        <v>947</v>
      </c>
      <c r="K3881">
        <v>3542</v>
      </c>
      <c r="L3881" t="s">
        <v>303</v>
      </c>
      <c r="N3881">
        <v>3542</v>
      </c>
      <c r="O3881" t="s">
        <v>303</v>
      </c>
      <c r="P3881">
        <f t="shared" si="60"/>
        <v>0</v>
      </c>
    </row>
    <row r="3882" spans="1:16" x14ac:dyDescent="0.25">
      <c r="A3882" t="s">
        <v>213</v>
      </c>
      <c r="B3882">
        <v>12000</v>
      </c>
      <c r="C3882" t="s">
        <v>669</v>
      </c>
      <c r="D3882" t="s">
        <v>857</v>
      </c>
      <c r="E3882" t="s">
        <v>910</v>
      </c>
      <c r="F3882">
        <v>8</v>
      </c>
      <c r="H3882" t="s">
        <v>687</v>
      </c>
      <c r="I3882" t="s">
        <v>933</v>
      </c>
      <c r="K3882">
        <v>1.2E-2</v>
      </c>
      <c r="L3882" t="s">
        <v>303</v>
      </c>
      <c r="N3882">
        <v>12000</v>
      </c>
      <c r="O3882" t="s">
        <v>857</v>
      </c>
      <c r="P3882">
        <f t="shared" si="60"/>
        <v>42</v>
      </c>
    </row>
    <row r="3883" spans="1:16" x14ac:dyDescent="0.25">
      <c r="A3883" t="s">
        <v>669</v>
      </c>
      <c r="B3883">
        <v>12048</v>
      </c>
      <c r="C3883" t="s">
        <v>669</v>
      </c>
      <c r="D3883" t="s">
        <v>865</v>
      </c>
      <c r="E3883" t="s">
        <v>910</v>
      </c>
      <c r="F3883">
        <v>8</v>
      </c>
      <c r="H3883" t="s">
        <v>687</v>
      </c>
      <c r="K3883">
        <v>1.2048E-2</v>
      </c>
      <c r="L3883" t="s">
        <v>303</v>
      </c>
      <c r="N3883">
        <v>12048</v>
      </c>
      <c r="O3883" t="s">
        <v>931</v>
      </c>
      <c r="P3883">
        <f t="shared" si="60"/>
        <v>0</v>
      </c>
    </row>
    <row r="3884" spans="1:16" x14ac:dyDescent="0.25">
      <c r="A3884" t="s">
        <v>669</v>
      </c>
      <c r="B3884">
        <v>12346</v>
      </c>
      <c r="C3884" t="s">
        <v>669</v>
      </c>
      <c r="D3884" t="s">
        <v>865</v>
      </c>
      <c r="E3884" t="s">
        <v>910</v>
      </c>
      <c r="F3884">
        <v>8</v>
      </c>
      <c r="H3884" t="s">
        <v>687</v>
      </c>
      <c r="K3884">
        <v>1.2345999999999999E-2</v>
      </c>
      <c r="L3884" t="s">
        <v>303</v>
      </c>
      <c r="N3884">
        <v>12346</v>
      </c>
      <c r="O3884" t="s">
        <v>931</v>
      </c>
      <c r="P3884">
        <f t="shared" si="60"/>
        <v>0</v>
      </c>
    </row>
    <row r="3885" spans="1:16" x14ac:dyDescent="0.25">
      <c r="A3885" t="s">
        <v>669</v>
      </c>
      <c r="B3885">
        <v>12408</v>
      </c>
      <c r="C3885" t="s">
        <v>669</v>
      </c>
      <c r="D3885" t="s">
        <v>865</v>
      </c>
      <c r="E3885" t="s">
        <v>910</v>
      </c>
      <c r="F3885">
        <v>8</v>
      </c>
      <c r="H3885" t="s">
        <v>687</v>
      </c>
      <c r="K3885">
        <v>1.2408000000000001E-2</v>
      </c>
      <c r="L3885" t="s">
        <v>303</v>
      </c>
      <c r="N3885">
        <v>12408</v>
      </c>
      <c r="O3885" t="s">
        <v>931</v>
      </c>
      <c r="P3885">
        <f t="shared" si="60"/>
        <v>0</v>
      </c>
    </row>
    <row r="3886" spans="1:16" x14ac:dyDescent="0.25">
      <c r="A3886" t="s">
        <v>669</v>
      </c>
      <c r="B3886">
        <v>12425</v>
      </c>
      <c r="C3886" t="s">
        <v>669</v>
      </c>
      <c r="D3886" t="s">
        <v>865</v>
      </c>
      <c r="E3886" t="s">
        <v>910</v>
      </c>
      <c r="F3886">
        <v>8</v>
      </c>
      <c r="H3886" t="s">
        <v>687</v>
      </c>
      <c r="K3886">
        <v>1.2425E-2</v>
      </c>
      <c r="L3886" t="s">
        <v>303</v>
      </c>
      <c r="N3886">
        <v>12425</v>
      </c>
      <c r="O3886" t="s">
        <v>931</v>
      </c>
      <c r="P3886">
        <f t="shared" si="60"/>
        <v>0</v>
      </c>
    </row>
    <row r="3887" spans="1:16" x14ac:dyDescent="0.25">
      <c r="A3887" t="s">
        <v>669</v>
      </c>
      <c r="B3887">
        <v>12438</v>
      </c>
      <c r="C3887" t="s">
        <v>669</v>
      </c>
      <c r="D3887" t="s">
        <v>865</v>
      </c>
      <c r="E3887" t="s">
        <v>910</v>
      </c>
      <c r="F3887">
        <v>8</v>
      </c>
      <c r="H3887" t="s">
        <v>687</v>
      </c>
      <c r="K3887">
        <v>1.2437999999999999E-2</v>
      </c>
      <c r="L3887" t="s">
        <v>303</v>
      </c>
      <c r="N3887">
        <v>12438</v>
      </c>
      <c r="O3887" t="s">
        <v>931</v>
      </c>
      <c r="P3887">
        <f t="shared" si="60"/>
        <v>0</v>
      </c>
    </row>
    <row r="3888" spans="1:16" x14ac:dyDescent="0.25">
      <c r="A3888" t="s">
        <v>669</v>
      </c>
      <c r="B3888">
        <v>12582</v>
      </c>
      <c r="C3888" t="s">
        <v>669</v>
      </c>
      <c r="D3888" t="s">
        <v>865</v>
      </c>
      <c r="E3888" t="s">
        <v>910</v>
      </c>
      <c r="F3888">
        <v>8</v>
      </c>
      <c r="H3888" t="s">
        <v>687</v>
      </c>
      <c r="K3888">
        <v>1.2581999999999999E-2</v>
      </c>
      <c r="L3888" t="s">
        <v>303</v>
      </c>
      <c r="N3888">
        <v>12582</v>
      </c>
      <c r="O3888" t="s">
        <v>931</v>
      </c>
      <c r="P3888">
        <f t="shared" si="60"/>
        <v>0</v>
      </c>
    </row>
    <row r="3889" spans="1:16" x14ac:dyDescent="0.25">
      <c r="A3889" t="s">
        <v>669</v>
      </c>
      <c r="B3889">
        <v>12635</v>
      </c>
      <c r="C3889" t="s">
        <v>669</v>
      </c>
      <c r="D3889" t="s">
        <v>865</v>
      </c>
      <c r="E3889" t="s">
        <v>910</v>
      </c>
      <c r="F3889">
        <v>8</v>
      </c>
      <c r="H3889" t="s">
        <v>687</v>
      </c>
      <c r="K3889">
        <v>1.2635E-2</v>
      </c>
      <c r="L3889" t="s">
        <v>303</v>
      </c>
      <c r="N3889">
        <v>12635</v>
      </c>
      <c r="O3889" t="s">
        <v>931</v>
      </c>
      <c r="P3889">
        <f t="shared" si="60"/>
        <v>0</v>
      </c>
    </row>
    <row r="3890" spans="1:16" x14ac:dyDescent="0.25">
      <c r="A3890" t="s">
        <v>669</v>
      </c>
      <c r="B3890">
        <v>12641</v>
      </c>
      <c r="C3890" t="s">
        <v>669</v>
      </c>
      <c r="D3890" t="s">
        <v>865</v>
      </c>
      <c r="E3890" t="s">
        <v>910</v>
      </c>
      <c r="F3890">
        <v>8</v>
      </c>
      <c r="H3890" t="s">
        <v>687</v>
      </c>
      <c r="K3890">
        <v>1.2640999999999999E-2</v>
      </c>
      <c r="L3890" t="s">
        <v>303</v>
      </c>
      <c r="N3890">
        <v>12641</v>
      </c>
      <c r="O3890" t="s">
        <v>931</v>
      </c>
      <c r="P3890">
        <f t="shared" si="60"/>
        <v>0</v>
      </c>
    </row>
    <row r="3891" spans="1:16" x14ac:dyDescent="0.25">
      <c r="A3891" t="s">
        <v>669</v>
      </c>
      <c r="B3891">
        <v>12694</v>
      </c>
      <c r="C3891" t="s">
        <v>669</v>
      </c>
      <c r="D3891" t="s">
        <v>865</v>
      </c>
      <c r="E3891" t="s">
        <v>910</v>
      </c>
      <c r="F3891">
        <v>8</v>
      </c>
      <c r="H3891" t="s">
        <v>687</v>
      </c>
      <c r="K3891">
        <v>1.2694E-2</v>
      </c>
      <c r="L3891" t="s">
        <v>303</v>
      </c>
      <c r="N3891">
        <v>12694</v>
      </c>
      <c r="O3891" t="s">
        <v>931</v>
      </c>
      <c r="P3891">
        <f t="shared" si="60"/>
        <v>0</v>
      </c>
    </row>
    <row r="3892" spans="1:16" x14ac:dyDescent="0.25">
      <c r="A3892" t="s">
        <v>669</v>
      </c>
      <c r="B3892">
        <v>12736</v>
      </c>
      <c r="C3892" t="s">
        <v>669</v>
      </c>
      <c r="D3892" t="s">
        <v>865</v>
      </c>
      <c r="E3892" t="s">
        <v>910</v>
      </c>
      <c r="F3892">
        <v>8</v>
      </c>
      <c r="H3892" t="s">
        <v>687</v>
      </c>
      <c r="K3892">
        <v>1.2736000000000001E-2</v>
      </c>
      <c r="L3892" t="s">
        <v>303</v>
      </c>
      <c r="N3892">
        <v>12736</v>
      </c>
      <c r="O3892" t="s">
        <v>931</v>
      </c>
      <c r="P3892">
        <f t="shared" si="60"/>
        <v>0</v>
      </c>
    </row>
    <row r="3893" spans="1:16" x14ac:dyDescent="0.25">
      <c r="A3893" t="s">
        <v>669</v>
      </c>
      <c r="B3893">
        <v>12740</v>
      </c>
      <c r="C3893" t="s">
        <v>669</v>
      </c>
      <c r="D3893" t="s">
        <v>865</v>
      </c>
      <c r="E3893" t="s">
        <v>910</v>
      </c>
      <c r="F3893">
        <v>8</v>
      </c>
      <c r="H3893" t="s">
        <v>687</v>
      </c>
      <c r="K3893">
        <v>1.274E-2</v>
      </c>
      <c r="L3893" t="s">
        <v>303</v>
      </c>
      <c r="N3893">
        <v>12740</v>
      </c>
      <c r="O3893" t="s">
        <v>931</v>
      </c>
      <c r="P3893">
        <f t="shared" si="60"/>
        <v>0</v>
      </c>
    </row>
    <row r="3894" spans="1:16" x14ac:dyDescent="0.25">
      <c r="A3894" t="s">
        <v>669</v>
      </c>
      <c r="B3894">
        <v>12785</v>
      </c>
      <c r="C3894" t="s">
        <v>669</v>
      </c>
      <c r="D3894" t="s">
        <v>865</v>
      </c>
      <c r="E3894" t="s">
        <v>910</v>
      </c>
      <c r="F3894">
        <v>8</v>
      </c>
      <c r="H3894" t="s">
        <v>687</v>
      </c>
      <c r="K3894">
        <v>1.2784999999999999E-2</v>
      </c>
      <c r="L3894" t="s">
        <v>303</v>
      </c>
      <c r="N3894">
        <v>12785</v>
      </c>
      <c r="O3894" t="s">
        <v>931</v>
      </c>
      <c r="P3894">
        <f t="shared" si="60"/>
        <v>0</v>
      </c>
    </row>
    <row r="3895" spans="1:16" x14ac:dyDescent="0.25">
      <c r="A3895" t="s">
        <v>669</v>
      </c>
      <c r="B3895">
        <v>12787</v>
      </c>
      <c r="C3895" t="s">
        <v>669</v>
      </c>
      <c r="D3895" t="s">
        <v>865</v>
      </c>
      <c r="E3895" t="s">
        <v>910</v>
      </c>
      <c r="F3895">
        <v>8</v>
      </c>
      <c r="H3895" t="s">
        <v>687</v>
      </c>
      <c r="K3895">
        <v>1.2787E-2</v>
      </c>
      <c r="L3895" t="s">
        <v>303</v>
      </c>
      <c r="N3895">
        <v>12787</v>
      </c>
      <c r="O3895" t="s">
        <v>931</v>
      </c>
      <c r="P3895">
        <f t="shared" si="60"/>
        <v>0</v>
      </c>
    </row>
    <row r="3896" spans="1:16" x14ac:dyDescent="0.25">
      <c r="A3896" t="s">
        <v>669</v>
      </c>
      <c r="B3896">
        <v>12800</v>
      </c>
      <c r="C3896" t="s">
        <v>669</v>
      </c>
      <c r="D3896" t="s">
        <v>865</v>
      </c>
      <c r="E3896" t="s">
        <v>910</v>
      </c>
      <c r="F3896">
        <v>8</v>
      </c>
      <c r="H3896" t="s">
        <v>687</v>
      </c>
      <c r="K3896">
        <v>1.2800000000000001E-2</v>
      </c>
      <c r="L3896" t="s">
        <v>303</v>
      </c>
      <c r="N3896">
        <v>12800</v>
      </c>
      <c r="O3896" t="s">
        <v>931</v>
      </c>
      <c r="P3896">
        <f t="shared" si="60"/>
        <v>0</v>
      </c>
    </row>
    <row r="3897" spans="1:16" x14ac:dyDescent="0.25">
      <c r="A3897" t="s">
        <v>669</v>
      </c>
      <c r="B3897">
        <v>12842</v>
      </c>
      <c r="C3897" t="s">
        <v>669</v>
      </c>
      <c r="D3897" t="s">
        <v>865</v>
      </c>
      <c r="E3897" t="s">
        <v>910</v>
      </c>
      <c r="F3897">
        <v>8</v>
      </c>
      <c r="H3897" t="s">
        <v>687</v>
      </c>
      <c r="K3897">
        <v>1.2841999999999999E-2</v>
      </c>
      <c r="L3897" t="s">
        <v>303</v>
      </c>
      <c r="N3897">
        <v>12842</v>
      </c>
      <c r="O3897" t="s">
        <v>931</v>
      </c>
      <c r="P3897">
        <f t="shared" si="60"/>
        <v>0</v>
      </c>
    </row>
    <row r="3898" spans="1:16" x14ac:dyDescent="0.25">
      <c r="A3898" t="s">
        <v>906</v>
      </c>
      <c r="B3898" t="s">
        <v>669</v>
      </c>
      <c r="C3898" t="s">
        <v>669</v>
      </c>
      <c r="D3898" t="s">
        <v>669</v>
      </c>
      <c r="E3898">
        <v>3</v>
      </c>
      <c r="F3898">
        <v>3</v>
      </c>
      <c r="G3898" t="s">
        <v>700</v>
      </c>
      <c r="H3898" t="s">
        <v>700</v>
      </c>
      <c r="P3898">
        <f t="shared" si="60"/>
        <v>0</v>
      </c>
    </row>
    <row r="3899" spans="1:16" x14ac:dyDescent="0.25">
      <c r="A3899" t="s">
        <v>1</v>
      </c>
      <c r="B3899" t="s">
        <v>669</v>
      </c>
      <c r="C3899" t="s">
        <v>669</v>
      </c>
      <c r="D3899" t="s">
        <v>669</v>
      </c>
      <c r="E3899" t="s">
        <v>910</v>
      </c>
      <c r="F3899" t="s">
        <v>910</v>
      </c>
      <c r="G3899" t="s">
        <v>910</v>
      </c>
      <c r="K3899">
        <v>148</v>
      </c>
      <c r="L3899" t="s">
        <v>303</v>
      </c>
      <c r="P3899">
        <f t="shared" si="60"/>
        <v>0</v>
      </c>
    </row>
    <row r="3900" spans="1:16" x14ac:dyDescent="0.25">
      <c r="A3900" t="s">
        <v>2</v>
      </c>
      <c r="B3900" t="s">
        <v>669</v>
      </c>
      <c r="C3900" t="s">
        <v>669</v>
      </c>
      <c r="D3900" t="s">
        <v>669</v>
      </c>
      <c r="E3900" t="s">
        <v>910</v>
      </c>
      <c r="F3900" t="s">
        <v>910</v>
      </c>
      <c r="G3900" t="s">
        <v>910</v>
      </c>
      <c r="K3900">
        <v>50</v>
      </c>
      <c r="L3900" t="s">
        <v>303</v>
      </c>
      <c r="P3900">
        <f t="shared" si="60"/>
        <v>0</v>
      </c>
    </row>
    <row r="3901" spans="1:16" x14ac:dyDescent="0.25">
      <c r="A3901">
        <v>108.21</v>
      </c>
      <c r="B3901" t="s">
        <v>669</v>
      </c>
      <c r="C3901" t="s">
        <v>669</v>
      </c>
      <c r="D3901" t="s">
        <v>669</v>
      </c>
      <c r="E3901" t="s">
        <v>910</v>
      </c>
      <c r="F3901" t="s">
        <v>910</v>
      </c>
      <c r="K3901">
        <v>108.21</v>
      </c>
      <c r="L3901" t="s">
        <v>930</v>
      </c>
      <c r="P3901">
        <f t="shared" si="60"/>
        <v>0</v>
      </c>
    </row>
    <row r="3902" spans="1:16" x14ac:dyDescent="0.25">
      <c r="A3902">
        <v>11.396000000000001</v>
      </c>
      <c r="B3902" t="s">
        <v>669</v>
      </c>
      <c r="C3902" t="s">
        <v>669</v>
      </c>
      <c r="D3902" t="s">
        <v>669</v>
      </c>
      <c r="E3902" t="s">
        <v>910</v>
      </c>
      <c r="F3902" t="s">
        <v>910</v>
      </c>
      <c r="K3902">
        <v>11.396000000000001</v>
      </c>
      <c r="L3902" t="s">
        <v>930</v>
      </c>
      <c r="P3902">
        <f t="shared" si="60"/>
        <v>0</v>
      </c>
    </row>
    <row r="3903" spans="1:16" x14ac:dyDescent="0.25">
      <c r="A3903">
        <v>112.83</v>
      </c>
      <c r="B3903" t="s">
        <v>669</v>
      </c>
      <c r="C3903" t="s">
        <v>669</v>
      </c>
      <c r="D3903" t="s">
        <v>669</v>
      </c>
      <c r="E3903" t="s">
        <v>910</v>
      </c>
      <c r="F3903" t="s">
        <v>910</v>
      </c>
      <c r="K3903">
        <v>112.83</v>
      </c>
      <c r="L3903" t="s">
        <v>930</v>
      </c>
      <c r="P3903">
        <f t="shared" si="60"/>
        <v>0</v>
      </c>
    </row>
    <row r="3904" spans="1:16" x14ac:dyDescent="0.25">
      <c r="A3904">
        <v>12.81</v>
      </c>
      <c r="B3904" t="s">
        <v>669</v>
      </c>
      <c r="C3904" t="s">
        <v>669</v>
      </c>
      <c r="D3904" t="s">
        <v>669</v>
      </c>
      <c r="E3904" t="s">
        <v>910</v>
      </c>
      <c r="F3904" t="s">
        <v>910</v>
      </c>
      <c r="K3904">
        <v>12.81</v>
      </c>
      <c r="L3904" t="s">
        <v>930</v>
      </c>
      <c r="P3904">
        <f t="shared" si="60"/>
        <v>0</v>
      </c>
    </row>
    <row r="3905" spans="1:16" x14ac:dyDescent="0.25">
      <c r="A3905">
        <v>13.07</v>
      </c>
      <c r="B3905" t="s">
        <v>669</v>
      </c>
      <c r="C3905" t="s">
        <v>669</v>
      </c>
      <c r="D3905" t="s">
        <v>669</v>
      </c>
      <c r="E3905" t="s">
        <v>910</v>
      </c>
      <c r="F3905" t="s">
        <v>910</v>
      </c>
      <c r="K3905">
        <v>13.07</v>
      </c>
      <c r="L3905" t="s">
        <v>930</v>
      </c>
      <c r="P3905">
        <f t="shared" si="60"/>
        <v>0</v>
      </c>
    </row>
    <row r="3906" spans="1:16" x14ac:dyDescent="0.25">
      <c r="A3906">
        <v>13.08</v>
      </c>
      <c r="B3906" t="s">
        <v>669</v>
      </c>
      <c r="C3906" t="s">
        <v>669</v>
      </c>
      <c r="D3906" t="s">
        <v>669</v>
      </c>
      <c r="E3906" t="s">
        <v>910</v>
      </c>
      <c r="F3906" t="s">
        <v>910</v>
      </c>
      <c r="K3906">
        <v>13.08</v>
      </c>
      <c r="L3906" t="s">
        <v>930</v>
      </c>
      <c r="P3906">
        <f t="shared" si="60"/>
        <v>0</v>
      </c>
    </row>
    <row r="3907" spans="1:16" x14ac:dyDescent="0.25">
      <c r="A3907">
        <v>13.12</v>
      </c>
      <c r="B3907" t="s">
        <v>669</v>
      </c>
      <c r="C3907" t="s">
        <v>669</v>
      </c>
      <c r="D3907" t="s">
        <v>669</v>
      </c>
      <c r="E3907" t="s">
        <v>910</v>
      </c>
      <c r="F3907" t="s">
        <v>910</v>
      </c>
      <c r="K3907">
        <v>13.12</v>
      </c>
      <c r="L3907" t="s">
        <v>930</v>
      </c>
      <c r="P3907">
        <f t="shared" ref="P3907:P3970" si="61">LEN(I3907)</f>
        <v>0</v>
      </c>
    </row>
    <row r="3908" spans="1:16" x14ac:dyDescent="0.25">
      <c r="A3908">
        <v>13.35</v>
      </c>
      <c r="B3908" t="s">
        <v>669</v>
      </c>
      <c r="C3908" t="s">
        <v>669</v>
      </c>
      <c r="D3908" t="s">
        <v>669</v>
      </c>
      <c r="E3908" t="s">
        <v>910</v>
      </c>
      <c r="F3908" t="s">
        <v>910</v>
      </c>
      <c r="K3908">
        <v>13.35</v>
      </c>
      <c r="L3908" t="s">
        <v>930</v>
      </c>
      <c r="P3908">
        <f t="shared" si="61"/>
        <v>0</v>
      </c>
    </row>
    <row r="3909" spans="1:16" x14ac:dyDescent="0.25">
      <c r="A3909">
        <v>13.37</v>
      </c>
      <c r="B3909" t="s">
        <v>669</v>
      </c>
      <c r="C3909" t="s">
        <v>669</v>
      </c>
      <c r="D3909" t="s">
        <v>669</v>
      </c>
      <c r="E3909" t="s">
        <v>910</v>
      </c>
      <c r="F3909" t="s">
        <v>910</v>
      </c>
      <c r="K3909">
        <v>13.37</v>
      </c>
      <c r="L3909" t="s">
        <v>930</v>
      </c>
      <c r="P3909">
        <f t="shared" si="61"/>
        <v>0</v>
      </c>
    </row>
    <row r="3910" spans="1:16" x14ac:dyDescent="0.25">
      <c r="A3910">
        <v>13.41</v>
      </c>
      <c r="B3910" t="s">
        <v>669</v>
      </c>
      <c r="C3910" t="s">
        <v>669</v>
      </c>
      <c r="D3910" t="s">
        <v>669</v>
      </c>
      <c r="E3910" t="s">
        <v>910</v>
      </c>
      <c r="F3910" t="s">
        <v>910</v>
      </c>
      <c r="K3910">
        <v>13.41</v>
      </c>
      <c r="L3910" t="s">
        <v>930</v>
      </c>
      <c r="P3910">
        <f t="shared" si="61"/>
        <v>0</v>
      </c>
    </row>
    <row r="3911" spans="1:16" x14ac:dyDescent="0.25">
      <c r="A3911">
        <v>13.44</v>
      </c>
      <c r="B3911" t="s">
        <v>669</v>
      </c>
      <c r="C3911" t="s">
        <v>669</v>
      </c>
      <c r="D3911" t="s">
        <v>669</v>
      </c>
      <c r="E3911" t="s">
        <v>910</v>
      </c>
      <c r="F3911" t="s">
        <v>910</v>
      </c>
      <c r="K3911">
        <v>13.44</v>
      </c>
      <c r="L3911" t="s">
        <v>930</v>
      </c>
      <c r="P3911">
        <f t="shared" si="61"/>
        <v>0</v>
      </c>
    </row>
    <row r="3912" spans="1:16" x14ac:dyDescent="0.25">
      <c r="A3912">
        <v>13.49</v>
      </c>
      <c r="B3912" t="s">
        <v>669</v>
      </c>
      <c r="C3912" t="s">
        <v>669</v>
      </c>
      <c r="D3912" t="s">
        <v>669</v>
      </c>
      <c r="E3912" t="s">
        <v>910</v>
      </c>
      <c r="F3912" t="s">
        <v>910</v>
      </c>
      <c r="K3912">
        <v>13.49</v>
      </c>
      <c r="L3912" t="s">
        <v>930</v>
      </c>
      <c r="P3912">
        <f t="shared" si="61"/>
        <v>0</v>
      </c>
    </row>
    <row r="3913" spans="1:16" x14ac:dyDescent="0.25">
      <c r="A3913">
        <v>13.56</v>
      </c>
      <c r="B3913" t="s">
        <v>669</v>
      </c>
      <c r="C3913" t="s">
        <v>669</v>
      </c>
      <c r="D3913" t="s">
        <v>669</v>
      </c>
      <c r="E3913" t="s">
        <v>910</v>
      </c>
      <c r="F3913" t="s">
        <v>910</v>
      </c>
      <c r="K3913">
        <v>13.56</v>
      </c>
      <c r="L3913" t="s">
        <v>930</v>
      </c>
      <c r="P3913">
        <f t="shared" si="61"/>
        <v>0</v>
      </c>
    </row>
    <row r="3914" spans="1:16" x14ac:dyDescent="0.25">
      <c r="A3914">
        <v>13.79</v>
      </c>
      <c r="B3914" t="s">
        <v>669</v>
      </c>
      <c r="C3914" t="s">
        <v>669</v>
      </c>
      <c r="D3914" t="s">
        <v>669</v>
      </c>
      <c r="E3914" t="s">
        <v>910</v>
      </c>
      <c r="F3914" t="s">
        <v>910</v>
      </c>
      <c r="K3914">
        <v>13.79</v>
      </c>
      <c r="L3914" t="s">
        <v>930</v>
      </c>
      <c r="P3914">
        <f t="shared" si="61"/>
        <v>0</v>
      </c>
    </row>
    <row r="3915" spans="1:16" x14ac:dyDescent="0.25">
      <c r="A3915">
        <v>13.92</v>
      </c>
      <c r="B3915" t="s">
        <v>669</v>
      </c>
      <c r="C3915" t="s">
        <v>669</v>
      </c>
      <c r="D3915" t="s">
        <v>669</v>
      </c>
      <c r="E3915" t="s">
        <v>910</v>
      </c>
      <c r="F3915" t="s">
        <v>910</v>
      </c>
      <c r="K3915">
        <v>13.92</v>
      </c>
      <c r="L3915" t="s">
        <v>930</v>
      </c>
      <c r="P3915">
        <f t="shared" si="61"/>
        <v>0</v>
      </c>
    </row>
    <row r="3916" spans="1:16" x14ac:dyDescent="0.25">
      <c r="A3916">
        <v>14.27</v>
      </c>
      <c r="B3916" t="s">
        <v>669</v>
      </c>
      <c r="C3916" t="s">
        <v>669</v>
      </c>
      <c r="D3916" t="s">
        <v>669</v>
      </c>
      <c r="E3916" t="s">
        <v>910</v>
      </c>
      <c r="F3916" t="s">
        <v>910</v>
      </c>
      <c r="K3916">
        <v>14.27</v>
      </c>
      <c r="L3916" t="s">
        <v>930</v>
      </c>
      <c r="P3916">
        <f t="shared" si="61"/>
        <v>0</v>
      </c>
    </row>
    <row r="3917" spans="1:16" x14ac:dyDescent="0.25">
      <c r="A3917">
        <v>14.49</v>
      </c>
      <c r="B3917" t="s">
        <v>669</v>
      </c>
      <c r="C3917" t="s">
        <v>669</v>
      </c>
      <c r="D3917" t="s">
        <v>669</v>
      </c>
      <c r="E3917" t="s">
        <v>910</v>
      </c>
      <c r="F3917" t="s">
        <v>910</v>
      </c>
      <c r="K3917">
        <v>14.49</v>
      </c>
      <c r="L3917" t="s">
        <v>930</v>
      </c>
      <c r="P3917">
        <f t="shared" si="61"/>
        <v>0</v>
      </c>
    </row>
    <row r="3918" spans="1:16" x14ac:dyDescent="0.25">
      <c r="A3918">
        <v>14.55</v>
      </c>
      <c r="B3918" t="s">
        <v>669</v>
      </c>
      <c r="C3918" t="s">
        <v>669</v>
      </c>
      <c r="D3918" t="s">
        <v>669</v>
      </c>
      <c r="E3918" t="s">
        <v>910</v>
      </c>
      <c r="F3918" t="s">
        <v>910</v>
      </c>
      <c r="K3918">
        <v>14.55</v>
      </c>
      <c r="L3918" t="s">
        <v>930</v>
      </c>
      <c r="P3918">
        <f t="shared" si="61"/>
        <v>0</v>
      </c>
    </row>
    <row r="3919" spans="1:16" x14ac:dyDescent="0.25">
      <c r="A3919">
        <v>14.62</v>
      </c>
      <c r="B3919" t="s">
        <v>669</v>
      </c>
      <c r="C3919" t="s">
        <v>669</v>
      </c>
      <c r="D3919" t="s">
        <v>669</v>
      </c>
      <c r="E3919" t="s">
        <v>910</v>
      </c>
      <c r="F3919" t="s">
        <v>910</v>
      </c>
      <c r="K3919">
        <v>14.62</v>
      </c>
      <c r="L3919" t="s">
        <v>930</v>
      </c>
      <c r="P3919">
        <f t="shared" si="61"/>
        <v>0</v>
      </c>
    </row>
    <row r="3920" spans="1:16" x14ac:dyDescent="0.25">
      <c r="A3920">
        <v>14.81</v>
      </c>
      <c r="B3920" t="s">
        <v>669</v>
      </c>
      <c r="C3920" t="s">
        <v>669</v>
      </c>
      <c r="D3920" t="s">
        <v>669</v>
      </c>
      <c r="E3920" t="s">
        <v>910</v>
      </c>
      <c r="F3920" t="s">
        <v>910</v>
      </c>
      <c r="K3920">
        <v>14.81</v>
      </c>
      <c r="L3920" t="s">
        <v>930</v>
      </c>
      <c r="P3920">
        <f t="shared" si="61"/>
        <v>0</v>
      </c>
    </row>
    <row r="3921" spans="1:16" x14ac:dyDescent="0.25">
      <c r="A3921">
        <v>149.17699999999999</v>
      </c>
      <c r="B3921" t="s">
        <v>669</v>
      </c>
      <c r="C3921" t="s">
        <v>669</v>
      </c>
      <c r="D3921" t="s">
        <v>669</v>
      </c>
      <c r="E3921" t="s">
        <v>910</v>
      </c>
      <c r="F3921" t="s">
        <v>910</v>
      </c>
      <c r="K3921">
        <v>149.17699999999999</v>
      </c>
      <c r="L3921" t="s">
        <v>930</v>
      </c>
      <c r="P3921">
        <f t="shared" si="61"/>
        <v>0</v>
      </c>
    </row>
    <row r="3922" spans="1:16" x14ac:dyDescent="0.25">
      <c r="A3922">
        <v>149.465</v>
      </c>
      <c r="B3922" t="s">
        <v>669</v>
      </c>
      <c r="C3922" t="s">
        <v>669</v>
      </c>
      <c r="D3922" t="s">
        <v>669</v>
      </c>
      <c r="E3922" t="s">
        <v>910</v>
      </c>
      <c r="F3922" t="s">
        <v>910</v>
      </c>
      <c r="K3922">
        <v>149.465</v>
      </c>
      <c r="L3922" t="s">
        <v>930</v>
      </c>
      <c r="P3922">
        <f t="shared" si="61"/>
        <v>0</v>
      </c>
    </row>
    <row r="3923" spans="1:16" x14ac:dyDescent="0.25">
      <c r="A3923">
        <v>150.03399999999999</v>
      </c>
      <c r="B3923" t="s">
        <v>669</v>
      </c>
      <c r="C3923" t="s">
        <v>669</v>
      </c>
      <c r="D3923" t="s">
        <v>669</v>
      </c>
      <c r="E3923" t="s">
        <v>910</v>
      </c>
      <c r="F3923" t="s">
        <v>910</v>
      </c>
      <c r="K3923">
        <v>150.03399999999999</v>
      </c>
      <c r="L3923" t="s">
        <v>930</v>
      </c>
      <c r="P3923">
        <f t="shared" si="61"/>
        <v>0</v>
      </c>
    </row>
    <row r="3924" spans="1:16" x14ac:dyDescent="0.25">
      <c r="A3924">
        <v>150.18</v>
      </c>
      <c r="B3924" t="s">
        <v>669</v>
      </c>
      <c r="C3924" t="s">
        <v>669</v>
      </c>
      <c r="D3924" t="s">
        <v>669</v>
      </c>
      <c r="E3924" t="s">
        <v>910</v>
      </c>
      <c r="F3924" t="s">
        <v>910</v>
      </c>
      <c r="K3924">
        <v>150.18</v>
      </c>
      <c r="L3924" t="s">
        <v>930</v>
      </c>
      <c r="P3924">
        <f t="shared" si="61"/>
        <v>0</v>
      </c>
    </row>
    <row r="3925" spans="1:16" x14ac:dyDescent="0.25">
      <c r="A3925">
        <v>151</v>
      </c>
      <c r="B3925" t="s">
        <v>669</v>
      </c>
      <c r="C3925" t="s">
        <v>669</v>
      </c>
      <c r="D3925" t="s">
        <v>669</v>
      </c>
      <c r="E3925" t="s">
        <v>910</v>
      </c>
      <c r="F3925" t="s">
        <v>910</v>
      </c>
      <c r="K3925">
        <v>151</v>
      </c>
      <c r="L3925" t="s">
        <v>930</v>
      </c>
      <c r="P3925">
        <f t="shared" si="61"/>
        <v>0</v>
      </c>
    </row>
    <row r="3926" spans="1:16" x14ac:dyDescent="0.25">
      <c r="A3926">
        <v>151.02000000000001</v>
      </c>
      <c r="B3926" t="s">
        <v>669</v>
      </c>
      <c r="C3926" t="s">
        <v>669</v>
      </c>
      <c r="D3926" t="s">
        <v>669</v>
      </c>
      <c r="E3926" t="s">
        <v>910</v>
      </c>
      <c r="F3926" t="s">
        <v>910</v>
      </c>
      <c r="K3926">
        <v>151.02000000000001</v>
      </c>
      <c r="L3926" t="s">
        <v>930</v>
      </c>
      <c r="P3926">
        <f t="shared" si="61"/>
        <v>0</v>
      </c>
    </row>
    <row r="3927" spans="1:16" x14ac:dyDescent="0.25">
      <c r="A3927">
        <v>151.69999999999999</v>
      </c>
      <c r="B3927" t="s">
        <v>669</v>
      </c>
      <c r="C3927" t="s">
        <v>669</v>
      </c>
      <c r="D3927" t="s">
        <v>669</v>
      </c>
      <c r="E3927" t="s">
        <v>910</v>
      </c>
      <c r="F3927" t="s">
        <v>910</v>
      </c>
      <c r="K3927">
        <v>151.69999999999999</v>
      </c>
      <c r="L3927" t="s">
        <v>930</v>
      </c>
      <c r="P3927">
        <f t="shared" si="61"/>
        <v>0</v>
      </c>
    </row>
    <row r="3928" spans="1:16" x14ac:dyDescent="0.25">
      <c r="A3928">
        <v>153.19999999999999</v>
      </c>
      <c r="B3928" t="s">
        <v>669</v>
      </c>
      <c r="C3928" t="s">
        <v>669</v>
      </c>
      <c r="D3928" t="s">
        <v>669</v>
      </c>
      <c r="E3928" t="s">
        <v>910</v>
      </c>
      <c r="F3928" t="s">
        <v>910</v>
      </c>
      <c r="K3928">
        <v>153.19999999999999</v>
      </c>
      <c r="L3928" t="s">
        <v>930</v>
      </c>
      <c r="P3928">
        <f t="shared" si="61"/>
        <v>0</v>
      </c>
    </row>
    <row r="3929" spans="1:16" x14ac:dyDescent="0.25">
      <c r="A3929">
        <v>158.88499999999999</v>
      </c>
      <c r="B3929" t="s">
        <v>669</v>
      </c>
      <c r="C3929" t="s">
        <v>669</v>
      </c>
      <c r="D3929" t="s">
        <v>669</v>
      </c>
      <c r="E3929" t="s">
        <v>910</v>
      </c>
      <c r="F3929" t="s">
        <v>910</v>
      </c>
      <c r="K3929">
        <v>158.88499999999999</v>
      </c>
      <c r="L3929" t="s">
        <v>930</v>
      </c>
      <c r="P3929">
        <f t="shared" si="61"/>
        <v>0</v>
      </c>
    </row>
    <row r="3930" spans="1:16" x14ac:dyDescent="0.25">
      <c r="A3930">
        <v>159.20500000000001</v>
      </c>
      <c r="B3930" t="s">
        <v>669</v>
      </c>
      <c r="C3930" t="s">
        <v>669</v>
      </c>
      <c r="D3930" t="s">
        <v>669</v>
      </c>
      <c r="E3930" t="s">
        <v>910</v>
      </c>
      <c r="F3930" t="s">
        <v>910</v>
      </c>
      <c r="K3930">
        <v>159.20500000000001</v>
      </c>
      <c r="L3930" t="s">
        <v>930</v>
      </c>
      <c r="P3930">
        <f t="shared" si="61"/>
        <v>0</v>
      </c>
    </row>
    <row r="3931" spans="1:16" x14ac:dyDescent="0.25">
      <c r="A3931">
        <v>16.11</v>
      </c>
      <c r="B3931" t="s">
        <v>669</v>
      </c>
      <c r="C3931" t="s">
        <v>669</v>
      </c>
      <c r="D3931" t="s">
        <v>669</v>
      </c>
      <c r="E3931" t="s">
        <v>910</v>
      </c>
      <c r="F3931" t="s">
        <v>910</v>
      </c>
      <c r="K3931">
        <v>16.11</v>
      </c>
      <c r="L3931" t="s">
        <v>930</v>
      </c>
      <c r="P3931">
        <f t="shared" si="61"/>
        <v>0</v>
      </c>
    </row>
    <row r="3932" spans="1:16" x14ac:dyDescent="0.25">
      <c r="A3932">
        <v>161.44</v>
      </c>
      <c r="B3932" t="s">
        <v>669</v>
      </c>
      <c r="C3932" t="s">
        <v>669</v>
      </c>
      <c r="D3932" t="s">
        <v>669</v>
      </c>
      <c r="E3932" t="s">
        <v>910</v>
      </c>
      <c r="F3932" t="s">
        <v>910</v>
      </c>
      <c r="K3932">
        <v>161.44</v>
      </c>
      <c r="L3932" t="s">
        <v>930</v>
      </c>
      <c r="P3932">
        <f t="shared" si="61"/>
        <v>0</v>
      </c>
    </row>
    <row r="3933" spans="1:16" x14ac:dyDescent="0.25">
      <c r="A3933">
        <v>162.24</v>
      </c>
      <c r="B3933" t="s">
        <v>669</v>
      </c>
      <c r="C3933" t="s">
        <v>669</v>
      </c>
      <c r="D3933" t="s">
        <v>669</v>
      </c>
      <c r="E3933" t="s">
        <v>910</v>
      </c>
      <c r="F3933" t="s">
        <v>910</v>
      </c>
      <c r="K3933">
        <v>162.24</v>
      </c>
      <c r="L3933" t="s">
        <v>930</v>
      </c>
      <c r="P3933">
        <f t="shared" si="61"/>
        <v>0</v>
      </c>
    </row>
    <row r="3934" spans="1:16" x14ac:dyDescent="0.25">
      <c r="A3934">
        <v>162.69999999999999</v>
      </c>
      <c r="B3934" t="s">
        <v>669</v>
      </c>
      <c r="C3934" t="s">
        <v>669</v>
      </c>
      <c r="D3934" t="s">
        <v>669</v>
      </c>
      <c r="E3934" t="s">
        <v>910</v>
      </c>
      <c r="F3934" t="s">
        <v>910</v>
      </c>
      <c r="K3934">
        <v>162.69999999999999</v>
      </c>
      <c r="L3934" t="s">
        <v>930</v>
      </c>
      <c r="P3934">
        <f t="shared" si="61"/>
        <v>0</v>
      </c>
    </row>
    <row r="3935" spans="1:16" x14ac:dyDescent="0.25">
      <c r="A3935">
        <v>168.43</v>
      </c>
      <c r="B3935" t="s">
        <v>669</v>
      </c>
      <c r="C3935" t="s">
        <v>669</v>
      </c>
      <c r="D3935" t="s">
        <v>669</v>
      </c>
      <c r="E3935" t="s">
        <v>910</v>
      </c>
      <c r="F3935" t="s">
        <v>910</v>
      </c>
      <c r="K3935">
        <v>168.43</v>
      </c>
      <c r="L3935" t="s">
        <v>930</v>
      </c>
      <c r="P3935">
        <f t="shared" si="61"/>
        <v>0</v>
      </c>
    </row>
    <row r="3936" spans="1:16" x14ac:dyDescent="0.25">
      <c r="A3936">
        <v>174.3</v>
      </c>
      <c r="B3936" t="s">
        <v>669</v>
      </c>
      <c r="C3936" t="s">
        <v>669</v>
      </c>
      <c r="D3936" t="s">
        <v>669</v>
      </c>
      <c r="E3936" t="s">
        <v>910</v>
      </c>
      <c r="F3936" t="s">
        <v>910</v>
      </c>
      <c r="K3936">
        <v>174.3</v>
      </c>
      <c r="L3936" t="s">
        <v>930</v>
      </c>
      <c r="P3936">
        <f t="shared" si="61"/>
        <v>0</v>
      </c>
    </row>
    <row r="3937" spans="1:16" x14ac:dyDescent="0.25">
      <c r="A3937">
        <v>174.66</v>
      </c>
      <c r="B3937" t="s">
        <v>669</v>
      </c>
      <c r="C3937" t="s">
        <v>669</v>
      </c>
      <c r="D3937" t="s">
        <v>669</v>
      </c>
      <c r="E3937" t="s">
        <v>910</v>
      </c>
      <c r="F3937" t="s">
        <v>910</v>
      </c>
      <c r="K3937">
        <v>174.66</v>
      </c>
      <c r="L3937" t="s">
        <v>930</v>
      </c>
      <c r="P3937">
        <f t="shared" si="61"/>
        <v>0</v>
      </c>
    </row>
    <row r="3938" spans="1:16" x14ac:dyDescent="0.25">
      <c r="A3938">
        <v>184.2</v>
      </c>
      <c r="B3938" t="s">
        <v>669</v>
      </c>
      <c r="C3938" t="s">
        <v>669</v>
      </c>
      <c r="D3938" t="s">
        <v>669</v>
      </c>
      <c r="E3938" t="s">
        <v>910</v>
      </c>
      <c r="F3938" t="s">
        <v>910</v>
      </c>
      <c r="K3938">
        <v>184.2</v>
      </c>
      <c r="L3938" t="s">
        <v>930</v>
      </c>
      <c r="P3938">
        <f t="shared" si="61"/>
        <v>0</v>
      </c>
    </row>
    <row r="3939" spans="1:16" x14ac:dyDescent="0.25">
      <c r="A3939">
        <v>2.13</v>
      </c>
      <c r="B3939" t="s">
        <v>669</v>
      </c>
      <c r="C3939" t="s">
        <v>669</v>
      </c>
      <c r="D3939" t="s">
        <v>669</v>
      </c>
      <c r="E3939" t="s">
        <v>910</v>
      </c>
      <c r="F3939" t="s">
        <v>910</v>
      </c>
      <c r="K3939">
        <v>2.13</v>
      </c>
      <c r="L3939" t="s">
        <v>930</v>
      </c>
      <c r="P3939">
        <f t="shared" si="61"/>
        <v>0</v>
      </c>
    </row>
    <row r="3940" spans="1:16" x14ac:dyDescent="0.25">
      <c r="A3940">
        <v>208</v>
      </c>
      <c r="B3940" t="s">
        <v>669</v>
      </c>
      <c r="C3940" t="s">
        <v>669</v>
      </c>
      <c r="D3940" t="s">
        <v>669</v>
      </c>
      <c r="E3940" t="s">
        <v>910</v>
      </c>
      <c r="F3940" t="s">
        <v>910</v>
      </c>
      <c r="K3940">
        <v>208</v>
      </c>
      <c r="L3940" t="s">
        <v>930</v>
      </c>
      <c r="P3940">
        <f t="shared" si="61"/>
        <v>0</v>
      </c>
    </row>
    <row r="3941" spans="1:16" x14ac:dyDescent="0.25">
      <c r="A3941">
        <v>27.6</v>
      </c>
      <c r="B3941" t="s">
        <v>669</v>
      </c>
      <c r="C3941" t="s">
        <v>669</v>
      </c>
      <c r="D3941" t="s">
        <v>669</v>
      </c>
      <c r="E3941" t="s">
        <v>910</v>
      </c>
      <c r="F3941" t="s">
        <v>910</v>
      </c>
      <c r="K3941">
        <v>27.6</v>
      </c>
      <c r="L3941" t="s">
        <v>930</v>
      </c>
      <c r="P3941">
        <f t="shared" si="61"/>
        <v>0</v>
      </c>
    </row>
    <row r="3942" spans="1:16" x14ac:dyDescent="0.25">
      <c r="A3942">
        <v>28.1</v>
      </c>
      <c r="B3942" t="s">
        <v>669</v>
      </c>
      <c r="C3942" t="s">
        <v>669</v>
      </c>
      <c r="D3942" t="s">
        <v>669</v>
      </c>
      <c r="E3942" t="s">
        <v>910</v>
      </c>
      <c r="F3942" t="s">
        <v>910</v>
      </c>
      <c r="K3942">
        <v>28.1</v>
      </c>
      <c r="L3942" t="s">
        <v>930</v>
      </c>
      <c r="P3942">
        <f t="shared" si="61"/>
        <v>0</v>
      </c>
    </row>
    <row r="3943" spans="1:16" x14ac:dyDescent="0.25">
      <c r="A3943">
        <v>29</v>
      </c>
      <c r="B3943" t="s">
        <v>669</v>
      </c>
      <c r="C3943" t="s">
        <v>669</v>
      </c>
      <c r="D3943" t="s">
        <v>669</v>
      </c>
      <c r="E3943" t="s">
        <v>910</v>
      </c>
      <c r="F3943" t="s">
        <v>910</v>
      </c>
      <c r="K3943">
        <v>29</v>
      </c>
      <c r="L3943" t="s">
        <v>930</v>
      </c>
      <c r="P3943">
        <f t="shared" si="61"/>
        <v>0</v>
      </c>
    </row>
    <row r="3944" spans="1:16" x14ac:dyDescent="0.25">
      <c r="A3944" t="s">
        <v>8</v>
      </c>
      <c r="B3944" t="s">
        <v>669</v>
      </c>
      <c r="C3944" t="s">
        <v>669</v>
      </c>
      <c r="D3944" t="s">
        <v>669</v>
      </c>
      <c r="E3944" t="s">
        <v>910</v>
      </c>
      <c r="F3944" t="s">
        <v>910</v>
      </c>
      <c r="J3944">
        <v>29.5</v>
      </c>
      <c r="K3944">
        <v>28.5</v>
      </c>
      <c r="L3944" t="s">
        <v>303</v>
      </c>
      <c r="P3944">
        <f t="shared" si="61"/>
        <v>0</v>
      </c>
    </row>
    <row r="3945" spans="1:16" x14ac:dyDescent="0.25">
      <c r="A3945" t="s">
        <v>9</v>
      </c>
      <c r="B3945" t="s">
        <v>669</v>
      </c>
      <c r="C3945" t="s">
        <v>669</v>
      </c>
      <c r="D3945" t="s">
        <v>669</v>
      </c>
      <c r="E3945" t="s">
        <v>910</v>
      </c>
      <c r="F3945" t="s">
        <v>910</v>
      </c>
      <c r="J3945">
        <v>29.32</v>
      </c>
      <c r="K3945">
        <v>29.16</v>
      </c>
      <c r="L3945" t="s">
        <v>303</v>
      </c>
      <c r="P3945">
        <f t="shared" si="61"/>
        <v>0</v>
      </c>
    </row>
    <row r="3946" spans="1:16" x14ac:dyDescent="0.25">
      <c r="A3946">
        <v>29.8</v>
      </c>
      <c r="B3946" t="s">
        <v>669</v>
      </c>
      <c r="C3946" t="s">
        <v>669</v>
      </c>
      <c r="D3946" t="s">
        <v>669</v>
      </c>
      <c r="E3946" t="s">
        <v>910</v>
      </c>
      <c r="F3946" t="s">
        <v>910</v>
      </c>
      <c r="K3946">
        <v>29.8</v>
      </c>
      <c r="L3946" t="s">
        <v>930</v>
      </c>
      <c r="P3946">
        <f t="shared" si="61"/>
        <v>0</v>
      </c>
    </row>
    <row r="3947" spans="1:16" x14ac:dyDescent="0.25">
      <c r="A3947">
        <v>33.21</v>
      </c>
      <c r="B3947" t="s">
        <v>669</v>
      </c>
      <c r="C3947" t="s">
        <v>669</v>
      </c>
      <c r="D3947" t="s">
        <v>669</v>
      </c>
      <c r="E3947" t="s">
        <v>910</v>
      </c>
      <c r="F3947" t="s">
        <v>910</v>
      </c>
      <c r="K3947">
        <v>33.21</v>
      </c>
      <c r="L3947" t="s">
        <v>930</v>
      </c>
      <c r="P3947">
        <f t="shared" si="61"/>
        <v>0</v>
      </c>
    </row>
    <row r="3948" spans="1:16" x14ac:dyDescent="0.25">
      <c r="A3948">
        <v>33.5</v>
      </c>
      <c r="B3948" t="s">
        <v>669</v>
      </c>
      <c r="C3948" t="s">
        <v>669</v>
      </c>
      <c r="D3948" t="s">
        <v>669</v>
      </c>
      <c r="E3948" t="s">
        <v>910</v>
      </c>
      <c r="F3948" t="s">
        <v>910</v>
      </c>
      <c r="K3948">
        <v>33.5</v>
      </c>
      <c r="L3948" t="s">
        <v>930</v>
      </c>
      <c r="P3948">
        <f t="shared" si="61"/>
        <v>0</v>
      </c>
    </row>
    <row r="3949" spans="1:16" x14ac:dyDescent="0.25">
      <c r="A3949">
        <v>34.4</v>
      </c>
      <c r="B3949" t="s">
        <v>669</v>
      </c>
      <c r="C3949" t="s">
        <v>669</v>
      </c>
      <c r="D3949" t="s">
        <v>669</v>
      </c>
      <c r="E3949" t="s">
        <v>910</v>
      </c>
      <c r="F3949" t="s">
        <v>910</v>
      </c>
      <c r="K3949">
        <v>34.4</v>
      </c>
      <c r="L3949" t="s">
        <v>930</v>
      </c>
      <c r="P3949">
        <f t="shared" si="61"/>
        <v>0</v>
      </c>
    </row>
    <row r="3950" spans="1:16" x14ac:dyDescent="0.25">
      <c r="A3950">
        <v>34.82</v>
      </c>
      <c r="B3950" t="s">
        <v>669</v>
      </c>
      <c r="C3950" t="s">
        <v>669</v>
      </c>
      <c r="D3950" t="s">
        <v>669</v>
      </c>
      <c r="E3950" t="s">
        <v>910</v>
      </c>
      <c r="F3950" t="s">
        <v>910</v>
      </c>
      <c r="K3950">
        <v>34.82</v>
      </c>
      <c r="L3950" t="s">
        <v>930</v>
      </c>
      <c r="P3950">
        <f t="shared" si="61"/>
        <v>0</v>
      </c>
    </row>
    <row r="3951" spans="1:16" x14ac:dyDescent="0.25">
      <c r="A3951">
        <v>35.69</v>
      </c>
      <c r="B3951" t="s">
        <v>669</v>
      </c>
      <c r="C3951" t="s">
        <v>669</v>
      </c>
      <c r="D3951" t="s">
        <v>669</v>
      </c>
      <c r="E3951" t="s">
        <v>910</v>
      </c>
      <c r="F3951" t="s">
        <v>910</v>
      </c>
      <c r="K3951">
        <v>35.69</v>
      </c>
      <c r="L3951" t="s">
        <v>930</v>
      </c>
      <c r="P3951">
        <f t="shared" si="61"/>
        <v>0</v>
      </c>
    </row>
    <row r="3952" spans="1:16" x14ac:dyDescent="0.25">
      <c r="A3952">
        <v>36.1</v>
      </c>
      <c r="B3952" t="s">
        <v>669</v>
      </c>
      <c r="C3952" t="s">
        <v>669</v>
      </c>
      <c r="D3952" t="s">
        <v>669</v>
      </c>
      <c r="E3952" t="s">
        <v>910</v>
      </c>
      <c r="F3952" t="s">
        <v>910</v>
      </c>
      <c r="K3952">
        <v>36.1</v>
      </c>
      <c r="L3952" t="s">
        <v>930</v>
      </c>
      <c r="P3952">
        <f t="shared" si="61"/>
        <v>0</v>
      </c>
    </row>
    <row r="3953" spans="1:16" x14ac:dyDescent="0.25">
      <c r="A3953">
        <v>37.9</v>
      </c>
      <c r="B3953" t="s">
        <v>669</v>
      </c>
      <c r="C3953" t="s">
        <v>669</v>
      </c>
      <c r="D3953" t="s">
        <v>669</v>
      </c>
      <c r="E3953" t="s">
        <v>910</v>
      </c>
      <c r="F3953" t="s">
        <v>910</v>
      </c>
      <c r="K3953">
        <v>37.9</v>
      </c>
      <c r="L3953" t="s">
        <v>930</v>
      </c>
      <c r="P3953">
        <f t="shared" si="61"/>
        <v>0</v>
      </c>
    </row>
    <row r="3954" spans="1:16" x14ac:dyDescent="0.25">
      <c r="A3954" t="s">
        <v>11</v>
      </c>
      <c r="B3954" t="s">
        <v>669</v>
      </c>
      <c r="C3954" t="s">
        <v>669</v>
      </c>
      <c r="D3954" t="s">
        <v>669</v>
      </c>
      <c r="E3954" t="s">
        <v>910</v>
      </c>
      <c r="F3954" t="s">
        <v>910</v>
      </c>
      <c r="J3954">
        <v>393.3</v>
      </c>
      <c r="K3954">
        <v>382.7</v>
      </c>
      <c r="L3954" t="s">
        <v>303</v>
      </c>
      <c r="P3954">
        <f t="shared" si="61"/>
        <v>0</v>
      </c>
    </row>
    <row r="3955" spans="1:16" x14ac:dyDescent="0.25">
      <c r="A3955" t="s">
        <v>12</v>
      </c>
      <c r="B3955" t="s">
        <v>669</v>
      </c>
      <c r="C3955" t="s">
        <v>669</v>
      </c>
      <c r="D3955" t="s">
        <v>669</v>
      </c>
      <c r="E3955" t="s">
        <v>910</v>
      </c>
      <c r="F3955" t="s">
        <v>910</v>
      </c>
      <c r="K3955">
        <v>4</v>
      </c>
      <c r="L3955" t="s">
        <v>931</v>
      </c>
      <c r="P3955">
        <f t="shared" si="61"/>
        <v>0</v>
      </c>
    </row>
    <row r="3956" spans="1:16" x14ac:dyDescent="0.25">
      <c r="A3956">
        <v>4.04</v>
      </c>
      <c r="B3956" t="s">
        <v>669</v>
      </c>
      <c r="C3956" t="s">
        <v>669</v>
      </c>
      <c r="D3956" t="s">
        <v>669</v>
      </c>
      <c r="E3956" t="s">
        <v>910</v>
      </c>
      <c r="F3956" t="s">
        <v>910</v>
      </c>
      <c r="K3956">
        <v>4.04</v>
      </c>
      <c r="L3956" t="s">
        <v>930</v>
      </c>
      <c r="P3956">
        <f t="shared" si="61"/>
        <v>0</v>
      </c>
    </row>
    <row r="3957" spans="1:16" x14ac:dyDescent="0.25">
      <c r="A3957">
        <v>4.4000000000000004</v>
      </c>
      <c r="B3957" t="s">
        <v>669</v>
      </c>
      <c r="C3957" t="s">
        <v>669</v>
      </c>
      <c r="D3957" t="s">
        <v>669</v>
      </c>
      <c r="E3957" t="s">
        <v>910</v>
      </c>
      <c r="F3957" t="s">
        <v>910</v>
      </c>
      <c r="K3957">
        <v>4.4000000000000004</v>
      </c>
      <c r="L3957" t="s">
        <v>930</v>
      </c>
      <c r="P3957">
        <f t="shared" si="61"/>
        <v>0</v>
      </c>
    </row>
    <row r="3958" spans="1:16" x14ac:dyDescent="0.25">
      <c r="A3958">
        <v>4.5</v>
      </c>
      <c r="B3958" t="s">
        <v>669</v>
      </c>
      <c r="C3958" t="s">
        <v>669</v>
      </c>
      <c r="D3958" t="s">
        <v>669</v>
      </c>
      <c r="E3958" t="s">
        <v>910</v>
      </c>
      <c r="F3958" t="s">
        <v>910</v>
      </c>
      <c r="K3958">
        <v>4.5</v>
      </c>
      <c r="L3958" t="s">
        <v>930</v>
      </c>
      <c r="P3958">
        <f t="shared" si="61"/>
        <v>0</v>
      </c>
    </row>
    <row r="3959" spans="1:16" x14ac:dyDescent="0.25">
      <c r="A3959">
        <v>44.6</v>
      </c>
      <c r="B3959" t="s">
        <v>669</v>
      </c>
      <c r="C3959" t="s">
        <v>669</v>
      </c>
      <c r="D3959" t="s">
        <v>669</v>
      </c>
      <c r="E3959" t="s">
        <v>910</v>
      </c>
      <c r="F3959" t="s">
        <v>910</v>
      </c>
      <c r="K3959">
        <v>44.6</v>
      </c>
      <c r="L3959" t="s">
        <v>930</v>
      </c>
      <c r="P3959">
        <f t="shared" si="61"/>
        <v>0</v>
      </c>
    </row>
    <row r="3960" spans="1:16" x14ac:dyDescent="0.25">
      <c r="A3960">
        <v>53.57</v>
      </c>
      <c r="B3960" t="s">
        <v>669</v>
      </c>
      <c r="C3960" t="s">
        <v>669</v>
      </c>
      <c r="D3960" t="s">
        <v>669</v>
      </c>
      <c r="E3960" t="s">
        <v>910</v>
      </c>
      <c r="F3960" t="s">
        <v>910</v>
      </c>
      <c r="K3960">
        <v>53.57</v>
      </c>
      <c r="L3960" t="s">
        <v>930</v>
      </c>
      <c r="P3960">
        <f t="shared" si="61"/>
        <v>0</v>
      </c>
    </row>
    <row r="3961" spans="1:16" x14ac:dyDescent="0.25">
      <c r="A3961">
        <v>54.5</v>
      </c>
      <c r="B3961" t="s">
        <v>669</v>
      </c>
      <c r="C3961" t="s">
        <v>669</v>
      </c>
      <c r="D3961" t="s">
        <v>669</v>
      </c>
      <c r="E3961" t="s">
        <v>910</v>
      </c>
      <c r="F3961" t="s">
        <v>910</v>
      </c>
      <c r="K3961">
        <v>54.5</v>
      </c>
      <c r="L3961" t="s">
        <v>930</v>
      </c>
      <c r="P3961">
        <f t="shared" si="61"/>
        <v>0</v>
      </c>
    </row>
    <row r="3962" spans="1:16" x14ac:dyDescent="0.25">
      <c r="A3962">
        <v>62.4</v>
      </c>
      <c r="B3962" t="s">
        <v>669</v>
      </c>
      <c r="C3962" t="s">
        <v>669</v>
      </c>
      <c r="D3962" t="s">
        <v>669</v>
      </c>
      <c r="E3962" t="s">
        <v>910</v>
      </c>
      <c r="F3962" t="s">
        <v>910</v>
      </c>
      <c r="K3962">
        <v>62.4</v>
      </c>
      <c r="L3962" t="s">
        <v>930</v>
      </c>
      <c r="P3962">
        <f t="shared" si="61"/>
        <v>0</v>
      </c>
    </row>
    <row r="3963" spans="1:16" x14ac:dyDescent="0.25">
      <c r="A3963">
        <v>68.3</v>
      </c>
      <c r="B3963" t="s">
        <v>669</v>
      </c>
      <c r="C3963" t="s">
        <v>669</v>
      </c>
      <c r="D3963" t="s">
        <v>669</v>
      </c>
      <c r="E3963" t="s">
        <v>910</v>
      </c>
      <c r="F3963" t="s">
        <v>910</v>
      </c>
      <c r="K3963">
        <v>68.3</v>
      </c>
      <c r="L3963" t="s">
        <v>930</v>
      </c>
      <c r="P3963">
        <f t="shared" si="61"/>
        <v>0</v>
      </c>
    </row>
    <row r="3964" spans="1:16" x14ac:dyDescent="0.25">
      <c r="A3964">
        <v>77.2</v>
      </c>
      <c r="B3964" t="s">
        <v>669</v>
      </c>
      <c r="C3964" t="s">
        <v>669</v>
      </c>
      <c r="D3964" t="s">
        <v>669</v>
      </c>
      <c r="E3964" t="s">
        <v>910</v>
      </c>
      <c r="F3964" t="s">
        <v>910</v>
      </c>
      <c r="K3964">
        <v>77.2</v>
      </c>
      <c r="L3964" t="s">
        <v>930</v>
      </c>
      <c r="P3964">
        <f t="shared" si="61"/>
        <v>0</v>
      </c>
    </row>
    <row r="3965" spans="1:16" x14ac:dyDescent="0.25">
      <c r="A3965">
        <v>9.23</v>
      </c>
      <c r="B3965" t="s">
        <v>669</v>
      </c>
      <c r="C3965" t="s">
        <v>669</v>
      </c>
      <c r="D3965" t="s">
        <v>669</v>
      </c>
      <c r="E3965" t="s">
        <v>910</v>
      </c>
      <c r="F3965" t="s">
        <v>910</v>
      </c>
      <c r="K3965">
        <v>9.23</v>
      </c>
      <c r="L3965" t="s">
        <v>930</v>
      </c>
      <c r="P3965">
        <f t="shared" si="61"/>
        <v>0</v>
      </c>
    </row>
    <row r="3966" spans="1:16" x14ac:dyDescent="0.25">
      <c r="A3966">
        <v>90</v>
      </c>
      <c r="B3966" t="s">
        <v>669</v>
      </c>
      <c r="C3966" t="s">
        <v>669</v>
      </c>
      <c r="D3966" t="s">
        <v>669</v>
      </c>
      <c r="E3966" t="s">
        <v>910</v>
      </c>
      <c r="F3966" t="s">
        <v>910</v>
      </c>
      <c r="K3966">
        <v>90</v>
      </c>
      <c r="L3966" t="s">
        <v>930</v>
      </c>
      <c r="P3966">
        <f t="shared" si="61"/>
        <v>0</v>
      </c>
    </row>
    <row r="3967" spans="1:16" x14ac:dyDescent="0.25">
      <c r="A3967">
        <v>93.32</v>
      </c>
      <c r="B3967" t="s">
        <v>669</v>
      </c>
      <c r="C3967" t="s">
        <v>669</v>
      </c>
      <c r="D3967" t="s">
        <v>669</v>
      </c>
      <c r="E3967" t="s">
        <v>910</v>
      </c>
      <c r="F3967" t="s">
        <v>910</v>
      </c>
      <c r="K3967">
        <v>93.32</v>
      </c>
      <c r="L3967" t="s">
        <v>930</v>
      </c>
      <c r="P3967">
        <f t="shared" si="61"/>
        <v>0</v>
      </c>
    </row>
    <row r="3968" spans="1:16" x14ac:dyDescent="0.25">
      <c r="A3968">
        <v>99.454999999999998</v>
      </c>
      <c r="B3968" t="s">
        <v>669</v>
      </c>
      <c r="C3968" t="s">
        <v>669</v>
      </c>
      <c r="D3968" t="s">
        <v>669</v>
      </c>
      <c r="E3968" t="s">
        <v>910</v>
      </c>
      <c r="F3968" t="s">
        <v>910</v>
      </c>
      <c r="K3968">
        <v>99.454999999999998</v>
      </c>
      <c r="L3968" t="s">
        <v>930</v>
      </c>
      <c r="P3968">
        <f t="shared" si="61"/>
        <v>0</v>
      </c>
    </row>
    <row r="3969" spans="1:16" x14ac:dyDescent="0.25">
      <c r="A3969" t="s">
        <v>14</v>
      </c>
      <c r="B3969" t="s">
        <v>669</v>
      </c>
      <c r="C3969" t="s">
        <v>669</v>
      </c>
      <c r="D3969" t="s">
        <v>669</v>
      </c>
      <c r="E3969" t="s">
        <v>910</v>
      </c>
      <c r="F3969" t="s">
        <v>910</v>
      </c>
      <c r="P3969">
        <f t="shared" si="61"/>
        <v>0</v>
      </c>
    </row>
    <row r="3970" spans="1:16" x14ac:dyDescent="0.25">
      <c r="A3970" t="s">
        <v>15</v>
      </c>
      <c r="B3970" t="s">
        <v>669</v>
      </c>
      <c r="C3970" t="s">
        <v>669</v>
      </c>
      <c r="D3970" t="s">
        <v>669</v>
      </c>
      <c r="E3970" t="s">
        <v>910</v>
      </c>
      <c r="F3970" t="s">
        <v>910</v>
      </c>
      <c r="P3970">
        <f t="shared" si="61"/>
        <v>0</v>
      </c>
    </row>
    <row r="3971" spans="1:16" x14ac:dyDescent="0.25">
      <c r="A3971" t="s">
        <v>16</v>
      </c>
      <c r="B3971" t="s">
        <v>669</v>
      </c>
      <c r="C3971" t="s">
        <v>669</v>
      </c>
      <c r="D3971" t="s">
        <v>669</v>
      </c>
      <c r="E3971" t="s">
        <v>910</v>
      </c>
      <c r="F3971" t="s">
        <v>910</v>
      </c>
      <c r="P3971">
        <f t="shared" ref="P3971:P4034" si="62">LEN(I3971)</f>
        <v>0</v>
      </c>
    </row>
    <row r="3972" spans="1:16" x14ac:dyDescent="0.25">
      <c r="A3972" t="s">
        <v>17</v>
      </c>
      <c r="B3972" t="s">
        <v>669</v>
      </c>
      <c r="C3972" t="s">
        <v>669</v>
      </c>
      <c r="D3972" t="s">
        <v>669</v>
      </c>
      <c r="E3972">
        <v>47</v>
      </c>
      <c r="F3972">
        <v>47</v>
      </c>
      <c r="G3972" t="s">
        <v>675</v>
      </c>
      <c r="H3972" t="s">
        <v>675</v>
      </c>
      <c r="P3972">
        <f t="shared" si="62"/>
        <v>0</v>
      </c>
    </row>
    <row r="3973" spans="1:16" x14ac:dyDescent="0.25">
      <c r="A3973" t="s">
        <v>18</v>
      </c>
      <c r="B3973" t="s">
        <v>669</v>
      </c>
      <c r="C3973" t="s">
        <v>669</v>
      </c>
      <c r="D3973" t="s">
        <v>669</v>
      </c>
      <c r="E3973">
        <v>47</v>
      </c>
      <c r="F3973">
        <v>45</v>
      </c>
      <c r="G3973" t="s">
        <v>675</v>
      </c>
      <c r="H3973" t="s">
        <v>679</v>
      </c>
      <c r="P3973">
        <f t="shared" si="62"/>
        <v>0</v>
      </c>
    </row>
    <row r="3974" spans="1:16" x14ac:dyDescent="0.25">
      <c r="A3974" t="s">
        <v>19</v>
      </c>
      <c r="B3974" t="s">
        <v>669</v>
      </c>
      <c r="C3974" t="s">
        <v>669</v>
      </c>
      <c r="D3974" t="s">
        <v>669</v>
      </c>
      <c r="E3974">
        <v>47</v>
      </c>
      <c r="F3974">
        <v>45</v>
      </c>
      <c r="G3974" t="s">
        <v>675</v>
      </c>
      <c r="H3974" t="s">
        <v>679</v>
      </c>
      <c r="P3974">
        <f t="shared" si="62"/>
        <v>0</v>
      </c>
    </row>
    <row r="3975" spans="1:16" x14ac:dyDescent="0.25">
      <c r="A3975" t="s">
        <v>20</v>
      </c>
      <c r="B3975" t="s">
        <v>669</v>
      </c>
      <c r="C3975" t="s">
        <v>669</v>
      </c>
      <c r="D3975" t="s">
        <v>669</v>
      </c>
      <c r="E3975">
        <v>47</v>
      </c>
      <c r="F3975">
        <v>47</v>
      </c>
      <c r="G3975" t="s">
        <v>675</v>
      </c>
      <c r="H3975" t="s">
        <v>675</v>
      </c>
      <c r="P3975">
        <f t="shared" si="62"/>
        <v>0</v>
      </c>
    </row>
    <row r="3976" spans="1:16" x14ac:dyDescent="0.25">
      <c r="A3976" t="s">
        <v>22</v>
      </c>
      <c r="B3976" t="s">
        <v>669</v>
      </c>
      <c r="C3976" t="s">
        <v>669</v>
      </c>
      <c r="D3976" t="s">
        <v>669</v>
      </c>
      <c r="E3976">
        <v>75</v>
      </c>
      <c r="F3976">
        <v>74</v>
      </c>
      <c r="G3976" t="s">
        <v>682</v>
      </c>
      <c r="H3976" t="s">
        <v>683</v>
      </c>
      <c r="P3976">
        <f t="shared" si="62"/>
        <v>0</v>
      </c>
    </row>
    <row r="3977" spans="1:16" x14ac:dyDescent="0.25">
      <c r="A3977" t="s">
        <v>24</v>
      </c>
      <c r="B3977" t="s">
        <v>669</v>
      </c>
      <c r="C3977" t="s">
        <v>669</v>
      </c>
      <c r="D3977" t="s">
        <v>669</v>
      </c>
      <c r="E3977">
        <v>7</v>
      </c>
      <c r="F3977">
        <v>5</v>
      </c>
      <c r="G3977" t="s">
        <v>685</v>
      </c>
      <c r="H3977" t="s">
        <v>684</v>
      </c>
      <c r="P3977">
        <f t="shared" si="62"/>
        <v>0</v>
      </c>
    </row>
    <row r="3978" spans="1:16" x14ac:dyDescent="0.25">
      <c r="A3978" t="s">
        <v>26</v>
      </c>
      <c r="B3978" t="s">
        <v>669</v>
      </c>
      <c r="C3978" t="s">
        <v>669</v>
      </c>
      <c r="D3978" t="s">
        <v>669</v>
      </c>
      <c r="E3978">
        <v>23</v>
      </c>
      <c r="F3978">
        <v>23</v>
      </c>
      <c r="G3978" t="s">
        <v>676</v>
      </c>
      <c r="H3978" t="s">
        <v>676</v>
      </c>
      <c r="P3978">
        <f t="shared" si="62"/>
        <v>0</v>
      </c>
    </row>
    <row r="3979" spans="1:16" x14ac:dyDescent="0.25">
      <c r="A3979" t="s">
        <v>27</v>
      </c>
      <c r="B3979" t="s">
        <v>669</v>
      </c>
      <c r="C3979" t="s">
        <v>669</v>
      </c>
      <c r="D3979" t="s">
        <v>669</v>
      </c>
      <c r="E3979">
        <v>23</v>
      </c>
      <c r="F3979">
        <v>22</v>
      </c>
      <c r="G3979" t="s">
        <v>676</v>
      </c>
      <c r="H3979" t="s">
        <v>755</v>
      </c>
      <c r="P3979">
        <f t="shared" si="62"/>
        <v>0</v>
      </c>
    </row>
    <row r="3980" spans="1:16" x14ac:dyDescent="0.25">
      <c r="A3980" t="s">
        <v>28</v>
      </c>
      <c r="B3980" t="s">
        <v>669</v>
      </c>
      <c r="C3980" t="s">
        <v>669</v>
      </c>
      <c r="D3980" t="s">
        <v>669</v>
      </c>
      <c r="E3980">
        <v>173</v>
      </c>
      <c r="F3980">
        <v>173</v>
      </c>
      <c r="G3980" t="s">
        <v>678</v>
      </c>
      <c r="H3980" t="s">
        <v>678</v>
      </c>
      <c r="P3980">
        <f t="shared" si="62"/>
        <v>0</v>
      </c>
    </row>
    <row r="3981" spans="1:16" x14ac:dyDescent="0.25">
      <c r="A3981" t="s">
        <v>904</v>
      </c>
      <c r="B3981" t="s">
        <v>669</v>
      </c>
      <c r="C3981" t="s">
        <v>669</v>
      </c>
      <c r="D3981" t="s">
        <v>669</v>
      </c>
      <c r="E3981">
        <v>173</v>
      </c>
      <c r="F3981">
        <v>159</v>
      </c>
      <c r="G3981" t="s">
        <v>678</v>
      </c>
      <c r="H3981" t="s">
        <v>722</v>
      </c>
      <c r="P3981">
        <f t="shared" si="62"/>
        <v>0</v>
      </c>
    </row>
    <row r="3982" spans="1:16" x14ac:dyDescent="0.25">
      <c r="A3982" t="s">
        <v>29</v>
      </c>
      <c r="B3982" t="s">
        <v>669</v>
      </c>
      <c r="C3982" t="s">
        <v>669</v>
      </c>
      <c r="D3982" t="s">
        <v>669</v>
      </c>
      <c r="E3982">
        <v>173</v>
      </c>
      <c r="F3982">
        <v>173</v>
      </c>
      <c r="G3982" t="s">
        <v>678</v>
      </c>
      <c r="H3982" t="s">
        <v>678</v>
      </c>
      <c r="P3982">
        <f t="shared" si="62"/>
        <v>0</v>
      </c>
    </row>
    <row r="3983" spans="1:16" x14ac:dyDescent="0.25">
      <c r="A3983" t="s">
        <v>903</v>
      </c>
      <c r="B3983" t="s">
        <v>669</v>
      </c>
      <c r="C3983" t="s">
        <v>669</v>
      </c>
      <c r="D3983" t="s">
        <v>669</v>
      </c>
      <c r="E3983">
        <v>173</v>
      </c>
      <c r="F3983">
        <v>173</v>
      </c>
      <c r="G3983" t="s">
        <v>678</v>
      </c>
      <c r="H3983" t="s">
        <v>678</v>
      </c>
      <c r="P3983">
        <f t="shared" si="62"/>
        <v>0</v>
      </c>
    </row>
    <row r="3984" spans="1:16" x14ac:dyDescent="0.25">
      <c r="A3984" t="s">
        <v>30</v>
      </c>
      <c r="B3984" t="s">
        <v>669</v>
      </c>
      <c r="C3984" t="s">
        <v>669</v>
      </c>
      <c r="D3984" t="s">
        <v>669</v>
      </c>
      <c r="E3984">
        <v>174</v>
      </c>
      <c r="F3984">
        <v>174</v>
      </c>
      <c r="G3984" t="s">
        <v>745</v>
      </c>
      <c r="H3984" t="s">
        <v>745</v>
      </c>
      <c r="P3984">
        <f t="shared" si="62"/>
        <v>0</v>
      </c>
    </row>
    <row r="3985" spans="1:16" x14ac:dyDescent="0.25">
      <c r="A3985" t="s">
        <v>31</v>
      </c>
      <c r="B3985" t="s">
        <v>669</v>
      </c>
      <c r="C3985" t="s">
        <v>669</v>
      </c>
      <c r="D3985" t="s">
        <v>669</v>
      </c>
      <c r="E3985">
        <v>32</v>
      </c>
      <c r="F3985">
        <v>32</v>
      </c>
      <c r="G3985" t="s">
        <v>696</v>
      </c>
      <c r="H3985" t="s">
        <v>696</v>
      </c>
      <c r="P3985">
        <f t="shared" si="62"/>
        <v>0</v>
      </c>
    </row>
    <row r="3986" spans="1:16" x14ac:dyDescent="0.25">
      <c r="A3986" t="s">
        <v>32</v>
      </c>
      <c r="B3986" t="s">
        <v>669</v>
      </c>
      <c r="C3986" t="s">
        <v>669</v>
      </c>
      <c r="D3986" t="s">
        <v>669</v>
      </c>
      <c r="E3986">
        <v>36</v>
      </c>
      <c r="F3986">
        <v>36</v>
      </c>
      <c r="G3986" t="s">
        <v>714</v>
      </c>
      <c r="H3986" t="s">
        <v>714</v>
      </c>
      <c r="P3986">
        <f t="shared" si="62"/>
        <v>0</v>
      </c>
    </row>
    <row r="3987" spans="1:16" x14ac:dyDescent="0.25">
      <c r="A3987" t="s">
        <v>33</v>
      </c>
      <c r="B3987" t="s">
        <v>669</v>
      </c>
      <c r="C3987" t="s">
        <v>669</v>
      </c>
      <c r="D3987" t="s">
        <v>669</v>
      </c>
      <c r="E3987">
        <v>38</v>
      </c>
      <c r="F3987">
        <v>13</v>
      </c>
      <c r="G3987" t="s">
        <v>704</v>
      </c>
      <c r="H3987" t="s">
        <v>686</v>
      </c>
      <c r="P3987">
        <f t="shared" si="62"/>
        <v>0</v>
      </c>
    </row>
    <row r="3988" spans="1:16" x14ac:dyDescent="0.25">
      <c r="A3988" t="s">
        <v>34</v>
      </c>
      <c r="B3988" t="s">
        <v>669</v>
      </c>
      <c r="C3988" t="s">
        <v>669</v>
      </c>
      <c r="D3988" t="s">
        <v>669</v>
      </c>
      <c r="E3988">
        <v>22</v>
      </c>
      <c r="F3988">
        <v>22</v>
      </c>
      <c r="G3988" t="s">
        <v>755</v>
      </c>
      <c r="H3988" t="s">
        <v>755</v>
      </c>
      <c r="P3988">
        <f t="shared" si="62"/>
        <v>0</v>
      </c>
    </row>
    <row r="3989" spans="1:16" x14ac:dyDescent="0.25">
      <c r="A3989" t="s">
        <v>35</v>
      </c>
      <c r="B3989" t="s">
        <v>669</v>
      </c>
      <c r="C3989" t="s">
        <v>669</v>
      </c>
      <c r="D3989" t="s">
        <v>669</v>
      </c>
      <c r="E3989">
        <v>59</v>
      </c>
      <c r="F3989">
        <v>57</v>
      </c>
      <c r="G3989" t="s">
        <v>788</v>
      </c>
      <c r="H3989" t="s">
        <v>732</v>
      </c>
      <c r="P3989">
        <f t="shared" si="62"/>
        <v>0</v>
      </c>
    </row>
    <row r="3990" spans="1:16" x14ac:dyDescent="0.25">
      <c r="A3990" t="s">
        <v>36</v>
      </c>
      <c r="B3990" t="s">
        <v>669</v>
      </c>
      <c r="C3990" t="s">
        <v>669</v>
      </c>
      <c r="D3990" t="s">
        <v>669</v>
      </c>
      <c r="E3990">
        <v>59</v>
      </c>
      <c r="F3990">
        <v>57</v>
      </c>
      <c r="G3990" t="s">
        <v>788</v>
      </c>
      <c r="H3990" t="s">
        <v>732</v>
      </c>
      <c r="P3990">
        <f t="shared" si="62"/>
        <v>0</v>
      </c>
    </row>
    <row r="3991" spans="1:16" x14ac:dyDescent="0.25">
      <c r="A3991" t="s">
        <v>37</v>
      </c>
      <c r="B3991" t="s">
        <v>669</v>
      </c>
      <c r="C3991" t="s">
        <v>669</v>
      </c>
      <c r="D3991" t="s">
        <v>669</v>
      </c>
      <c r="E3991">
        <v>143</v>
      </c>
      <c r="F3991">
        <v>143</v>
      </c>
      <c r="G3991" t="s">
        <v>718</v>
      </c>
      <c r="H3991" t="s">
        <v>718</v>
      </c>
      <c r="P3991">
        <f t="shared" si="62"/>
        <v>0</v>
      </c>
    </row>
    <row r="3992" spans="1:16" x14ac:dyDescent="0.25">
      <c r="A3992" t="s">
        <v>38</v>
      </c>
      <c r="B3992" t="s">
        <v>669</v>
      </c>
      <c r="C3992" t="s">
        <v>669</v>
      </c>
      <c r="D3992" t="s">
        <v>669</v>
      </c>
      <c r="E3992">
        <v>143</v>
      </c>
      <c r="F3992">
        <v>132</v>
      </c>
      <c r="G3992" t="s">
        <v>718</v>
      </c>
      <c r="H3992" t="s">
        <v>738</v>
      </c>
      <c r="P3992">
        <f t="shared" si="62"/>
        <v>0</v>
      </c>
    </row>
    <row r="3993" spans="1:16" x14ac:dyDescent="0.25">
      <c r="A3993" t="s">
        <v>39</v>
      </c>
      <c r="B3993" t="s">
        <v>669</v>
      </c>
      <c r="C3993" t="s">
        <v>669</v>
      </c>
      <c r="D3993" t="s">
        <v>669</v>
      </c>
      <c r="E3993">
        <v>143</v>
      </c>
      <c r="F3993">
        <v>132</v>
      </c>
      <c r="G3993" t="s">
        <v>718</v>
      </c>
      <c r="H3993" t="s">
        <v>738</v>
      </c>
      <c r="I3993" t="s">
        <v>799</v>
      </c>
      <c r="P3993">
        <f t="shared" si="62"/>
        <v>9</v>
      </c>
    </row>
    <row r="3994" spans="1:16" x14ac:dyDescent="0.25">
      <c r="A3994" t="s">
        <v>40</v>
      </c>
      <c r="B3994" t="s">
        <v>669</v>
      </c>
      <c r="C3994" t="s">
        <v>669</v>
      </c>
      <c r="D3994" t="s">
        <v>669</v>
      </c>
      <c r="E3994">
        <v>157</v>
      </c>
      <c r="F3994">
        <v>152</v>
      </c>
      <c r="G3994" t="s">
        <v>791</v>
      </c>
      <c r="H3994" t="s">
        <v>790</v>
      </c>
      <c r="P3994">
        <f t="shared" si="62"/>
        <v>0</v>
      </c>
    </row>
    <row r="3995" spans="1:16" x14ac:dyDescent="0.25">
      <c r="A3995" t="s">
        <v>41</v>
      </c>
      <c r="B3995" t="s">
        <v>669</v>
      </c>
      <c r="C3995" t="s">
        <v>669</v>
      </c>
      <c r="D3995" t="s">
        <v>669</v>
      </c>
      <c r="E3995">
        <v>157</v>
      </c>
      <c r="F3995">
        <v>140</v>
      </c>
      <c r="G3995" t="s">
        <v>791</v>
      </c>
      <c r="H3995" t="s">
        <v>792</v>
      </c>
      <c r="P3995">
        <f t="shared" si="62"/>
        <v>0</v>
      </c>
    </row>
    <row r="3996" spans="1:16" x14ac:dyDescent="0.25">
      <c r="A3996" t="s">
        <v>42</v>
      </c>
      <c r="B3996" t="s">
        <v>669</v>
      </c>
      <c r="C3996" t="s">
        <v>669</v>
      </c>
      <c r="D3996" t="s">
        <v>669</v>
      </c>
      <c r="E3996">
        <v>168</v>
      </c>
      <c r="F3996">
        <v>152</v>
      </c>
      <c r="G3996" t="s">
        <v>759</v>
      </c>
      <c r="H3996" t="s">
        <v>790</v>
      </c>
      <c r="P3996">
        <f t="shared" si="62"/>
        <v>0</v>
      </c>
    </row>
    <row r="3997" spans="1:16" x14ac:dyDescent="0.25">
      <c r="A3997" t="s">
        <v>43</v>
      </c>
      <c r="B3997" t="s">
        <v>669</v>
      </c>
      <c r="C3997" t="s">
        <v>669</v>
      </c>
      <c r="D3997" t="s">
        <v>669</v>
      </c>
      <c r="E3997">
        <v>160</v>
      </c>
      <c r="F3997">
        <v>152</v>
      </c>
      <c r="G3997" t="s">
        <v>757</v>
      </c>
      <c r="H3997" t="s">
        <v>790</v>
      </c>
      <c r="P3997">
        <f t="shared" si="62"/>
        <v>0</v>
      </c>
    </row>
    <row r="3998" spans="1:16" x14ac:dyDescent="0.25">
      <c r="A3998" t="s">
        <v>44</v>
      </c>
      <c r="B3998" t="s">
        <v>669</v>
      </c>
      <c r="C3998" t="s">
        <v>669</v>
      </c>
      <c r="D3998" t="s">
        <v>669</v>
      </c>
      <c r="E3998">
        <v>152</v>
      </c>
      <c r="F3998">
        <v>148</v>
      </c>
      <c r="G3998" t="s">
        <v>790</v>
      </c>
      <c r="H3998" t="s">
        <v>793</v>
      </c>
      <c r="P3998">
        <f t="shared" si="62"/>
        <v>0</v>
      </c>
    </row>
    <row r="3999" spans="1:16" x14ac:dyDescent="0.25">
      <c r="A3999" t="s">
        <v>45</v>
      </c>
      <c r="B3999" t="s">
        <v>669</v>
      </c>
      <c r="C3999" t="s">
        <v>669</v>
      </c>
      <c r="D3999" t="s">
        <v>669</v>
      </c>
      <c r="E3999">
        <v>143</v>
      </c>
      <c r="F3999">
        <v>143</v>
      </c>
      <c r="G3999" t="s">
        <v>718</v>
      </c>
      <c r="H3999" t="s">
        <v>718</v>
      </c>
      <c r="P3999">
        <f t="shared" si="62"/>
        <v>0</v>
      </c>
    </row>
    <row r="4000" spans="1:16" x14ac:dyDescent="0.25">
      <c r="A4000" t="s">
        <v>46</v>
      </c>
      <c r="B4000" t="s">
        <v>669</v>
      </c>
      <c r="C4000" t="s">
        <v>669</v>
      </c>
      <c r="D4000" t="s">
        <v>669</v>
      </c>
      <c r="E4000">
        <v>143</v>
      </c>
      <c r="F4000">
        <v>132</v>
      </c>
      <c r="G4000" t="s">
        <v>718</v>
      </c>
      <c r="H4000" t="s">
        <v>738</v>
      </c>
      <c r="P4000">
        <f t="shared" si="62"/>
        <v>0</v>
      </c>
    </row>
    <row r="4001" spans="1:16" x14ac:dyDescent="0.25">
      <c r="A4001" t="s">
        <v>47</v>
      </c>
      <c r="B4001" t="s">
        <v>669</v>
      </c>
      <c r="C4001" t="s">
        <v>669</v>
      </c>
      <c r="D4001" t="s">
        <v>669</v>
      </c>
      <c r="E4001">
        <v>143</v>
      </c>
      <c r="F4001">
        <v>120</v>
      </c>
      <c r="G4001" t="s">
        <v>718</v>
      </c>
      <c r="H4001" t="s">
        <v>740</v>
      </c>
      <c r="P4001">
        <f t="shared" si="62"/>
        <v>0</v>
      </c>
    </row>
    <row r="4002" spans="1:16" x14ac:dyDescent="0.25">
      <c r="A4002" t="s">
        <v>48</v>
      </c>
      <c r="B4002" t="s">
        <v>669</v>
      </c>
      <c r="C4002" t="s">
        <v>669</v>
      </c>
      <c r="D4002" t="s">
        <v>669</v>
      </c>
      <c r="E4002">
        <v>143</v>
      </c>
      <c r="F4002">
        <v>13</v>
      </c>
      <c r="G4002" t="s">
        <v>718</v>
      </c>
      <c r="H4002" t="s">
        <v>686</v>
      </c>
      <c r="P4002">
        <f t="shared" si="62"/>
        <v>0</v>
      </c>
    </row>
    <row r="4003" spans="1:16" x14ac:dyDescent="0.25">
      <c r="A4003" t="s">
        <v>49</v>
      </c>
      <c r="B4003" t="s">
        <v>669</v>
      </c>
      <c r="C4003" t="s">
        <v>669</v>
      </c>
      <c r="D4003" t="s">
        <v>669</v>
      </c>
      <c r="E4003">
        <v>143</v>
      </c>
      <c r="F4003">
        <v>13</v>
      </c>
      <c r="G4003" t="s">
        <v>718</v>
      </c>
      <c r="H4003" t="s">
        <v>686</v>
      </c>
      <c r="P4003">
        <f t="shared" si="62"/>
        <v>0</v>
      </c>
    </row>
    <row r="4004" spans="1:16" x14ac:dyDescent="0.25">
      <c r="A4004" t="s">
        <v>50</v>
      </c>
      <c r="B4004" t="s">
        <v>669</v>
      </c>
      <c r="C4004" t="s">
        <v>669</v>
      </c>
      <c r="D4004" t="s">
        <v>669</v>
      </c>
      <c r="E4004">
        <v>143</v>
      </c>
      <c r="F4004">
        <v>143</v>
      </c>
      <c r="G4004" t="s">
        <v>718</v>
      </c>
      <c r="H4004" t="s">
        <v>718</v>
      </c>
      <c r="P4004">
        <f t="shared" si="62"/>
        <v>0</v>
      </c>
    </row>
    <row r="4005" spans="1:16" x14ac:dyDescent="0.25">
      <c r="A4005" t="s">
        <v>51</v>
      </c>
      <c r="B4005" t="s">
        <v>669</v>
      </c>
      <c r="C4005" t="s">
        <v>669</v>
      </c>
      <c r="D4005" t="s">
        <v>669</v>
      </c>
      <c r="E4005">
        <v>143</v>
      </c>
      <c r="F4005">
        <v>132</v>
      </c>
      <c r="G4005" t="s">
        <v>718</v>
      </c>
      <c r="H4005" t="s">
        <v>738</v>
      </c>
      <c r="P4005">
        <f t="shared" si="62"/>
        <v>0</v>
      </c>
    </row>
    <row r="4006" spans="1:16" x14ac:dyDescent="0.25">
      <c r="A4006" t="s">
        <v>52</v>
      </c>
      <c r="B4006" t="s">
        <v>669</v>
      </c>
      <c r="C4006" t="s">
        <v>669</v>
      </c>
      <c r="D4006" t="s">
        <v>669</v>
      </c>
      <c r="E4006">
        <v>41</v>
      </c>
      <c r="F4006">
        <v>41</v>
      </c>
      <c r="G4006" t="s">
        <v>706</v>
      </c>
      <c r="H4006" t="s">
        <v>706</v>
      </c>
      <c r="P4006">
        <f t="shared" si="62"/>
        <v>0</v>
      </c>
    </row>
    <row r="4007" spans="1:16" x14ac:dyDescent="0.25">
      <c r="A4007" t="s">
        <v>53</v>
      </c>
      <c r="B4007" t="s">
        <v>669</v>
      </c>
      <c r="C4007" t="s">
        <v>669</v>
      </c>
      <c r="D4007" t="s">
        <v>669</v>
      </c>
      <c r="E4007">
        <v>41</v>
      </c>
      <c r="F4007">
        <v>40</v>
      </c>
      <c r="G4007" t="s">
        <v>706</v>
      </c>
      <c r="H4007" t="s">
        <v>707</v>
      </c>
      <c r="P4007">
        <f t="shared" si="62"/>
        <v>0</v>
      </c>
    </row>
    <row r="4008" spans="1:16" x14ac:dyDescent="0.25">
      <c r="A4008" t="s">
        <v>902</v>
      </c>
      <c r="B4008" t="s">
        <v>669</v>
      </c>
      <c r="C4008" t="s">
        <v>669</v>
      </c>
      <c r="D4008" t="s">
        <v>669</v>
      </c>
      <c r="E4008">
        <v>41</v>
      </c>
      <c r="F4008">
        <v>41</v>
      </c>
      <c r="G4008" t="s">
        <v>706</v>
      </c>
      <c r="H4008" t="s">
        <v>706</v>
      </c>
      <c r="P4008">
        <f t="shared" si="62"/>
        <v>0</v>
      </c>
    </row>
    <row r="4009" spans="1:16" x14ac:dyDescent="0.25">
      <c r="A4009" t="s">
        <v>54</v>
      </c>
      <c r="B4009" t="s">
        <v>669</v>
      </c>
      <c r="C4009" t="s">
        <v>669</v>
      </c>
      <c r="D4009" t="s">
        <v>669</v>
      </c>
      <c r="E4009">
        <v>93</v>
      </c>
      <c r="F4009">
        <v>93</v>
      </c>
      <c r="G4009" t="s">
        <v>739</v>
      </c>
      <c r="H4009" t="s">
        <v>739</v>
      </c>
      <c r="P4009">
        <f t="shared" si="62"/>
        <v>0</v>
      </c>
    </row>
    <row r="4010" spans="1:16" x14ac:dyDescent="0.25">
      <c r="A4010" t="s">
        <v>55</v>
      </c>
      <c r="B4010" t="s">
        <v>669</v>
      </c>
      <c r="C4010" t="s">
        <v>669</v>
      </c>
      <c r="D4010" t="s">
        <v>669</v>
      </c>
      <c r="E4010">
        <v>98</v>
      </c>
      <c r="F4010">
        <v>98</v>
      </c>
      <c r="G4010" t="s">
        <v>794</v>
      </c>
      <c r="H4010" t="s">
        <v>794</v>
      </c>
      <c r="P4010">
        <f t="shared" si="62"/>
        <v>0</v>
      </c>
    </row>
    <row r="4011" spans="1:16" x14ac:dyDescent="0.25">
      <c r="A4011" t="s">
        <v>56</v>
      </c>
      <c r="B4011" t="s">
        <v>669</v>
      </c>
      <c r="C4011" t="s">
        <v>669</v>
      </c>
      <c r="D4011" t="s">
        <v>669</v>
      </c>
      <c r="E4011">
        <v>93</v>
      </c>
      <c r="F4011">
        <v>80</v>
      </c>
      <c r="G4011" t="s">
        <v>739</v>
      </c>
      <c r="H4011" t="s">
        <v>721</v>
      </c>
      <c r="P4011">
        <f t="shared" si="62"/>
        <v>0</v>
      </c>
    </row>
    <row r="4012" spans="1:16" x14ac:dyDescent="0.25">
      <c r="A4012" t="s">
        <v>57</v>
      </c>
      <c r="B4012" t="s">
        <v>669</v>
      </c>
      <c r="C4012" t="s">
        <v>669</v>
      </c>
      <c r="D4012" t="s">
        <v>669</v>
      </c>
      <c r="E4012">
        <v>102</v>
      </c>
      <c r="F4012">
        <v>102</v>
      </c>
      <c r="G4012" t="s">
        <v>716</v>
      </c>
      <c r="H4012" t="s">
        <v>716</v>
      </c>
      <c r="P4012">
        <f t="shared" si="62"/>
        <v>0</v>
      </c>
    </row>
    <row r="4013" spans="1:16" x14ac:dyDescent="0.25">
      <c r="A4013" t="s">
        <v>58</v>
      </c>
      <c r="B4013" t="s">
        <v>669</v>
      </c>
      <c r="C4013" t="s">
        <v>669</v>
      </c>
      <c r="D4013" t="s">
        <v>669</v>
      </c>
      <c r="E4013">
        <v>72</v>
      </c>
      <c r="F4013">
        <v>72</v>
      </c>
      <c r="G4013" t="s">
        <v>797</v>
      </c>
      <c r="H4013" t="s">
        <v>797</v>
      </c>
      <c r="P4013">
        <f t="shared" si="62"/>
        <v>0</v>
      </c>
    </row>
    <row r="4014" spans="1:16" x14ac:dyDescent="0.25">
      <c r="A4014" t="s">
        <v>59</v>
      </c>
      <c r="B4014" t="s">
        <v>669</v>
      </c>
      <c r="C4014" t="s">
        <v>669</v>
      </c>
      <c r="D4014" t="s">
        <v>669</v>
      </c>
      <c r="E4014">
        <v>2</v>
      </c>
      <c r="F4014">
        <v>2</v>
      </c>
      <c r="G4014" t="s">
        <v>798</v>
      </c>
      <c r="H4014" t="s">
        <v>798</v>
      </c>
      <c r="P4014">
        <f t="shared" si="62"/>
        <v>0</v>
      </c>
    </row>
    <row r="4015" spans="1:16" x14ac:dyDescent="0.25">
      <c r="A4015" t="s">
        <v>60</v>
      </c>
      <c r="B4015" t="s">
        <v>669</v>
      </c>
      <c r="C4015" t="s">
        <v>669</v>
      </c>
      <c r="D4015" t="s">
        <v>669</v>
      </c>
      <c r="E4015">
        <v>2</v>
      </c>
      <c r="F4015">
        <v>2</v>
      </c>
      <c r="G4015" t="s">
        <v>798</v>
      </c>
      <c r="H4015" t="s">
        <v>798</v>
      </c>
      <c r="P4015">
        <f t="shared" si="62"/>
        <v>0</v>
      </c>
    </row>
    <row r="4016" spans="1:16" x14ac:dyDescent="0.25">
      <c r="A4016" t="s">
        <v>61</v>
      </c>
      <c r="B4016" t="s">
        <v>669</v>
      </c>
      <c r="C4016" t="s">
        <v>669</v>
      </c>
      <c r="D4016" t="s">
        <v>669</v>
      </c>
      <c r="E4016">
        <v>13</v>
      </c>
      <c r="F4016">
        <v>13</v>
      </c>
      <c r="G4016" t="s">
        <v>686</v>
      </c>
      <c r="H4016" t="s">
        <v>686</v>
      </c>
      <c r="P4016">
        <f t="shared" si="62"/>
        <v>0</v>
      </c>
    </row>
    <row r="4017" spans="1:16" x14ac:dyDescent="0.25">
      <c r="A4017" t="s">
        <v>62</v>
      </c>
      <c r="B4017" t="s">
        <v>669</v>
      </c>
      <c r="C4017" t="s">
        <v>669</v>
      </c>
      <c r="D4017" t="s">
        <v>669</v>
      </c>
      <c r="E4017">
        <v>8</v>
      </c>
      <c r="F4017">
        <v>8</v>
      </c>
      <c r="G4017" t="s">
        <v>687</v>
      </c>
      <c r="H4017" t="s">
        <v>687</v>
      </c>
      <c r="P4017">
        <f t="shared" si="62"/>
        <v>0</v>
      </c>
    </row>
    <row r="4018" spans="1:16" x14ac:dyDescent="0.25">
      <c r="A4018" t="s">
        <v>63</v>
      </c>
      <c r="B4018" t="s">
        <v>669</v>
      </c>
      <c r="C4018" t="s">
        <v>669</v>
      </c>
      <c r="D4018" t="s">
        <v>669</v>
      </c>
      <c r="E4018">
        <v>28</v>
      </c>
      <c r="F4018">
        <v>28</v>
      </c>
      <c r="G4018" t="s">
        <v>688</v>
      </c>
      <c r="H4018" t="s">
        <v>688</v>
      </c>
      <c r="P4018">
        <f t="shared" si="62"/>
        <v>0</v>
      </c>
    </row>
    <row r="4019" spans="1:16" x14ac:dyDescent="0.25">
      <c r="A4019" t="s">
        <v>64</v>
      </c>
      <c r="B4019" t="s">
        <v>669</v>
      </c>
      <c r="C4019" t="s">
        <v>669</v>
      </c>
      <c r="D4019" t="s">
        <v>669</v>
      </c>
      <c r="E4019">
        <v>17</v>
      </c>
      <c r="F4019">
        <v>17</v>
      </c>
      <c r="G4019" t="s">
        <v>689</v>
      </c>
      <c r="H4019" t="s">
        <v>689</v>
      </c>
      <c r="P4019">
        <f t="shared" si="62"/>
        <v>0</v>
      </c>
    </row>
    <row r="4020" spans="1:16" x14ac:dyDescent="0.25">
      <c r="A4020" t="s">
        <v>65</v>
      </c>
      <c r="B4020" t="s">
        <v>669</v>
      </c>
      <c r="C4020" t="s">
        <v>669</v>
      </c>
      <c r="D4020" t="s">
        <v>669</v>
      </c>
      <c r="E4020">
        <v>14</v>
      </c>
      <c r="F4020">
        <v>14</v>
      </c>
      <c r="G4020" t="s">
        <v>690</v>
      </c>
      <c r="H4020" t="s">
        <v>690</v>
      </c>
      <c r="P4020">
        <f t="shared" si="62"/>
        <v>0</v>
      </c>
    </row>
    <row r="4021" spans="1:16" x14ac:dyDescent="0.25">
      <c r="A4021" t="s">
        <v>66</v>
      </c>
      <c r="B4021" t="s">
        <v>669</v>
      </c>
      <c r="C4021" t="s">
        <v>669</v>
      </c>
      <c r="D4021" t="s">
        <v>669</v>
      </c>
      <c r="E4021">
        <v>25</v>
      </c>
      <c r="F4021">
        <v>25</v>
      </c>
      <c r="G4021" t="s">
        <v>691</v>
      </c>
      <c r="H4021" t="s">
        <v>691</v>
      </c>
      <c r="P4021">
        <f t="shared" si="62"/>
        <v>0</v>
      </c>
    </row>
    <row r="4022" spans="1:16" x14ac:dyDescent="0.25">
      <c r="A4022" t="s">
        <v>67</v>
      </c>
      <c r="B4022" t="s">
        <v>669</v>
      </c>
      <c r="C4022" t="s">
        <v>669</v>
      </c>
      <c r="D4022" t="s">
        <v>669</v>
      </c>
      <c r="E4022">
        <v>24</v>
      </c>
      <c r="F4022">
        <v>24</v>
      </c>
      <c r="G4022" t="s">
        <v>692</v>
      </c>
      <c r="H4022" t="s">
        <v>692</v>
      </c>
      <c r="P4022">
        <f t="shared" si="62"/>
        <v>0</v>
      </c>
    </row>
    <row r="4023" spans="1:16" x14ac:dyDescent="0.25">
      <c r="A4023" t="s">
        <v>91</v>
      </c>
      <c r="B4023" t="s">
        <v>669</v>
      </c>
      <c r="C4023" t="s">
        <v>669</v>
      </c>
      <c r="D4023" t="s">
        <v>669</v>
      </c>
      <c r="E4023">
        <v>8</v>
      </c>
      <c r="F4023">
        <v>8</v>
      </c>
      <c r="G4023" t="s">
        <v>687</v>
      </c>
      <c r="H4023" t="s">
        <v>687</v>
      </c>
      <c r="P4023">
        <f t="shared" si="62"/>
        <v>0</v>
      </c>
    </row>
    <row r="4024" spans="1:16" x14ac:dyDescent="0.25">
      <c r="A4024" t="s">
        <v>93</v>
      </c>
      <c r="B4024" t="s">
        <v>669</v>
      </c>
      <c r="C4024" t="s">
        <v>669</v>
      </c>
      <c r="D4024" t="s">
        <v>669</v>
      </c>
      <c r="E4024">
        <v>45</v>
      </c>
      <c r="F4024">
        <v>44</v>
      </c>
      <c r="G4024" t="s">
        <v>679</v>
      </c>
      <c r="H4024" t="s">
        <v>710</v>
      </c>
      <c r="P4024">
        <f t="shared" si="62"/>
        <v>0</v>
      </c>
    </row>
    <row r="4025" spans="1:16" x14ac:dyDescent="0.25">
      <c r="A4025" t="s">
        <v>94</v>
      </c>
      <c r="B4025" t="s">
        <v>669</v>
      </c>
      <c r="C4025" t="s">
        <v>669</v>
      </c>
      <c r="D4025" t="s">
        <v>669</v>
      </c>
      <c r="E4025">
        <v>26</v>
      </c>
      <c r="F4025">
        <v>23</v>
      </c>
      <c r="G4025" t="s">
        <v>775</v>
      </c>
      <c r="H4025" t="s">
        <v>676</v>
      </c>
      <c r="P4025">
        <f t="shared" si="62"/>
        <v>0</v>
      </c>
    </row>
    <row r="4026" spans="1:16" x14ac:dyDescent="0.25">
      <c r="A4026" t="s">
        <v>95</v>
      </c>
      <c r="B4026" t="s">
        <v>669</v>
      </c>
      <c r="C4026" t="s">
        <v>669</v>
      </c>
      <c r="D4026" t="s">
        <v>669</v>
      </c>
      <c r="E4026">
        <v>88</v>
      </c>
      <c r="F4026">
        <v>88</v>
      </c>
      <c r="G4026" t="s">
        <v>703</v>
      </c>
      <c r="H4026" t="s">
        <v>703</v>
      </c>
      <c r="P4026">
        <f t="shared" si="62"/>
        <v>0</v>
      </c>
    </row>
    <row r="4027" spans="1:16" x14ac:dyDescent="0.25">
      <c r="A4027" t="s">
        <v>96</v>
      </c>
      <c r="B4027" t="s">
        <v>669</v>
      </c>
      <c r="C4027" t="s">
        <v>669</v>
      </c>
      <c r="D4027" t="s">
        <v>669</v>
      </c>
      <c r="E4027" t="s">
        <v>910</v>
      </c>
      <c r="F4027" t="s">
        <v>910</v>
      </c>
      <c r="P4027">
        <f t="shared" si="62"/>
        <v>0</v>
      </c>
    </row>
    <row r="4028" spans="1:16" x14ac:dyDescent="0.25">
      <c r="A4028" t="s">
        <v>97</v>
      </c>
      <c r="B4028" t="s">
        <v>669</v>
      </c>
      <c r="C4028" t="s">
        <v>669</v>
      </c>
      <c r="D4028" t="s">
        <v>669</v>
      </c>
      <c r="E4028">
        <v>38</v>
      </c>
      <c r="F4028">
        <v>38</v>
      </c>
      <c r="G4028" t="s">
        <v>704</v>
      </c>
      <c r="H4028" t="s">
        <v>704</v>
      </c>
      <c r="P4028">
        <f t="shared" si="62"/>
        <v>0</v>
      </c>
    </row>
    <row r="4029" spans="1:16" x14ac:dyDescent="0.25">
      <c r="A4029" t="s">
        <v>98</v>
      </c>
      <c r="B4029" t="s">
        <v>669</v>
      </c>
      <c r="C4029" t="s">
        <v>669</v>
      </c>
      <c r="D4029" t="s">
        <v>669</v>
      </c>
      <c r="E4029">
        <v>38</v>
      </c>
      <c r="F4029">
        <v>38</v>
      </c>
      <c r="G4029" t="s">
        <v>704</v>
      </c>
      <c r="H4029" t="s">
        <v>704</v>
      </c>
      <c r="P4029">
        <f t="shared" si="62"/>
        <v>0</v>
      </c>
    </row>
    <row r="4030" spans="1:16" x14ac:dyDescent="0.25">
      <c r="A4030" t="s">
        <v>669</v>
      </c>
      <c r="B4030">
        <v>12895</v>
      </c>
      <c r="C4030" t="s">
        <v>669</v>
      </c>
      <c r="D4030" t="s">
        <v>865</v>
      </c>
      <c r="E4030" t="s">
        <v>910</v>
      </c>
      <c r="F4030">
        <v>8</v>
      </c>
      <c r="H4030" t="s">
        <v>687</v>
      </c>
      <c r="K4030">
        <v>1.2895E-2</v>
      </c>
      <c r="L4030" t="s">
        <v>303</v>
      </c>
      <c r="N4030">
        <v>12895</v>
      </c>
      <c r="O4030" t="s">
        <v>931</v>
      </c>
      <c r="P4030">
        <f t="shared" si="62"/>
        <v>0</v>
      </c>
    </row>
    <row r="4031" spans="1:16" x14ac:dyDescent="0.25">
      <c r="A4031" t="s">
        <v>669</v>
      </c>
      <c r="B4031">
        <v>13564</v>
      </c>
      <c r="C4031" t="s">
        <v>669</v>
      </c>
      <c r="D4031" t="s">
        <v>865</v>
      </c>
      <c r="E4031" t="s">
        <v>910</v>
      </c>
      <c r="F4031">
        <v>8</v>
      </c>
      <c r="H4031" t="s">
        <v>687</v>
      </c>
      <c r="K4031">
        <v>1.3564E-2</v>
      </c>
      <c r="L4031" t="s">
        <v>303</v>
      </c>
      <c r="N4031">
        <v>13564</v>
      </c>
      <c r="O4031" t="s">
        <v>931</v>
      </c>
      <c r="P4031">
        <f t="shared" si="62"/>
        <v>0</v>
      </c>
    </row>
    <row r="4032" spans="1:16" x14ac:dyDescent="0.25">
      <c r="A4032" t="s">
        <v>669</v>
      </c>
      <c r="B4032">
        <v>13608</v>
      </c>
      <c r="C4032" t="s">
        <v>669</v>
      </c>
      <c r="D4032" t="s">
        <v>865</v>
      </c>
      <c r="E4032" t="s">
        <v>910</v>
      </c>
      <c r="F4032">
        <v>8</v>
      </c>
      <c r="H4032" t="s">
        <v>687</v>
      </c>
      <c r="K4032">
        <v>1.3608E-2</v>
      </c>
      <c r="L4032" t="s">
        <v>303</v>
      </c>
      <c r="N4032">
        <v>13608</v>
      </c>
      <c r="O4032" t="s">
        <v>931</v>
      </c>
      <c r="P4032">
        <f t="shared" si="62"/>
        <v>0</v>
      </c>
    </row>
    <row r="4033" spans="1:16" x14ac:dyDescent="0.25">
      <c r="A4033" t="s">
        <v>669</v>
      </c>
      <c r="B4033">
        <v>13683</v>
      </c>
      <c r="C4033" t="s">
        <v>669</v>
      </c>
      <c r="D4033" t="s">
        <v>865</v>
      </c>
      <c r="E4033" t="s">
        <v>910</v>
      </c>
      <c r="F4033">
        <v>8</v>
      </c>
      <c r="H4033" t="s">
        <v>687</v>
      </c>
      <c r="K4033">
        <v>1.3683000000000001E-2</v>
      </c>
      <c r="L4033" t="s">
        <v>303</v>
      </c>
      <c r="N4033">
        <v>13683</v>
      </c>
      <c r="O4033" t="s">
        <v>931</v>
      </c>
      <c r="P4033">
        <f t="shared" si="62"/>
        <v>0</v>
      </c>
    </row>
    <row r="4034" spans="1:16" x14ac:dyDescent="0.25">
      <c r="A4034" t="s">
        <v>669</v>
      </c>
      <c r="B4034">
        <v>13837</v>
      </c>
      <c r="C4034" t="s">
        <v>669</v>
      </c>
      <c r="D4034" t="s">
        <v>865</v>
      </c>
      <c r="E4034" t="s">
        <v>910</v>
      </c>
      <c r="F4034">
        <v>8</v>
      </c>
      <c r="H4034" t="s">
        <v>687</v>
      </c>
      <c r="K4034">
        <v>1.3837E-2</v>
      </c>
      <c r="L4034" t="s">
        <v>303</v>
      </c>
      <c r="N4034">
        <v>13837</v>
      </c>
      <c r="O4034" t="s">
        <v>931</v>
      </c>
      <c r="P4034">
        <f t="shared" si="62"/>
        <v>0</v>
      </c>
    </row>
    <row r="4035" spans="1:16" x14ac:dyDescent="0.25">
      <c r="A4035" t="s">
        <v>669</v>
      </c>
      <c r="B4035">
        <v>13881</v>
      </c>
      <c r="C4035" t="s">
        <v>669</v>
      </c>
      <c r="D4035" t="s">
        <v>865</v>
      </c>
      <c r="E4035" t="s">
        <v>910</v>
      </c>
      <c r="F4035">
        <v>8</v>
      </c>
      <c r="H4035" t="s">
        <v>687</v>
      </c>
      <c r="K4035">
        <v>1.3880999999999999E-2</v>
      </c>
      <c r="L4035" t="s">
        <v>303</v>
      </c>
      <c r="N4035">
        <v>13881</v>
      </c>
      <c r="O4035" t="s">
        <v>931</v>
      </c>
      <c r="P4035">
        <f t="shared" ref="P4035:P4098" si="63">LEN(I4035)</f>
        <v>0</v>
      </c>
    </row>
    <row r="4036" spans="1:16" x14ac:dyDescent="0.25">
      <c r="A4036" t="s">
        <v>99</v>
      </c>
      <c r="B4036" t="s">
        <v>669</v>
      </c>
      <c r="C4036" t="s">
        <v>669</v>
      </c>
      <c r="D4036" t="s">
        <v>669</v>
      </c>
      <c r="E4036">
        <v>38</v>
      </c>
      <c r="F4036">
        <v>38</v>
      </c>
      <c r="G4036" t="s">
        <v>704</v>
      </c>
      <c r="H4036" t="s">
        <v>704</v>
      </c>
      <c r="P4036">
        <f t="shared" si="63"/>
        <v>0</v>
      </c>
    </row>
    <row r="4037" spans="1:16" x14ac:dyDescent="0.25">
      <c r="A4037" t="s">
        <v>100</v>
      </c>
      <c r="B4037" t="s">
        <v>669</v>
      </c>
      <c r="C4037" t="s">
        <v>669</v>
      </c>
      <c r="D4037" t="s">
        <v>669</v>
      </c>
      <c r="E4037">
        <v>38</v>
      </c>
      <c r="F4037">
        <v>38</v>
      </c>
      <c r="G4037" t="s">
        <v>704</v>
      </c>
      <c r="H4037" t="s">
        <v>704</v>
      </c>
      <c r="P4037">
        <f t="shared" si="63"/>
        <v>0</v>
      </c>
    </row>
    <row r="4038" spans="1:16" x14ac:dyDescent="0.25">
      <c r="A4038" t="s">
        <v>101</v>
      </c>
      <c r="B4038" t="s">
        <v>669</v>
      </c>
      <c r="C4038" t="s">
        <v>669</v>
      </c>
      <c r="D4038" t="s">
        <v>669</v>
      </c>
      <c r="E4038">
        <v>49</v>
      </c>
      <c r="F4038">
        <v>48</v>
      </c>
      <c r="G4038" t="s">
        <v>748</v>
      </c>
      <c r="H4038" t="s">
        <v>705</v>
      </c>
      <c r="P4038">
        <f t="shared" si="63"/>
        <v>0</v>
      </c>
    </row>
    <row r="4039" spans="1:16" x14ac:dyDescent="0.25">
      <c r="A4039" t="s">
        <v>102</v>
      </c>
      <c r="B4039" t="s">
        <v>669</v>
      </c>
      <c r="C4039" t="s">
        <v>669</v>
      </c>
      <c r="D4039" t="s">
        <v>669</v>
      </c>
      <c r="E4039">
        <v>38</v>
      </c>
      <c r="F4039">
        <v>13</v>
      </c>
      <c r="G4039" t="s">
        <v>704</v>
      </c>
      <c r="H4039" t="s">
        <v>686</v>
      </c>
      <c r="P4039">
        <f t="shared" si="63"/>
        <v>0</v>
      </c>
    </row>
    <row r="4040" spans="1:16" x14ac:dyDescent="0.25">
      <c r="A4040" t="s">
        <v>103</v>
      </c>
      <c r="B4040" t="s">
        <v>669</v>
      </c>
      <c r="C4040" t="s">
        <v>669</v>
      </c>
      <c r="D4040" t="s">
        <v>669</v>
      </c>
      <c r="E4040">
        <v>38</v>
      </c>
      <c r="F4040">
        <v>38</v>
      </c>
      <c r="G4040" t="s">
        <v>704</v>
      </c>
      <c r="H4040" t="s">
        <v>704</v>
      </c>
      <c r="P4040">
        <f t="shared" si="63"/>
        <v>0</v>
      </c>
    </row>
    <row r="4041" spans="1:16" x14ac:dyDescent="0.25">
      <c r="A4041" t="s">
        <v>104</v>
      </c>
      <c r="B4041" t="s">
        <v>669</v>
      </c>
      <c r="C4041" t="s">
        <v>669</v>
      </c>
      <c r="D4041" t="s">
        <v>669</v>
      </c>
      <c r="E4041">
        <v>38</v>
      </c>
      <c r="F4041">
        <v>38</v>
      </c>
      <c r="G4041" t="s">
        <v>704</v>
      </c>
      <c r="H4041" t="s">
        <v>704</v>
      </c>
      <c r="P4041">
        <f t="shared" si="63"/>
        <v>0</v>
      </c>
    </row>
    <row r="4042" spans="1:16" x14ac:dyDescent="0.25">
      <c r="A4042" t="s">
        <v>105</v>
      </c>
      <c r="B4042" t="s">
        <v>669</v>
      </c>
      <c r="C4042" t="s">
        <v>669</v>
      </c>
      <c r="D4042" t="s">
        <v>669</v>
      </c>
      <c r="E4042">
        <v>38</v>
      </c>
      <c r="F4042">
        <v>38</v>
      </c>
      <c r="G4042" t="s">
        <v>704</v>
      </c>
      <c r="H4042" t="s">
        <v>704</v>
      </c>
      <c r="P4042">
        <f t="shared" si="63"/>
        <v>0</v>
      </c>
    </row>
    <row r="4043" spans="1:16" x14ac:dyDescent="0.25">
      <c r="A4043" t="s">
        <v>106</v>
      </c>
      <c r="B4043" t="s">
        <v>669</v>
      </c>
      <c r="C4043" t="s">
        <v>669</v>
      </c>
      <c r="D4043" t="s">
        <v>669</v>
      </c>
      <c r="E4043">
        <v>46</v>
      </c>
      <c r="F4043">
        <v>46</v>
      </c>
      <c r="G4043" t="s">
        <v>805</v>
      </c>
      <c r="H4043" t="s">
        <v>805</v>
      </c>
      <c r="P4043">
        <f t="shared" si="63"/>
        <v>0</v>
      </c>
    </row>
    <row r="4044" spans="1:16" x14ac:dyDescent="0.25">
      <c r="A4044" t="s">
        <v>107</v>
      </c>
      <c r="B4044" t="s">
        <v>669</v>
      </c>
      <c r="C4044" t="s">
        <v>669</v>
      </c>
      <c r="D4044" t="s">
        <v>669</v>
      </c>
      <c r="E4044">
        <v>47</v>
      </c>
      <c r="F4044">
        <v>47</v>
      </c>
      <c r="G4044" t="s">
        <v>675</v>
      </c>
      <c r="H4044" t="s">
        <v>675</v>
      </c>
      <c r="P4044">
        <f t="shared" si="63"/>
        <v>0</v>
      </c>
    </row>
    <row r="4045" spans="1:16" x14ac:dyDescent="0.25">
      <c r="A4045" t="s">
        <v>108</v>
      </c>
      <c r="B4045" t="s">
        <v>669</v>
      </c>
      <c r="C4045" t="s">
        <v>669</v>
      </c>
      <c r="D4045" t="s">
        <v>669</v>
      </c>
      <c r="E4045">
        <v>47</v>
      </c>
      <c r="F4045">
        <v>45</v>
      </c>
      <c r="G4045" t="s">
        <v>675</v>
      </c>
      <c r="H4045" t="s">
        <v>679</v>
      </c>
      <c r="P4045">
        <f t="shared" si="63"/>
        <v>0</v>
      </c>
    </row>
    <row r="4046" spans="1:16" x14ac:dyDescent="0.25">
      <c r="A4046" t="s">
        <v>109</v>
      </c>
      <c r="B4046" t="s">
        <v>669</v>
      </c>
      <c r="C4046" t="s">
        <v>669</v>
      </c>
      <c r="D4046" t="s">
        <v>669</v>
      </c>
      <c r="E4046">
        <v>47</v>
      </c>
      <c r="F4046">
        <v>47</v>
      </c>
      <c r="G4046" t="s">
        <v>675</v>
      </c>
      <c r="H4046" t="s">
        <v>675</v>
      </c>
      <c r="P4046">
        <f t="shared" si="63"/>
        <v>0</v>
      </c>
    </row>
    <row r="4047" spans="1:16" x14ac:dyDescent="0.25">
      <c r="A4047" t="s">
        <v>110</v>
      </c>
      <c r="B4047" t="s">
        <v>669</v>
      </c>
      <c r="C4047" t="s">
        <v>669</v>
      </c>
      <c r="D4047" t="s">
        <v>669</v>
      </c>
      <c r="E4047">
        <v>48</v>
      </c>
      <c r="F4047">
        <v>45</v>
      </c>
      <c r="G4047" t="s">
        <v>705</v>
      </c>
      <c r="H4047" t="s">
        <v>679</v>
      </c>
      <c r="P4047">
        <f t="shared" si="63"/>
        <v>0</v>
      </c>
    </row>
    <row r="4048" spans="1:16" x14ac:dyDescent="0.25">
      <c r="A4048" t="s">
        <v>111</v>
      </c>
      <c r="B4048" t="s">
        <v>669</v>
      </c>
      <c r="C4048" t="s">
        <v>669</v>
      </c>
      <c r="D4048" t="s">
        <v>669</v>
      </c>
      <c r="E4048">
        <v>46</v>
      </c>
      <c r="F4048">
        <v>17</v>
      </c>
      <c r="G4048" t="s">
        <v>805</v>
      </c>
      <c r="H4048" t="s">
        <v>689</v>
      </c>
      <c r="P4048">
        <f t="shared" si="63"/>
        <v>0</v>
      </c>
    </row>
    <row r="4049" spans="1:16" x14ac:dyDescent="0.25">
      <c r="A4049" t="s">
        <v>112</v>
      </c>
      <c r="B4049" t="s">
        <v>669</v>
      </c>
      <c r="C4049" t="s">
        <v>669</v>
      </c>
      <c r="D4049" t="s">
        <v>669</v>
      </c>
      <c r="E4049">
        <v>39</v>
      </c>
      <c r="F4049">
        <v>39</v>
      </c>
      <c r="G4049" t="s">
        <v>806</v>
      </c>
      <c r="H4049" t="s">
        <v>806</v>
      </c>
      <c r="P4049">
        <f t="shared" si="63"/>
        <v>0</v>
      </c>
    </row>
    <row r="4050" spans="1:16" x14ac:dyDescent="0.25">
      <c r="A4050" t="s">
        <v>113</v>
      </c>
      <c r="B4050" t="s">
        <v>669</v>
      </c>
      <c r="C4050" t="s">
        <v>669</v>
      </c>
      <c r="D4050" t="s">
        <v>669</v>
      </c>
      <c r="E4050">
        <v>41</v>
      </c>
      <c r="F4050">
        <v>41</v>
      </c>
      <c r="G4050" t="s">
        <v>706</v>
      </c>
      <c r="H4050" t="s">
        <v>706</v>
      </c>
      <c r="P4050">
        <f t="shared" si="63"/>
        <v>0</v>
      </c>
    </row>
    <row r="4051" spans="1:16" x14ac:dyDescent="0.25">
      <c r="A4051" t="s">
        <v>114</v>
      </c>
      <c r="B4051" t="s">
        <v>669</v>
      </c>
      <c r="C4051" t="s">
        <v>669</v>
      </c>
      <c r="D4051" t="s">
        <v>669</v>
      </c>
      <c r="E4051">
        <v>41</v>
      </c>
      <c r="F4051">
        <v>40</v>
      </c>
      <c r="G4051" t="s">
        <v>706</v>
      </c>
      <c r="H4051" t="s">
        <v>707</v>
      </c>
      <c r="P4051">
        <f t="shared" si="63"/>
        <v>0</v>
      </c>
    </row>
    <row r="4052" spans="1:16" x14ac:dyDescent="0.25">
      <c r="A4052" t="s">
        <v>115</v>
      </c>
      <c r="B4052" t="s">
        <v>669</v>
      </c>
      <c r="C4052" t="s">
        <v>669</v>
      </c>
      <c r="D4052" t="s">
        <v>669</v>
      </c>
      <c r="E4052">
        <v>45</v>
      </c>
      <c r="F4052">
        <v>45</v>
      </c>
      <c r="G4052" t="s">
        <v>679</v>
      </c>
      <c r="H4052" t="s">
        <v>679</v>
      </c>
      <c r="P4052">
        <f t="shared" si="63"/>
        <v>0</v>
      </c>
    </row>
    <row r="4053" spans="1:16" x14ac:dyDescent="0.25">
      <c r="A4053" t="s">
        <v>116</v>
      </c>
      <c r="B4053" t="s">
        <v>669</v>
      </c>
      <c r="C4053" t="s">
        <v>669</v>
      </c>
      <c r="D4053" t="s">
        <v>669</v>
      </c>
      <c r="E4053">
        <v>45</v>
      </c>
      <c r="F4053">
        <v>43</v>
      </c>
      <c r="G4053" t="s">
        <v>679</v>
      </c>
      <c r="H4053" t="s">
        <v>708</v>
      </c>
      <c r="P4053">
        <f t="shared" si="63"/>
        <v>0</v>
      </c>
    </row>
    <row r="4054" spans="1:16" x14ac:dyDescent="0.25">
      <c r="A4054" t="s">
        <v>117</v>
      </c>
      <c r="B4054" t="s">
        <v>669</v>
      </c>
      <c r="C4054" t="s">
        <v>669</v>
      </c>
      <c r="D4054" t="s">
        <v>669</v>
      </c>
      <c r="E4054">
        <v>43</v>
      </c>
      <c r="F4054">
        <v>43</v>
      </c>
      <c r="G4054" t="s">
        <v>708</v>
      </c>
      <c r="H4054" t="s">
        <v>708</v>
      </c>
      <c r="P4054">
        <f t="shared" si="63"/>
        <v>0</v>
      </c>
    </row>
    <row r="4055" spans="1:16" x14ac:dyDescent="0.25">
      <c r="A4055" t="s">
        <v>118</v>
      </c>
      <c r="B4055" t="s">
        <v>669</v>
      </c>
      <c r="C4055" t="s">
        <v>669</v>
      </c>
      <c r="D4055" t="s">
        <v>669</v>
      </c>
      <c r="E4055">
        <v>40</v>
      </c>
      <c r="F4055">
        <v>40</v>
      </c>
      <c r="G4055" t="s">
        <v>707</v>
      </c>
      <c r="H4055" t="s">
        <v>707</v>
      </c>
      <c r="P4055">
        <f t="shared" si="63"/>
        <v>0</v>
      </c>
    </row>
    <row r="4056" spans="1:16" x14ac:dyDescent="0.25">
      <c r="A4056" t="s">
        <v>119</v>
      </c>
      <c r="B4056" t="s">
        <v>669</v>
      </c>
      <c r="C4056" t="s">
        <v>669</v>
      </c>
      <c r="D4056" t="s">
        <v>669</v>
      </c>
      <c r="E4056">
        <v>42</v>
      </c>
      <c r="F4056">
        <v>42</v>
      </c>
      <c r="G4056" t="s">
        <v>709</v>
      </c>
      <c r="H4056" t="s">
        <v>709</v>
      </c>
      <c r="P4056">
        <f t="shared" si="63"/>
        <v>0</v>
      </c>
    </row>
    <row r="4057" spans="1:16" x14ac:dyDescent="0.25">
      <c r="A4057" t="s">
        <v>120</v>
      </c>
      <c r="B4057" t="s">
        <v>669</v>
      </c>
      <c r="C4057" t="s">
        <v>669</v>
      </c>
      <c r="D4057" t="s">
        <v>669</v>
      </c>
      <c r="E4057">
        <v>44</v>
      </c>
      <c r="F4057">
        <v>44</v>
      </c>
      <c r="G4057" t="s">
        <v>710</v>
      </c>
      <c r="H4057" t="s">
        <v>710</v>
      </c>
      <c r="P4057">
        <f t="shared" si="63"/>
        <v>0</v>
      </c>
    </row>
    <row r="4058" spans="1:16" x14ac:dyDescent="0.25">
      <c r="A4058" t="s">
        <v>121</v>
      </c>
      <c r="B4058" t="s">
        <v>669</v>
      </c>
      <c r="C4058" t="s">
        <v>669</v>
      </c>
      <c r="D4058" t="s">
        <v>669</v>
      </c>
      <c r="E4058">
        <v>39</v>
      </c>
      <c r="F4058">
        <v>28</v>
      </c>
      <c r="G4058" t="s">
        <v>806</v>
      </c>
      <c r="H4058" t="s">
        <v>688</v>
      </c>
      <c r="P4058">
        <f t="shared" si="63"/>
        <v>0</v>
      </c>
    </row>
    <row r="4059" spans="1:16" x14ac:dyDescent="0.25">
      <c r="A4059" t="s">
        <v>122</v>
      </c>
      <c r="B4059" t="s">
        <v>669</v>
      </c>
      <c r="C4059" t="s">
        <v>669</v>
      </c>
      <c r="D4059" t="s">
        <v>669</v>
      </c>
      <c r="E4059">
        <v>39</v>
      </c>
      <c r="F4059">
        <v>33</v>
      </c>
      <c r="G4059" t="s">
        <v>806</v>
      </c>
      <c r="H4059" t="s">
        <v>698</v>
      </c>
      <c r="P4059">
        <f t="shared" si="63"/>
        <v>0</v>
      </c>
    </row>
    <row r="4060" spans="1:16" x14ac:dyDescent="0.25">
      <c r="A4060" t="s">
        <v>123</v>
      </c>
      <c r="B4060" t="s">
        <v>669</v>
      </c>
      <c r="C4060" t="s">
        <v>669</v>
      </c>
      <c r="D4060" t="s">
        <v>669</v>
      </c>
      <c r="E4060">
        <v>38</v>
      </c>
      <c r="F4060">
        <v>38</v>
      </c>
      <c r="G4060" t="s">
        <v>704</v>
      </c>
      <c r="H4060" t="s">
        <v>704</v>
      </c>
      <c r="I4060" t="s">
        <v>934</v>
      </c>
      <c r="J4060">
        <v>84.1</v>
      </c>
      <c r="K4060">
        <v>81.900000000000006</v>
      </c>
      <c r="L4060" t="s">
        <v>303</v>
      </c>
      <c r="P4060">
        <f t="shared" si="63"/>
        <v>20</v>
      </c>
    </row>
    <row r="4061" spans="1:16" x14ac:dyDescent="0.25">
      <c r="A4061" t="s">
        <v>124</v>
      </c>
      <c r="B4061" t="s">
        <v>669</v>
      </c>
      <c r="C4061" t="s">
        <v>669</v>
      </c>
      <c r="D4061" t="s">
        <v>669</v>
      </c>
      <c r="E4061">
        <v>38</v>
      </c>
      <c r="F4061">
        <v>38</v>
      </c>
      <c r="G4061" t="s">
        <v>704</v>
      </c>
      <c r="H4061" t="s">
        <v>704</v>
      </c>
      <c r="I4061" t="s">
        <v>807</v>
      </c>
      <c r="P4061">
        <f t="shared" si="63"/>
        <v>8</v>
      </c>
    </row>
    <row r="4062" spans="1:16" x14ac:dyDescent="0.25">
      <c r="A4062" t="s">
        <v>125</v>
      </c>
      <c r="B4062" t="s">
        <v>669</v>
      </c>
      <c r="C4062" t="s">
        <v>669</v>
      </c>
      <c r="D4062" t="s">
        <v>669</v>
      </c>
      <c r="E4062">
        <v>38</v>
      </c>
      <c r="F4062">
        <v>38</v>
      </c>
      <c r="G4062" t="s">
        <v>704</v>
      </c>
      <c r="H4062" t="s">
        <v>704</v>
      </c>
      <c r="I4062" t="s">
        <v>936</v>
      </c>
      <c r="P4062">
        <f t="shared" si="63"/>
        <v>11</v>
      </c>
    </row>
    <row r="4063" spans="1:16" x14ac:dyDescent="0.25">
      <c r="A4063" t="s">
        <v>126</v>
      </c>
      <c r="B4063" t="s">
        <v>669</v>
      </c>
      <c r="C4063" t="s">
        <v>669</v>
      </c>
      <c r="D4063" t="s">
        <v>669</v>
      </c>
      <c r="E4063">
        <v>38</v>
      </c>
      <c r="F4063">
        <v>38</v>
      </c>
      <c r="G4063" t="s">
        <v>704</v>
      </c>
      <c r="H4063" t="s">
        <v>704</v>
      </c>
      <c r="I4063" t="s">
        <v>935</v>
      </c>
      <c r="P4063">
        <f t="shared" si="63"/>
        <v>8</v>
      </c>
    </row>
    <row r="4064" spans="1:16" x14ac:dyDescent="0.25">
      <c r="A4064" t="s">
        <v>127</v>
      </c>
      <c r="B4064" t="s">
        <v>669</v>
      </c>
      <c r="C4064" t="s">
        <v>669</v>
      </c>
      <c r="D4064" t="s">
        <v>669</v>
      </c>
      <c r="E4064">
        <v>53</v>
      </c>
      <c r="F4064">
        <v>38</v>
      </c>
      <c r="G4064" t="s">
        <v>711</v>
      </c>
      <c r="H4064" t="s">
        <v>704</v>
      </c>
      <c r="P4064">
        <f t="shared" si="63"/>
        <v>0</v>
      </c>
    </row>
    <row r="4065" spans="1:16" x14ac:dyDescent="0.25">
      <c r="A4065" t="s">
        <v>128</v>
      </c>
      <c r="B4065" t="s">
        <v>669</v>
      </c>
      <c r="C4065" t="s">
        <v>669</v>
      </c>
      <c r="D4065" t="s">
        <v>669</v>
      </c>
      <c r="E4065">
        <v>38</v>
      </c>
      <c r="F4065">
        <v>13</v>
      </c>
      <c r="G4065" t="s">
        <v>704</v>
      </c>
      <c r="H4065" t="s">
        <v>686</v>
      </c>
      <c r="P4065">
        <f t="shared" si="63"/>
        <v>0</v>
      </c>
    </row>
    <row r="4066" spans="1:16" x14ac:dyDescent="0.25">
      <c r="A4066" t="s">
        <v>129</v>
      </c>
      <c r="B4066" t="s">
        <v>669</v>
      </c>
      <c r="C4066" t="s">
        <v>669</v>
      </c>
      <c r="D4066" t="s">
        <v>669</v>
      </c>
      <c r="E4066">
        <v>38</v>
      </c>
      <c r="F4066">
        <v>38</v>
      </c>
      <c r="G4066" t="s">
        <v>704</v>
      </c>
      <c r="H4066" t="s">
        <v>704</v>
      </c>
      <c r="I4066" t="s">
        <v>799</v>
      </c>
      <c r="P4066">
        <f t="shared" si="63"/>
        <v>9</v>
      </c>
    </row>
    <row r="4067" spans="1:16" x14ac:dyDescent="0.25">
      <c r="A4067" t="s">
        <v>130</v>
      </c>
      <c r="B4067" t="s">
        <v>669</v>
      </c>
      <c r="C4067" t="s">
        <v>669</v>
      </c>
      <c r="D4067" t="s">
        <v>669</v>
      </c>
      <c r="E4067">
        <v>47</v>
      </c>
      <c r="F4067">
        <v>47</v>
      </c>
      <c r="G4067" t="s">
        <v>675</v>
      </c>
      <c r="H4067" t="s">
        <v>675</v>
      </c>
      <c r="P4067">
        <f t="shared" si="63"/>
        <v>0</v>
      </c>
    </row>
    <row r="4068" spans="1:16" x14ac:dyDescent="0.25">
      <c r="A4068" t="s">
        <v>131</v>
      </c>
      <c r="B4068" t="s">
        <v>669</v>
      </c>
      <c r="C4068" t="s">
        <v>669</v>
      </c>
      <c r="D4068" t="s">
        <v>669</v>
      </c>
      <c r="E4068">
        <v>47</v>
      </c>
      <c r="F4068">
        <v>47</v>
      </c>
      <c r="G4068" t="s">
        <v>675</v>
      </c>
      <c r="H4068" t="s">
        <v>675</v>
      </c>
      <c r="I4068" t="s">
        <v>799</v>
      </c>
      <c r="P4068">
        <f t="shared" si="63"/>
        <v>9</v>
      </c>
    </row>
    <row r="4069" spans="1:16" x14ac:dyDescent="0.25">
      <c r="A4069" t="s">
        <v>901</v>
      </c>
      <c r="B4069" t="s">
        <v>669</v>
      </c>
      <c r="C4069" t="s">
        <v>669</v>
      </c>
      <c r="D4069" t="s">
        <v>669</v>
      </c>
      <c r="E4069">
        <v>52</v>
      </c>
      <c r="F4069">
        <v>52</v>
      </c>
      <c r="G4069" t="s">
        <v>749</v>
      </c>
      <c r="H4069" t="s">
        <v>749</v>
      </c>
      <c r="P4069">
        <f t="shared" si="63"/>
        <v>0</v>
      </c>
    </row>
    <row r="4070" spans="1:16" x14ac:dyDescent="0.25">
      <c r="A4070" t="s">
        <v>132</v>
      </c>
      <c r="B4070" t="s">
        <v>669</v>
      </c>
      <c r="C4070" t="s">
        <v>669</v>
      </c>
      <c r="D4070" t="s">
        <v>669</v>
      </c>
      <c r="E4070">
        <v>41</v>
      </c>
      <c r="F4070">
        <v>41</v>
      </c>
      <c r="G4070" t="s">
        <v>706</v>
      </c>
      <c r="H4070" t="s">
        <v>706</v>
      </c>
      <c r="P4070">
        <f t="shared" si="63"/>
        <v>0</v>
      </c>
    </row>
    <row r="4071" spans="1:16" x14ac:dyDescent="0.25">
      <c r="A4071" t="s">
        <v>133</v>
      </c>
      <c r="B4071" t="s">
        <v>669</v>
      </c>
      <c r="C4071" t="s">
        <v>669</v>
      </c>
      <c r="D4071" t="s">
        <v>669</v>
      </c>
      <c r="E4071">
        <v>41</v>
      </c>
      <c r="F4071">
        <v>41</v>
      </c>
      <c r="G4071" t="s">
        <v>706</v>
      </c>
      <c r="H4071" t="s">
        <v>706</v>
      </c>
      <c r="I4071" t="s">
        <v>799</v>
      </c>
      <c r="P4071">
        <f t="shared" si="63"/>
        <v>9</v>
      </c>
    </row>
    <row r="4072" spans="1:16" x14ac:dyDescent="0.25">
      <c r="A4072" t="s">
        <v>134</v>
      </c>
      <c r="B4072" t="s">
        <v>669</v>
      </c>
      <c r="C4072" t="s">
        <v>669</v>
      </c>
      <c r="D4072" t="s">
        <v>669</v>
      </c>
      <c r="E4072">
        <v>45</v>
      </c>
      <c r="F4072">
        <v>45</v>
      </c>
      <c r="G4072" t="s">
        <v>679</v>
      </c>
      <c r="H4072" t="s">
        <v>679</v>
      </c>
      <c r="P4072">
        <f t="shared" si="63"/>
        <v>0</v>
      </c>
    </row>
    <row r="4073" spans="1:16" x14ac:dyDescent="0.25">
      <c r="A4073" t="s">
        <v>135</v>
      </c>
      <c r="B4073" t="s">
        <v>669</v>
      </c>
      <c r="C4073" t="s">
        <v>669</v>
      </c>
      <c r="D4073" t="s">
        <v>669</v>
      </c>
      <c r="E4073">
        <v>45</v>
      </c>
      <c r="F4073">
        <v>44</v>
      </c>
      <c r="G4073" t="s">
        <v>679</v>
      </c>
      <c r="H4073" t="s">
        <v>710</v>
      </c>
      <c r="P4073">
        <f t="shared" si="63"/>
        <v>0</v>
      </c>
    </row>
    <row r="4074" spans="1:16" x14ac:dyDescent="0.25">
      <c r="A4074" t="s">
        <v>136</v>
      </c>
      <c r="B4074" t="s">
        <v>669</v>
      </c>
      <c r="C4074" t="s">
        <v>669</v>
      </c>
      <c r="D4074" t="s">
        <v>669</v>
      </c>
      <c r="E4074">
        <v>45</v>
      </c>
      <c r="F4074">
        <v>44</v>
      </c>
      <c r="G4074" t="s">
        <v>679</v>
      </c>
      <c r="H4074" t="s">
        <v>710</v>
      </c>
      <c r="P4074">
        <f t="shared" si="63"/>
        <v>0</v>
      </c>
    </row>
    <row r="4075" spans="1:16" x14ac:dyDescent="0.25">
      <c r="A4075" t="s">
        <v>137</v>
      </c>
      <c r="B4075" t="s">
        <v>669</v>
      </c>
      <c r="C4075" t="s">
        <v>669</v>
      </c>
      <c r="D4075" t="s">
        <v>669</v>
      </c>
      <c r="E4075">
        <v>41</v>
      </c>
      <c r="F4075">
        <v>41</v>
      </c>
      <c r="G4075" t="s">
        <v>706</v>
      </c>
      <c r="H4075" t="s">
        <v>706</v>
      </c>
      <c r="P4075">
        <f t="shared" si="63"/>
        <v>0</v>
      </c>
    </row>
    <row r="4076" spans="1:16" x14ac:dyDescent="0.25">
      <c r="A4076" t="s">
        <v>138</v>
      </c>
      <c r="B4076" t="s">
        <v>669</v>
      </c>
      <c r="C4076" t="s">
        <v>669</v>
      </c>
      <c r="D4076" t="s">
        <v>669</v>
      </c>
      <c r="E4076">
        <v>42</v>
      </c>
      <c r="F4076">
        <v>42</v>
      </c>
      <c r="G4076" t="s">
        <v>709</v>
      </c>
      <c r="H4076" t="s">
        <v>709</v>
      </c>
      <c r="P4076">
        <f t="shared" si="63"/>
        <v>0</v>
      </c>
    </row>
    <row r="4077" spans="1:16" x14ac:dyDescent="0.25">
      <c r="A4077" t="s">
        <v>900</v>
      </c>
      <c r="B4077" t="s">
        <v>669</v>
      </c>
      <c r="C4077" t="s">
        <v>669</v>
      </c>
      <c r="D4077" t="s">
        <v>669</v>
      </c>
      <c r="E4077">
        <v>44</v>
      </c>
      <c r="F4077">
        <v>44</v>
      </c>
      <c r="G4077" t="s">
        <v>710</v>
      </c>
      <c r="H4077" t="s">
        <v>710</v>
      </c>
      <c r="P4077">
        <f t="shared" si="63"/>
        <v>0</v>
      </c>
    </row>
    <row r="4078" spans="1:16" x14ac:dyDescent="0.25">
      <c r="A4078" t="s">
        <v>139</v>
      </c>
      <c r="B4078" t="s">
        <v>669</v>
      </c>
      <c r="C4078" t="s">
        <v>669</v>
      </c>
      <c r="D4078" t="s">
        <v>669</v>
      </c>
      <c r="E4078">
        <v>44</v>
      </c>
      <c r="F4078">
        <v>44</v>
      </c>
      <c r="G4078" t="s">
        <v>710</v>
      </c>
      <c r="H4078" t="s">
        <v>710</v>
      </c>
      <c r="P4078">
        <f t="shared" si="63"/>
        <v>0</v>
      </c>
    </row>
    <row r="4079" spans="1:16" x14ac:dyDescent="0.25">
      <c r="A4079" t="s">
        <v>140</v>
      </c>
      <c r="B4079" t="s">
        <v>669</v>
      </c>
      <c r="C4079" t="s">
        <v>669</v>
      </c>
      <c r="D4079" t="s">
        <v>669</v>
      </c>
      <c r="E4079">
        <v>38</v>
      </c>
      <c r="F4079">
        <v>24</v>
      </c>
      <c r="G4079" t="s">
        <v>704</v>
      </c>
      <c r="H4079" t="s">
        <v>692</v>
      </c>
      <c r="P4079">
        <f t="shared" si="63"/>
        <v>0</v>
      </c>
    </row>
    <row r="4080" spans="1:16" x14ac:dyDescent="0.25">
      <c r="A4080" t="s">
        <v>141</v>
      </c>
      <c r="B4080" t="s">
        <v>669</v>
      </c>
      <c r="C4080" t="s">
        <v>669</v>
      </c>
      <c r="D4080" t="s">
        <v>669</v>
      </c>
      <c r="E4080">
        <v>38</v>
      </c>
      <c r="F4080">
        <v>24</v>
      </c>
      <c r="G4080" t="s">
        <v>704</v>
      </c>
      <c r="H4080" t="s">
        <v>692</v>
      </c>
      <c r="P4080">
        <f t="shared" si="63"/>
        <v>0</v>
      </c>
    </row>
    <row r="4081" spans="1:16" x14ac:dyDescent="0.25">
      <c r="A4081" t="s">
        <v>899</v>
      </c>
      <c r="B4081" t="s">
        <v>669</v>
      </c>
      <c r="C4081" t="s">
        <v>669</v>
      </c>
      <c r="D4081" t="s">
        <v>669</v>
      </c>
      <c r="E4081">
        <v>38</v>
      </c>
      <c r="F4081">
        <v>38</v>
      </c>
      <c r="G4081" t="s">
        <v>704</v>
      </c>
      <c r="H4081" t="s">
        <v>704</v>
      </c>
      <c r="P4081">
        <f t="shared" si="63"/>
        <v>0</v>
      </c>
    </row>
    <row r="4082" spans="1:16" x14ac:dyDescent="0.25">
      <c r="A4082" t="s">
        <v>142</v>
      </c>
      <c r="B4082" t="s">
        <v>669</v>
      </c>
      <c r="C4082" t="s">
        <v>669</v>
      </c>
      <c r="D4082" t="s">
        <v>669</v>
      </c>
      <c r="E4082">
        <v>38</v>
      </c>
      <c r="F4082">
        <v>38</v>
      </c>
      <c r="G4082" t="s">
        <v>704</v>
      </c>
      <c r="H4082" t="s">
        <v>704</v>
      </c>
      <c r="P4082">
        <f t="shared" si="63"/>
        <v>0</v>
      </c>
    </row>
    <row r="4083" spans="1:16" x14ac:dyDescent="0.25">
      <c r="A4083" t="s">
        <v>143</v>
      </c>
      <c r="B4083" t="s">
        <v>669</v>
      </c>
      <c r="C4083" t="s">
        <v>669</v>
      </c>
      <c r="D4083" t="s">
        <v>669</v>
      </c>
      <c r="E4083">
        <v>162</v>
      </c>
      <c r="F4083">
        <v>162</v>
      </c>
      <c r="G4083" t="s">
        <v>712</v>
      </c>
      <c r="H4083" t="s">
        <v>712</v>
      </c>
      <c r="P4083">
        <f t="shared" si="63"/>
        <v>0</v>
      </c>
    </row>
    <row r="4084" spans="1:16" x14ac:dyDescent="0.25">
      <c r="A4084" t="s">
        <v>144</v>
      </c>
      <c r="B4084" t="s">
        <v>669</v>
      </c>
      <c r="C4084" t="s">
        <v>669</v>
      </c>
      <c r="D4084" t="s">
        <v>669</v>
      </c>
      <c r="E4084">
        <v>162</v>
      </c>
      <c r="F4084">
        <v>161</v>
      </c>
      <c r="G4084" t="s">
        <v>712</v>
      </c>
      <c r="H4084" t="s">
        <v>713</v>
      </c>
      <c r="P4084">
        <f t="shared" si="63"/>
        <v>0</v>
      </c>
    </row>
    <row r="4085" spans="1:16" x14ac:dyDescent="0.25">
      <c r="A4085" t="s">
        <v>145</v>
      </c>
      <c r="B4085" t="s">
        <v>669</v>
      </c>
      <c r="C4085" t="s">
        <v>669</v>
      </c>
      <c r="D4085" t="s">
        <v>669</v>
      </c>
      <c r="E4085">
        <v>36</v>
      </c>
      <c r="F4085">
        <v>36</v>
      </c>
      <c r="G4085" t="s">
        <v>714</v>
      </c>
      <c r="H4085" t="s">
        <v>714</v>
      </c>
      <c r="P4085">
        <f t="shared" si="63"/>
        <v>0</v>
      </c>
    </row>
    <row r="4086" spans="1:16" x14ac:dyDescent="0.25">
      <c r="A4086" t="s">
        <v>146</v>
      </c>
      <c r="B4086" t="s">
        <v>669</v>
      </c>
      <c r="C4086" t="s">
        <v>669</v>
      </c>
      <c r="D4086" t="s">
        <v>669</v>
      </c>
      <c r="E4086">
        <v>139</v>
      </c>
      <c r="F4086">
        <v>139</v>
      </c>
      <c r="G4086" t="s">
        <v>911</v>
      </c>
      <c r="H4086" t="s">
        <v>911</v>
      </c>
      <c r="P4086">
        <f t="shared" si="63"/>
        <v>0</v>
      </c>
    </row>
    <row r="4087" spans="1:16" x14ac:dyDescent="0.25">
      <c r="A4087" t="s">
        <v>148</v>
      </c>
      <c r="B4087" t="s">
        <v>669</v>
      </c>
      <c r="C4087" t="s">
        <v>669</v>
      </c>
      <c r="D4087" t="s">
        <v>669</v>
      </c>
      <c r="E4087">
        <v>96</v>
      </c>
      <c r="F4087">
        <v>96</v>
      </c>
      <c r="G4087" t="s">
        <v>809</v>
      </c>
      <c r="H4087" t="s">
        <v>809</v>
      </c>
      <c r="P4087">
        <f t="shared" si="63"/>
        <v>0</v>
      </c>
    </row>
    <row r="4088" spans="1:16" x14ac:dyDescent="0.25">
      <c r="A4088" t="s">
        <v>149</v>
      </c>
      <c r="B4088" t="s">
        <v>669</v>
      </c>
      <c r="C4088" t="s">
        <v>669</v>
      </c>
      <c r="D4088" t="s">
        <v>669</v>
      </c>
      <c r="E4088">
        <v>109</v>
      </c>
      <c r="F4088">
        <v>102</v>
      </c>
      <c r="G4088" t="s">
        <v>715</v>
      </c>
      <c r="H4088" t="s">
        <v>716</v>
      </c>
      <c r="P4088">
        <f t="shared" si="63"/>
        <v>0</v>
      </c>
    </row>
    <row r="4089" spans="1:16" x14ac:dyDescent="0.25">
      <c r="A4089" t="s">
        <v>150</v>
      </c>
      <c r="B4089" t="s">
        <v>669</v>
      </c>
      <c r="C4089" t="s">
        <v>669</v>
      </c>
      <c r="D4089" t="s">
        <v>669</v>
      </c>
      <c r="E4089">
        <v>109</v>
      </c>
      <c r="F4089">
        <v>102</v>
      </c>
      <c r="G4089" t="s">
        <v>715</v>
      </c>
      <c r="H4089" t="s">
        <v>716</v>
      </c>
      <c r="I4089" t="s">
        <v>799</v>
      </c>
      <c r="P4089">
        <f t="shared" si="63"/>
        <v>9</v>
      </c>
    </row>
    <row r="4090" spans="1:16" x14ac:dyDescent="0.25">
      <c r="A4090" t="s">
        <v>151</v>
      </c>
      <c r="B4090" t="s">
        <v>669</v>
      </c>
      <c r="C4090" t="s">
        <v>669</v>
      </c>
      <c r="D4090" t="s">
        <v>669</v>
      </c>
      <c r="E4090">
        <v>109</v>
      </c>
      <c r="F4090">
        <v>109</v>
      </c>
      <c r="G4090" t="s">
        <v>715</v>
      </c>
      <c r="H4090" t="s">
        <v>715</v>
      </c>
      <c r="P4090">
        <f t="shared" si="63"/>
        <v>0</v>
      </c>
    </row>
    <row r="4091" spans="1:16" x14ac:dyDescent="0.25">
      <c r="A4091" t="s">
        <v>153</v>
      </c>
      <c r="B4091" t="s">
        <v>669</v>
      </c>
      <c r="C4091" t="s">
        <v>669</v>
      </c>
      <c r="D4091" t="s">
        <v>669</v>
      </c>
      <c r="E4091">
        <v>116</v>
      </c>
      <c r="F4091">
        <v>116</v>
      </c>
      <c r="G4091" t="s">
        <v>810</v>
      </c>
      <c r="H4091" t="s">
        <v>810</v>
      </c>
      <c r="P4091">
        <f t="shared" si="63"/>
        <v>0</v>
      </c>
    </row>
    <row r="4092" spans="1:16" x14ac:dyDescent="0.25">
      <c r="A4092" t="s">
        <v>154</v>
      </c>
      <c r="B4092" t="s">
        <v>669</v>
      </c>
      <c r="C4092" t="s">
        <v>669</v>
      </c>
      <c r="D4092" t="s">
        <v>669</v>
      </c>
      <c r="E4092">
        <v>113</v>
      </c>
      <c r="F4092">
        <v>113</v>
      </c>
      <c r="G4092" t="s">
        <v>812</v>
      </c>
      <c r="H4092" t="s">
        <v>812</v>
      </c>
      <c r="P4092">
        <f t="shared" si="63"/>
        <v>0</v>
      </c>
    </row>
    <row r="4093" spans="1:16" x14ac:dyDescent="0.25">
      <c r="A4093" t="s">
        <v>155</v>
      </c>
      <c r="B4093" t="s">
        <v>669</v>
      </c>
      <c r="C4093" t="s">
        <v>669</v>
      </c>
      <c r="D4093" t="s">
        <v>669</v>
      </c>
      <c r="E4093">
        <v>110</v>
      </c>
      <c r="F4093">
        <v>110</v>
      </c>
      <c r="G4093" t="s">
        <v>811</v>
      </c>
      <c r="H4093" t="s">
        <v>811</v>
      </c>
      <c r="P4093">
        <f t="shared" si="63"/>
        <v>0</v>
      </c>
    </row>
    <row r="4094" spans="1:16" x14ac:dyDescent="0.25">
      <c r="A4094" t="s">
        <v>156</v>
      </c>
      <c r="B4094" t="s">
        <v>669</v>
      </c>
      <c r="C4094" t="s">
        <v>669</v>
      </c>
      <c r="D4094" t="s">
        <v>669</v>
      </c>
      <c r="E4094">
        <v>109</v>
      </c>
      <c r="F4094">
        <v>102</v>
      </c>
      <c r="G4094" t="s">
        <v>715</v>
      </c>
      <c r="H4094" t="s">
        <v>716</v>
      </c>
      <c r="P4094">
        <f t="shared" si="63"/>
        <v>0</v>
      </c>
    </row>
    <row r="4095" spans="1:16" x14ac:dyDescent="0.25">
      <c r="A4095" t="s">
        <v>898</v>
      </c>
      <c r="B4095" t="s">
        <v>669</v>
      </c>
      <c r="C4095" t="s">
        <v>669</v>
      </c>
      <c r="D4095" t="s">
        <v>669</v>
      </c>
      <c r="E4095">
        <v>111</v>
      </c>
      <c r="F4095">
        <v>111</v>
      </c>
      <c r="G4095" t="s">
        <v>724</v>
      </c>
      <c r="H4095" t="s">
        <v>724</v>
      </c>
      <c r="P4095">
        <f t="shared" si="63"/>
        <v>0</v>
      </c>
    </row>
    <row r="4096" spans="1:16" x14ac:dyDescent="0.25">
      <c r="A4096" t="s">
        <v>897</v>
      </c>
      <c r="B4096" t="s">
        <v>669</v>
      </c>
      <c r="C4096" t="s">
        <v>669</v>
      </c>
      <c r="D4096" t="s">
        <v>669</v>
      </c>
      <c r="E4096">
        <v>112</v>
      </c>
      <c r="F4096">
        <v>112</v>
      </c>
      <c r="G4096" t="s">
        <v>726</v>
      </c>
      <c r="H4096" t="s">
        <v>726</v>
      </c>
      <c r="P4096">
        <f t="shared" si="63"/>
        <v>0</v>
      </c>
    </row>
    <row r="4097" spans="1:16" x14ac:dyDescent="0.25">
      <c r="A4097" t="s">
        <v>157</v>
      </c>
      <c r="B4097" t="s">
        <v>669</v>
      </c>
      <c r="C4097" t="s">
        <v>669</v>
      </c>
      <c r="D4097" t="s">
        <v>669</v>
      </c>
      <c r="E4097">
        <v>109</v>
      </c>
      <c r="F4097">
        <v>102</v>
      </c>
      <c r="G4097" t="s">
        <v>715</v>
      </c>
      <c r="H4097" t="s">
        <v>716</v>
      </c>
      <c r="P4097">
        <f t="shared" si="63"/>
        <v>0</v>
      </c>
    </row>
    <row r="4098" spans="1:16" x14ac:dyDescent="0.25">
      <c r="A4098" t="s">
        <v>158</v>
      </c>
      <c r="B4098" t="s">
        <v>669</v>
      </c>
      <c r="C4098" t="s">
        <v>669</v>
      </c>
      <c r="D4098" t="s">
        <v>669</v>
      </c>
      <c r="E4098">
        <v>109</v>
      </c>
      <c r="F4098">
        <v>109</v>
      </c>
      <c r="G4098" t="s">
        <v>715</v>
      </c>
      <c r="H4098" t="s">
        <v>715</v>
      </c>
      <c r="P4098">
        <f t="shared" si="63"/>
        <v>0</v>
      </c>
    </row>
    <row r="4099" spans="1:16" x14ac:dyDescent="0.25">
      <c r="A4099" t="s">
        <v>159</v>
      </c>
      <c r="B4099" t="s">
        <v>669</v>
      </c>
      <c r="C4099" t="s">
        <v>669</v>
      </c>
      <c r="D4099" t="s">
        <v>669</v>
      </c>
      <c r="E4099">
        <v>92</v>
      </c>
      <c r="F4099">
        <v>92</v>
      </c>
      <c r="G4099" t="s">
        <v>818</v>
      </c>
      <c r="H4099" t="s">
        <v>818</v>
      </c>
      <c r="P4099">
        <f t="shared" ref="P4099:P4162" si="64">LEN(I4099)</f>
        <v>0</v>
      </c>
    </row>
    <row r="4100" spans="1:16" x14ac:dyDescent="0.25">
      <c r="A4100" t="s">
        <v>160</v>
      </c>
      <c r="B4100" t="s">
        <v>669</v>
      </c>
      <c r="C4100" t="s">
        <v>669</v>
      </c>
      <c r="D4100" t="s">
        <v>669</v>
      </c>
      <c r="E4100">
        <v>76</v>
      </c>
      <c r="F4100">
        <v>73</v>
      </c>
      <c r="G4100" t="s">
        <v>819</v>
      </c>
      <c r="H4100" t="s">
        <v>820</v>
      </c>
      <c r="P4100">
        <f t="shared" si="64"/>
        <v>0</v>
      </c>
    </row>
    <row r="4101" spans="1:16" x14ac:dyDescent="0.25">
      <c r="A4101" t="s">
        <v>669</v>
      </c>
      <c r="B4101">
        <v>13889</v>
      </c>
      <c r="C4101" t="s">
        <v>669</v>
      </c>
      <c r="D4101" t="s">
        <v>865</v>
      </c>
      <c r="E4101" t="s">
        <v>910</v>
      </c>
      <c r="F4101">
        <v>8</v>
      </c>
      <c r="H4101" t="s">
        <v>687</v>
      </c>
      <c r="K4101">
        <v>1.3889E-2</v>
      </c>
      <c r="L4101" t="s">
        <v>303</v>
      </c>
      <c r="N4101">
        <v>13889</v>
      </c>
      <c r="O4101" t="s">
        <v>931</v>
      </c>
      <c r="P4101">
        <f t="shared" si="64"/>
        <v>0</v>
      </c>
    </row>
    <row r="4102" spans="1:16" x14ac:dyDescent="0.25">
      <c r="A4102" t="s">
        <v>896</v>
      </c>
      <c r="B4102" t="s">
        <v>669</v>
      </c>
      <c r="C4102" t="s">
        <v>669</v>
      </c>
      <c r="D4102" t="s">
        <v>669</v>
      </c>
      <c r="E4102">
        <v>155</v>
      </c>
      <c r="F4102">
        <v>155</v>
      </c>
      <c r="G4102" t="s">
        <v>760</v>
      </c>
      <c r="H4102" t="s">
        <v>760</v>
      </c>
      <c r="P4102">
        <f t="shared" si="64"/>
        <v>0</v>
      </c>
    </row>
    <row r="4103" spans="1:16" x14ac:dyDescent="0.25">
      <c r="A4103" t="s">
        <v>162</v>
      </c>
      <c r="B4103" t="s">
        <v>669</v>
      </c>
      <c r="C4103" t="s">
        <v>669</v>
      </c>
      <c r="D4103" t="s">
        <v>669</v>
      </c>
      <c r="E4103">
        <v>155</v>
      </c>
      <c r="F4103">
        <v>155</v>
      </c>
      <c r="G4103" t="s">
        <v>760</v>
      </c>
      <c r="H4103" t="s">
        <v>760</v>
      </c>
      <c r="P4103">
        <f t="shared" si="64"/>
        <v>0</v>
      </c>
    </row>
    <row r="4104" spans="1:16" x14ac:dyDescent="0.25">
      <c r="A4104" t="s">
        <v>163</v>
      </c>
      <c r="B4104" t="s">
        <v>669</v>
      </c>
      <c r="C4104" t="s">
        <v>669</v>
      </c>
      <c r="D4104" t="s">
        <v>669</v>
      </c>
      <c r="E4104">
        <v>46</v>
      </c>
      <c r="F4104">
        <v>46</v>
      </c>
      <c r="G4104" t="s">
        <v>805</v>
      </c>
      <c r="H4104" t="s">
        <v>805</v>
      </c>
      <c r="P4104">
        <f t="shared" si="64"/>
        <v>0</v>
      </c>
    </row>
    <row r="4105" spans="1:16" x14ac:dyDescent="0.25">
      <c r="A4105" t="s">
        <v>164</v>
      </c>
      <c r="B4105" t="s">
        <v>669</v>
      </c>
      <c r="C4105" t="s">
        <v>669</v>
      </c>
      <c r="D4105" t="s">
        <v>669</v>
      </c>
      <c r="E4105">
        <v>46</v>
      </c>
      <c r="F4105">
        <v>46</v>
      </c>
      <c r="G4105" t="s">
        <v>805</v>
      </c>
      <c r="H4105" t="s">
        <v>805</v>
      </c>
      <c r="P4105">
        <f t="shared" si="64"/>
        <v>0</v>
      </c>
    </row>
    <row r="4106" spans="1:16" x14ac:dyDescent="0.25">
      <c r="A4106" t="s">
        <v>165</v>
      </c>
      <c r="B4106" t="s">
        <v>669</v>
      </c>
      <c r="C4106" t="s">
        <v>669</v>
      </c>
      <c r="D4106" t="s">
        <v>669</v>
      </c>
      <c r="E4106">
        <v>46</v>
      </c>
      <c r="F4106">
        <v>46</v>
      </c>
      <c r="G4106" t="s">
        <v>805</v>
      </c>
      <c r="H4106" t="s">
        <v>805</v>
      </c>
      <c r="P4106">
        <f t="shared" si="64"/>
        <v>0</v>
      </c>
    </row>
    <row r="4107" spans="1:16" x14ac:dyDescent="0.25">
      <c r="A4107" t="s">
        <v>166</v>
      </c>
      <c r="B4107" t="s">
        <v>669</v>
      </c>
      <c r="C4107" t="s">
        <v>669</v>
      </c>
      <c r="D4107" t="s">
        <v>669</v>
      </c>
      <c r="E4107">
        <v>46</v>
      </c>
      <c r="F4107">
        <v>46</v>
      </c>
      <c r="G4107" t="s">
        <v>805</v>
      </c>
      <c r="H4107" t="s">
        <v>805</v>
      </c>
      <c r="P4107">
        <f t="shared" si="64"/>
        <v>0</v>
      </c>
    </row>
    <row r="4108" spans="1:16" x14ac:dyDescent="0.25">
      <c r="A4108" t="s">
        <v>167</v>
      </c>
      <c r="B4108" t="s">
        <v>669</v>
      </c>
      <c r="C4108" t="s">
        <v>669</v>
      </c>
      <c r="D4108" t="s">
        <v>669</v>
      </c>
      <c r="E4108">
        <v>32</v>
      </c>
      <c r="F4108">
        <v>32</v>
      </c>
      <c r="G4108" t="s">
        <v>696</v>
      </c>
      <c r="H4108" t="s">
        <v>696</v>
      </c>
      <c r="P4108">
        <f t="shared" si="64"/>
        <v>0</v>
      </c>
    </row>
    <row r="4109" spans="1:16" x14ac:dyDescent="0.25">
      <c r="A4109" t="s">
        <v>170</v>
      </c>
      <c r="B4109" t="s">
        <v>669</v>
      </c>
      <c r="C4109" t="s">
        <v>669</v>
      </c>
      <c r="D4109" t="s">
        <v>669</v>
      </c>
      <c r="E4109">
        <v>7</v>
      </c>
      <c r="F4109">
        <v>7</v>
      </c>
      <c r="G4109" t="s">
        <v>685</v>
      </c>
      <c r="H4109" t="s">
        <v>685</v>
      </c>
      <c r="P4109">
        <f t="shared" si="64"/>
        <v>0</v>
      </c>
    </row>
    <row r="4110" spans="1:16" x14ac:dyDescent="0.25">
      <c r="A4110" t="s">
        <v>172</v>
      </c>
      <c r="B4110" t="s">
        <v>669</v>
      </c>
      <c r="C4110" t="s">
        <v>669</v>
      </c>
      <c r="D4110" t="s">
        <v>669</v>
      </c>
      <c r="E4110">
        <v>23</v>
      </c>
      <c r="F4110">
        <v>22</v>
      </c>
      <c r="G4110" t="s">
        <v>676</v>
      </c>
      <c r="H4110" t="s">
        <v>755</v>
      </c>
      <c r="P4110">
        <f t="shared" si="64"/>
        <v>0</v>
      </c>
    </row>
    <row r="4111" spans="1:16" x14ac:dyDescent="0.25">
      <c r="A4111" t="s">
        <v>174</v>
      </c>
      <c r="B4111" t="s">
        <v>669</v>
      </c>
      <c r="C4111" t="s">
        <v>669</v>
      </c>
      <c r="D4111" t="s">
        <v>669</v>
      </c>
      <c r="E4111">
        <v>71</v>
      </c>
      <c r="F4111">
        <v>71</v>
      </c>
      <c r="G4111" t="s">
        <v>719</v>
      </c>
      <c r="H4111" t="s">
        <v>719</v>
      </c>
      <c r="P4111">
        <f t="shared" si="64"/>
        <v>0</v>
      </c>
    </row>
    <row r="4112" spans="1:16" x14ac:dyDescent="0.25">
      <c r="A4112" t="s">
        <v>175</v>
      </c>
      <c r="B4112" t="s">
        <v>669</v>
      </c>
      <c r="C4112" t="s">
        <v>669</v>
      </c>
      <c r="D4112" t="s">
        <v>669</v>
      </c>
      <c r="E4112">
        <v>71</v>
      </c>
      <c r="F4112">
        <v>71</v>
      </c>
      <c r="G4112" t="s">
        <v>719</v>
      </c>
      <c r="H4112" t="s">
        <v>719</v>
      </c>
      <c r="P4112">
        <f t="shared" si="64"/>
        <v>0</v>
      </c>
    </row>
    <row r="4113" spans="1:16" x14ac:dyDescent="0.25">
      <c r="A4113" t="s">
        <v>176</v>
      </c>
      <c r="B4113" t="s">
        <v>669</v>
      </c>
      <c r="C4113" t="s">
        <v>669</v>
      </c>
      <c r="D4113" t="s">
        <v>669</v>
      </c>
      <c r="E4113">
        <v>143</v>
      </c>
      <c r="F4113">
        <v>109</v>
      </c>
      <c r="G4113" t="s">
        <v>718</v>
      </c>
      <c r="H4113" t="s">
        <v>715</v>
      </c>
      <c r="P4113">
        <f t="shared" si="64"/>
        <v>0</v>
      </c>
    </row>
    <row r="4114" spans="1:16" x14ac:dyDescent="0.25">
      <c r="A4114" t="s">
        <v>177</v>
      </c>
      <c r="B4114" t="s">
        <v>669</v>
      </c>
      <c r="C4114" t="s">
        <v>669</v>
      </c>
      <c r="D4114" t="s">
        <v>669</v>
      </c>
      <c r="E4114">
        <v>88</v>
      </c>
      <c r="F4114">
        <v>88</v>
      </c>
      <c r="G4114" t="s">
        <v>703</v>
      </c>
      <c r="H4114" t="s">
        <v>703</v>
      </c>
      <c r="P4114">
        <f t="shared" si="64"/>
        <v>0</v>
      </c>
    </row>
    <row r="4115" spans="1:16" x14ac:dyDescent="0.25">
      <c r="A4115" t="s">
        <v>180</v>
      </c>
      <c r="B4115" t="s">
        <v>669</v>
      </c>
      <c r="C4115" t="s">
        <v>669</v>
      </c>
      <c r="D4115" t="s">
        <v>669</v>
      </c>
      <c r="E4115">
        <v>16</v>
      </c>
      <c r="F4115">
        <v>16</v>
      </c>
      <c r="G4115" t="s">
        <v>695</v>
      </c>
      <c r="H4115" t="s">
        <v>695</v>
      </c>
      <c r="P4115">
        <f t="shared" si="64"/>
        <v>0</v>
      </c>
    </row>
    <row r="4116" spans="1:16" x14ac:dyDescent="0.25">
      <c r="A4116" t="s">
        <v>669</v>
      </c>
      <c r="B4116">
        <v>13898</v>
      </c>
      <c r="C4116" t="s">
        <v>669</v>
      </c>
      <c r="D4116" t="s">
        <v>865</v>
      </c>
      <c r="E4116" t="s">
        <v>910</v>
      </c>
      <c r="F4116">
        <v>8</v>
      </c>
      <c r="H4116" t="s">
        <v>687</v>
      </c>
      <c r="K4116">
        <v>1.3898000000000001E-2</v>
      </c>
      <c r="L4116" t="s">
        <v>303</v>
      </c>
      <c r="N4116">
        <v>13898</v>
      </c>
      <c r="O4116" t="s">
        <v>931</v>
      </c>
      <c r="P4116">
        <f t="shared" si="64"/>
        <v>0</v>
      </c>
    </row>
    <row r="4117" spans="1:16" x14ac:dyDescent="0.25">
      <c r="A4117" t="s">
        <v>895</v>
      </c>
      <c r="B4117" t="s">
        <v>669</v>
      </c>
      <c r="C4117" t="s">
        <v>669</v>
      </c>
      <c r="D4117" t="s">
        <v>669</v>
      </c>
      <c r="E4117">
        <v>16</v>
      </c>
      <c r="F4117">
        <v>16</v>
      </c>
      <c r="G4117" t="s">
        <v>695</v>
      </c>
      <c r="H4117" t="s">
        <v>695</v>
      </c>
      <c r="P4117">
        <f t="shared" si="64"/>
        <v>0</v>
      </c>
    </row>
    <row r="4118" spans="1:16" x14ac:dyDescent="0.25">
      <c r="A4118" t="s">
        <v>182</v>
      </c>
      <c r="B4118" t="s">
        <v>669</v>
      </c>
      <c r="C4118" t="s">
        <v>669</v>
      </c>
      <c r="D4118" t="s">
        <v>669</v>
      </c>
      <c r="E4118">
        <v>161</v>
      </c>
      <c r="F4118">
        <v>161</v>
      </c>
      <c r="G4118" t="s">
        <v>713</v>
      </c>
      <c r="H4118" t="s">
        <v>713</v>
      </c>
      <c r="P4118">
        <f t="shared" si="64"/>
        <v>0</v>
      </c>
    </row>
    <row r="4119" spans="1:16" x14ac:dyDescent="0.25">
      <c r="A4119" t="s">
        <v>183</v>
      </c>
      <c r="B4119" t="s">
        <v>669</v>
      </c>
      <c r="C4119" t="s">
        <v>669</v>
      </c>
      <c r="D4119" t="s">
        <v>669</v>
      </c>
      <c r="E4119">
        <v>161</v>
      </c>
      <c r="F4119">
        <v>161</v>
      </c>
      <c r="G4119" t="s">
        <v>713</v>
      </c>
      <c r="H4119" t="s">
        <v>713</v>
      </c>
      <c r="I4119" t="s">
        <v>799</v>
      </c>
      <c r="P4119">
        <f t="shared" si="64"/>
        <v>9</v>
      </c>
    </row>
    <row r="4120" spans="1:16" x14ac:dyDescent="0.25">
      <c r="A4120" t="s">
        <v>184</v>
      </c>
      <c r="B4120" t="s">
        <v>669</v>
      </c>
      <c r="C4120" t="s">
        <v>669</v>
      </c>
      <c r="D4120" t="s">
        <v>669</v>
      </c>
      <c r="E4120">
        <v>161</v>
      </c>
      <c r="F4120">
        <v>109</v>
      </c>
      <c r="G4120" t="s">
        <v>713</v>
      </c>
      <c r="H4120" t="s">
        <v>715</v>
      </c>
      <c r="I4120" t="s">
        <v>799</v>
      </c>
      <c r="P4120">
        <f t="shared" si="64"/>
        <v>9</v>
      </c>
    </row>
    <row r="4121" spans="1:16" x14ac:dyDescent="0.25">
      <c r="A4121" t="s">
        <v>185</v>
      </c>
      <c r="B4121" t="s">
        <v>669</v>
      </c>
      <c r="C4121" t="s">
        <v>669</v>
      </c>
      <c r="D4121" t="s">
        <v>669</v>
      </c>
      <c r="E4121">
        <v>115</v>
      </c>
      <c r="F4121">
        <v>115</v>
      </c>
      <c r="G4121" t="s">
        <v>913</v>
      </c>
      <c r="H4121" t="s">
        <v>913</v>
      </c>
      <c r="P4121">
        <f t="shared" si="64"/>
        <v>0</v>
      </c>
    </row>
    <row r="4122" spans="1:16" x14ac:dyDescent="0.25">
      <c r="A4122" t="s">
        <v>187</v>
      </c>
      <c r="B4122" t="s">
        <v>669</v>
      </c>
      <c r="C4122" t="s">
        <v>669</v>
      </c>
      <c r="D4122" t="s">
        <v>669</v>
      </c>
      <c r="E4122">
        <v>117</v>
      </c>
      <c r="F4122">
        <v>117</v>
      </c>
      <c r="G4122" t="s">
        <v>723</v>
      </c>
      <c r="H4122" t="s">
        <v>723</v>
      </c>
      <c r="P4122">
        <f t="shared" si="64"/>
        <v>0</v>
      </c>
    </row>
    <row r="4123" spans="1:16" x14ac:dyDescent="0.25">
      <c r="A4123" t="s">
        <v>188</v>
      </c>
      <c r="B4123" t="s">
        <v>669</v>
      </c>
      <c r="C4123" t="s">
        <v>669</v>
      </c>
      <c r="D4123" t="s">
        <v>669</v>
      </c>
      <c r="E4123">
        <v>28</v>
      </c>
      <c r="F4123">
        <v>28</v>
      </c>
      <c r="G4123" t="s">
        <v>688</v>
      </c>
      <c r="H4123" t="s">
        <v>688</v>
      </c>
      <c r="P4123">
        <f t="shared" si="64"/>
        <v>0</v>
      </c>
    </row>
    <row r="4124" spans="1:16" x14ac:dyDescent="0.25">
      <c r="A4124" t="s">
        <v>189</v>
      </c>
      <c r="B4124" t="s">
        <v>669</v>
      </c>
      <c r="C4124" t="s">
        <v>669</v>
      </c>
      <c r="D4124" t="s">
        <v>669</v>
      </c>
      <c r="E4124">
        <v>28</v>
      </c>
      <c r="F4124">
        <v>17</v>
      </c>
      <c r="G4124" t="s">
        <v>688</v>
      </c>
      <c r="H4124" t="s">
        <v>689</v>
      </c>
      <c r="P4124">
        <f t="shared" si="64"/>
        <v>0</v>
      </c>
    </row>
    <row r="4125" spans="1:16" x14ac:dyDescent="0.25">
      <c r="A4125" t="s">
        <v>190</v>
      </c>
      <c r="B4125" t="s">
        <v>669</v>
      </c>
      <c r="C4125" t="s">
        <v>669</v>
      </c>
      <c r="D4125" t="s">
        <v>669</v>
      </c>
      <c r="E4125">
        <v>28</v>
      </c>
      <c r="F4125">
        <v>25</v>
      </c>
      <c r="G4125" t="s">
        <v>688</v>
      </c>
      <c r="H4125" t="s">
        <v>691</v>
      </c>
      <c r="P4125">
        <f t="shared" si="64"/>
        <v>0</v>
      </c>
    </row>
    <row r="4126" spans="1:16" x14ac:dyDescent="0.25">
      <c r="A4126" t="s">
        <v>192</v>
      </c>
      <c r="B4126" t="s">
        <v>669</v>
      </c>
      <c r="C4126" t="s">
        <v>669</v>
      </c>
      <c r="D4126" t="s">
        <v>669</v>
      </c>
      <c r="E4126">
        <v>28</v>
      </c>
      <c r="F4126">
        <v>28</v>
      </c>
      <c r="G4126" t="s">
        <v>688</v>
      </c>
      <c r="H4126" t="s">
        <v>688</v>
      </c>
      <c r="P4126">
        <f t="shared" si="64"/>
        <v>0</v>
      </c>
    </row>
    <row r="4127" spans="1:16" x14ac:dyDescent="0.25">
      <c r="A4127" t="s">
        <v>193</v>
      </c>
      <c r="B4127" t="s">
        <v>669</v>
      </c>
      <c r="C4127" t="s">
        <v>669</v>
      </c>
      <c r="D4127" t="s">
        <v>669</v>
      </c>
      <c r="E4127">
        <v>28</v>
      </c>
      <c r="F4127">
        <v>28</v>
      </c>
      <c r="G4127" t="s">
        <v>688</v>
      </c>
      <c r="H4127" t="s">
        <v>688</v>
      </c>
      <c r="I4127" t="s">
        <v>799</v>
      </c>
      <c r="P4127">
        <f t="shared" si="64"/>
        <v>9</v>
      </c>
    </row>
    <row r="4128" spans="1:16" x14ac:dyDescent="0.25">
      <c r="A4128" t="s">
        <v>194</v>
      </c>
      <c r="B4128" t="s">
        <v>669</v>
      </c>
      <c r="C4128" t="s">
        <v>669</v>
      </c>
      <c r="D4128" t="s">
        <v>669</v>
      </c>
      <c r="E4128">
        <v>28</v>
      </c>
      <c r="F4128">
        <v>28</v>
      </c>
      <c r="G4128" t="s">
        <v>688</v>
      </c>
      <c r="H4128" t="s">
        <v>688</v>
      </c>
      <c r="I4128" t="s">
        <v>938</v>
      </c>
      <c r="P4128">
        <f t="shared" si="64"/>
        <v>25</v>
      </c>
    </row>
    <row r="4129" spans="1:16" x14ac:dyDescent="0.25">
      <c r="A4129" t="s">
        <v>195</v>
      </c>
      <c r="B4129" t="s">
        <v>669</v>
      </c>
      <c r="C4129" t="s">
        <v>669</v>
      </c>
      <c r="D4129" t="s">
        <v>669</v>
      </c>
      <c r="E4129">
        <v>28</v>
      </c>
      <c r="F4129">
        <v>28</v>
      </c>
      <c r="G4129" t="s">
        <v>688</v>
      </c>
      <c r="H4129" t="s">
        <v>688</v>
      </c>
      <c r="I4129" t="s">
        <v>937</v>
      </c>
      <c r="P4129">
        <f t="shared" si="64"/>
        <v>13</v>
      </c>
    </row>
    <row r="4130" spans="1:16" x14ac:dyDescent="0.25">
      <c r="A4130" t="s">
        <v>196</v>
      </c>
      <c r="B4130" t="s">
        <v>669</v>
      </c>
      <c r="C4130" t="s">
        <v>669</v>
      </c>
      <c r="D4130" t="s">
        <v>669</v>
      </c>
      <c r="E4130">
        <v>28</v>
      </c>
      <c r="F4130">
        <v>4</v>
      </c>
      <c r="G4130" t="s">
        <v>688</v>
      </c>
      <c r="H4130" t="s">
        <v>701</v>
      </c>
      <c r="P4130">
        <f t="shared" si="64"/>
        <v>0</v>
      </c>
    </row>
    <row r="4131" spans="1:16" x14ac:dyDescent="0.25">
      <c r="A4131" t="s">
        <v>197</v>
      </c>
      <c r="B4131" t="s">
        <v>669</v>
      </c>
      <c r="C4131" t="s">
        <v>669</v>
      </c>
      <c r="D4131" t="s">
        <v>669</v>
      </c>
      <c r="E4131">
        <v>28</v>
      </c>
      <c r="F4131">
        <v>28</v>
      </c>
      <c r="G4131" t="s">
        <v>688</v>
      </c>
      <c r="H4131" t="s">
        <v>688</v>
      </c>
      <c r="I4131" t="s">
        <v>799</v>
      </c>
      <c r="P4131">
        <f t="shared" si="64"/>
        <v>9</v>
      </c>
    </row>
    <row r="4132" spans="1:16" x14ac:dyDescent="0.25">
      <c r="A4132" t="s">
        <v>198</v>
      </c>
      <c r="B4132" t="s">
        <v>669</v>
      </c>
      <c r="C4132" t="s">
        <v>669</v>
      </c>
      <c r="D4132" t="s">
        <v>669</v>
      </c>
      <c r="E4132">
        <v>28</v>
      </c>
      <c r="F4132">
        <v>28</v>
      </c>
      <c r="G4132" t="s">
        <v>688</v>
      </c>
      <c r="H4132" t="s">
        <v>688</v>
      </c>
      <c r="I4132" t="s">
        <v>799</v>
      </c>
      <c r="P4132">
        <f t="shared" si="64"/>
        <v>9</v>
      </c>
    </row>
    <row r="4133" spans="1:16" ht="30" x14ac:dyDescent="0.25">
      <c r="A4133" s="1" t="s">
        <v>199</v>
      </c>
      <c r="B4133" t="s">
        <v>669</v>
      </c>
      <c r="C4133" t="s">
        <v>669</v>
      </c>
      <c r="D4133" t="s">
        <v>669</v>
      </c>
      <c r="E4133">
        <v>28</v>
      </c>
      <c r="F4133">
        <v>25</v>
      </c>
      <c r="G4133" t="s">
        <v>688</v>
      </c>
      <c r="H4133" t="s">
        <v>691</v>
      </c>
      <c r="I4133" t="s">
        <v>937</v>
      </c>
      <c r="P4133">
        <f t="shared" si="64"/>
        <v>13</v>
      </c>
    </row>
    <row r="4134" spans="1:16" x14ac:dyDescent="0.25">
      <c r="A4134" t="s">
        <v>200</v>
      </c>
      <c r="B4134" t="s">
        <v>669</v>
      </c>
      <c r="C4134" t="s">
        <v>669</v>
      </c>
      <c r="D4134" t="s">
        <v>669</v>
      </c>
      <c r="E4134">
        <v>28</v>
      </c>
      <c r="F4134">
        <v>28</v>
      </c>
      <c r="G4134" t="s">
        <v>688</v>
      </c>
      <c r="H4134" t="s">
        <v>688</v>
      </c>
      <c r="I4134" t="s">
        <v>799</v>
      </c>
      <c r="P4134">
        <f t="shared" si="64"/>
        <v>9</v>
      </c>
    </row>
    <row r="4135" spans="1:16" x14ac:dyDescent="0.25">
      <c r="A4135" t="s">
        <v>201</v>
      </c>
      <c r="B4135" t="s">
        <v>669</v>
      </c>
      <c r="C4135" t="s">
        <v>669</v>
      </c>
      <c r="D4135" t="s">
        <v>669</v>
      </c>
      <c r="E4135">
        <v>28</v>
      </c>
      <c r="F4135">
        <v>28</v>
      </c>
      <c r="G4135" t="s">
        <v>688</v>
      </c>
      <c r="H4135" t="s">
        <v>688</v>
      </c>
      <c r="P4135">
        <f t="shared" si="64"/>
        <v>0</v>
      </c>
    </row>
    <row r="4136" spans="1:16" x14ac:dyDescent="0.25">
      <c r="A4136" t="s">
        <v>202</v>
      </c>
      <c r="B4136" t="s">
        <v>669</v>
      </c>
      <c r="C4136" t="s">
        <v>669</v>
      </c>
      <c r="D4136" t="s">
        <v>669</v>
      </c>
      <c r="E4136">
        <v>111</v>
      </c>
      <c r="F4136">
        <v>111</v>
      </c>
      <c r="G4136" t="s">
        <v>724</v>
      </c>
      <c r="H4136" t="s">
        <v>724</v>
      </c>
      <c r="P4136">
        <f t="shared" si="64"/>
        <v>0</v>
      </c>
    </row>
    <row r="4137" spans="1:16" x14ac:dyDescent="0.25">
      <c r="A4137" t="s">
        <v>203</v>
      </c>
      <c r="B4137" t="s">
        <v>669</v>
      </c>
      <c r="C4137">
        <v>376.4</v>
      </c>
      <c r="D4137" t="s">
        <v>669</v>
      </c>
      <c r="E4137">
        <v>111</v>
      </c>
      <c r="F4137">
        <v>107</v>
      </c>
      <c r="G4137" t="s">
        <v>724</v>
      </c>
      <c r="H4137" t="s">
        <v>761</v>
      </c>
      <c r="J4137">
        <v>376.4</v>
      </c>
      <c r="L4137" t="s">
        <v>303</v>
      </c>
      <c r="M4137">
        <v>376.4</v>
      </c>
      <c r="P4137">
        <f t="shared" si="64"/>
        <v>0</v>
      </c>
    </row>
    <row r="4138" spans="1:16" x14ac:dyDescent="0.25">
      <c r="A4138" t="s">
        <v>669</v>
      </c>
      <c r="B4138">
        <v>13928</v>
      </c>
      <c r="C4138" t="s">
        <v>669</v>
      </c>
      <c r="D4138" t="s">
        <v>865</v>
      </c>
      <c r="E4138" t="s">
        <v>910</v>
      </c>
      <c r="F4138">
        <v>8</v>
      </c>
      <c r="H4138" t="s">
        <v>687</v>
      </c>
      <c r="K4138">
        <v>1.3927999999999999E-2</v>
      </c>
      <c r="L4138" t="s">
        <v>303</v>
      </c>
      <c r="N4138">
        <v>13928</v>
      </c>
      <c r="O4138" t="s">
        <v>931</v>
      </c>
      <c r="P4138">
        <f t="shared" si="64"/>
        <v>0</v>
      </c>
    </row>
    <row r="4139" spans="1:16" x14ac:dyDescent="0.25">
      <c r="A4139" t="s">
        <v>669</v>
      </c>
      <c r="B4139">
        <v>14051</v>
      </c>
      <c r="C4139" t="s">
        <v>669</v>
      </c>
      <c r="D4139" t="s">
        <v>865</v>
      </c>
      <c r="E4139" t="s">
        <v>910</v>
      </c>
      <c r="F4139">
        <v>8</v>
      </c>
      <c r="H4139" t="s">
        <v>687</v>
      </c>
      <c r="K4139">
        <v>1.4050999999999999E-2</v>
      </c>
      <c r="L4139" t="s">
        <v>303</v>
      </c>
      <c r="N4139">
        <v>14051</v>
      </c>
      <c r="O4139" t="s">
        <v>931</v>
      </c>
      <c r="P4139">
        <f t="shared" si="64"/>
        <v>0</v>
      </c>
    </row>
    <row r="4140" spans="1:16" x14ac:dyDescent="0.25">
      <c r="A4140" t="s">
        <v>669</v>
      </c>
      <c r="B4140">
        <v>14114</v>
      </c>
      <c r="C4140" t="s">
        <v>669</v>
      </c>
      <c r="D4140" t="s">
        <v>865</v>
      </c>
      <c r="E4140" t="s">
        <v>910</v>
      </c>
      <c r="F4140">
        <v>8</v>
      </c>
      <c r="H4140" t="s">
        <v>687</v>
      </c>
      <c r="K4140">
        <v>1.4114E-2</v>
      </c>
      <c r="L4140" t="s">
        <v>303</v>
      </c>
      <c r="N4140">
        <v>14114</v>
      </c>
      <c r="O4140" t="s">
        <v>931</v>
      </c>
      <c r="P4140">
        <f t="shared" si="64"/>
        <v>0</v>
      </c>
    </row>
    <row r="4141" spans="1:16" x14ac:dyDescent="0.25">
      <c r="A4141" t="s">
        <v>206</v>
      </c>
      <c r="B4141" t="s">
        <v>669</v>
      </c>
      <c r="C4141" t="s">
        <v>669</v>
      </c>
      <c r="D4141" t="s">
        <v>669</v>
      </c>
      <c r="E4141">
        <v>112</v>
      </c>
      <c r="F4141">
        <v>112</v>
      </c>
      <c r="G4141" t="s">
        <v>726</v>
      </c>
      <c r="H4141" t="s">
        <v>726</v>
      </c>
      <c r="P4141">
        <f t="shared" si="64"/>
        <v>0</v>
      </c>
    </row>
    <row r="4142" spans="1:16" x14ac:dyDescent="0.25">
      <c r="A4142" t="s">
        <v>208</v>
      </c>
      <c r="B4142" t="s">
        <v>669</v>
      </c>
      <c r="C4142" t="s">
        <v>669</v>
      </c>
      <c r="D4142" t="s">
        <v>669</v>
      </c>
      <c r="E4142">
        <v>114</v>
      </c>
      <c r="F4142">
        <v>114</v>
      </c>
      <c r="G4142" t="s">
        <v>728</v>
      </c>
      <c r="H4142" t="s">
        <v>728</v>
      </c>
      <c r="P4142">
        <f t="shared" si="64"/>
        <v>0</v>
      </c>
    </row>
    <row r="4143" spans="1:16" x14ac:dyDescent="0.25">
      <c r="A4143" t="s">
        <v>210</v>
      </c>
      <c r="B4143" t="s">
        <v>669</v>
      </c>
      <c r="C4143" t="s">
        <v>669</v>
      </c>
      <c r="D4143" t="s">
        <v>669</v>
      </c>
      <c r="E4143">
        <v>67</v>
      </c>
      <c r="F4143">
        <v>67</v>
      </c>
      <c r="G4143" t="s">
        <v>829</v>
      </c>
      <c r="H4143" t="s">
        <v>829</v>
      </c>
      <c r="P4143">
        <f t="shared" si="64"/>
        <v>0</v>
      </c>
    </row>
    <row r="4144" spans="1:16" x14ac:dyDescent="0.25">
      <c r="A4144" t="s">
        <v>211</v>
      </c>
      <c r="B4144" t="s">
        <v>669</v>
      </c>
      <c r="C4144" t="s">
        <v>669</v>
      </c>
      <c r="D4144" t="s">
        <v>669</v>
      </c>
      <c r="E4144">
        <v>5</v>
      </c>
      <c r="F4144">
        <v>5</v>
      </c>
      <c r="G4144" t="s">
        <v>684</v>
      </c>
      <c r="H4144" t="s">
        <v>684</v>
      </c>
      <c r="P4144">
        <f t="shared" si="64"/>
        <v>0</v>
      </c>
    </row>
    <row r="4145" spans="1:16" x14ac:dyDescent="0.25">
      <c r="A4145" t="s">
        <v>212</v>
      </c>
      <c r="B4145" t="s">
        <v>669</v>
      </c>
      <c r="C4145" t="s">
        <v>669</v>
      </c>
      <c r="D4145" t="s">
        <v>669</v>
      </c>
      <c r="E4145">
        <v>4</v>
      </c>
      <c r="F4145">
        <v>4</v>
      </c>
      <c r="G4145" t="s">
        <v>701</v>
      </c>
      <c r="H4145" t="s">
        <v>701</v>
      </c>
      <c r="P4145">
        <f t="shared" si="64"/>
        <v>0</v>
      </c>
    </row>
    <row r="4146" spans="1:16" x14ac:dyDescent="0.25">
      <c r="A4146" t="s">
        <v>669</v>
      </c>
      <c r="B4146">
        <v>14157</v>
      </c>
      <c r="C4146" t="s">
        <v>669</v>
      </c>
      <c r="D4146" t="s">
        <v>865</v>
      </c>
      <c r="E4146" t="s">
        <v>910</v>
      </c>
      <c r="F4146">
        <v>8</v>
      </c>
      <c r="H4146" t="s">
        <v>687</v>
      </c>
      <c r="K4146">
        <v>1.4156999999999999E-2</v>
      </c>
      <c r="L4146" t="s">
        <v>303</v>
      </c>
      <c r="N4146">
        <v>14157</v>
      </c>
      <c r="O4146" t="s">
        <v>931</v>
      </c>
      <c r="P4146">
        <f t="shared" si="64"/>
        <v>0</v>
      </c>
    </row>
    <row r="4147" spans="1:16" x14ac:dyDescent="0.25">
      <c r="A4147" t="s">
        <v>669</v>
      </c>
      <c r="B4147">
        <v>14219</v>
      </c>
      <c r="C4147" t="s">
        <v>669</v>
      </c>
      <c r="D4147" t="s">
        <v>865</v>
      </c>
      <c r="E4147" t="s">
        <v>910</v>
      </c>
      <c r="F4147">
        <v>8</v>
      </c>
      <c r="H4147" t="s">
        <v>687</v>
      </c>
      <c r="K4147">
        <v>1.4219000000000001E-2</v>
      </c>
      <c r="L4147" t="s">
        <v>303</v>
      </c>
      <c r="N4147">
        <v>14219</v>
      </c>
      <c r="O4147" t="s">
        <v>931</v>
      </c>
      <c r="P4147">
        <f t="shared" si="64"/>
        <v>0</v>
      </c>
    </row>
    <row r="4148" spans="1:16" x14ac:dyDescent="0.25">
      <c r="A4148" t="s">
        <v>669</v>
      </c>
      <c r="B4148">
        <v>14511</v>
      </c>
      <c r="C4148" t="s">
        <v>669</v>
      </c>
      <c r="D4148" t="s">
        <v>865</v>
      </c>
      <c r="E4148" t="s">
        <v>910</v>
      </c>
      <c r="F4148">
        <v>8</v>
      </c>
      <c r="H4148" t="s">
        <v>687</v>
      </c>
      <c r="K4148">
        <v>1.4511E-2</v>
      </c>
      <c r="L4148" t="s">
        <v>303</v>
      </c>
      <c r="N4148">
        <v>14511</v>
      </c>
      <c r="O4148" t="s">
        <v>931</v>
      </c>
      <c r="P4148">
        <f t="shared" si="64"/>
        <v>0</v>
      </c>
    </row>
    <row r="4149" spans="1:16" x14ac:dyDescent="0.25">
      <c r="A4149" t="s">
        <v>669</v>
      </c>
      <c r="B4149">
        <v>14630</v>
      </c>
      <c r="C4149" t="s">
        <v>669</v>
      </c>
      <c r="D4149" t="s">
        <v>865</v>
      </c>
      <c r="E4149" t="s">
        <v>910</v>
      </c>
      <c r="F4149">
        <v>8</v>
      </c>
      <c r="H4149" t="s">
        <v>687</v>
      </c>
      <c r="K4149">
        <v>1.4630000000000001E-2</v>
      </c>
      <c r="L4149" t="s">
        <v>303</v>
      </c>
      <c r="N4149">
        <v>14630</v>
      </c>
      <c r="O4149" t="s">
        <v>931</v>
      </c>
      <c r="P4149">
        <f t="shared" si="64"/>
        <v>0</v>
      </c>
    </row>
    <row r="4150" spans="1:16" x14ac:dyDescent="0.25">
      <c r="A4150" t="s">
        <v>669</v>
      </c>
      <c r="B4150">
        <v>14809</v>
      </c>
      <c r="C4150" t="s">
        <v>669</v>
      </c>
      <c r="D4150" t="s">
        <v>865</v>
      </c>
      <c r="E4150" t="s">
        <v>910</v>
      </c>
      <c r="F4150">
        <v>8</v>
      </c>
      <c r="H4150" t="s">
        <v>687</v>
      </c>
      <c r="K4150">
        <v>1.4808999999999999E-2</v>
      </c>
      <c r="L4150" t="s">
        <v>303</v>
      </c>
      <c r="N4150">
        <v>14809</v>
      </c>
      <c r="O4150" t="s">
        <v>931</v>
      </c>
      <c r="P4150">
        <f t="shared" si="64"/>
        <v>0</v>
      </c>
    </row>
    <row r="4151" spans="1:16" x14ac:dyDescent="0.25">
      <c r="A4151" t="s">
        <v>669</v>
      </c>
      <c r="B4151">
        <v>14915</v>
      </c>
      <c r="C4151" t="s">
        <v>669</v>
      </c>
      <c r="D4151" t="s">
        <v>865</v>
      </c>
      <c r="E4151" t="s">
        <v>910</v>
      </c>
      <c r="F4151">
        <v>8</v>
      </c>
      <c r="H4151" t="s">
        <v>687</v>
      </c>
      <c r="K4151">
        <v>1.4914999999999999E-2</v>
      </c>
      <c r="L4151" t="s">
        <v>303</v>
      </c>
      <c r="N4151">
        <v>14915</v>
      </c>
      <c r="O4151" t="s">
        <v>931</v>
      </c>
      <c r="P4151">
        <f t="shared" si="64"/>
        <v>0</v>
      </c>
    </row>
    <row r="4152" spans="1:16" x14ac:dyDescent="0.25">
      <c r="A4152" t="s">
        <v>669</v>
      </c>
      <c r="B4152">
        <v>14938</v>
      </c>
      <c r="C4152" t="s">
        <v>669</v>
      </c>
      <c r="D4152" t="s">
        <v>865</v>
      </c>
      <c r="E4152" t="s">
        <v>910</v>
      </c>
      <c r="F4152">
        <v>8</v>
      </c>
      <c r="H4152" t="s">
        <v>687</v>
      </c>
      <c r="K4152">
        <v>1.4938E-2</v>
      </c>
      <c r="L4152" t="s">
        <v>303</v>
      </c>
      <c r="N4152">
        <v>14938</v>
      </c>
      <c r="O4152" t="s">
        <v>931</v>
      </c>
      <c r="P4152">
        <f t="shared" si="64"/>
        <v>0</v>
      </c>
    </row>
    <row r="4153" spans="1:16" x14ac:dyDescent="0.25">
      <c r="A4153" t="s">
        <v>669</v>
      </c>
      <c r="B4153">
        <v>14966</v>
      </c>
      <c r="C4153" t="s">
        <v>669</v>
      </c>
      <c r="D4153" t="s">
        <v>865</v>
      </c>
      <c r="E4153" t="s">
        <v>910</v>
      </c>
      <c r="F4153">
        <v>8</v>
      </c>
      <c r="H4153" t="s">
        <v>687</v>
      </c>
      <c r="K4153">
        <v>1.4966E-2</v>
      </c>
      <c r="L4153" t="s">
        <v>303</v>
      </c>
      <c r="N4153">
        <v>14966</v>
      </c>
      <c r="O4153" t="s">
        <v>931</v>
      </c>
      <c r="P4153">
        <f t="shared" si="64"/>
        <v>0</v>
      </c>
    </row>
    <row r="4154" spans="1:16" x14ac:dyDescent="0.25">
      <c r="A4154" t="s">
        <v>669</v>
      </c>
      <c r="B4154">
        <v>15130</v>
      </c>
      <c r="C4154" t="s">
        <v>669</v>
      </c>
      <c r="D4154" t="s">
        <v>865</v>
      </c>
      <c r="E4154" t="s">
        <v>910</v>
      </c>
      <c r="F4154">
        <v>8</v>
      </c>
      <c r="H4154" t="s">
        <v>687</v>
      </c>
      <c r="K4154">
        <v>1.5129999999999999E-2</v>
      </c>
      <c r="L4154" t="s">
        <v>303</v>
      </c>
      <c r="N4154">
        <v>15130</v>
      </c>
      <c r="O4154" t="s">
        <v>931</v>
      </c>
      <c r="P4154">
        <f t="shared" si="64"/>
        <v>0</v>
      </c>
    </row>
    <row r="4155" spans="1:16" x14ac:dyDescent="0.25">
      <c r="A4155" t="s">
        <v>669</v>
      </c>
      <c r="B4155">
        <v>15236</v>
      </c>
      <c r="C4155" t="s">
        <v>669</v>
      </c>
      <c r="D4155" t="s">
        <v>865</v>
      </c>
      <c r="E4155" t="s">
        <v>910</v>
      </c>
      <c r="F4155">
        <v>8</v>
      </c>
      <c r="H4155" t="s">
        <v>687</v>
      </c>
      <c r="K4155">
        <v>1.5236E-2</v>
      </c>
      <c r="L4155" t="s">
        <v>303</v>
      </c>
      <c r="N4155">
        <v>15236</v>
      </c>
      <c r="O4155" t="s">
        <v>931</v>
      </c>
      <c r="P4155">
        <f t="shared" si="64"/>
        <v>0</v>
      </c>
    </row>
    <row r="4156" spans="1:16" x14ac:dyDescent="0.25">
      <c r="A4156" t="s">
        <v>213</v>
      </c>
      <c r="B4156" t="s">
        <v>669</v>
      </c>
      <c r="C4156" t="s">
        <v>669</v>
      </c>
      <c r="D4156" t="s">
        <v>669</v>
      </c>
      <c r="E4156">
        <v>4</v>
      </c>
      <c r="F4156">
        <v>4</v>
      </c>
      <c r="G4156" t="s">
        <v>701</v>
      </c>
      <c r="H4156" t="s">
        <v>701</v>
      </c>
      <c r="P4156">
        <f t="shared" si="64"/>
        <v>0</v>
      </c>
    </row>
    <row r="4157" spans="1:16" x14ac:dyDescent="0.25">
      <c r="A4157" t="s">
        <v>214</v>
      </c>
      <c r="B4157" t="s">
        <v>669</v>
      </c>
      <c r="C4157" t="s">
        <v>669</v>
      </c>
      <c r="D4157" t="s">
        <v>669</v>
      </c>
      <c r="E4157">
        <v>4</v>
      </c>
      <c r="F4157">
        <v>4</v>
      </c>
      <c r="G4157" t="s">
        <v>701</v>
      </c>
      <c r="H4157" t="s">
        <v>701</v>
      </c>
      <c r="P4157">
        <f t="shared" si="64"/>
        <v>0</v>
      </c>
    </row>
    <row r="4158" spans="1:16" x14ac:dyDescent="0.25">
      <c r="A4158" t="s">
        <v>215</v>
      </c>
      <c r="B4158" t="s">
        <v>669</v>
      </c>
      <c r="C4158" t="s">
        <v>669</v>
      </c>
      <c r="D4158" t="s">
        <v>669</v>
      </c>
      <c r="E4158">
        <v>8</v>
      </c>
      <c r="F4158">
        <v>4</v>
      </c>
      <c r="G4158" t="s">
        <v>687</v>
      </c>
      <c r="H4158" t="s">
        <v>701</v>
      </c>
      <c r="P4158">
        <f t="shared" si="64"/>
        <v>0</v>
      </c>
    </row>
    <row r="4159" spans="1:16" x14ac:dyDescent="0.25">
      <c r="A4159" t="s">
        <v>216</v>
      </c>
      <c r="B4159" t="s">
        <v>669</v>
      </c>
      <c r="C4159" t="s">
        <v>669</v>
      </c>
      <c r="D4159" t="s">
        <v>669</v>
      </c>
      <c r="E4159">
        <v>13</v>
      </c>
      <c r="F4159">
        <v>4</v>
      </c>
      <c r="G4159" t="s">
        <v>686</v>
      </c>
      <c r="H4159" t="s">
        <v>701</v>
      </c>
      <c r="P4159">
        <f t="shared" si="64"/>
        <v>0</v>
      </c>
    </row>
    <row r="4160" spans="1:16" x14ac:dyDescent="0.25">
      <c r="A4160" t="s">
        <v>218</v>
      </c>
      <c r="B4160" t="s">
        <v>669</v>
      </c>
      <c r="C4160" t="s">
        <v>669</v>
      </c>
      <c r="D4160" t="s">
        <v>669</v>
      </c>
      <c r="E4160">
        <v>4</v>
      </c>
      <c r="F4160">
        <v>4</v>
      </c>
      <c r="G4160" t="s">
        <v>701</v>
      </c>
      <c r="H4160" t="s">
        <v>701</v>
      </c>
      <c r="P4160">
        <f t="shared" si="64"/>
        <v>0</v>
      </c>
    </row>
    <row r="4161" spans="1:16" x14ac:dyDescent="0.25">
      <c r="A4161" t="s">
        <v>220</v>
      </c>
      <c r="B4161" t="s">
        <v>669</v>
      </c>
      <c r="C4161" t="s">
        <v>669</v>
      </c>
      <c r="D4161" t="s">
        <v>669</v>
      </c>
      <c r="E4161">
        <v>53</v>
      </c>
      <c r="F4161">
        <v>53</v>
      </c>
      <c r="G4161" t="s">
        <v>711</v>
      </c>
      <c r="H4161" t="s">
        <v>711</v>
      </c>
      <c r="P4161">
        <f t="shared" si="64"/>
        <v>0</v>
      </c>
    </row>
    <row r="4162" spans="1:16" x14ac:dyDescent="0.25">
      <c r="A4162" t="s">
        <v>221</v>
      </c>
      <c r="B4162" t="s">
        <v>669</v>
      </c>
      <c r="C4162">
        <v>148</v>
      </c>
      <c r="D4162" t="s">
        <v>669</v>
      </c>
      <c r="E4162">
        <v>53</v>
      </c>
      <c r="F4162">
        <v>53</v>
      </c>
      <c r="G4162" t="s">
        <v>711</v>
      </c>
      <c r="H4162" t="s">
        <v>711</v>
      </c>
      <c r="J4162">
        <v>148</v>
      </c>
      <c r="L4162" t="s">
        <v>303</v>
      </c>
      <c r="M4162">
        <v>148</v>
      </c>
      <c r="P4162">
        <f t="shared" si="64"/>
        <v>0</v>
      </c>
    </row>
    <row r="4163" spans="1:16" x14ac:dyDescent="0.25">
      <c r="A4163" t="s">
        <v>221</v>
      </c>
      <c r="B4163" t="s">
        <v>669</v>
      </c>
      <c r="C4163">
        <v>152</v>
      </c>
      <c r="D4163" t="s">
        <v>669</v>
      </c>
      <c r="E4163">
        <v>53</v>
      </c>
      <c r="F4163">
        <v>53</v>
      </c>
      <c r="G4163" t="s">
        <v>711</v>
      </c>
      <c r="H4163" t="s">
        <v>711</v>
      </c>
      <c r="J4163">
        <v>152</v>
      </c>
      <c r="L4163" t="s">
        <v>303</v>
      </c>
      <c r="M4163">
        <v>152</v>
      </c>
      <c r="P4163">
        <f t="shared" ref="P4163:P4226" si="65">LEN(I4163)</f>
        <v>0</v>
      </c>
    </row>
    <row r="4164" spans="1:16" x14ac:dyDescent="0.25">
      <c r="A4164" t="s">
        <v>221</v>
      </c>
      <c r="B4164" t="s">
        <v>669</v>
      </c>
      <c r="C4164">
        <v>154</v>
      </c>
      <c r="D4164" t="s">
        <v>669</v>
      </c>
      <c r="E4164">
        <v>53</v>
      </c>
      <c r="F4164">
        <v>53</v>
      </c>
      <c r="G4164" t="s">
        <v>711</v>
      </c>
      <c r="H4164" t="s">
        <v>711</v>
      </c>
      <c r="J4164">
        <v>154</v>
      </c>
      <c r="L4164" t="s">
        <v>303</v>
      </c>
      <c r="M4164">
        <v>154</v>
      </c>
      <c r="P4164">
        <f t="shared" si="65"/>
        <v>0</v>
      </c>
    </row>
    <row r="4165" spans="1:16" x14ac:dyDescent="0.25">
      <c r="A4165" t="s">
        <v>221</v>
      </c>
      <c r="B4165" t="s">
        <v>669</v>
      </c>
      <c r="C4165">
        <v>157</v>
      </c>
      <c r="D4165" t="s">
        <v>669</v>
      </c>
      <c r="E4165">
        <v>53</v>
      </c>
      <c r="F4165">
        <v>53</v>
      </c>
      <c r="G4165" t="s">
        <v>711</v>
      </c>
      <c r="H4165" t="s">
        <v>711</v>
      </c>
      <c r="J4165">
        <v>157</v>
      </c>
      <c r="L4165" t="s">
        <v>303</v>
      </c>
      <c r="M4165">
        <v>157</v>
      </c>
      <c r="P4165">
        <f t="shared" si="65"/>
        <v>0</v>
      </c>
    </row>
    <row r="4166" spans="1:16" x14ac:dyDescent="0.25">
      <c r="A4166" t="s">
        <v>221</v>
      </c>
      <c r="B4166" t="s">
        <v>669</v>
      </c>
      <c r="C4166">
        <v>159</v>
      </c>
      <c r="D4166" t="s">
        <v>669</v>
      </c>
      <c r="E4166">
        <v>53</v>
      </c>
      <c r="F4166">
        <v>53</v>
      </c>
      <c r="G4166" t="s">
        <v>711</v>
      </c>
      <c r="H4166" t="s">
        <v>711</v>
      </c>
      <c r="J4166">
        <v>159</v>
      </c>
      <c r="L4166" t="s">
        <v>303</v>
      </c>
      <c r="M4166">
        <v>159</v>
      </c>
      <c r="P4166">
        <f t="shared" si="65"/>
        <v>0</v>
      </c>
    </row>
    <row r="4167" spans="1:16" x14ac:dyDescent="0.25">
      <c r="A4167" t="s">
        <v>221</v>
      </c>
      <c r="B4167" t="s">
        <v>669</v>
      </c>
      <c r="C4167">
        <v>162</v>
      </c>
      <c r="D4167" t="s">
        <v>669</v>
      </c>
      <c r="E4167">
        <v>53</v>
      </c>
      <c r="F4167">
        <v>53</v>
      </c>
      <c r="G4167" t="s">
        <v>711</v>
      </c>
      <c r="H4167" t="s">
        <v>711</v>
      </c>
      <c r="J4167">
        <v>162</v>
      </c>
      <c r="L4167" t="s">
        <v>303</v>
      </c>
      <c r="M4167">
        <v>162</v>
      </c>
      <c r="P4167">
        <f t="shared" si="65"/>
        <v>0</v>
      </c>
    </row>
    <row r="4168" spans="1:16" x14ac:dyDescent="0.25">
      <c r="A4168" t="s">
        <v>221</v>
      </c>
      <c r="B4168" t="s">
        <v>669</v>
      </c>
      <c r="C4168">
        <v>163</v>
      </c>
      <c r="D4168" t="s">
        <v>669</v>
      </c>
      <c r="E4168">
        <v>53</v>
      </c>
      <c r="F4168">
        <v>53</v>
      </c>
      <c r="G4168" t="s">
        <v>711</v>
      </c>
      <c r="H4168" t="s">
        <v>711</v>
      </c>
      <c r="J4168">
        <v>163</v>
      </c>
      <c r="L4168" t="s">
        <v>303</v>
      </c>
      <c r="M4168">
        <v>163</v>
      </c>
      <c r="P4168">
        <f t="shared" si="65"/>
        <v>0</v>
      </c>
    </row>
    <row r="4169" spans="1:16" x14ac:dyDescent="0.25">
      <c r="A4169" t="s">
        <v>221</v>
      </c>
      <c r="B4169" t="s">
        <v>669</v>
      </c>
      <c r="C4169">
        <v>171</v>
      </c>
      <c r="D4169" t="s">
        <v>669</v>
      </c>
      <c r="E4169">
        <v>53</v>
      </c>
      <c r="F4169">
        <v>53</v>
      </c>
      <c r="G4169" t="s">
        <v>711</v>
      </c>
      <c r="H4169" t="s">
        <v>711</v>
      </c>
      <c r="J4169">
        <v>171</v>
      </c>
      <c r="L4169" t="s">
        <v>303</v>
      </c>
      <c r="M4169">
        <v>171</v>
      </c>
      <c r="P4169">
        <f t="shared" si="65"/>
        <v>0</v>
      </c>
    </row>
    <row r="4170" spans="1:16" x14ac:dyDescent="0.25">
      <c r="A4170" t="s">
        <v>221</v>
      </c>
      <c r="B4170" t="s">
        <v>669</v>
      </c>
      <c r="C4170">
        <v>194</v>
      </c>
      <c r="D4170" t="s">
        <v>669</v>
      </c>
      <c r="E4170">
        <v>53</v>
      </c>
      <c r="F4170">
        <v>53</v>
      </c>
      <c r="G4170" t="s">
        <v>711</v>
      </c>
      <c r="H4170" t="s">
        <v>711</v>
      </c>
      <c r="J4170">
        <v>194</v>
      </c>
      <c r="L4170" t="s">
        <v>303</v>
      </c>
      <c r="M4170">
        <v>194</v>
      </c>
      <c r="P4170">
        <f t="shared" si="65"/>
        <v>0</v>
      </c>
    </row>
    <row r="4171" spans="1:16" x14ac:dyDescent="0.25">
      <c r="A4171" t="s">
        <v>221</v>
      </c>
      <c r="B4171" t="s">
        <v>669</v>
      </c>
      <c r="C4171" t="s">
        <v>669</v>
      </c>
      <c r="D4171" t="s">
        <v>669</v>
      </c>
      <c r="E4171">
        <v>53</v>
      </c>
      <c r="F4171">
        <v>53</v>
      </c>
      <c r="G4171" t="s">
        <v>711</v>
      </c>
      <c r="H4171" t="s">
        <v>711</v>
      </c>
      <c r="P4171">
        <f t="shared" si="65"/>
        <v>0</v>
      </c>
    </row>
    <row r="4172" spans="1:16" x14ac:dyDescent="0.25">
      <c r="A4172" t="s">
        <v>222</v>
      </c>
      <c r="B4172" t="s">
        <v>669</v>
      </c>
      <c r="C4172" t="s">
        <v>669</v>
      </c>
      <c r="D4172" t="s">
        <v>669</v>
      </c>
      <c r="E4172">
        <v>53</v>
      </c>
      <c r="F4172">
        <v>38</v>
      </c>
      <c r="G4172" t="s">
        <v>711</v>
      </c>
      <c r="H4172" t="s">
        <v>704</v>
      </c>
      <c r="I4172" t="s">
        <v>799</v>
      </c>
      <c r="P4172">
        <f t="shared" si="65"/>
        <v>9</v>
      </c>
    </row>
    <row r="4173" spans="1:16" x14ac:dyDescent="0.25">
      <c r="A4173" t="s">
        <v>223</v>
      </c>
      <c r="B4173" t="s">
        <v>669</v>
      </c>
      <c r="C4173" t="s">
        <v>669</v>
      </c>
      <c r="D4173" t="s">
        <v>669</v>
      </c>
      <c r="E4173">
        <v>68</v>
      </c>
      <c r="F4173">
        <v>53</v>
      </c>
      <c r="G4173" t="s">
        <v>717</v>
      </c>
      <c r="H4173" t="s">
        <v>711</v>
      </c>
      <c r="P4173">
        <f t="shared" si="65"/>
        <v>0</v>
      </c>
    </row>
    <row r="4174" spans="1:16" x14ac:dyDescent="0.25">
      <c r="A4174" t="s">
        <v>960</v>
      </c>
      <c r="B4174" t="s">
        <v>669</v>
      </c>
      <c r="C4174" t="s">
        <v>669</v>
      </c>
      <c r="D4174" t="s">
        <v>669</v>
      </c>
      <c r="E4174">
        <v>53</v>
      </c>
      <c r="F4174">
        <v>38</v>
      </c>
      <c r="G4174" t="s">
        <v>711</v>
      </c>
      <c r="H4174" t="s">
        <v>704</v>
      </c>
      <c r="P4174">
        <f t="shared" si="65"/>
        <v>0</v>
      </c>
    </row>
    <row r="4175" spans="1:16" x14ac:dyDescent="0.25">
      <c r="A4175" t="s">
        <v>225</v>
      </c>
      <c r="B4175" t="s">
        <v>669</v>
      </c>
      <c r="C4175" t="s">
        <v>669</v>
      </c>
      <c r="D4175" t="s">
        <v>669</v>
      </c>
      <c r="E4175">
        <v>63</v>
      </c>
      <c r="F4175">
        <v>63</v>
      </c>
      <c r="G4175" t="s">
        <v>813</v>
      </c>
      <c r="H4175" t="s">
        <v>813</v>
      </c>
      <c r="P4175">
        <f t="shared" si="65"/>
        <v>0</v>
      </c>
    </row>
    <row r="4176" spans="1:16" x14ac:dyDescent="0.25">
      <c r="A4176" t="s">
        <v>226</v>
      </c>
      <c r="B4176" t="s">
        <v>669</v>
      </c>
      <c r="C4176" t="s">
        <v>669</v>
      </c>
      <c r="D4176" t="s">
        <v>669</v>
      </c>
      <c r="E4176">
        <v>58</v>
      </c>
      <c r="F4176">
        <v>58</v>
      </c>
      <c r="G4176" t="s">
        <v>814</v>
      </c>
      <c r="H4176" t="s">
        <v>814</v>
      </c>
      <c r="P4176">
        <f t="shared" si="65"/>
        <v>0</v>
      </c>
    </row>
    <row r="4177" spans="1:16" x14ac:dyDescent="0.25">
      <c r="A4177" t="s">
        <v>227</v>
      </c>
      <c r="B4177" t="s">
        <v>669</v>
      </c>
      <c r="C4177" t="s">
        <v>669</v>
      </c>
      <c r="D4177" t="s">
        <v>669</v>
      </c>
      <c r="E4177">
        <v>54</v>
      </c>
      <c r="F4177">
        <v>54</v>
      </c>
      <c r="G4177" t="s">
        <v>796</v>
      </c>
      <c r="H4177" t="s">
        <v>796</v>
      </c>
      <c r="P4177">
        <f t="shared" si="65"/>
        <v>0</v>
      </c>
    </row>
    <row r="4178" spans="1:16" x14ac:dyDescent="0.25">
      <c r="A4178" t="s">
        <v>228</v>
      </c>
      <c r="B4178" t="s">
        <v>669</v>
      </c>
      <c r="C4178" t="s">
        <v>669</v>
      </c>
      <c r="D4178" t="s">
        <v>669</v>
      </c>
      <c r="E4178">
        <v>56</v>
      </c>
      <c r="F4178">
        <v>56</v>
      </c>
      <c r="G4178" t="s">
        <v>731</v>
      </c>
      <c r="H4178" t="s">
        <v>731</v>
      </c>
      <c r="P4178">
        <f t="shared" si="65"/>
        <v>0</v>
      </c>
    </row>
    <row r="4179" spans="1:16" x14ac:dyDescent="0.25">
      <c r="A4179" t="s">
        <v>229</v>
      </c>
      <c r="B4179" t="s">
        <v>669</v>
      </c>
      <c r="C4179" t="s">
        <v>669</v>
      </c>
      <c r="D4179" t="s">
        <v>669</v>
      </c>
      <c r="E4179">
        <v>57</v>
      </c>
      <c r="F4179">
        <v>57</v>
      </c>
      <c r="G4179" t="s">
        <v>732</v>
      </c>
      <c r="H4179" t="s">
        <v>732</v>
      </c>
      <c r="P4179">
        <f t="shared" si="65"/>
        <v>0</v>
      </c>
    </row>
    <row r="4180" spans="1:16" x14ac:dyDescent="0.25">
      <c r="A4180" t="s">
        <v>230</v>
      </c>
      <c r="B4180" t="s">
        <v>669</v>
      </c>
      <c r="C4180" t="s">
        <v>669</v>
      </c>
      <c r="D4180" t="s">
        <v>669</v>
      </c>
      <c r="E4180">
        <v>53</v>
      </c>
      <c r="F4180">
        <v>38</v>
      </c>
      <c r="G4180" t="s">
        <v>711</v>
      </c>
      <c r="H4180" t="s">
        <v>704</v>
      </c>
      <c r="P4180">
        <f t="shared" si="65"/>
        <v>0</v>
      </c>
    </row>
    <row r="4181" spans="1:16" x14ac:dyDescent="0.25">
      <c r="A4181" t="s">
        <v>231</v>
      </c>
      <c r="B4181" t="s">
        <v>669</v>
      </c>
      <c r="C4181" t="s">
        <v>669</v>
      </c>
      <c r="D4181" t="s">
        <v>669</v>
      </c>
      <c r="E4181">
        <v>53</v>
      </c>
      <c r="F4181">
        <v>38</v>
      </c>
      <c r="G4181" t="s">
        <v>711</v>
      </c>
      <c r="H4181" t="s">
        <v>704</v>
      </c>
      <c r="P4181">
        <f t="shared" si="65"/>
        <v>0</v>
      </c>
    </row>
    <row r="4182" spans="1:16" x14ac:dyDescent="0.25">
      <c r="A4182" t="s">
        <v>232</v>
      </c>
      <c r="B4182" t="s">
        <v>669</v>
      </c>
      <c r="C4182" t="s">
        <v>669</v>
      </c>
      <c r="D4182" t="s">
        <v>669</v>
      </c>
      <c r="E4182">
        <v>65</v>
      </c>
      <c r="F4182">
        <v>65</v>
      </c>
      <c r="G4182" t="s">
        <v>733</v>
      </c>
      <c r="H4182" t="s">
        <v>733</v>
      </c>
      <c r="P4182">
        <f t="shared" si="65"/>
        <v>0</v>
      </c>
    </row>
    <row r="4183" spans="1:16" x14ac:dyDescent="0.25">
      <c r="A4183" t="s">
        <v>233</v>
      </c>
      <c r="B4183" t="s">
        <v>669</v>
      </c>
      <c r="C4183" t="s">
        <v>669</v>
      </c>
      <c r="D4183" t="s">
        <v>669</v>
      </c>
      <c r="E4183">
        <v>66</v>
      </c>
      <c r="F4183">
        <v>66</v>
      </c>
      <c r="G4183" t="s">
        <v>734</v>
      </c>
      <c r="H4183" t="s">
        <v>734</v>
      </c>
      <c r="P4183">
        <f t="shared" si="65"/>
        <v>0</v>
      </c>
    </row>
    <row r="4184" spans="1:16" x14ac:dyDescent="0.25">
      <c r="A4184" t="s">
        <v>234</v>
      </c>
      <c r="B4184" t="s">
        <v>669</v>
      </c>
      <c r="C4184" t="s">
        <v>669</v>
      </c>
      <c r="D4184" t="s">
        <v>669</v>
      </c>
      <c r="E4184">
        <v>53</v>
      </c>
      <c r="F4184">
        <v>38</v>
      </c>
      <c r="G4184" t="s">
        <v>711</v>
      </c>
      <c r="H4184" t="s">
        <v>704</v>
      </c>
      <c r="P4184">
        <f t="shared" si="65"/>
        <v>0</v>
      </c>
    </row>
    <row r="4185" spans="1:16" x14ac:dyDescent="0.25">
      <c r="A4185" t="s">
        <v>235</v>
      </c>
      <c r="B4185" t="s">
        <v>669</v>
      </c>
      <c r="C4185">
        <v>178</v>
      </c>
      <c r="D4185" t="s">
        <v>669</v>
      </c>
      <c r="E4185">
        <v>53</v>
      </c>
      <c r="F4185">
        <v>53</v>
      </c>
      <c r="G4185" t="s">
        <v>711</v>
      </c>
      <c r="H4185" t="s">
        <v>711</v>
      </c>
      <c r="J4185">
        <v>178</v>
      </c>
      <c r="L4185" t="s">
        <v>303</v>
      </c>
      <c r="M4185">
        <v>178</v>
      </c>
      <c r="P4185">
        <f t="shared" si="65"/>
        <v>0</v>
      </c>
    </row>
    <row r="4186" spans="1:16" x14ac:dyDescent="0.25">
      <c r="A4186" t="s">
        <v>235</v>
      </c>
      <c r="B4186" t="s">
        <v>669</v>
      </c>
      <c r="C4186">
        <v>467</v>
      </c>
      <c r="D4186" t="s">
        <v>669</v>
      </c>
      <c r="E4186">
        <v>53</v>
      </c>
      <c r="F4186">
        <v>53</v>
      </c>
      <c r="G4186" t="s">
        <v>711</v>
      </c>
      <c r="H4186" t="s">
        <v>711</v>
      </c>
      <c r="J4186">
        <v>467</v>
      </c>
      <c r="L4186" t="s">
        <v>303</v>
      </c>
      <c r="M4186">
        <v>467</v>
      </c>
      <c r="P4186">
        <f t="shared" si="65"/>
        <v>0</v>
      </c>
    </row>
    <row r="4187" spans="1:16" x14ac:dyDescent="0.25">
      <c r="A4187" t="s">
        <v>235</v>
      </c>
      <c r="B4187" t="s">
        <v>669</v>
      </c>
      <c r="C4187" t="s">
        <v>669</v>
      </c>
      <c r="D4187" t="s">
        <v>669</v>
      </c>
      <c r="E4187">
        <v>53</v>
      </c>
      <c r="F4187">
        <v>53</v>
      </c>
      <c r="G4187" t="s">
        <v>711</v>
      </c>
      <c r="H4187" t="s">
        <v>711</v>
      </c>
      <c r="P4187">
        <f t="shared" si="65"/>
        <v>0</v>
      </c>
    </row>
    <row r="4188" spans="1:16" x14ac:dyDescent="0.25">
      <c r="A4188" t="s">
        <v>236</v>
      </c>
      <c r="B4188" t="s">
        <v>669</v>
      </c>
      <c r="C4188" t="s">
        <v>669</v>
      </c>
      <c r="D4188" t="s">
        <v>669</v>
      </c>
      <c r="E4188">
        <v>94</v>
      </c>
      <c r="F4188">
        <v>53</v>
      </c>
      <c r="G4188" t="s">
        <v>735</v>
      </c>
      <c r="H4188" t="s">
        <v>711</v>
      </c>
      <c r="P4188">
        <f t="shared" si="65"/>
        <v>0</v>
      </c>
    </row>
    <row r="4189" spans="1:16" x14ac:dyDescent="0.25">
      <c r="A4189" t="s">
        <v>237</v>
      </c>
      <c r="B4189" t="s">
        <v>669</v>
      </c>
      <c r="C4189" t="s">
        <v>669</v>
      </c>
      <c r="D4189" t="s">
        <v>669</v>
      </c>
      <c r="E4189">
        <v>135</v>
      </c>
      <c r="F4189">
        <v>135</v>
      </c>
      <c r="G4189" t="s">
        <v>736</v>
      </c>
      <c r="H4189" t="s">
        <v>736</v>
      </c>
      <c r="P4189">
        <f t="shared" si="65"/>
        <v>0</v>
      </c>
    </row>
    <row r="4190" spans="1:16" x14ac:dyDescent="0.25">
      <c r="A4190" t="s">
        <v>238</v>
      </c>
      <c r="B4190" t="s">
        <v>669</v>
      </c>
      <c r="C4190" t="s">
        <v>669</v>
      </c>
      <c r="D4190" t="s">
        <v>669</v>
      </c>
      <c r="E4190">
        <v>135</v>
      </c>
      <c r="F4190">
        <v>135</v>
      </c>
      <c r="G4190" t="s">
        <v>736</v>
      </c>
      <c r="H4190" t="s">
        <v>736</v>
      </c>
      <c r="P4190">
        <f t="shared" si="65"/>
        <v>0</v>
      </c>
    </row>
    <row r="4191" spans="1:16" x14ac:dyDescent="0.25">
      <c r="A4191" t="s">
        <v>239</v>
      </c>
      <c r="B4191" t="s">
        <v>669</v>
      </c>
      <c r="C4191" t="s">
        <v>669</v>
      </c>
      <c r="D4191" t="s">
        <v>669</v>
      </c>
      <c r="E4191">
        <v>56</v>
      </c>
      <c r="F4191">
        <v>56</v>
      </c>
      <c r="G4191" t="s">
        <v>731</v>
      </c>
      <c r="H4191" t="s">
        <v>731</v>
      </c>
      <c r="P4191">
        <f t="shared" si="65"/>
        <v>0</v>
      </c>
    </row>
    <row r="4192" spans="1:16" x14ac:dyDescent="0.25">
      <c r="A4192" t="s">
        <v>240</v>
      </c>
      <c r="B4192" t="s">
        <v>669</v>
      </c>
      <c r="C4192" t="s">
        <v>669</v>
      </c>
      <c r="D4192" t="s">
        <v>669</v>
      </c>
      <c r="E4192">
        <v>56</v>
      </c>
      <c r="F4192">
        <v>55</v>
      </c>
      <c r="G4192" t="s">
        <v>731</v>
      </c>
      <c r="H4192" t="s">
        <v>737</v>
      </c>
      <c r="P4192">
        <f t="shared" si="65"/>
        <v>0</v>
      </c>
    </row>
    <row r="4193" spans="1:16" x14ac:dyDescent="0.25">
      <c r="A4193" t="s">
        <v>241</v>
      </c>
      <c r="B4193" t="s">
        <v>669</v>
      </c>
      <c r="C4193" t="s">
        <v>669</v>
      </c>
      <c r="D4193" t="s">
        <v>669</v>
      </c>
      <c r="E4193">
        <v>56</v>
      </c>
      <c r="F4193">
        <v>56</v>
      </c>
      <c r="G4193" t="s">
        <v>731</v>
      </c>
      <c r="H4193" t="s">
        <v>731</v>
      </c>
      <c r="P4193">
        <f t="shared" si="65"/>
        <v>0</v>
      </c>
    </row>
    <row r="4194" spans="1:16" x14ac:dyDescent="0.25">
      <c r="A4194" t="s">
        <v>242</v>
      </c>
      <c r="B4194" t="s">
        <v>669</v>
      </c>
      <c r="C4194" t="s">
        <v>669</v>
      </c>
      <c r="D4194" t="s">
        <v>669</v>
      </c>
      <c r="E4194">
        <v>9</v>
      </c>
      <c r="F4194">
        <v>9</v>
      </c>
      <c r="G4194" t="s">
        <v>832</v>
      </c>
      <c r="H4194" t="s">
        <v>832</v>
      </c>
      <c r="P4194">
        <f t="shared" si="65"/>
        <v>0</v>
      </c>
    </row>
    <row r="4195" spans="1:16" x14ac:dyDescent="0.25">
      <c r="A4195" t="s">
        <v>893</v>
      </c>
      <c r="B4195" t="s">
        <v>669</v>
      </c>
      <c r="C4195" t="s">
        <v>669</v>
      </c>
      <c r="D4195" t="s">
        <v>669</v>
      </c>
      <c r="E4195">
        <v>9</v>
      </c>
      <c r="F4195">
        <v>4</v>
      </c>
      <c r="G4195" t="s">
        <v>832</v>
      </c>
      <c r="H4195" t="s">
        <v>701</v>
      </c>
      <c r="P4195">
        <f t="shared" si="65"/>
        <v>0</v>
      </c>
    </row>
    <row r="4196" spans="1:16" x14ac:dyDescent="0.25">
      <c r="A4196" t="s">
        <v>669</v>
      </c>
      <c r="B4196">
        <v>15350</v>
      </c>
      <c r="C4196" t="s">
        <v>669</v>
      </c>
      <c r="D4196" t="s">
        <v>865</v>
      </c>
      <c r="E4196" t="s">
        <v>910</v>
      </c>
      <c r="F4196">
        <v>8</v>
      </c>
      <c r="H4196" t="s">
        <v>687</v>
      </c>
      <c r="K4196">
        <v>1.5350000000000001E-2</v>
      </c>
      <c r="L4196" t="s">
        <v>303</v>
      </c>
      <c r="N4196">
        <v>15350</v>
      </c>
      <c r="O4196" t="s">
        <v>931</v>
      </c>
      <c r="P4196">
        <f t="shared" si="65"/>
        <v>0</v>
      </c>
    </row>
    <row r="4197" spans="1:16" x14ac:dyDescent="0.25">
      <c r="A4197" t="s">
        <v>669</v>
      </c>
      <c r="B4197">
        <v>15477</v>
      </c>
      <c r="C4197" t="s">
        <v>669</v>
      </c>
      <c r="D4197" t="s">
        <v>865</v>
      </c>
      <c r="E4197" t="s">
        <v>910</v>
      </c>
      <c r="F4197">
        <v>8</v>
      </c>
      <c r="H4197" t="s">
        <v>687</v>
      </c>
      <c r="K4197">
        <v>1.5476999999999999E-2</v>
      </c>
      <c r="L4197" t="s">
        <v>303</v>
      </c>
      <c r="N4197">
        <v>15477</v>
      </c>
      <c r="O4197" t="s">
        <v>931</v>
      </c>
      <c r="P4197">
        <f t="shared" si="65"/>
        <v>0</v>
      </c>
    </row>
    <row r="4198" spans="1:16" x14ac:dyDescent="0.25">
      <c r="A4198" t="s">
        <v>669</v>
      </c>
      <c r="B4198">
        <v>15507</v>
      </c>
      <c r="C4198" t="s">
        <v>669</v>
      </c>
      <c r="D4198" t="s">
        <v>865</v>
      </c>
      <c r="E4198" t="s">
        <v>910</v>
      </c>
      <c r="F4198">
        <v>8</v>
      </c>
      <c r="H4198" t="s">
        <v>687</v>
      </c>
      <c r="K4198">
        <v>1.5507E-2</v>
      </c>
      <c r="L4198" t="s">
        <v>303</v>
      </c>
      <c r="N4198">
        <v>15507</v>
      </c>
      <c r="O4198" t="s">
        <v>931</v>
      </c>
      <c r="P4198">
        <f t="shared" si="65"/>
        <v>0</v>
      </c>
    </row>
    <row r="4199" spans="1:16" x14ac:dyDescent="0.25">
      <c r="A4199" t="s">
        <v>244</v>
      </c>
      <c r="B4199" t="s">
        <v>669</v>
      </c>
      <c r="C4199" t="s">
        <v>669</v>
      </c>
      <c r="D4199" t="s">
        <v>669</v>
      </c>
      <c r="E4199">
        <v>144</v>
      </c>
      <c r="F4199">
        <v>140</v>
      </c>
      <c r="G4199" t="s">
        <v>727</v>
      </c>
      <c r="H4199" t="s">
        <v>792</v>
      </c>
      <c r="P4199">
        <f t="shared" si="65"/>
        <v>0</v>
      </c>
    </row>
    <row r="4200" spans="1:16" x14ac:dyDescent="0.25">
      <c r="A4200" t="s">
        <v>245</v>
      </c>
      <c r="B4200" t="s">
        <v>669</v>
      </c>
      <c r="C4200" t="s">
        <v>669</v>
      </c>
      <c r="D4200" t="s">
        <v>669</v>
      </c>
      <c r="E4200">
        <v>39</v>
      </c>
      <c r="F4200">
        <v>39</v>
      </c>
      <c r="G4200" t="s">
        <v>806</v>
      </c>
      <c r="H4200" t="s">
        <v>806</v>
      </c>
      <c r="P4200">
        <f t="shared" si="65"/>
        <v>0</v>
      </c>
    </row>
    <row r="4201" spans="1:16" x14ac:dyDescent="0.25">
      <c r="A4201" t="s">
        <v>246</v>
      </c>
      <c r="B4201" t="s">
        <v>669</v>
      </c>
      <c r="C4201" t="s">
        <v>669</v>
      </c>
      <c r="D4201" t="s">
        <v>669</v>
      </c>
      <c r="E4201">
        <v>39</v>
      </c>
      <c r="F4201">
        <v>39</v>
      </c>
      <c r="G4201" t="s">
        <v>806</v>
      </c>
      <c r="H4201" t="s">
        <v>806</v>
      </c>
      <c r="P4201">
        <f t="shared" si="65"/>
        <v>0</v>
      </c>
    </row>
    <row r="4202" spans="1:16" x14ac:dyDescent="0.25">
      <c r="A4202" t="s">
        <v>247</v>
      </c>
      <c r="B4202" t="s">
        <v>669</v>
      </c>
      <c r="C4202" t="s">
        <v>669</v>
      </c>
      <c r="D4202" t="s">
        <v>669</v>
      </c>
      <c r="E4202">
        <v>39</v>
      </c>
      <c r="F4202">
        <v>28</v>
      </c>
      <c r="G4202" t="s">
        <v>806</v>
      </c>
      <c r="H4202" t="s">
        <v>688</v>
      </c>
      <c r="P4202">
        <f t="shared" si="65"/>
        <v>0</v>
      </c>
    </row>
    <row r="4203" spans="1:16" x14ac:dyDescent="0.25">
      <c r="A4203" t="s">
        <v>248</v>
      </c>
      <c r="B4203" t="s">
        <v>669</v>
      </c>
      <c r="C4203" t="s">
        <v>669</v>
      </c>
      <c r="D4203" t="s">
        <v>669</v>
      </c>
      <c r="E4203">
        <v>39</v>
      </c>
      <c r="F4203">
        <v>28</v>
      </c>
      <c r="G4203" t="s">
        <v>806</v>
      </c>
      <c r="H4203" t="s">
        <v>688</v>
      </c>
      <c r="P4203">
        <f t="shared" si="65"/>
        <v>0</v>
      </c>
    </row>
    <row r="4204" spans="1:16" x14ac:dyDescent="0.25">
      <c r="A4204" t="s">
        <v>250</v>
      </c>
      <c r="B4204" t="s">
        <v>669</v>
      </c>
      <c r="C4204" t="s">
        <v>669</v>
      </c>
      <c r="D4204" t="s">
        <v>669</v>
      </c>
      <c r="E4204">
        <v>39</v>
      </c>
      <c r="F4204">
        <v>28</v>
      </c>
      <c r="G4204" t="s">
        <v>806</v>
      </c>
      <c r="H4204" t="s">
        <v>688</v>
      </c>
      <c r="P4204">
        <f t="shared" si="65"/>
        <v>0</v>
      </c>
    </row>
    <row r="4205" spans="1:16" x14ac:dyDescent="0.25">
      <c r="A4205" t="s">
        <v>251</v>
      </c>
      <c r="B4205" t="s">
        <v>669</v>
      </c>
      <c r="C4205" t="s">
        <v>669</v>
      </c>
      <c r="D4205" t="s">
        <v>669</v>
      </c>
      <c r="E4205">
        <v>39</v>
      </c>
      <c r="F4205">
        <v>26</v>
      </c>
      <c r="G4205" t="s">
        <v>806</v>
      </c>
      <c r="H4205" t="s">
        <v>775</v>
      </c>
      <c r="P4205">
        <f t="shared" si="65"/>
        <v>0</v>
      </c>
    </row>
    <row r="4206" spans="1:16" x14ac:dyDescent="0.25">
      <c r="A4206" t="s">
        <v>252</v>
      </c>
      <c r="B4206" t="s">
        <v>669</v>
      </c>
      <c r="C4206" t="s">
        <v>669</v>
      </c>
      <c r="D4206" t="s">
        <v>669</v>
      </c>
      <c r="E4206">
        <v>39</v>
      </c>
      <c r="F4206">
        <v>39</v>
      </c>
      <c r="G4206" t="s">
        <v>806</v>
      </c>
      <c r="H4206" t="s">
        <v>806</v>
      </c>
      <c r="P4206">
        <f t="shared" si="65"/>
        <v>0</v>
      </c>
    </row>
    <row r="4207" spans="1:16" x14ac:dyDescent="0.25">
      <c r="A4207" t="s">
        <v>253</v>
      </c>
      <c r="B4207" t="s">
        <v>669</v>
      </c>
      <c r="C4207" t="s">
        <v>669</v>
      </c>
      <c r="D4207" t="s">
        <v>669</v>
      </c>
      <c r="E4207">
        <v>110</v>
      </c>
      <c r="F4207">
        <v>110</v>
      </c>
      <c r="G4207" t="s">
        <v>811</v>
      </c>
      <c r="H4207" t="s">
        <v>811</v>
      </c>
      <c r="P4207">
        <f t="shared" si="65"/>
        <v>0</v>
      </c>
    </row>
    <row r="4208" spans="1:16" x14ac:dyDescent="0.25">
      <c r="A4208" t="s">
        <v>669</v>
      </c>
      <c r="B4208">
        <v>15514</v>
      </c>
      <c r="C4208" t="s">
        <v>669</v>
      </c>
      <c r="D4208" t="s">
        <v>865</v>
      </c>
      <c r="E4208" t="s">
        <v>910</v>
      </c>
      <c r="F4208">
        <v>8</v>
      </c>
      <c r="H4208" t="s">
        <v>687</v>
      </c>
      <c r="K4208">
        <v>1.5514E-2</v>
      </c>
      <c r="L4208" t="s">
        <v>303</v>
      </c>
      <c r="N4208">
        <v>15514</v>
      </c>
      <c r="O4208" t="s">
        <v>931</v>
      </c>
      <c r="P4208">
        <f t="shared" si="65"/>
        <v>0</v>
      </c>
    </row>
    <row r="4209" spans="1:16" x14ac:dyDescent="0.25">
      <c r="A4209" t="s">
        <v>255</v>
      </c>
      <c r="B4209" t="s">
        <v>669</v>
      </c>
      <c r="C4209" t="s">
        <v>669</v>
      </c>
      <c r="D4209" t="s">
        <v>669</v>
      </c>
      <c r="E4209">
        <v>110</v>
      </c>
      <c r="F4209">
        <v>107</v>
      </c>
      <c r="G4209" t="s">
        <v>811</v>
      </c>
      <c r="H4209" t="s">
        <v>761</v>
      </c>
      <c r="P4209">
        <f t="shared" si="65"/>
        <v>0</v>
      </c>
    </row>
    <row r="4210" spans="1:16" x14ac:dyDescent="0.25">
      <c r="A4210" t="s">
        <v>257</v>
      </c>
      <c r="B4210" t="s">
        <v>669</v>
      </c>
      <c r="C4210" t="s">
        <v>669</v>
      </c>
      <c r="D4210" t="s">
        <v>669</v>
      </c>
      <c r="E4210">
        <v>5</v>
      </c>
      <c r="F4210">
        <v>5</v>
      </c>
      <c r="G4210" t="s">
        <v>684</v>
      </c>
      <c r="H4210" t="s">
        <v>684</v>
      </c>
      <c r="P4210">
        <f t="shared" si="65"/>
        <v>0</v>
      </c>
    </row>
    <row r="4211" spans="1:16" x14ac:dyDescent="0.25">
      <c r="A4211" t="s">
        <v>258</v>
      </c>
      <c r="B4211" t="s">
        <v>669</v>
      </c>
      <c r="C4211" t="s">
        <v>669</v>
      </c>
      <c r="D4211" t="s">
        <v>669</v>
      </c>
      <c r="E4211">
        <v>54</v>
      </c>
      <c r="F4211">
        <v>54</v>
      </c>
      <c r="G4211" t="s">
        <v>796</v>
      </c>
      <c r="H4211" t="s">
        <v>796</v>
      </c>
      <c r="P4211">
        <f t="shared" si="65"/>
        <v>0</v>
      </c>
    </row>
    <row r="4212" spans="1:16" x14ac:dyDescent="0.25">
      <c r="A4212" t="s">
        <v>259</v>
      </c>
      <c r="B4212" t="s">
        <v>669</v>
      </c>
      <c r="C4212" t="s">
        <v>669</v>
      </c>
      <c r="D4212" t="s">
        <v>669</v>
      </c>
      <c r="E4212">
        <v>39</v>
      </c>
      <c r="F4212">
        <v>39</v>
      </c>
      <c r="G4212" t="s">
        <v>806</v>
      </c>
      <c r="H4212" t="s">
        <v>806</v>
      </c>
      <c r="P4212">
        <f t="shared" si="65"/>
        <v>0</v>
      </c>
    </row>
    <row r="4213" spans="1:16" x14ac:dyDescent="0.25">
      <c r="A4213" t="s">
        <v>892</v>
      </c>
      <c r="B4213" t="s">
        <v>669</v>
      </c>
      <c r="C4213" t="s">
        <v>669</v>
      </c>
      <c r="D4213" t="s">
        <v>669</v>
      </c>
      <c r="E4213">
        <v>58</v>
      </c>
      <c r="F4213">
        <v>38</v>
      </c>
      <c r="G4213" t="s">
        <v>814</v>
      </c>
      <c r="H4213" t="s">
        <v>704</v>
      </c>
      <c r="P4213">
        <f t="shared" si="65"/>
        <v>0</v>
      </c>
    </row>
    <row r="4214" spans="1:16" x14ac:dyDescent="0.25">
      <c r="A4214" t="s">
        <v>260</v>
      </c>
      <c r="B4214" t="s">
        <v>669</v>
      </c>
      <c r="C4214" t="s">
        <v>669</v>
      </c>
      <c r="D4214" t="s">
        <v>669</v>
      </c>
      <c r="E4214">
        <v>19</v>
      </c>
      <c r="F4214">
        <v>18</v>
      </c>
      <c r="G4214" t="s">
        <v>800</v>
      </c>
      <c r="H4214" t="s">
        <v>693</v>
      </c>
      <c r="P4214">
        <f t="shared" si="65"/>
        <v>0</v>
      </c>
    </row>
    <row r="4215" spans="1:16" x14ac:dyDescent="0.25">
      <c r="A4215" t="s">
        <v>261</v>
      </c>
      <c r="B4215" t="s">
        <v>669</v>
      </c>
      <c r="C4215" t="s">
        <v>669</v>
      </c>
      <c r="D4215" t="s">
        <v>669</v>
      </c>
      <c r="E4215">
        <v>27</v>
      </c>
      <c r="F4215">
        <v>4</v>
      </c>
      <c r="G4215" t="s">
        <v>778</v>
      </c>
      <c r="H4215" t="s">
        <v>701</v>
      </c>
      <c r="P4215">
        <f t="shared" si="65"/>
        <v>0</v>
      </c>
    </row>
    <row r="4216" spans="1:16" x14ac:dyDescent="0.25">
      <c r="A4216" t="s">
        <v>262</v>
      </c>
      <c r="B4216" t="s">
        <v>669</v>
      </c>
      <c r="C4216" t="s">
        <v>669</v>
      </c>
      <c r="D4216" t="s">
        <v>669</v>
      </c>
      <c r="E4216">
        <v>48</v>
      </c>
      <c r="F4216">
        <v>39</v>
      </c>
      <c r="G4216" t="s">
        <v>705</v>
      </c>
      <c r="H4216" t="s">
        <v>806</v>
      </c>
      <c r="P4216">
        <f t="shared" si="65"/>
        <v>0</v>
      </c>
    </row>
    <row r="4217" spans="1:16" x14ac:dyDescent="0.25">
      <c r="A4217" t="s">
        <v>263</v>
      </c>
      <c r="B4217" t="s">
        <v>669</v>
      </c>
      <c r="C4217" t="s">
        <v>669</v>
      </c>
      <c r="D4217" t="s">
        <v>669</v>
      </c>
      <c r="E4217">
        <v>133</v>
      </c>
      <c r="F4217">
        <v>133</v>
      </c>
      <c r="G4217" t="s">
        <v>816</v>
      </c>
      <c r="H4217" t="s">
        <v>816</v>
      </c>
      <c r="P4217">
        <f t="shared" si="65"/>
        <v>0</v>
      </c>
    </row>
    <row r="4218" spans="1:16" x14ac:dyDescent="0.25">
      <c r="A4218" t="s">
        <v>264</v>
      </c>
      <c r="B4218" t="s">
        <v>669</v>
      </c>
      <c r="C4218" t="s">
        <v>669</v>
      </c>
      <c r="D4218" t="s">
        <v>669</v>
      </c>
      <c r="E4218">
        <v>133</v>
      </c>
      <c r="F4218">
        <v>128</v>
      </c>
      <c r="G4218" t="s">
        <v>816</v>
      </c>
      <c r="H4218" t="s">
        <v>833</v>
      </c>
      <c r="I4218" t="s">
        <v>799</v>
      </c>
      <c r="P4218">
        <f t="shared" si="65"/>
        <v>9</v>
      </c>
    </row>
    <row r="4219" spans="1:16" x14ac:dyDescent="0.25">
      <c r="A4219" t="s">
        <v>266</v>
      </c>
      <c r="B4219" t="s">
        <v>669</v>
      </c>
      <c r="C4219" t="s">
        <v>669</v>
      </c>
      <c r="D4219" t="s">
        <v>669</v>
      </c>
      <c r="E4219">
        <v>34</v>
      </c>
      <c r="F4219">
        <v>34</v>
      </c>
      <c r="G4219" t="s">
        <v>699</v>
      </c>
      <c r="H4219" t="s">
        <v>699</v>
      </c>
      <c r="I4219" t="s">
        <v>807</v>
      </c>
      <c r="P4219">
        <f t="shared" si="65"/>
        <v>8</v>
      </c>
    </row>
    <row r="4220" spans="1:16" x14ac:dyDescent="0.25">
      <c r="A4220" t="s">
        <v>268</v>
      </c>
      <c r="B4220" t="s">
        <v>669</v>
      </c>
      <c r="C4220" t="s">
        <v>669</v>
      </c>
      <c r="D4220" t="s">
        <v>669</v>
      </c>
      <c r="E4220">
        <v>9</v>
      </c>
      <c r="F4220">
        <v>9</v>
      </c>
      <c r="G4220" t="s">
        <v>832</v>
      </c>
      <c r="H4220" t="s">
        <v>832</v>
      </c>
      <c r="P4220">
        <f t="shared" si="65"/>
        <v>0</v>
      </c>
    </row>
    <row r="4221" spans="1:16" x14ac:dyDescent="0.25">
      <c r="A4221" t="s">
        <v>269</v>
      </c>
      <c r="B4221" t="s">
        <v>669</v>
      </c>
      <c r="C4221" t="s">
        <v>669</v>
      </c>
      <c r="D4221" t="s">
        <v>669</v>
      </c>
      <c r="E4221">
        <v>9</v>
      </c>
      <c r="F4221">
        <v>9</v>
      </c>
      <c r="G4221" t="s">
        <v>832</v>
      </c>
      <c r="H4221" t="s">
        <v>832</v>
      </c>
      <c r="P4221">
        <f t="shared" si="65"/>
        <v>0</v>
      </c>
    </row>
    <row r="4222" spans="1:16" x14ac:dyDescent="0.25">
      <c r="A4222" t="s">
        <v>270</v>
      </c>
      <c r="B4222" t="s">
        <v>669</v>
      </c>
      <c r="C4222" t="s">
        <v>669</v>
      </c>
      <c r="D4222" t="s">
        <v>669</v>
      </c>
      <c r="E4222">
        <v>15</v>
      </c>
      <c r="F4222">
        <v>15</v>
      </c>
      <c r="G4222" t="s">
        <v>834</v>
      </c>
      <c r="H4222" t="s">
        <v>834</v>
      </c>
      <c r="P4222">
        <f t="shared" si="65"/>
        <v>0</v>
      </c>
    </row>
    <row r="4223" spans="1:16" x14ac:dyDescent="0.25">
      <c r="A4223" t="s">
        <v>271</v>
      </c>
      <c r="B4223" t="s">
        <v>669</v>
      </c>
      <c r="C4223" t="s">
        <v>669</v>
      </c>
      <c r="D4223" t="s">
        <v>669</v>
      </c>
      <c r="E4223">
        <v>160</v>
      </c>
      <c r="F4223">
        <v>160</v>
      </c>
      <c r="G4223" t="s">
        <v>757</v>
      </c>
      <c r="H4223" t="s">
        <v>757</v>
      </c>
      <c r="P4223">
        <f t="shared" si="65"/>
        <v>0</v>
      </c>
    </row>
    <row r="4224" spans="1:16" x14ac:dyDescent="0.25">
      <c r="A4224" t="s">
        <v>272</v>
      </c>
      <c r="B4224" t="s">
        <v>669</v>
      </c>
      <c r="C4224" t="s">
        <v>669</v>
      </c>
      <c r="D4224" t="s">
        <v>669</v>
      </c>
      <c r="E4224">
        <v>69</v>
      </c>
      <c r="F4224">
        <v>69</v>
      </c>
      <c r="G4224" t="s">
        <v>817</v>
      </c>
      <c r="H4224" t="s">
        <v>817</v>
      </c>
      <c r="P4224">
        <f t="shared" si="65"/>
        <v>0</v>
      </c>
    </row>
    <row r="4225" spans="1:16" x14ac:dyDescent="0.25">
      <c r="A4225" t="s">
        <v>273</v>
      </c>
      <c r="B4225" t="s">
        <v>669</v>
      </c>
      <c r="C4225" t="s">
        <v>669</v>
      </c>
      <c r="D4225" t="s">
        <v>669</v>
      </c>
      <c r="E4225">
        <v>69</v>
      </c>
      <c r="F4225">
        <v>63</v>
      </c>
      <c r="G4225" t="s">
        <v>817</v>
      </c>
      <c r="H4225" t="s">
        <v>813</v>
      </c>
      <c r="P4225">
        <f t="shared" si="65"/>
        <v>0</v>
      </c>
    </row>
    <row r="4226" spans="1:16" x14ac:dyDescent="0.25">
      <c r="A4226" t="s">
        <v>275</v>
      </c>
      <c r="B4226" t="s">
        <v>669</v>
      </c>
      <c r="C4226" t="s">
        <v>669</v>
      </c>
      <c r="D4226" t="s">
        <v>669</v>
      </c>
      <c r="E4226">
        <v>36</v>
      </c>
      <c r="F4226">
        <v>35</v>
      </c>
      <c r="G4226" t="s">
        <v>714</v>
      </c>
      <c r="H4226" t="s">
        <v>801</v>
      </c>
      <c r="P4226">
        <f t="shared" si="65"/>
        <v>0</v>
      </c>
    </row>
    <row r="4227" spans="1:16" x14ac:dyDescent="0.25">
      <c r="A4227" t="s">
        <v>276</v>
      </c>
      <c r="B4227" t="s">
        <v>669</v>
      </c>
      <c r="C4227" t="s">
        <v>669</v>
      </c>
      <c r="D4227" t="s">
        <v>669</v>
      </c>
      <c r="E4227">
        <v>116</v>
      </c>
      <c r="F4227">
        <v>113</v>
      </c>
      <c r="G4227" t="s">
        <v>810</v>
      </c>
      <c r="H4227" t="s">
        <v>812</v>
      </c>
      <c r="P4227">
        <f t="shared" ref="P4227:P4290" si="66">LEN(I4227)</f>
        <v>0</v>
      </c>
    </row>
    <row r="4228" spans="1:16" x14ac:dyDescent="0.25">
      <c r="A4228" t="s">
        <v>277</v>
      </c>
      <c r="B4228" t="s">
        <v>669</v>
      </c>
      <c r="C4228" t="s">
        <v>669</v>
      </c>
      <c r="D4228" t="s">
        <v>669</v>
      </c>
      <c r="E4228">
        <v>116</v>
      </c>
      <c r="F4228">
        <v>113</v>
      </c>
      <c r="G4228" t="s">
        <v>810</v>
      </c>
      <c r="H4228" t="s">
        <v>812</v>
      </c>
      <c r="P4228">
        <f t="shared" si="66"/>
        <v>0</v>
      </c>
    </row>
    <row r="4229" spans="1:16" x14ac:dyDescent="0.25">
      <c r="A4229" t="s">
        <v>278</v>
      </c>
      <c r="B4229" t="s">
        <v>669</v>
      </c>
      <c r="C4229" t="s">
        <v>669</v>
      </c>
      <c r="D4229" t="s">
        <v>669</v>
      </c>
      <c r="E4229">
        <v>63</v>
      </c>
      <c r="F4229">
        <v>58</v>
      </c>
      <c r="G4229" t="s">
        <v>813</v>
      </c>
      <c r="H4229" t="s">
        <v>814</v>
      </c>
      <c r="P4229">
        <f t="shared" si="66"/>
        <v>0</v>
      </c>
    </row>
    <row r="4230" spans="1:16" x14ac:dyDescent="0.25">
      <c r="A4230" t="s">
        <v>279</v>
      </c>
      <c r="B4230" t="s">
        <v>669</v>
      </c>
      <c r="C4230" t="s">
        <v>669</v>
      </c>
      <c r="D4230" t="s">
        <v>669</v>
      </c>
      <c r="E4230">
        <v>63</v>
      </c>
      <c r="F4230">
        <v>58</v>
      </c>
      <c r="G4230" t="s">
        <v>813</v>
      </c>
      <c r="H4230" t="s">
        <v>814</v>
      </c>
      <c r="P4230">
        <f t="shared" si="66"/>
        <v>0</v>
      </c>
    </row>
    <row r="4231" spans="1:16" x14ac:dyDescent="0.25">
      <c r="A4231" t="s">
        <v>280</v>
      </c>
      <c r="B4231" t="s">
        <v>669</v>
      </c>
      <c r="C4231" t="s">
        <v>669</v>
      </c>
      <c r="D4231" t="s">
        <v>669</v>
      </c>
      <c r="E4231">
        <v>48</v>
      </c>
      <c r="F4231">
        <v>48</v>
      </c>
      <c r="G4231" t="s">
        <v>705</v>
      </c>
      <c r="H4231" t="s">
        <v>705</v>
      </c>
      <c r="P4231">
        <f t="shared" si="66"/>
        <v>0</v>
      </c>
    </row>
    <row r="4232" spans="1:16" x14ac:dyDescent="0.25">
      <c r="A4232" t="s">
        <v>281</v>
      </c>
      <c r="B4232" t="s">
        <v>669</v>
      </c>
      <c r="C4232" t="s">
        <v>669</v>
      </c>
      <c r="D4232" t="s">
        <v>669</v>
      </c>
      <c r="E4232">
        <v>48</v>
      </c>
      <c r="F4232">
        <v>48</v>
      </c>
      <c r="G4232" t="s">
        <v>705</v>
      </c>
      <c r="H4232" t="s">
        <v>705</v>
      </c>
      <c r="P4232">
        <f t="shared" si="66"/>
        <v>0</v>
      </c>
    </row>
    <row r="4233" spans="1:16" x14ac:dyDescent="0.25">
      <c r="A4233" t="s">
        <v>282</v>
      </c>
      <c r="B4233" t="s">
        <v>669</v>
      </c>
      <c r="C4233">
        <v>527</v>
      </c>
      <c r="D4233" t="s">
        <v>669</v>
      </c>
      <c r="E4233">
        <v>155</v>
      </c>
      <c r="F4233">
        <v>155</v>
      </c>
      <c r="G4233" t="s">
        <v>760</v>
      </c>
      <c r="H4233" t="s">
        <v>760</v>
      </c>
      <c r="J4233">
        <v>527</v>
      </c>
      <c r="L4233" t="s">
        <v>303</v>
      </c>
      <c r="M4233">
        <v>527</v>
      </c>
      <c r="P4233">
        <f t="shared" si="66"/>
        <v>0</v>
      </c>
    </row>
    <row r="4234" spans="1:16" x14ac:dyDescent="0.25">
      <c r="A4234" t="s">
        <v>282</v>
      </c>
      <c r="B4234" t="s">
        <v>669</v>
      </c>
      <c r="C4234">
        <v>557</v>
      </c>
      <c r="D4234" t="s">
        <v>669</v>
      </c>
      <c r="E4234">
        <v>155</v>
      </c>
      <c r="F4234">
        <v>155</v>
      </c>
      <c r="G4234" t="s">
        <v>760</v>
      </c>
      <c r="H4234" t="s">
        <v>760</v>
      </c>
      <c r="J4234">
        <v>557</v>
      </c>
      <c r="L4234" t="s">
        <v>303</v>
      </c>
      <c r="M4234">
        <v>557</v>
      </c>
      <c r="P4234">
        <f t="shared" si="66"/>
        <v>0</v>
      </c>
    </row>
    <row r="4235" spans="1:16" x14ac:dyDescent="0.25">
      <c r="A4235" t="s">
        <v>282</v>
      </c>
      <c r="B4235" t="s">
        <v>669</v>
      </c>
      <c r="C4235">
        <v>559</v>
      </c>
      <c r="D4235" t="s">
        <v>669</v>
      </c>
      <c r="E4235">
        <v>155</v>
      </c>
      <c r="F4235">
        <v>155</v>
      </c>
      <c r="G4235" t="s">
        <v>760</v>
      </c>
      <c r="H4235" t="s">
        <v>760</v>
      </c>
      <c r="J4235">
        <v>559</v>
      </c>
      <c r="L4235" t="s">
        <v>303</v>
      </c>
      <c r="M4235">
        <v>559</v>
      </c>
      <c r="P4235">
        <f t="shared" si="66"/>
        <v>0</v>
      </c>
    </row>
    <row r="4236" spans="1:16" x14ac:dyDescent="0.25">
      <c r="A4236" t="s">
        <v>282</v>
      </c>
      <c r="B4236" t="s">
        <v>669</v>
      </c>
      <c r="C4236">
        <v>564</v>
      </c>
      <c r="D4236" t="s">
        <v>669</v>
      </c>
      <c r="E4236">
        <v>155</v>
      </c>
      <c r="F4236">
        <v>155</v>
      </c>
      <c r="G4236" t="s">
        <v>760</v>
      </c>
      <c r="H4236" t="s">
        <v>760</v>
      </c>
      <c r="J4236">
        <v>564</v>
      </c>
      <c r="L4236" t="s">
        <v>303</v>
      </c>
      <c r="M4236">
        <v>564</v>
      </c>
      <c r="P4236">
        <f t="shared" si="66"/>
        <v>0</v>
      </c>
    </row>
    <row r="4237" spans="1:16" x14ac:dyDescent="0.25">
      <c r="A4237" t="s">
        <v>282</v>
      </c>
      <c r="B4237" t="s">
        <v>669</v>
      </c>
      <c r="C4237">
        <v>567</v>
      </c>
      <c r="D4237" t="s">
        <v>669</v>
      </c>
      <c r="E4237">
        <v>155</v>
      </c>
      <c r="F4237">
        <v>155</v>
      </c>
      <c r="G4237" t="s">
        <v>760</v>
      </c>
      <c r="H4237" t="s">
        <v>760</v>
      </c>
      <c r="J4237">
        <v>567</v>
      </c>
      <c r="L4237" t="s">
        <v>303</v>
      </c>
      <c r="M4237">
        <v>567</v>
      </c>
      <c r="P4237">
        <f t="shared" si="66"/>
        <v>0</v>
      </c>
    </row>
    <row r="4238" spans="1:16" x14ac:dyDescent="0.25">
      <c r="A4238" t="s">
        <v>282</v>
      </c>
      <c r="B4238" t="s">
        <v>669</v>
      </c>
      <c r="C4238">
        <v>575</v>
      </c>
      <c r="D4238" t="s">
        <v>669</v>
      </c>
      <c r="E4238">
        <v>155</v>
      </c>
      <c r="F4238">
        <v>155</v>
      </c>
      <c r="G4238" t="s">
        <v>760</v>
      </c>
      <c r="H4238" t="s">
        <v>760</v>
      </c>
      <c r="J4238">
        <v>575</v>
      </c>
      <c r="L4238" t="s">
        <v>303</v>
      </c>
      <c r="M4238">
        <v>575</v>
      </c>
      <c r="P4238">
        <f t="shared" si="66"/>
        <v>0</v>
      </c>
    </row>
    <row r="4239" spans="1:16" x14ac:dyDescent="0.25">
      <c r="A4239" t="s">
        <v>282</v>
      </c>
      <c r="B4239" t="s">
        <v>669</v>
      </c>
      <c r="C4239">
        <v>577</v>
      </c>
      <c r="D4239" t="s">
        <v>669</v>
      </c>
      <c r="E4239">
        <v>155</v>
      </c>
      <c r="F4239">
        <v>155</v>
      </c>
      <c r="G4239" t="s">
        <v>760</v>
      </c>
      <c r="H4239" t="s">
        <v>760</v>
      </c>
      <c r="J4239">
        <v>577</v>
      </c>
      <c r="L4239" t="s">
        <v>303</v>
      </c>
      <c r="M4239">
        <v>577</v>
      </c>
      <c r="P4239">
        <f t="shared" si="66"/>
        <v>0</v>
      </c>
    </row>
    <row r="4240" spans="1:16" x14ac:dyDescent="0.25">
      <c r="A4240" t="s">
        <v>282</v>
      </c>
      <c r="B4240" t="s">
        <v>669</v>
      </c>
      <c r="C4240">
        <v>598</v>
      </c>
      <c r="D4240" t="s">
        <v>669</v>
      </c>
      <c r="E4240">
        <v>155</v>
      </c>
      <c r="F4240">
        <v>155</v>
      </c>
      <c r="G4240" t="s">
        <v>760</v>
      </c>
      <c r="H4240" t="s">
        <v>760</v>
      </c>
      <c r="J4240">
        <v>598</v>
      </c>
      <c r="L4240" t="s">
        <v>303</v>
      </c>
      <c r="M4240">
        <v>598</v>
      </c>
      <c r="P4240">
        <f t="shared" si="66"/>
        <v>0</v>
      </c>
    </row>
    <row r="4241" spans="1:16" x14ac:dyDescent="0.25">
      <c r="A4241" t="s">
        <v>282</v>
      </c>
      <c r="B4241" t="s">
        <v>669</v>
      </c>
      <c r="C4241" t="s">
        <v>669</v>
      </c>
      <c r="D4241" t="s">
        <v>669</v>
      </c>
      <c r="E4241">
        <v>155</v>
      </c>
      <c r="F4241">
        <v>155</v>
      </c>
      <c r="G4241" t="s">
        <v>760</v>
      </c>
      <c r="H4241" t="s">
        <v>760</v>
      </c>
      <c r="P4241">
        <f t="shared" si="66"/>
        <v>0</v>
      </c>
    </row>
    <row r="4242" spans="1:16" x14ac:dyDescent="0.25">
      <c r="A4242" t="s">
        <v>283</v>
      </c>
      <c r="B4242" t="s">
        <v>669</v>
      </c>
      <c r="C4242" t="s">
        <v>669</v>
      </c>
      <c r="D4242" t="s">
        <v>669</v>
      </c>
      <c r="E4242">
        <v>41</v>
      </c>
      <c r="F4242">
        <v>41</v>
      </c>
      <c r="G4242" t="s">
        <v>706</v>
      </c>
      <c r="H4242" t="s">
        <v>706</v>
      </c>
      <c r="P4242">
        <f t="shared" si="66"/>
        <v>0</v>
      </c>
    </row>
    <row r="4243" spans="1:16" x14ac:dyDescent="0.25">
      <c r="A4243" t="s">
        <v>284</v>
      </c>
      <c r="B4243" t="s">
        <v>669</v>
      </c>
      <c r="C4243" t="s">
        <v>669</v>
      </c>
      <c r="D4243" t="s">
        <v>669</v>
      </c>
      <c r="E4243">
        <v>102</v>
      </c>
      <c r="F4243">
        <v>102</v>
      </c>
      <c r="G4243" t="s">
        <v>716</v>
      </c>
      <c r="H4243" t="s">
        <v>716</v>
      </c>
      <c r="P4243">
        <f t="shared" si="66"/>
        <v>0</v>
      </c>
    </row>
    <row r="4244" spans="1:16" x14ac:dyDescent="0.25">
      <c r="A4244" t="s">
        <v>285</v>
      </c>
      <c r="B4244" t="s">
        <v>669</v>
      </c>
      <c r="C4244">
        <v>114</v>
      </c>
      <c r="D4244" t="s">
        <v>669</v>
      </c>
      <c r="E4244">
        <v>46</v>
      </c>
      <c r="F4244">
        <v>46</v>
      </c>
      <c r="G4244" t="s">
        <v>805</v>
      </c>
      <c r="H4244" t="s">
        <v>805</v>
      </c>
      <c r="J4244">
        <v>114</v>
      </c>
      <c r="L4244" t="s">
        <v>303</v>
      </c>
      <c r="M4244">
        <v>114</v>
      </c>
      <c r="P4244">
        <f t="shared" si="66"/>
        <v>0</v>
      </c>
    </row>
    <row r="4245" spans="1:16" x14ac:dyDescent="0.25">
      <c r="A4245" t="s">
        <v>286</v>
      </c>
      <c r="B4245" t="s">
        <v>669</v>
      </c>
      <c r="C4245" t="s">
        <v>669</v>
      </c>
      <c r="D4245" t="s">
        <v>669</v>
      </c>
      <c r="E4245">
        <v>116</v>
      </c>
      <c r="F4245">
        <v>116</v>
      </c>
      <c r="G4245" t="s">
        <v>810</v>
      </c>
      <c r="H4245" t="s">
        <v>810</v>
      </c>
      <c r="P4245">
        <f t="shared" si="66"/>
        <v>0</v>
      </c>
    </row>
    <row r="4246" spans="1:16" x14ac:dyDescent="0.25">
      <c r="A4246" t="s">
        <v>287</v>
      </c>
      <c r="B4246" t="s">
        <v>669</v>
      </c>
      <c r="C4246" t="s">
        <v>669</v>
      </c>
      <c r="D4246" t="s">
        <v>669</v>
      </c>
      <c r="E4246">
        <v>32</v>
      </c>
      <c r="F4246">
        <v>32</v>
      </c>
      <c r="G4246" t="s">
        <v>696</v>
      </c>
      <c r="H4246" t="s">
        <v>696</v>
      </c>
      <c r="P4246">
        <f t="shared" si="66"/>
        <v>0</v>
      </c>
    </row>
    <row r="4247" spans="1:16" x14ac:dyDescent="0.25">
      <c r="A4247" t="s">
        <v>288</v>
      </c>
      <c r="B4247" t="s">
        <v>669</v>
      </c>
      <c r="C4247">
        <v>185</v>
      </c>
      <c r="D4247" t="s">
        <v>669</v>
      </c>
      <c r="E4247">
        <v>63</v>
      </c>
      <c r="F4247">
        <v>63</v>
      </c>
      <c r="G4247" t="s">
        <v>813</v>
      </c>
      <c r="H4247" t="s">
        <v>813</v>
      </c>
      <c r="J4247">
        <v>185</v>
      </c>
      <c r="L4247" t="s">
        <v>303</v>
      </c>
      <c r="M4247">
        <v>185</v>
      </c>
      <c r="P4247">
        <f t="shared" si="66"/>
        <v>0</v>
      </c>
    </row>
    <row r="4248" spans="1:16" x14ac:dyDescent="0.25">
      <c r="A4248" t="s">
        <v>288</v>
      </c>
      <c r="B4248" t="s">
        <v>669</v>
      </c>
      <c r="C4248">
        <v>187</v>
      </c>
      <c r="D4248" t="s">
        <v>669</v>
      </c>
      <c r="E4248">
        <v>63</v>
      </c>
      <c r="F4248">
        <v>63</v>
      </c>
      <c r="G4248" t="s">
        <v>813</v>
      </c>
      <c r="H4248" t="s">
        <v>813</v>
      </c>
      <c r="J4248">
        <v>187</v>
      </c>
      <c r="L4248" t="s">
        <v>303</v>
      </c>
      <c r="M4248">
        <v>187</v>
      </c>
      <c r="P4248">
        <f t="shared" si="66"/>
        <v>0</v>
      </c>
    </row>
    <row r="4249" spans="1:16" x14ac:dyDescent="0.25">
      <c r="A4249" t="s">
        <v>288</v>
      </c>
      <c r="B4249" t="s">
        <v>669</v>
      </c>
      <c r="C4249">
        <v>191</v>
      </c>
      <c r="D4249" t="s">
        <v>669</v>
      </c>
      <c r="E4249">
        <v>63</v>
      </c>
      <c r="F4249">
        <v>63</v>
      </c>
      <c r="G4249" t="s">
        <v>813</v>
      </c>
      <c r="H4249" t="s">
        <v>813</v>
      </c>
      <c r="J4249">
        <v>191</v>
      </c>
      <c r="L4249" t="s">
        <v>303</v>
      </c>
      <c r="M4249">
        <v>191</v>
      </c>
      <c r="P4249">
        <f t="shared" si="66"/>
        <v>0</v>
      </c>
    </row>
    <row r="4250" spans="1:16" x14ac:dyDescent="0.25">
      <c r="A4250" t="s">
        <v>288</v>
      </c>
      <c r="B4250" t="s">
        <v>669</v>
      </c>
      <c r="C4250">
        <v>193</v>
      </c>
      <c r="D4250" t="s">
        <v>669</v>
      </c>
      <c r="E4250">
        <v>63</v>
      </c>
      <c r="F4250">
        <v>63</v>
      </c>
      <c r="G4250" t="s">
        <v>813</v>
      </c>
      <c r="H4250" t="s">
        <v>813</v>
      </c>
      <c r="J4250">
        <v>193</v>
      </c>
      <c r="L4250" t="s">
        <v>303</v>
      </c>
      <c r="M4250">
        <v>193</v>
      </c>
      <c r="P4250">
        <f t="shared" si="66"/>
        <v>0</v>
      </c>
    </row>
    <row r="4251" spans="1:16" x14ac:dyDescent="0.25">
      <c r="A4251" t="s">
        <v>288</v>
      </c>
      <c r="B4251" t="s">
        <v>669</v>
      </c>
      <c r="C4251">
        <v>194</v>
      </c>
      <c r="D4251" t="s">
        <v>669</v>
      </c>
      <c r="E4251">
        <v>63</v>
      </c>
      <c r="F4251">
        <v>63</v>
      </c>
      <c r="G4251" t="s">
        <v>813</v>
      </c>
      <c r="H4251" t="s">
        <v>813</v>
      </c>
      <c r="J4251">
        <v>194</v>
      </c>
      <c r="L4251" t="s">
        <v>303</v>
      </c>
      <c r="M4251">
        <v>194</v>
      </c>
      <c r="P4251">
        <f t="shared" si="66"/>
        <v>0</v>
      </c>
    </row>
    <row r="4252" spans="1:16" x14ac:dyDescent="0.25">
      <c r="A4252" t="s">
        <v>288</v>
      </c>
      <c r="B4252" t="s">
        <v>669</v>
      </c>
      <c r="C4252" t="s">
        <v>669</v>
      </c>
      <c r="D4252" t="s">
        <v>669</v>
      </c>
      <c r="E4252">
        <v>63</v>
      </c>
      <c r="F4252">
        <v>63</v>
      </c>
      <c r="G4252" t="s">
        <v>813</v>
      </c>
      <c r="H4252" t="s">
        <v>813</v>
      </c>
      <c r="P4252">
        <f t="shared" si="66"/>
        <v>0</v>
      </c>
    </row>
    <row r="4253" spans="1:16" x14ac:dyDescent="0.25">
      <c r="A4253" t="s">
        <v>289</v>
      </c>
      <c r="B4253" t="s">
        <v>669</v>
      </c>
      <c r="C4253">
        <v>212</v>
      </c>
      <c r="D4253" t="s">
        <v>669</v>
      </c>
      <c r="E4253">
        <v>63</v>
      </c>
      <c r="F4253">
        <v>63</v>
      </c>
      <c r="G4253" t="s">
        <v>813</v>
      </c>
      <c r="H4253" t="s">
        <v>813</v>
      </c>
      <c r="J4253">
        <v>212</v>
      </c>
      <c r="L4253" t="s">
        <v>303</v>
      </c>
      <c r="M4253">
        <v>212</v>
      </c>
      <c r="P4253">
        <f t="shared" si="66"/>
        <v>0</v>
      </c>
    </row>
    <row r="4254" spans="1:16" x14ac:dyDescent="0.25">
      <c r="A4254" t="s">
        <v>290</v>
      </c>
      <c r="B4254" t="s">
        <v>669</v>
      </c>
      <c r="C4254" t="s">
        <v>669</v>
      </c>
      <c r="D4254" t="s">
        <v>669</v>
      </c>
      <c r="E4254">
        <v>107</v>
      </c>
      <c r="F4254">
        <v>107</v>
      </c>
      <c r="G4254" t="s">
        <v>761</v>
      </c>
      <c r="H4254" t="s">
        <v>761</v>
      </c>
      <c r="P4254">
        <f t="shared" si="66"/>
        <v>0</v>
      </c>
    </row>
    <row r="4255" spans="1:16" x14ac:dyDescent="0.25">
      <c r="A4255" t="s">
        <v>291</v>
      </c>
      <c r="B4255" t="s">
        <v>669</v>
      </c>
      <c r="C4255" t="s">
        <v>669</v>
      </c>
      <c r="D4255" t="s">
        <v>669</v>
      </c>
      <c r="E4255">
        <v>140</v>
      </c>
      <c r="F4255">
        <v>140</v>
      </c>
      <c r="G4255" t="s">
        <v>792</v>
      </c>
      <c r="H4255" t="s">
        <v>792</v>
      </c>
      <c r="P4255">
        <f t="shared" si="66"/>
        <v>0</v>
      </c>
    </row>
    <row r="4256" spans="1:16" x14ac:dyDescent="0.25">
      <c r="A4256" t="s">
        <v>292</v>
      </c>
      <c r="B4256" t="s">
        <v>669</v>
      </c>
      <c r="C4256" t="s">
        <v>669</v>
      </c>
      <c r="D4256" t="s">
        <v>669</v>
      </c>
      <c r="E4256">
        <v>36</v>
      </c>
      <c r="F4256">
        <v>36</v>
      </c>
      <c r="G4256" t="s">
        <v>714</v>
      </c>
      <c r="H4256" t="s">
        <v>714</v>
      </c>
      <c r="P4256">
        <f t="shared" si="66"/>
        <v>0</v>
      </c>
    </row>
    <row r="4257" spans="1:16" x14ac:dyDescent="0.25">
      <c r="A4257" t="s">
        <v>293</v>
      </c>
      <c r="B4257" t="s">
        <v>669</v>
      </c>
      <c r="C4257" t="s">
        <v>669</v>
      </c>
      <c r="D4257" t="s">
        <v>669</v>
      </c>
      <c r="E4257">
        <v>100</v>
      </c>
      <c r="F4257">
        <v>100</v>
      </c>
      <c r="G4257" t="s">
        <v>835</v>
      </c>
      <c r="H4257" t="s">
        <v>835</v>
      </c>
      <c r="P4257">
        <f t="shared" si="66"/>
        <v>0</v>
      </c>
    </row>
    <row r="4258" spans="1:16" x14ac:dyDescent="0.25">
      <c r="A4258" t="s">
        <v>294</v>
      </c>
      <c r="B4258" t="s">
        <v>669</v>
      </c>
      <c r="C4258" t="s">
        <v>669</v>
      </c>
      <c r="D4258" t="s">
        <v>669</v>
      </c>
      <c r="E4258">
        <v>12</v>
      </c>
      <c r="F4258">
        <v>11</v>
      </c>
      <c r="G4258" t="s">
        <v>824</v>
      </c>
      <c r="H4258" t="s">
        <v>702</v>
      </c>
      <c r="P4258">
        <f t="shared" si="66"/>
        <v>0</v>
      </c>
    </row>
    <row r="4259" spans="1:16" x14ac:dyDescent="0.25">
      <c r="A4259" t="s">
        <v>295</v>
      </c>
      <c r="B4259" t="s">
        <v>669</v>
      </c>
      <c r="C4259" t="s">
        <v>669</v>
      </c>
      <c r="D4259" t="s">
        <v>669</v>
      </c>
      <c r="E4259">
        <v>12</v>
      </c>
      <c r="F4259">
        <v>11</v>
      </c>
      <c r="G4259" t="s">
        <v>824</v>
      </c>
      <c r="H4259" t="s">
        <v>702</v>
      </c>
      <c r="P4259">
        <f t="shared" si="66"/>
        <v>0</v>
      </c>
    </row>
    <row r="4260" spans="1:16" x14ac:dyDescent="0.25">
      <c r="A4260" t="s">
        <v>296</v>
      </c>
      <c r="B4260" t="s">
        <v>669</v>
      </c>
      <c r="C4260" t="s">
        <v>669</v>
      </c>
      <c r="D4260" t="s">
        <v>669</v>
      </c>
      <c r="E4260">
        <v>16</v>
      </c>
      <c r="F4260">
        <v>16</v>
      </c>
      <c r="G4260" t="s">
        <v>695</v>
      </c>
      <c r="H4260" t="s">
        <v>695</v>
      </c>
      <c r="P4260">
        <f t="shared" si="66"/>
        <v>0</v>
      </c>
    </row>
    <row r="4261" spans="1:16" x14ac:dyDescent="0.25">
      <c r="A4261" t="s">
        <v>297</v>
      </c>
      <c r="B4261" t="s">
        <v>669</v>
      </c>
      <c r="C4261" t="s">
        <v>669</v>
      </c>
      <c r="D4261" t="s">
        <v>669</v>
      </c>
      <c r="E4261">
        <v>140</v>
      </c>
      <c r="F4261">
        <v>137</v>
      </c>
      <c r="G4261" t="s">
        <v>792</v>
      </c>
      <c r="H4261" t="s">
        <v>815</v>
      </c>
      <c r="P4261">
        <f t="shared" si="66"/>
        <v>0</v>
      </c>
    </row>
    <row r="4262" spans="1:16" x14ac:dyDescent="0.25">
      <c r="A4262" t="s">
        <v>299</v>
      </c>
      <c r="B4262" t="s">
        <v>669</v>
      </c>
      <c r="C4262">
        <v>136</v>
      </c>
      <c r="D4262" t="s">
        <v>669</v>
      </c>
      <c r="E4262">
        <v>52</v>
      </c>
      <c r="F4262">
        <v>52</v>
      </c>
      <c r="G4262" t="s">
        <v>749</v>
      </c>
      <c r="H4262" t="s">
        <v>749</v>
      </c>
      <c r="J4262">
        <v>136</v>
      </c>
      <c r="L4262" t="s">
        <v>303</v>
      </c>
      <c r="M4262">
        <v>136</v>
      </c>
      <c r="P4262">
        <f t="shared" si="66"/>
        <v>0</v>
      </c>
    </row>
    <row r="4263" spans="1:16" x14ac:dyDescent="0.25">
      <c r="A4263" t="s">
        <v>299</v>
      </c>
      <c r="B4263" t="s">
        <v>669</v>
      </c>
      <c r="C4263">
        <v>142</v>
      </c>
      <c r="D4263" t="s">
        <v>669</v>
      </c>
      <c r="E4263">
        <v>52</v>
      </c>
      <c r="F4263">
        <v>52</v>
      </c>
      <c r="G4263" t="s">
        <v>749</v>
      </c>
      <c r="H4263" t="s">
        <v>749</v>
      </c>
      <c r="J4263">
        <v>142</v>
      </c>
      <c r="L4263" t="s">
        <v>303</v>
      </c>
      <c r="M4263">
        <v>142</v>
      </c>
      <c r="P4263">
        <f t="shared" si="66"/>
        <v>0</v>
      </c>
    </row>
    <row r="4264" spans="1:16" x14ac:dyDescent="0.25">
      <c r="A4264" t="s">
        <v>300</v>
      </c>
      <c r="B4264" t="s">
        <v>669</v>
      </c>
      <c r="C4264" t="s">
        <v>669</v>
      </c>
      <c r="D4264" t="s">
        <v>669</v>
      </c>
      <c r="E4264">
        <v>122</v>
      </c>
      <c r="F4264">
        <v>122</v>
      </c>
      <c r="G4264" t="s">
        <v>741</v>
      </c>
      <c r="H4264" t="s">
        <v>741</v>
      </c>
      <c r="P4264">
        <f t="shared" si="66"/>
        <v>0</v>
      </c>
    </row>
    <row r="4265" spans="1:16" x14ac:dyDescent="0.25">
      <c r="A4265" t="s">
        <v>301</v>
      </c>
      <c r="B4265" t="s">
        <v>669</v>
      </c>
      <c r="C4265" t="s">
        <v>669</v>
      </c>
      <c r="D4265" t="s">
        <v>669</v>
      </c>
      <c r="E4265">
        <v>31</v>
      </c>
      <c r="F4265">
        <v>31</v>
      </c>
      <c r="G4265" t="s">
        <v>742</v>
      </c>
      <c r="H4265" t="s">
        <v>742</v>
      </c>
      <c r="P4265">
        <f t="shared" si="66"/>
        <v>0</v>
      </c>
    </row>
    <row r="4266" spans="1:16" x14ac:dyDescent="0.25">
      <c r="A4266" t="s">
        <v>302</v>
      </c>
      <c r="B4266" t="s">
        <v>669</v>
      </c>
      <c r="C4266" t="s">
        <v>669</v>
      </c>
      <c r="D4266" t="s">
        <v>669</v>
      </c>
      <c r="E4266">
        <v>31</v>
      </c>
      <c r="F4266">
        <v>30</v>
      </c>
      <c r="G4266" t="s">
        <v>742</v>
      </c>
      <c r="H4266" t="s">
        <v>743</v>
      </c>
      <c r="P4266">
        <f t="shared" si="66"/>
        <v>0</v>
      </c>
    </row>
    <row r="4267" spans="1:16" x14ac:dyDescent="0.25">
      <c r="A4267" t="s">
        <v>304</v>
      </c>
      <c r="B4267" t="s">
        <v>669</v>
      </c>
      <c r="C4267" t="s">
        <v>669</v>
      </c>
      <c r="D4267" t="s">
        <v>669</v>
      </c>
      <c r="E4267">
        <v>40</v>
      </c>
      <c r="F4267">
        <v>36</v>
      </c>
      <c r="G4267" t="s">
        <v>707</v>
      </c>
      <c r="H4267" t="s">
        <v>714</v>
      </c>
      <c r="P4267">
        <f t="shared" si="66"/>
        <v>0</v>
      </c>
    </row>
    <row r="4268" spans="1:16" x14ac:dyDescent="0.25">
      <c r="A4268" t="s">
        <v>305</v>
      </c>
      <c r="B4268" t="s">
        <v>669</v>
      </c>
      <c r="C4268" t="s">
        <v>669</v>
      </c>
      <c r="D4268" t="s">
        <v>669</v>
      </c>
      <c r="E4268">
        <v>40</v>
      </c>
      <c r="F4268">
        <v>40</v>
      </c>
      <c r="G4268" t="s">
        <v>707</v>
      </c>
      <c r="H4268" t="s">
        <v>707</v>
      </c>
      <c r="P4268">
        <f t="shared" si="66"/>
        <v>0</v>
      </c>
    </row>
    <row r="4269" spans="1:16" x14ac:dyDescent="0.25">
      <c r="A4269" t="s">
        <v>306</v>
      </c>
      <c r="B4269" t="s">
        <v>669</v>
      </c>
      <c r="C4269" t="s">
        <v>669</v>
      </c>
      <c r="D4269" t="s">
        <v>669</v>
      </c>
      <c r="E4269">
        <v>40</v>
      </c>
      <c r="F4269">
        <v>36</v>
      </c>
      <c r="G4269" t="s">
        <v>707</v>
      </c>
      <c r="H4269" t="s">
        <v>714</v>
      </c>
      <c r="P4269">
        <f t="shared" si="66"/>
        <v>0</v>
      </c>
    </row>
    <row r="4270" spans="1:16" x14ac:dyDescent="0.25">
      <c r="A4270" t="s">
        <v>307</v>
      </c>
      <c r="B4270" t="s">
        <v>669</v>
      </c>
      <c r="C4270" t="s">
        <v>669</v>
      </c>
      <c r="D4270" t="s">
        <v>669</v>
      </c>
      <c r="E4270">
        <v>175</v>
      </c>
      <c r="F4270">
        <v>175</v>
      </c>
      <c r="G4270" t="s">
        <v>744</v>
      </c>
      <c r="H4270" t="s">
        <v>744</v>
      </c>
      <c r="P4270">
        <f t="shared" si="66"/>
        <v>0</v>
      </c>
    </row>
    <row r="4271" spans="1:16" x14ac:dyDescent="0.25">
      <c r="A4271" t="s">
        <v>308</v>
      </c>
      <c r="B4271" t="s">
        <v>669</v>
      </c>
      <c r="C4271" t="s">
        <v>669</v>
      </c>
      <c r="D4271" t="s">
        <v>669</v>
      </c>
      <c r="E4271">
        <v>175</v>
      </c>
      <c r="F4271">
        <v>174</v>
      </c>
      <c r="G4271" t="s">
        <v>744</v>
      </c>
      <c r="H4271" t="s">
        <v>745</v>
      </c>
      <c r="P4271">
        <f t="shared" si="66"/>
        <v>0</v>
      </c>
    </row>
    <row r="4272" spans="1:16" x14ac:dyDescent="0.25">
      <c r="A4272" t="s">
        <v>309</v>
      </c>
      <c r="B4272" t="s">
        <v>669</v>
      </c>
      <c r="C4272" t="s">
        <v>669</v>
      </c>
      <c r="D4272" t="s">
        <v>669</v>
      </c>
      <c r="E4272">
        <v>164</v>
      </c>
      <c r="F4272">
        <v>164</v>
      </c>
      <c r="G4272" t="s">
        <v>746</v>
      </c>
      <c r="H4272" t="s">
        <v>746</v>
      </c>
      <c r="P4272">
        <f t="shared" si="66"/>
        <v>0</v>
      </c>
    </row>
    <row r="4273" spans="1:16" x14ac:dyDescent="0.25">
      <c r="A4273" t="s">
        <v>310</v>
      </c>
      <c r="B4273" t="s">
        <v>669</v>
      </c>
      <c r="C4273" t="s">
        <v>669</v>
      </c>
      <c r="D4273" t="s">
        <v>669</v>
      </c>
      <c r="E4273">
        <v>37</v>
      </c>
      <c r="F4273">
        <v>37</v>
      </c>
      <c r="G4273" t="s">
        <v>747</v>
      </c>
      <c r="H4273" t="s">
        <v>747</v>
      </c>
      <c r="P4273">
        <f t="shared" si="66"/>
        <v>0</v>
      </c>
    </row>
    <row r="4274" spans="1:16" x14ac:dyDescent="0.25">
      <c r="A4274" t="s">
        <v>312</v>
      </c>
      <c r="B4274" t="s">
        <v>669</v>
      </c>
      <c r="C4274" t="s">
        <v>669</v>
      </c>
      <c r="D4274" t="s">
        <v>669</v>
      </c>
      <c r="E4274">
        <v>37</v>
      </c>
      <c r="F4274">
        <v>37</v>
      </c>
      <c r="G4274" t="s">
        <v>747</v>
      </c>
      <c r="H4274" t="s">
        <v>747</v>
      </c>
      <c r="P4274">
        <f t="shared" si="66"/>
        <v>0</v>
      </c>
    </row>
    <row r="4275" spans="1:16" x14ac:dyDescent="0.25">
      <c r="A4275" t="s">
        <v>344</v>
      </c>
      <c r="B4275" t="s">
        <v>669</v>
      </c>
      <c r="C4275" t="s">
        <v>669</v>
      </c>
      <c r="D4275" t="s">
        <v>669</v>
      </c>
      <c r="E4275">
        <v>164</v>
      </c>
      <c r="F4275">
        <v>164</v>
      </c>
      <c r="G4275" t="s">
        <v>746</v>
      </c>
      <c r="H4275" t="s">
        <v>746</v>
      </c>
      <c r="P4275">
        <f t="shared" si="66"/>
        <v>0</v>
      </c>
    </row>
    <row r="4276" spans="1:16" x14ac:dyDescent="0.25">
      <c r="A4276" t="s">
        <v>345</v>
      </c>
      <c r="B4276" t="s">
        <v>669</v>
      </c>
      <c r="C4276">
        <v>101</v>
      </c>
      <c r="D4276" t="s">
        <v>669</v>
      </c>
      <c r="E4276">
        <v>48</v>
      </c>
      <c r="F4276">
        <v>44</v>
      </c>
      <c r="G4276" t="s">
        <v>705</v>
      </c>
      <c r="H4276" t="s">
        <v>710</v>
      </c>
      <c r="J4276">
        <v>101</v>
      </c>
      <c r="L4276" t="s">
        <v>303</v>
      </c>
      <c r="M4276">
        <v>101</v>
      </c>
      <c r="P4276">
        <f t="shared" si="66"/>
        <v>0</v>
      </c>
    </row>
    <row r="4277" spans="1:16" x14ac:dyDescent="0.25">
      <c r="A4277" t="s">
        <v>345</v>
      </c>
      <c r="B4277" t="s">
        <v>669</v>
      </c>
      <c r="C4277" t="s">
        <v>669</v>
      </c>
      <c r="D4277" t="s">
        <v>669</v>
      </c>
      <c r="E4277">
        <v>48</v>
      </c>
      <c r="F4277">
        <v>44</v>
      </c>
      <c r="G4277" t="s">
        <v>705</v>
      </c>
      <c r="H4277" t="s">
        <v>710</v>
      </c>
      <c r="P4277">
        <f t="shared" si="66"/>
        <v>0</v>
      </c>
    </row>
    <row r="4278" spans="1:16" x14ac:dyDescent="0.25">
      <c r="A4278" t="s">
        <v>346</v>
      </c>
      <c r="B4278" t="s">
        <v>669</v>
      </c>
      <c r="C4278" t="s">
        <v>669</v>
      </c>
      <c r="D4278" t="s">
        <v>669</v>
      </c>
      <c r="E4278">
        <v>21</v>
      </c>
      <c r="F4278">
        <v>18</v>
      </c>
      <c r="G4278" t="s">
        <v>694</v>
      </c>
      <c r="H4278" t="s">
        <v>693</v>
      </c>
      <c r="P4278">
        <f t="shared" si="66"/>
        <v>0</v>
      </c>
    </row>
    <row r="4279" spans="1:16" x14ac:dyDescent="0.25">
      <c r="A4279" t="s">
        <v>347</v>
      </c>
      <c r="B4279" t="s">
        <v>669</v>
      </c>
      <c r="C4279" t="s">
        <v>669</v>
      </c>
      <c r="D4279" t="s">
        <v>669</v>
      </c>
      <c r="E4279">
        <v>152</v>
      </c>
      <c r="F4279">
        <v>148</v>
      </c>
      <c r="G4279" t="s">
        <v>790</v>
      </c>
      <c r="H4279" t="s">
        <v>793</v>
      </c>
      <c r="P4279">
        <f t="shared" si="66"/>
        <v>0</v>
      </c>
    </row>
    <row r="4280" spans="1:16" x14ac:dyDescent="0.25">
      <c r="A4280" t="s">
        <v>348</v>
      </c>
      <c r="B4280" t="s">
        <v>669</v>
      </c>
      <c r="C4280" t="s">
        <v>669</v>
      </c>
      <c r="D4280" t="s">
        <v>669</v>
      </c>
      <c r="E4280">
        <v>21</v>
      </c>
      <c r="F4280">
        <v>20</v>
      </c>
      <c r="G4280" t="s">
        <v>694</v>
      </c>
      <c r="H4280" t="s">
        <v>786</v>
      </c>
      <c r="P4280">
        <f t="shared" si="66"/>
        <v>0</v>
      </c>
    </row>
    <row r="4281" spans="1:16" x14ac:dyDescent="0.25">
      <c r="A4281" t="s">
        <v>349</v>
      </c>
      <c r="B4281" t="s">
        <v>669</v>
      </c>
      <c r="C4281" t="s">
        <v>669</v>
      </c>
      <c r="D4281" t="s">
        <v>669</v>
      </c>
      <c r="E4281">
        <v>16</v>
      </c>
      <c r="F4281">
        <v>16</v>
      </c>
      <c r="G4281" t="s">
        <v>695</v>
      </c>
      <c r="H4281" t="s">
        <v>695</v>
      </c>
      <c r="P4281">
        <f t="shared" si="66"/>
        <v>0</v>
      </c>
    </row>
    <row r="4282" spans="1:16" x14ac:dyDescent="0.25">
      <c r="A4282" t="s">
        <v>350</v>
      </c>
      <c r="B4282" t="s">
        <v>669</v>
      </c>
      <c r="C4282" t="s">
        <v>669</v>
      </c>
      <c r="D4282" t="s">
        <v>669</v>
      </c>
      <c r="E4282">
        <v>137</v>
      </c>
      <c r="F4282">
        <v>133</v>
      </c>
      <c r="G4282" t="s">
        <v>815</v>
      </c>
      <c r="H4282" t="s">
        <v>816</v>
      </c>
      <c r="P4282">
        <f t="shared" si="66"/>
        <v>0</v>
      </c>
    </row>
    <row r="4283" spans="1:16" x14ac:dyDescent="0.25">
      <c r="A4283" t="s">
        <v>352</v>
      </c>
      <c r="B4283" t="s">
        <v>669</v>
      </c>
      <c r="C4283" t="s">
        <v>669</v>
      </c>
      <c r="D4283" t="s">
        <v>669</v>
      </c>
      <c r="E4283">
        <v>14</v>
      </c>
      <c r="F4283">
        <v>14</v>
      </c>
      <c r="G4283" t="s">
        <v>690</v>
      </c>
      <c r="H4283" t="s">
        <v>690</v>
      </c>
      <c r="P4283">
        <f t="shared" si="66"/>
        <v>0</v>
      </c>
    </row>
    <row r="4284" spans="1:16" x14ac:dyDescent="0.25">
      <c r="A4284" t="s">
        <v>353</v>
      </c>
      <c r="B4284" t="s">
        <v>669</v>
      </c>
      <c r="C4284" t="s">
        <v>669</v>
      </c>
      <c r="D4284" t="s">
        <v>669</v>
      </c>
      <c r="E4284">
        <v>21</v>
      </c>
      <c r="F4284">
        <v>18</v>
      </c>
      <c r="G4284" t="s">
        <v>694</v>
      </c>
      <c r="H4284" t="s">
        <v>693</v>
      </c>
      <c r="P4284">
        <f t="shared" si="66"/>
        <v>0</v>
      </c>
    </row>
    <row r="4285" spans="1:16" x14ac:dyDescent="0.25">
      <c r="A4285" t="s">
        <v>669</v>
      </c>
      <c r="B4285">
        <v>15614</v>
      </c>
      <c r="C4285" t="s">
        <v>669</v>
      </c>
      <c r="D4285" t="s">
        <v>865</v>
      </c>
      <c r="E4285" t="s">
        <v>910</v>
      </c>
      <c r="F4285">
        <v>8</v>
      </c>
      <c r="H4285" t="s">
        <v>687</v>
      </c>
      <c r="K4285">
        <v>1.5613999999999999E-2</v>
      </c>
      <c r="L4285" t="s">
        <v>303</v>
      </c>
      <c r="N4285">
        <v>15614</v>
      </c>
      <c r="O4285" t="s">
        <v>931</v>
      </c>
      <c r="P4285">
        <f t="shared" si="66"/>
        <v>0</v>
      </c>
    </row>
    <row r="4286" spans="1:16" x14ac:dyDescent="0.25">
      <c r="A4286" t="s">
        <v>669</v>
      </c>
      <c r="B4286">
        <v>15621</v>
      </c>
      <c r="C4286" t="s">
        <v>669</v>
      </c>
      <c r="D4286" t="s">
        <v>865</v>
      </c>
      <c r="E4286" t="s">
        <v>910</v>
      </c>
      <c r="F4286">
        <v>8</v>
      </c>
      <c r="H4286" t="s">
        <v>687</v>
      </c>
      <c r="K4286">
        <v>1.5620999999999999E-2</v>
      </c>
      <c r="L4286" t="s">
        <v>303</v>
      </c>
      <c r="N4286">
        <v>15621</v>
      </c>
      <c r="O4286" t="s">
        <v>931</v>
      </c>
      <c r="P4286">
        <f t="shared" si="66"/>
        <v>0</v>
      </c>
    </row>
    <row r="4287" spans="1:16" x14ac:dyDescent="0.25">
      <c r="A4287" t="s">
        <v>669</v>
      </c>
      <c r="B4287">
        <v>15624</v>
      </c>
      <c r="C4287" t="s">
        <v>669</v>
      </c>
      <c r="D4287" t="s">
        <v>865</v>
      </c>
      <c r="E4287" t="s">
        <v>910</v>
      </c>
      <c r="F4287">
        <v>8</v>
      </c>
      <c r="H4287" t="s">
        <v>687</v>
      </c>
      <c r="K4287">
        <v>1.5624000000000001E-2</v>
      </c>
      <c r="L4287" t="s">
        <v>303</v>
      </c>
      <c r="N4287">
        <v>15624</v>
      </c>
      <c r="O4287" t="s">
        <v>931</v>
      </c>
      <c r="P4287">
        <f t="shared" si="66"/>
        <v>0</v>
      </c>
    </row>
    <row r="4288" spans="1:16" x14ac:dyDescent="0.25">
      <c r="A4288" t="s">
        <v>355</v>
      </c>
      <c r="B4288" t="s">
        <v>669</v>
      </c>
      <c r="C4288">
        <v>571</v>
      </c>
      <c r="D4288" t="s">
        <v>669</v>
      </c>
      <c r="E4288">
        <v>152</v>
      </c>
      <c r="F4288">
        <v>148</v>
      </c>
      <c r="G4288" t="s">
        <v>790</v>
      </c>
      <c r="H4288" t="s">
        <v>793</v>
      </c>
      <c r="J4288">
        <v>571</v>
      </c>
      <c r="L4288" t="s">
        <v>303</v>
      </c>
      <c r="M4288">
        <v>571</v>
      </c>
      <c r="P4288">
        <f t="shared" si="66"/>
        <v>0</v>
      </c>
    </row>
    <row r="4289" spans="1:16" x14ac:dyDescent="0.25">
      <c r="A4289" t="s">
        <v>355</v>
      </c>
      <c r="B4289" t="s">
        <v>669</v>
      </c>
      <c r="C4289">
        <v>575</v>
      </c>
      <c r="D4289" t="s">
        <v>669</v>
      </c>
      <c r="E4289">
        <v>152</v>
      </c>
      <c r="F4289">
        <v>148</v>
      </c>
      <c r="G4289" t="s">
        <v>790</v>
      </c>
      <c r="H4289" t="s">
        <v>793</v>
      </c>
      <c r="J4289">
        <v>575</v>
      </c>
      <c r="L4289" t="s">
        <v>303</v>
      </c>
      <c r="M4289">
        <v>575</v>
      </c>
      <c r="P4289">
        <f t="shared" si="66"/>
        <v>0</v>
      </c>
    </row>
    <row r="4290" spans="1:16" x14ac:dyDescent="0.25">
      <c r="A4290" t="s">
        <v>355</v>
      </c>
      <c r="B4290" t="s">
        <v>669</v>
      </c>
      <c r="C4290">
        <v>576</v>
      </c>
      <c r="D4290" t="s">
        <v>669</v>
      </c>
      <c r="E4290">
        <v>152</v>
      </c>
      <c r="F4290">
        <v>148</v>
      </c>
      <c r="G4290" t="s">
        <v>790</v>
      </c>
      <c r="H4290" t="s">
        <v>793</v>
      </c>
      <c r="J4290">
        <v>576</v>
      </c>
      <c r="L4290" t="s">
        <v>303</v>
      </c>
      <c r="M4290">
        <v>576</v>
      </c>
      <c r="P4290">
        <f t="shared" si="66"/>
        <v>0</v>
      </c>
    </row>
    <row r="4291" spans="1:16" x14ac:dyDescent="0.25">
      <c r="A4291" t="s">
        <v>355</v>
      </c>
      <c r="B4291" t="s">
        <v>669</v>
      </c>
      <c r="C4291">
        <v>581</v>
      </c>
      <c r="D4291" t="s">
        <v>669</v>
      </c>
      <c r="E4291">
        <v>152</v>
      </c>
      <c r="F4291">
        <v>148</v>
      </c>
      <c r="G4291" t="s">
        <v>790</v>
      </c>
      <c r="H4291" t="s">
        <v>793</v>
      </c>
      <c r="J4291">
        <v>581</v>
      </c>
      <c r="L4291" t="s">
        <v>303</v>
      </c>
      <c r="M4291">
        <v>581</v>
      </c>
      <c r="P4291">
        <f t="shared" ref="P4291:P4354" si="67">LEN(I4291)</f>
        <v>0</v>
      </c>
    </row>
    <row r="4292" spans="1:16" x14ac:dyDescent="0.25">
      <c r="A4292" t="s">
        <v>355</v>
      </c>
      <c r="B4292" t="s">
        <v>669</v>
      </c>
      <c r="C4292">
        <v>583</v>
      </c>
      <c r="D4292" t="s">
        <v>669</v>
      </c>
      <c r="E4292">
        <v>152</v>
      </c>
      <c r="F4292">
        <v>148</v>
      </c>
      <c r="G4292" t="s">
        <v>790</v>
      </c>
      <c r="H4292" t="s">
        <v>793</v>
      </c>
      <c r="J4292">
        <v>583</v>
      </c>
      <c r="L4292" t="s">
        <v>303</v>
      </c>
      <c r="M4292">
        <v>583</v>
      </c>
      <c r="P4292">
        <f t="shared" si="67"/>
        <v>0</v>
      </c>
    </row>
    <row r="4293" spans="1:16" x14ac:dyDescent="0.25">
      <c r="A4293" t="s">
        <v>356</v>
      </c>
      <c r="B4293" t="s">
        <v>669</v>
      </c>
      <c r="C4293" t="s">
        <v>669</v>
      </c>
      <c r="D4293" t="s">
        <v>669</v>
      </c>
      <c r="E4293">
        <v>41</v>
      </c>
      <c r="F4293">
        <v>41</v>
      </c>
      <c r="G4293" t="s">
        <v>706</v>
      </c>
      <c r="H4293" t="s">
        <v>706</v>
      </c>
      <c r="P4293">
        <f t="shared" si="67"/>
        <v>0</v>
      </c>
    </row>
    <row r="4294" spans="1:16" x14ac:dyDescent="0.25">
      <c r="A4294" t="s">
        <v>357</v>
      </c>
      <c r="B4294" t="s">
        <v>669</v>
      </c>
      <c r="C4294" t="s">
        <v>669</v>
      </c>
      <c r="D4294" t="s">
        <v>669</v>
      </c>
      <c r="E4294">
        <v>113</v>
      </c>
      <c r="F4294">
        <v>113</v>
      </c>
      <c r="G4294" t="s">
        <v>812</v>
      </c>
      <c r="H4294" t="s">
        <v>812</v>
      </c>
      <c r="P4294">
        <f t="shared" si="67"/>
        <v>0</v>
      </c>
    </row>
    <row r="4295" spans="1:16" x14ac:dyDescent="0.25">
      <c r="A4295" t="s">
        <v>358</v>
      </c>
      <c r="B4295" t="s">
        <v>669</v>
      </c>
      <c r="C4295" t="s">
        <v>669</v>
      </c>
      <c r="D4295" t="s">
        <v>669</v>
      </c>
      <c r="E4295">
        <v>113</v>
      </c>
      <c r="F4295">
        <v>113</v>
      </c>
      <c r="G4295" t="s">
        <v>812</v>
      </c>
      <c r="H4295" t="s">
        <v>812</v>
      </c>
      <c r="P4295">
        <f t="shared" si="67"/>
        <v>0</v>
      </c>
    </row>
    <row r="4296" spans="1:16" x14ac:dyDescent="0.25">
      <c r="A4296" t="s">
        <v>359</v>
      </c>
      <c r="B4296" t="s">
        <v>669</v>
      </c>
      <c r="C4296" t="s">
        <v>669</v>
      </c>
      <c r="D4296" t="s">
        <v>669</v>
      </c>
      <c r="E4296">
        <v>113</v>
      </c>
      <c r="F4296">
        <v>113</v>
      </c>
      <c r="G4296" t="s">
        <v>812</v>
      </c>
      <c r="H4296" t="s">
        <v>812</v>
      </c>
      <c r="P4296">
        <f t="shared" si="67"/>
        <v>0</v>
      </c>
    </row>
    <row r="4297" spans="1:16" x14ac:dyDescent="0.25">
      <c r="A4297" t="s">
        <v>360</v>
      </c>
      <c r="B4297" t="s">
        <v>669</v>
      </c>
      <c r="C4297" t="s">
        <v>669</v>
      </c>
      <c r="D4297" t="s">
        <v>669</v>
      </c>
      <c r="E4297">
        <v>31</v>
      </c>
      <c r="F4297">
        <v>30</v>
      </c>
      <c r="G4297" t="s">
        <v>742</v>
      </c>
      <c r="H4297" t="s">
        <v>743</v>
      </c>
      <c r="P4297">
        <f t="shared" si="67"/>
        <v>0</v>
      </c>
    </row>
    <row r="4298" spans="1:16" x14ac:dyDescent="0.25">
      <c r="A4298" t="s">
        <v>362</v>
      </c>
      <c r="B4298" t="s">
        <v>669</v>
      </c>
      <c r="C4298" t="s">
        <v>669</v>
      </c>
      <c r="D4298" t="s">
        <v>669</v>
      </c>
      <c r="E4298">
        <v>58</v>
      </c>
      <c r="F4298">
        <v>58</v>
      </c>
      <c r="G4298" t="s">
        <v>814</v>
      </c>
      <c r="H4298" t="s">
        <v>814</v>
      </c>
      <c r="P4298">
        <f t="shared" si="67"/>
        <v>0</v>
      </c>
    </row>
    <row r="4299" spans="1:16" x14ac:dyDescent="0.25">
      <c r="A4299" t="s">
        <v>363</v>
      </c>
      <c r="B4299" t="s">
        <v>669</v>
      </c>
      <c r="C4299" t="s">
        <v>669</v>
      </c>
      <c r="D4299" t="s">
        <v>669</v>
      </c>
      <c r="E4299">
        <v>21</v>
      </c>
      <c r="F4299">
        <v>18</v>
      </c>
      <c r="G4299" t="s">
        <v>694</v>
      </c>
      <c r="H4299" t="s">
        <v>693</v>
      </c>
      <c r="P4299">
        <f t="shared" si="67"/>
        <v>0</v>
      </c>
    </row>
    <row r="4300" spans="1:16" x14ac:dyDescent="0.25">
      <c r="A4300" t="s">
        <v>364</v>
      </c>
      <c r="B4300" t="s">
        <v>669</v>
      </c>
      <c r="C4300" t="s">
        <v>669</v>
      </c>
      <c r="D4300" t="s">
        <v>669</v>
      </c>
      <c r="E4300">
        <v>31</v>
      </c>
      <c r="F4300">
        <v>31</v>
      </c>
      <c r="G4300" t="s">
        <v>742</v>
      </c>
      <c r="H4300" t="s">
        <v>742</v>
      </c>
      <c r="P4300">
        <f t="shared" si="67"/>
        <v>0</v>
      </c>
    </row>
    <row r="4301" spans="1:16" x14ac:dyDescent="0.25">
      <c r="A4301" t="s">
        <v>365</v>
      </c>
      <c r="B4301" t="s">
        <v>669</v>
      </c>
      <c r="C4301" t="s">
        <v>669</v>
      </c>
      <c r="D4301" t="s">
        <v>669</v>
      </c>
      <c r="E4301">
        <v>21</v>
      </c>
      <c r="F4301">
        <v>20</v>
      </c>
      <c r="G4301" t="s">
        <v>694</v>
      </c>
      <c r="H4301" t="s">
        <v>786</v>
      </c>
      <c r="P4301">
        <f t="shared" si="67"/>
        <v>0</v>
      </c>
    </row>
    <row r="4302" spans="1:16" x14ac:dyDescent="0.25">
      <c r="A4302" t="s">
        <v>366</v>
      </c>
      <c r="B4302" t="s">
        <v>669</v>
      </c>
      <c r="C4302" t="s">
        <v>669</v>
      </c>
      <c r="D4302" t="s">
        <v>669</v>
      </c>
      <c r="E4302">
        <v>21</v>
      </c>
      <c r="F4302">
        <v>20</v>
      </c>
      <c r="G4302" t="s">
        <v>694</v>
      </c>
      <c r="H4302" t="s">
        <v>786</v>
      </c>
      <c r="P4302">
        <f t="shared" si="67"/>
        <v>0</v>
      </c>
    </row>
    <row r="4303" spans="1:16" x14ac:dyDescent="0.25">
      <c r="A4303" t="s">
        <v>367</v>
      </c>
      <c r="B4303" t="s">
        <v>669</v>
      </c>
      <c r="C4303" t="s">
        <v>669</v>
      </c>
      <c r="D4303" t="s">
        <v>669</v>
      </c>
      <c r="E4303">
        <v>105</v>
      </c>
      <c r="F4303">
        <v>105</v>
      </c>
      <c r="G4303" t="s">
        <v>762</v>
      </c>
      <c r="H4303" t="s">
        <v>762</v>
      </c>
      <c r="P4303">
        <f t="shared" si="67"/>
        <v>0</v>
      </c>
    </row>
    <row r="4304" spans="1:16" x14ac:dyDescent="0.25">
      <c r="A4304" t="s">
        <v>368</v>
      </c>
      <c r="B4304" t="s">
        <v>669</v>
      </c>
      <c r="C4304" t="s">
        <v>669</v>
      </c>
      <c r="D4304" t="s">
        <v>669</v>
      </c>
      <c r="E4304">
        <v>137</v>
      </c>
      <c r="F4304">
        <v>137</v>
      </c>
      <c r="G4304" t="s">
        <v>815</v>
      </c>
      <c r="H4304" t="s">
        <v>815</v>
      </c>
      <c r="P4304">
        <f t="shared" si="67"/>
        <v>0</v>
      </c>
    </row>
    <row r="4305" spans="1:16" x14ac:dyDescent="0.25">
      <c r="A4305" t="s">
        <v>370</v>
      </c>
      <c r="B4305" t="s">
        <v>669</v>
      </c>
      <c r="C4305" t="s">
        <v>669</v>
      </c>
      <c r="D4305" t="s">
        <v>669</v>
      </c>
      <c r="E4305">
        <v>98</v>
      </c>
      <c r="F4305">
        <v>98</v>
      </c>
      <c r="G4305" t="s">
        <v>794</v>
      </c>
      <c r="H4305" t="s">
        <v>794</v>
      </c>
      <c r="P4305">
        <f t="shared" si="67"/>
        <v>0</v>
      </c>
    </row>
    <row r="4306" spans="1:16" x14ac:dyDescent="0.25">
      <c r="A4306" t="s">
        <v>371</v>
      </c>
      <c r="B4306" t="s">
        <v>669</v>
      </c>
      <c r="C4306" t="s">
        <v>669</v>
      </c>
      <c r="D4306" t="s">
        <v>669</v>
      </c>
      <c r="E4306">
        <v>10</v>
      </c>
      <c r="F4306">
        <v>10</v>
      </c>
      <c r="G4306" t="s">
        <v>949</v>
      </c>
      <c r="H4306" t="s">
        <v>949</v>
      </c>
      <c r="P4306">
        <f t="shared" si="67"/>
        <v>0</v>
      </c>
    </row>
    <row r="4307" spans="1:16" x14ac:dyDescent="0.25">
      <c r="A4307" t="s">
        <v>373</v>
      </c>
      <c r="B4307" t="s">
        <v>669</v>
      </c>
      <c r="C4307" t="s">
        <v>669</v>
      </c>
      <c r="D4307" t="s">
        <v>669</v>
      </c>
      <c r="E4307">
        <v>75</v>
      </c>
      <c r="F4307">
        <v>75</v>
      </c>
      <c r="G4307" t="s">
        <v>682</v>
      </c>
      <c r="H4307" t="s">
        <v>682</v>
      </c>
      <c r="P4307">
        <f t="shared" si="67"/>
        <v>0</v>
      </c>
    </row>
    <row r="4308" spans="1:16" x14ac:dyDescent="0.25">
      <c r="A4308" t="s">
        <v>374</v>
      </c>
      <c r="B4308" t="s">
        <v>669</v>
      </c>
      <c r="C4308" t="s">
        <v>669</v>
      </c>
      <c r="D4308" t="s">
        <v>669</v>
      </c>
      <c r="E4308">
        <v>17</v>
      </c>
      <c r="F4308">
        <v>17</v>
      </c>
      <c r="G4308" t="s">
        <v>689</v>
      </c>
      <c r="H4308" t="s">
        <v>689</v>
      </c>
      <c r="P4308">
        <f t="shared" si="67"/>
        <v>0</v>
      </c>
    </row>
    <row r="4309" spans="1:16" x14ac:dyDescent="0.25">
      <c r="A4309" t="s">
        <v>669</v>
      </c>
      <c r="B4309">
        <v>15698</v>
      </c>
      <c r="C4309" t="s">
        <v>669</v>
      </c>
      <c r="D4309" t="s">
        <v>865</v>
      </c>
      <c r="E4309" t="s">
        <v>910</v>
      </c>
      <c r="F4309">
        <v>8</v>
      </c>
      <c r="H4309" t="s">
        <v>687</v>
      </c>
      <c r="K4309">
        <v>1.5698E-2</v>
      </c>
      <c r="L4309" t="s">
        <v>303</v>
      </c>
      <c r="N4309">
        <v>15698</v>
      </c>
      <c r="O4309" t="s">
        <v>931</v>
      </c>
      <c r="P4309">
        <f t="shared" si="67"/>
        <v>0</v>
      </c>
    </row>
    <row r="4310" spans="1:16" x14ac:dyDescent="0.25">
      <c r="A4310" t="s">
        <v>375</v>
      </c>
      <c r="B4310" t="s">
        <v>669</v>
      </c>
      <c r="C4310" t="s">
        <v>669</v>
      </c>
      <c r="D4310" t="s">
        <v>669</v>
      </c>
      <c r="E4310">
        <v>17</v>
      </c>
      <c r="F4310">
        <v>17</v>
      </c>
      <c r="G4310" t="s">
        <v>689</v>
      </c>
      <c r="H4310" t="s">
        <v>689</v>
      </c>
      <c r="P4310">
        <f t="shared" si="67"/>
        <v>0</v>
      </c>
    </row>
    <row r="4311" spans="1:16" x14ac:dyDescent="0.25">
      <c r="A4311" t="s">
        <v>376</v>
      </c>
      <c r="B4311" t="s">
        <v>669</v>
      </c>
      <c r="C4311" t="s">
        <v>669</v>
      </c>
      <c r="D4311" t="s">
        <v>669</v>
      </c>
      <c r="E4311">
        <v>17</v>
      </c>
      <c r="F4311">
        <v>14</v>
      </c>
      <c r="G4311" t="s">
        <v>689</v>
      </c>
      <c r="H4311" t="s">
        <v>690</v>
      </c>
      <c r="P4311">
        <f t="shared" si="67"/>
        <v>0</v>
      </c>
    </row>
    <row r="4312" spans="1:16" x14ac:dyDescent="0.25">
      <c r="A4312" t="s">
        <v>377</v>
      </c>
      <c r="B4312" t="s">
        <v>669</v>
      </c>
      <c r="C4312" t="s">
        <v>669</v>
      </c>
      <c r="D4312" t="s">
        <v>669</v>
      </c>
      <c r="E4312">
        <v>17</v>
      </c>
      <c r="F4312">
        <v>14</v>
      </c>
      <c r="G4312" t="s">
        <v>689</v>
      </c>
      <c r="H4312" t="s">
        <v>690</v>
      </c>
      <c r="P4312">
        <f t="shared" si="67"/>
        <v>0</v>
      </c>
    </row>
    <row r="4313" spans="1:16" x14ac:dyDescent="0.25">
      <c r="A4313" t="s">
        <v>378</v>
      </c>
      <c r="B4313" t="s">
        <v>669</v>
      </c>
      <c r="C4313" t="s">
        <v>669</v>
      </c>
      <c r="D4313" t="s">
        <v>669</v>
      </c>
      <c r="E4313">
        <v>17</v>
      </c>
      <c r="F4313">
        <v>14</v>
      </c>
      <c r="G4313" t="s">
        <v>689</v>
      </c>
      <c r="H4313" t="s">
        <v>690</v>
      </c>
      <c r="P4313">
        <f t="shared" si="67"/>
        <v>0</v>
      </c>
    </row>
    <row r="4314" spans="1:16" x14ac:dyDescent="0.25">
      <c r="A4314" t="s">
        <v>891</v>
      </c>
      <c r="B4314" t="s">
        <v>669</v>
      </c>
      <c r="C4314" t="s">
        <v>669</v>
      </c>
      <c r="D4314" t="s">
        <v>669</v>
      </c>
      <c r="E4314">
        <v>17</v>
      </c>
      <c r="F4314">
        <v>17</v>
      </c>
      <c r="G4314" t="s">
        <v>689</v>
      </c>
      <c r="H4314" t="s">
        <v>689</v>
      </c>
      <c r="I4314" t="s">
        <v>799</v>
      </c>
      <c r="P4314">
        <f t="shared" si="67"/>
        <v>9</v>
      </c>
    </row>
    <row r="4315" spans="1:16" x14ac:dyDescent="0.25">
      <c r="A4315" t="s">
        <v>380</v>
      </c>
      <c r="B4315" t="s">
        <v>669</v>
      </c>
      <c r="C4315" t="s">
        <v>669</v>
      </c>
      <c r="D4315" t="s">
        <v>669</v>
      </c>
      <c r="E4315">
        <v>17</v>
      </c>
      <c r="F4315">
        <v>17</v>
      </c>
      <c r="G4315" t="s">
        <v>689</v>
      </c>
      <c r="H4315" t="s">
        <v>689</v>
      </c>
      <c r="I4315" t="s">
        <v>799</v>
      </c>
      <c r="P4315">
        <f t="shared" si="67"/>
        <v>9</v>
      </c>
    </row>
    <row r="4316" spans="1:16" x14ac:dyDescent="0.25">
      <c r="A4316" t="s">
        <v>381</v>
      </c>
      <c r="B4316" t="s">
        <v>669</v>
      </c>
      <c r="C4316" t="s">
        <v>669</v>
      </c>
      <c r="D4316" t="s">
        <v>669</v>
      </c>
      <c r="E4316">
        <v>17</v>
      </c>
      <c r="F4316">
        <v>4</v>
      </c>
      <c r="G4316" t="s">
        <v>689</v>
      </c>
      <c r="H4316" t="s">
        <v>701</v>
      </c>
      <c r="P4316">
        <f t="shared" si="67"/>
        <v>0</v>
      </c>
    </row>
    <row r="4317" spans="1:16" x14ac:dyDescent="0.25">
      <c r="A4317" t="s">
        <v>382</v>
      </c>
      <c r="B4317" t="s">
        <v>669</v>
      </c>
      <c r="C4317" t="s">
        <v>669</v>
      </c>
      <c r="D4317" t="s">
        <v>669</v>
      </c>
      <c r="E4317">
        <v>17</v>
      </c>
      <c r="F4317">
        <v>4</v>
      </c>
      <c r="G4317" t="s">
        <v>689</v>
      </c>
      <c r="H4317" t="s">
        <v>701</v>
      </c>
      <c r="P4317">
        <f t="shared" si="67"/>
        <v>0</v>
      </c>
    </row>
    <row r="4318" spans="1:16" x14ac:dyDescent="0.25">
      <c r="A4318" t="s">
        <v>383</v>
      </c>
      <c r="B4318" t="s">
        <v>669</v>
      </c>
      <c r="C4318" t="s">
        <v>669</v>
      </c>
      <c r="D4318" t="s">
        <v>669</v>
      </c>
      <c r="E4318">
        <v>22</v>
      </c>
      <c r="F4318">
        <v>22</v>
      </c>
      <c r="G4318" t="s">
        <v>755</v>
      </c>
      <c r="H4318" t="s">
        <v>755</v>
      </c>
      <c r="P4318">
        <f t="shared" si="67"/>
        <v>0</v>
      </c>
    </row>
    <row r="4319" spans="1:16" x14ac:dyDescent="0.25">
      <c r="A4319" t="s">
        <v>384</v>
      </c>
      <c r="B4319" t="s">
        <v>669</v>
      </c>
      <c r="C4319" t="s">
        <v>669</v>
      </c>
      <c r="D4319" t="s">
        <v>669</v>
      </c>
      <c r="E4319">
        <v>25</v>
      </c>
      <c r="F4319">
        <v>17</v>
      </c>
      <c r="G4319" t="s">
        <v>691</v>
      </c>
      <c r="H4319" t="s">
        <v>689</v>
      </c>
      <c r="P4319">
        <f t="shared" si="67"/>
        <v>0</v>
      </c>
    </row>
    <row r="4320" spans="1:16" x14ac:dyDescent="0.25">
      <c r="A4320" t="s">
        <v>385</v>
      </c>
      <c r="B4320" t="s">
        <v>669</v>
      </c>
      <c r="C4320" t="s">
        <v>669</v>
      </c>
      <c r="D4320" t="s">
        <v>669</v>
      </c>
      <c r="E4320">
        <v>9</v>
      </c>
      <c r="F4320">
        <v>9</v>
      </c>
      <c r="G4320" t="s">
        <v>832</v>
      </c>
      <c r="H4320" t="s">
        <v>832</v>
      </c>
      <c r="P4320">
        <f t="shared" si="67"/>
        <v>0</v>
      </c>
    </row>
    <row r="4321" spans="1:16" x14ac:dyDescent="0.25">
      <c r="A4321" t="s">
        <v>386</v>
      </c>
      <c r="B4321" t="s">
        <v>669</v>
      </c>
      <c r="C4321" t="s">
        <v>669</v>
      </c>
      <c r="D4321" t="s">
        <v>669</v>
      </c>
      <c r="E4321">
        <v>9</v>
      </c>
      <c r="F4321">
        <v>9</v>
      </c>
      <c r="G4321" t="s">
        <v>832</v>
      </c>
      <c r="H4321" t="s">
        <v>832</v>
      </c>
      <c r="P4321">
        <f t="shared" si="67"/>
        <v>0</v>
      </c>
    </row>
    <row r="4322" spans="1:16" x14ac:dyDescent="0.25">
      <c r="A4322" t="s">
        <v>387</v>
      </c>
      <c r="B4322" t="s">
        <v>669</v>
      </c>
      <c r="C4322" t="s">
        <v>669</v>
      </c>
      <c r="D4322" t="s">
        <v>669</v>
      </c>
      <c r="E4322">
        <v>9</v>
      </c>
      <c r="F4322">
        <v>9</v>
      </c>
      <c r="G4322" t="s">
        <v>832</v>
      </c>
      <c r="H4322" t="s">
        <v>832</v>
      </c>
      <c r="P4322">
        <f t="shared" si="67"/>
        <v>0</v>
      </c>
    </row>
    <row r="4323" spans="1:16" x14ac:dyDescent="0.25">
      <c r="A4323" t="s">
        <v>390</v>
      </c>
      <c r="B4323" t="s">
        <v>669</v>
      </c>
      <c r="C4323" t="s">
        <v>669</v>
      </c>
      <c r="D4323" t="s">
        <v>669</v>
      </c>
      <c r="E4323">
        <v>102</v>
      </c>
      <c r="F4323">
        <v>102</v>
      </c>
      <c r="G4323" t="s">
        <v>716</v>
      </c>
      <c r="H4323" t="s">
        <v>716</v>
      </c>
      <c r="P4323">
        <f t="shared" si="67"/>
        <v>0</v>
      </c>
    </row>
    <row r="4324" spans="1:16" x14ac:dyDescent="0.25">
      <c r="A4324" t="s">
        <v>391</v>
      </c>
      <c r="B4324" t="s">
        <v>669</v>
      </c>
      <c r="C4324" t="s">
        <v>669</v>
      </c>
      <c r="D4324" t="s">
        <v>669</v>
      </c>
      <c r="E4324">
        <v>107</v>
      </c>
      <c r="F4324">
        <v>107</v>
      </c>
      <c r="G4324" t="s">
        <v>761</v>
      </c>
      <c r="H4324" t="s">
        <v>761</v>
      </c>
      <c r="P4324">
        <f t="shared" si="67"/>
        <v>0</v>
      </c>
    </row>
    <row r="4325" spans="1:16" x14ac:dyDescent="0.25">
      <c r="A4325" t="s">
        <v>392</v>
      </c>
      <c r="B4325" t="s">
        <v>669</v>
      </c>
      <c r="C4325" t="s">
        <v>669</v>
      </c>
      <c r="D4325" t="s">
        <v>669</v>
      </c>
      <c r="E4325">
        <v>103</v>
      </c>
      <c r="F4325">
        <v>103</v>
      </c>
      <c r="G4325" t="s">
        <v>837</v>
      </c>
      <c r="H4325" t="s">
        <v>837</v>
      </c>
      <c r="P4325">
        <f t="shared" si="67"/>
        <v>0</v>
      </c>
    </row>
    <row r="4326" spans="1:16" x14ac:dyDescent="0.25">
      <c r="A4326" t="s">
        <v>393</v>
      </c>
      <c r="B4326" t="s">
        <v>669</v>
      </c>
      <c r="C4326" t="s">
        <v>669</v>
      </c>
      <c r="D4326" t="s">
        <v>669</v>
      </c>
      <c r="E4326">
        <v>102</v>
      </c>
      <c r="F4326">
        <v>38</v>
      </c>
      <c r="G4326" t="s">
        <v>716</v>
      </c>
      <c r="H4326" t="s">
        <v>704</v>
      </c>
      <c r="P4326">
        <f t="shared" si="67"/>
        <v>0</v>
      </c>
    </row>
    <row r="4327" spans="1:16" x14ac:dyDescent="0.25">
      <c r="A4327" t="s">
        <v>394</v>
      </c>
      <c r="B4327" t="s">
        <v>669</v>
      </c>
      <c r="C4327" t="s">
        <v>669</v>
      </c>
      <c r="D4327" t="s">
        <v>669</v>
      </c>
      <c r="E4327">
        <v>102</v>
      </c>
      <c r="F4327">
        <v>94</v>
      </c>
      <c r="G4327" t="s">
        <v>716</v>
      </c>
      <c r="H4327" t="s">
        <v>735</v>
      </c>
      <c r="P4327">
        <f t="shared" si="67"/>
        <v>0</v>
      </c>
    </row>
    <row r="4328" spans="1:16" x14ac:dyDescent="0.25">
      <c r="A4328" t="s">
        <v>395</v>
      </c>
      <c r="B4328" t="s">
        <v>669</v>
      </c>
      <c r="C4328" t="s">
        <v>669</v>
      </c>
      <c r="D4328" t="s">
        <v>669</v>
      </c>
      <c r="E4328">
        <v>103</v>
      </c>
      <c r="F4328">
        <v>103</v>
      </c>
      <c r="G4328" t="s">
        <v>837</v>
      </c>
      <c r="H4328" t="s">
        <v>837</v>
      </c>
      <c r="P4328">
        <f t="shared" si="67"/>
        <v>0</v>
      </c>
    </row>
    <row r="4329" spans="1:16" x14ac:dyDescent="0.25">
      <c r="A4329" t="s">
        <v>396</v>
      </c>
      <c r="B4329" t="s">
        <v>669</v>
      </c>
      <c r="C4329" t="s">
        <v>669</v>
      </c>
      <c r="D4329" t="s">
        <v>669</v>
      </c>
      <c r="E4329">
        <v>103</v>
      </c>
      <c r="F4329">
        <v>103</v>
      </c>
      <c r="G4329" t="s">
        <v>837</v>
      </c>
      <c r="H4329" t="s">
        <v>837</v>
      </c>
      <c r="P4329">
        <f t="shared" si="67"/>
        <v>0</v>
      </c>
    </row>
    <row r="4330" spans="1:16" x14ac:dyDescent="0.25">
      <c r="A4330" t="s">
        <v>397</v>
      </c>
      <c r="B4330" t="s">
        <v>669</v>
      </c>
      <c r="C4330" t="s">
        <v>669</v>
      </c>
      <c r="D4330" t="s">
        <v>669</v>
      </c>
      <c r="E4330">
        <v>102</v>
      </c>
      <c r="F4330">
        <v>80</v>
      </c>
      <c r="G4330" t="s">
        <v>716</v>
      </c>
      <c r="H4330" t="s">
        <v>721</v>
      </c>
      <c r="P4330">
        <f t="shared" si="67"/>
        <v>0</v>
      </c>
    </row>
    <row r="4331" spans="1:16" x14ac:dyDescent="0.25">
      <c r="A4331" t="s">
        <v>398</v>
      </c>
      <c r="B4331" t="s">
        <v>669</v>
      </c>
      <c r="C4331" t="s">
        <v>669</v>
      </c>
      <c r="D4331" t="s">
        <v>669</v>
      </c>
      <c r="E4331">
        <v>102</v>
      </c>
      <c r="F4331">
        <v>102</v>
      </c>
      <c r="G4331" t="s">
        <v>716</v>
      </c>
      <c r="H4331" t="s">
        <v>716</v>
      </c>
      <c r="P4331">
        <f t="shared" si="67"/>
        <v>0</v>
      </c>
    </row>
    <row r="4332" spans="1:16" x14ac:dyDescent="0.25">
      <c r="A4332" t="s">
        <v>399</v>
      </c>
      <c r="B4332" t="s">
        <v>669</v>
      </c>
      <c r="C4332" t="s">
        <v>669</v>
      </c>
      <c r="D4332" t="s">
        <v>669</v>
      </c>
      <c r="E4332">
        <v>96</v>
      </c>
      <c r="F4332">
        <v>96</v>
      </c>
      <c r="G4332" t="s">
        <v>809</v>
      </c>
      <c r="H4332" t="s">
        <v>809</v>
      </c>
      <c r="P4332">
        <f t="shared" si="67"/>
        <v>0</v>
      </c>
    </row>
    <row r="4333" spans="1:16" x14ac:dyDescent="0.25">
      <c r="A4333" t="s">
        <v>400</v>
      </c>
      <c r="B4333" t="s">
        <v>669</v>
      </c>
      <c r="C4333" t="s">
        <v>669</v>
      </c>
      <c r="D4333" t="s">
        <v>669</v>
      </c>
      <c r="E4333" t="s">
        <v>910</v>
      </c>
      <c r="F4333" t="s">
        <v>910</v>
      </c>
      <c r="P4333">
        <f t="shared" si="67"/>
        <v>0</v>
      </c>
    </row>
    <row r="4334" spans="1:16" x14ac:dyDescent="0.25">
      <c r="A4334" t="s">
        <v>401</v>
      </c>
      <c r="B4334" t="s">
        <v>669</v>
      </c>
      <c r="C4334" t="s">
        <v>669</v>
      </c>
      <c r="D4334" t="s">
        <v>669</v>
      </c>
      <c r="E4334">
        <v>28</v>
      </c>
      <c r="F4334">
        <v>25</v>
      </c>
      <c r="G4334" t="s">
        <v>688</v>
      </c>
      <c r="H4334" t="s">
        <v>691</v>
      </c>
      <c r="P4334">
        <f t="shared" si="67"/>
        <v>0</v>
      </c>
    </row>
    <row r="4335" spans="1:16" x14ac:dyDescent="0.25">
      <c r="A4335" t="s">
        <v>403</v>
      </c>
      <c r="B4335" t="s">
        <v>669</v>
      </c>
      <c r="C4335" t="s">
        <v>669</v>
      </c>
      <c r="D4335" t="s">
        <v>669</v>
      </c>
      <c r="E4335">
        <v>5</v>
      </c>
      <c r="F4335">
        <v>5</v>
      </c>
      <c r="G4335" t="s">
        <v>684</v>
      </c>
      <c r="H4335" t="s">
        <v>684</v>
      </c>
      <c r="P4335">
        <f t="shared" si="67"/>
        <v>0</v>
      </c>
    </row>
    <row r="4336" spans="1:16" x14ac:dyDescent="0.25">
      <c r="A4336" t="s">
        <v>404</v>
      </c>
      <c r="B4336" t="s">
        <v>669</v>
      </c>
      <c r="C4336" t="s">
        <v>669</v>
      </c>
      <c r="D4336" t="s">
        <v>669</v>
      </c>
      <c r="E4336">
        <v>5</v>
      </c>
      <c r="F4336">
        <v>5</v>
      </c>
      <c r="G4336" t="s">
        <v>684</v>
      </c>
      <c r="H4336" t="s">
        <v>684</v>
      </c>
      <c r="P4336">
        <f t="shared" si="67"/>
        <v>0</v>
      </c>
    </row>
    <row r="4337" spans="1:16" x14ac:dyDescent="0.25">
      <c r="A4337" t="s">
        <v>669</v>
      </c>
      <c r="B4337">
        <v>15741</v>
      </c>
      <c r="C4337" t="s">
        <v>669</v>
      </c>
      <c r="D4337" t="s">
        <v>865</v>
      </c>
      <c r="E4337" t="s">
        <v>910</v>
      </c>
      <c r="F4337">
        <v>8</v>
      </c>
      <c r="H4337" t="s">
        <v>687</v>
      </c>
      <c r="K4337">
        <v>1.5741000000000002E-2</v>
      </c>
      <c r="L4337" t="s">
        <v>303</v>
      </c>
      <c r="N4337">
        <v>15741</v>
      </c>
      <c r="O4337" t="s">
        <v>931</v>
      </c>
      <c r="P4337">
        <f t="shared" si="67"/>
        <v>0</v>
      </c>
    </row>
    <row r="4338" spans="1:16" x14ac:dyDescent="0.25">
      <c r="A4338" t="s">
        <v>406</v>
      </c>
      <c r="B4338" t="s">
        <v>669</v>
      </c>
      <c r="C4338" t="s">
        <v>669</v>
      </c>
      <c r="D4338" t="s">
        <v>669</v>
      </c>
      <c r="E4338">
        <v>164</v>
      </c>
      <c r="F4338">
        <v>160</v>
      </c>
      <c r="G4338" t="s">
        <v>746</v>
      </c>
      <c r="H4338" t="s">
        <v>757</v>
      </c>
      <c r="P4338">
        <f t="shared" si="67"/>
        <v>0</v>
      </c>
    </row>
    <row r="4339" spans="1:16" x14ac:dyDescent="0.25">
      <c r="A4339" t="s">
        <v>407</v>
      </c>
      <c r="B4339" t="s">
        <v>669</v>
      </c>
      <c r="C4339" t="s">
        <v>669</v>
      </c>
      <c r="D4339" t="s">
        <v>669</v>
      </c>
      <c r="E4339">
        <v>174</v>
      </c>
      <c r="F4339">
        <v>174</v>
      </c>
      <c r="G4339" t="s">
        <v>745</v>
      </c>
      <c r="H4339" t="s">
        <v>745</v>
      </c>
      <c r="P4339">
        <f t="shared" si="67"/>
        <v>0</v>
      </c>
    </row>
    <row r="4340" spans="1:16" x14ac:dyDescent="0.25">
      <c r="A4340" t="s">
        <v>408</v>
      </c>
      <c r="B4340" t="s">
        <v>669</v>
      </c>
      <c r="C4340" t="s">
        <v>669</v>
      </c>
      <c r="D4340" t="s">
        <v>669</v>
      </c>
      <c r="E4340">
        <v>13</v>
      </c>
      <c r="F4340">
        <v>13</v>
      </c>
      <c r="G4340" t="s">
        <v>686</v>
      </c>
      <c r="H4340" t="s">
        <v>686</v>
      </c>
      <c r="P4340">
        <f t="shared" si="67"/>
        <v>0</v>
      </c>
    </row>
    <row r="4341" spans="1:16" x14ac:dyDescent="0.25">
      <c r="A4341" t="s">
        <v>409</v>
      </c>
      <c r="B4341" t="s">
        <v>669</v>
      </c>
      <c r="C4341" t="s">
        <v>669</v>
      </c>
      <c r="D4341" t="s">
        <v>669</v>
      </c>
      <c r="E4341">
        <v>17</v>
      </c>
      <c r="F4341">
        <v>17</v>
      </c>
      <c r="G4341" t="s">
        <v>689</v>
      </c>
      <c r="H4341" t="s">
        <v>689</v>
      </c>
      <c r="P4341">
        <f t="shared" si="67"/>
        <v>0</v>
      </c>
    </row>
    <row r="4342" spans="1:16" x14ac:dyDescent="0.25">
      <c r="A4342" t="s">
        <v>410</v>
      </c>
      <c r="B4342" t="s">
        <v>669</v>
      </c>
      <c r="C4342" t="s">
        <v>669</v>
      </c>
      <c r="D4342" t="s">
        <v>669</v>
      </c>
      <c r="E4342">
        <v>23</v>
      </c>
      <c r="F4342">
        <v>22</v>
      </c>
      <c r="G4342" t="s">
        <v>676</v>
      </c>
      <c r="H4342" t="s">
        <v>755</v>
      </c>
      <c r="P4342">
        <f t="shared" si="67"/>
        <v>0</v>
      </c>
    </row>
    <row r="4343" spans="1:16" x14ac:dyDescent="0.25">
      <c r="A4343" t="s">
        <v>411</v>
      </c>
      <c r="B4343" t="s">
        <v>669</v>
      </c>
      <c r="C4343" t="s">
        <v>669</v>
      </c>
      <c r="D4343" t="s">
        <v>669</v>
      </c>
      <c r="E4343">
        <v>17</v>
      </c>
      <c r="F4343">
        <v>14</v>
      </c>
      <c r="G4343" t="s">
        <v>689</v>
      </c>
      <c r="H4343" t="s">
        <v>690</v>
      </c>
      <c r="P4343">
        <f t="shared" si="67"/>
        <v>0</v>
      </c>
    </row>
    <row r="4344" spans="1:16" x14ac:dyDescent="0.25">
      <c r="A4344" t="s">
        <v>412</v>
      </c>
      <c r="B4344" t="s">
        <v>669</v>
      </c>
      <c r="C4344" t="s">
        <v>669</v>
      </c>
      <c r="D4344" t="s">
        <v>669</v>
      </c>
      <c r="E4344">
        <v>8</v>
      </c>
      <c r="F4344">
        <v>8</v>
      </c>
      <c r="G4344" t="s">
        <v>687</v>
      </c>
      <c r="H4344" t="s">
        <v>687</v>
      </c>
      <c r="P4344">
        <f t="shared" si="67"/>
        <v>0</v>
      </c>
    </row>
    <row r="4345" spans="1:16" x14ac:dyDescent="0.25">
      <c r="A4345" t="s">
        <v>413</v>
      </c>
      <c r="B4345" t="s">
        <v>669</v>
      </c>
      <c r="C4345" t="s">
        <v>669</v>
      </c>
      <c r="D4345" t="s">
        <v>669</v>
      </c>
      <c r="E4345">
        <v>14</v>
      </c>
      <c r="F4345">
        <v>14</v>
      </c>
      <c r="G4345" t="s">
        <v>690</v>
      </c>
      <c r="H4345" t="s">
        <v>690</v>
      </c>
      <c r="P4345">
        <f t="shared" si="67"/>
        <v>0</v>
      </c>
    </row>
    <row r="4346" spans="1:16" x14ac:dyDescent="0.25">
      <c r="A4346" t="s">
        <v>414</v>
      </c>
      <c r="B4346" t="s">
        <v>669</v>
      </c>
      <c r="C4346" t="s">
        <v>669</v>
      </c>
      <c r="D4346" t="s">
        <v>669</v>
      </c>
      <c r="E4346">
        <v>14</v>
      </c>
      <c r="F4346">
        <v>8</v>
      </c>
      <c r="G4346" t="s">
        <v>690</v>
      </c>
      <c r="H4346" t="s">
        <v>687</v>
      </c>
      <c r="P4346">
        <f t="shared" si="67"/>
        <v>0</v>
      </c>
    </row>
    <row r="4347" spans="1:16" x14ac:dyDescent="0.25">
      <c r="A4347" t="s">
        <v>415</v>
      </c>
      <c r="B4347" t="s">
        <v>669</v>
      </c>
      <c r="C4347" t="s">
        <v>669</v>
      </c>
      <c r="D4347" t="s">
        <v>669</v>
      </c>
      <c r="E4347">
        <v>160</v>
      </c>
      <c r="F4347">
        <v>160</v>
      </c>
      <c r="G4347" t="s">
        <v>757</v>
      </c>
      <c r="H4347" t="s">
        <v>757</v>
      </c>
      <c r="P4347">
        <f t="shared" si="67"/>
        <v>0</v>
      </c>
    </row>
    <row r="4348" spans="1:16" x14ac:dyDescent="0.25">
      <c r="A4348" t="s">
        <v>416</v>
      </c>
      <c r="B4348" t="s">
        <v>669</v>
      </c>
      <c r="C4348" t="s">
        <v>669</v>
      </c>
      <c r="D4348" t="s">
        <v>669</v>
      </c>
      <c r="E4348">
        <v>160</v>
      </c>
      <c r="F4348">
        <v>143</v>
      </c>
      <c r="G4348" t="s">
        <v>757</v>
      </c>
      <c r="H4348" t="s">
        <v>718</v>
      </c>
      <c r="P4348">
        <f t="shared" si="67"/>
        <v>0</v>
      </c>
    </row>
    <row r="4349" spans="1:16" x14ac:dyDescent="0.25">
      <c r="A4349" t="s">
        <v>417</v>
      </c>
      <c r="B4349" t="s">
        <v>669</v>
      </c>
      <c r="C4349" t="s">
        <v>669</v>
      </c>
      <c r="D4349" t="s">
        <v>669</v>
      </c>
      <c r="E4349">
        <v>160</v>
      </c>
      <c r="F4349">
        <v>79</v>
      </c>
      <c r="G4349" t="s">
        <v>757</v>
      </c>
      <c r="H4349" t="s">
        <v>720</v>
      </c>
      <c r="P4349">
        <f t="shared" si="67"/>
        <v>0</v>
      </c>
    </row>
    <row r="4350" spans="1:16" x14ac:dyDescent="0.25">
      <c r="A4350" t="s">
        <v>418</v>
      </c>
      <c r="B4350" t="s">
        <v>669</v>
      </c>
      <c r="C4350" t="s">
        <v>669</v>
      </c>
      <c r="D4350" t="s">
        <v>669</v>
      </c>
      <c r="E4350">
        <v>71</v>
      </c>
      <c r="F4350">
        <v>70</v>
      </c>
      <c r="G4350" t="s">
        <v>719</v>
      </c>
      <c r="H4350" t="s">
        <v>754</v>
      </c>
      <c r="P4350">
        <f t="shared" si="67"/>
        <v>0</v>
      </c>
    </row>
    <row r="4351" spans="1:16" x14ac:dyDescent="0.25">
      <c r="A4351" t="s">
        <v>419</v>
      </c>
      <c r="B4351" t="s">
        <v>669</v>
      </c>
      <c r="C4351" t="s">
        <v>669</v>
      </c>
      <c r="D4351" t="s">
        <v>669</v>
      </c>
      <c r="E4351" t="s">
        <v>910</v>
      </c>
      <c r="F4351" t="s">
        <v>910</v>
      </c>
      <c r="P4351">
        <f t="shared" si="67"/>
        <v>0</v>
      </c>
    </row>
    <row r="4352" spans="1:16" x14ac:dyDescent="0.25">
      <c r="A4352" t="s">
        <v>420</v>
      </c>
      <c r="B4352" t="s">
        <v>669</v>
      </c>
      <c r="C4352" t="s">
        <v>669</v>
      </c>
      <c r="D4352" t="s">
        <v>669</v>
      </c>
      <c r="E4352">
        <v>25</v>
      </c>
      <c r="F4352">
        <v>25</v>
      </c>
      <c r="G4352" t="s">
        <v>691</v>
      </c>
      <c r="H4352" t="s">
        <v>691</v>
      </c>
      <c r="P4352">
        <f t="shared" si="67"/>
        <v>0</v>
      </c>
    </row>
    <row r="4353" spans="1:16" x14ac:dyDescent="0.25">
      <c r="A4353" t="s">
        <v>421</v>
      </c>
      <c r="B4353" t="s">
        <v>669</v>
      </c>
      <c r="C4353" t="s">
        <v>669</v>
      </c>
      <c r="D4353" t="s">
        <v>669</v>
      </c>
      <c r="E4353">
        <v>25</v>
      </c>
      <c r="F4353">
        <v>17</v>
      </c>
      <c r="G4353" t="s">
        <v>691</v>
      </c>
      <c r="H4353" t="s">
        <v>689</v>
      </c>
      <c r="P4353">
        <f t="shared" si="67"/>
        <v>0</v>
      </c>
    </row>
    <row r="4354" spans="1:16" x14ac:dyDescent="0.25">
      <c r="A4354" t="s">
        <v>422</v>
      </c>
      <c r="B4354" t="s">
        <v>669</v>
      </c>
      <c r="C4354" t="s">
        <v>669</v>
      </c>
      <c r="D4354" t="s">
        <v>669</v>
      </c>
      <c r="E4354">
        <v>25</v>
      </c>
      <c r="F4354">
        <v>17</v>
      </c>
      <c r="G4354" t="s">
        <v>691</v>
      </c>
      <c r="H4354" t="s">
        <v>689</v>
      </c>
      <c r="P4354">
        <f t="shared" si="67"/>
        <v>0</v>
      </c>
    </row>
    <row r="4355" spans="1:16" x14ac:dyDescent="0.25">
      <c r="A4355" t="s">
        <v>423</v>
      </c>
      <c r="B4355" t="s">
        <v>669</v>
      </c>
      <c r="C4355" t="s">
        <v>669</v>
      </c>
      <c r="D4355" t="s">
        <v>669</v>
      </c>
      <c r="E4355">
        <v>25</v>
      </c>
      <c r="F4355">
        <v>25</v>
      </c>
      <c r="G4355" t="s">
        <v>691</v>
      </c>
      <c r="H4355" t="s">
        <v>691</v>
      </c>
      <c r="P4355">
        <f t="shared" ref="P4355:P4418" si="68">LEN(I4355)</f>
        <v>0</v>
      </c>
    </row>
    <row r="4356" spans="1:16" x14ac:dyDescent="0.25">
      <c r="A4356" t="s">
        <v>424</v>
      </c>
      <c r="B4356" t="s">
        <v>669</v>
      </c>
      <c r="C4356" t="s">
        <v>669</v>
      </c>
      <c r="D4356" t="s">
        <v>669</v>
      </c>
      <c r="E4356">
        <v>25</v>
      </c>
      <c r="F4356">
        <v>25</v>
      </c>
      <c r="G4356" t="s">
        <v>691</v>
      </c>
      <c r="H4356" t="s">
        <v>691</v>
      </c>
      <c r="P4356">
        <f t="shared" si="68"/>
        <v>0</v>
      </c>
    </row>
    <row r="4357" spans="1:16" x14ac:dyDescent="0.25">
      <c r="A4357" t="s">
        <v>425</v>
      </c>
      <c r="B4357" t="s">
        <v>669</v>
      </c>
      <c r="C4357" t="s">
        <v>669</v>
      </c>
      <c r="D4357" t="s">
        <v>669</v>
      </c>
      <c r="E4357">
        <v>25</v>
      </c>
      <c r="F4357">
        <v>25</v>
      </c>
      <c r="G4357" t="s">
        <v>691</v>
      </c>
      <c r="H4357" t="s">
        <v>691</v>
      </c>
      <c r="P4357">
        <f t="shared" si="68"/>
        <v>0</v>
      </c>
    </row>
    <row r="4358" spans="1:16" x14ac:dyDescent="0.25">
      <c r="A4358" t="s">
        <v>426</v>
      </c>
      <c r="B4358" t="s">
        <v>669</v>
      </c>
      <c r="C4358">
        <v>592.6</v>
      </c>
      <c r="D4358" t="s">
        <v>669</v>
      </c>
      <c r="E4358">
        <v>132</v>
      </c>
      <c r="F4358">
        <v>132</v>
      </c>
      <c r="G4358" t="s">
        <v>738</v>
      </c>
      <c r="H4358" t="s">
        <v>738</v>
      </c>
      <c r="J4358">
        <v>592.6</v>
      </c>
      <c r="L4358" t="s">
        <v>303</v>
      </c>
      <c r="M4358">
        <v>592.6</v>
      </c>
      <c r="P4358">
        <f t="shared" si="68"/>
        <v>0</v>
      </c>
    </row>
    <row r="4359" spans="1:16" x14ac:dyDescent="0.25">
      <c r="A4359" t="s">
        <v>426</v>
      </c>
      <c r="B4359" t="s">
        <v>669</v>
      </c>
      <c r="C4359" t="s">
        <v>669</v>
      </c>
      <c r="D4359" t="s">
        <v>669</v>
      </c>
      <c r="E4359">
        <v>132</v>
      </c>
      <c r="F4359">
        <v>132</v>
      </c>
      <c r="G4359" t="s">
        <v>738</v>
      </c>
      <c r="H4359" t="s">
        <v>738</v>
      </c>
      <c r="P4359">
        <f t="shared" si="68"/>
        <v>0</v>
      </c>
    </row>
    <row r="4360" spans="1:16" x14ac:dyDescent="0.25">
      <c r="A4360" t="s">
        <v>889</v>
      </c>
      <c r="B4360" t="s">
        <v>669</v>
      </c>
      <c r="C4360" t="s">
        <v>669</v>
      </c>
      <c r="D4360" t="s">
        <v>669</v>
      </c>
      <c r="E4360">
        <v>132</v>
      </c>
      <c r="F4360">
        <v>120</v>
      </c>
      <c r="G4360" t="s">
        <v>738</v>
      </c>
      <c r="H4360" t="s">
        <v>740</v>
      </c>
      <c r="I4360" t="s">
        <v>799</v>
      </c>
      <c r="P4360">
        <f t="shared" si="68"/>
        <v>9</v>
      </c>
    </row>
    <row r="4361" spans="1:16" x14ac:dyDescent="0.25">
      <c r="A4361" t="s">
        <v>427</v>
      </c>
      <c r="B4361" t="s">
        <v>669</v>
      </c>
      <c r="C4361" t="s">
        <v>669</v>
      </c>
      <c r="D4361" t="s">
        <v>669</v>
      </c>
      <c r="E4361">
        <v>132</v>
      </c>
      <c r="F4361">
        <v>132</v>
      </c>
      <c r="G4361" t="s">
        <v>738</v>
      </c>
      <c r="H4361" t="s">
        <v>738</v>
      </c>
      <c r="P4361">
        <f t="shared" si="68"/>
        <v>0</v>
      </c>
    </row>
    <row r="4362" spans="1:16" x14ac:dyDescent="0.25">
      <c r="A4362" t="s">
        <v>428</v>
      </c>
      <c r="B4362" t="s">
        <v>669</v>
      </c>
      <c r="C4362" t="s">
        <v>669</v>
      </c>
      <c r="D4362" t="s">
        <v>669</v>
      </c>
      <c r="E4362">
        <v>132</v>
      </c>
      <c r="F4362">
        <v>132</v>
      </c>
      <c r="G4362" t="s">
        <v>738</v>
      </c>
      <c r="H4362" t="s">
        <v>738</v>
      </c>
      <c r="I4362" t="s">
        <v>799</v>
      </c>
      <c r="P4362">
        <f t="shared" si="68"/>
        <v>9</v>
      </c>
    </row>
    <row r="4363" spans="1:16" x14ac:dyDescent="0.25">
      <c r="A4363" t="s">
        <v>429</v>
      </c>
      <c r="B4363" t="s">
        <v>669</v>
      </c>
      <c r="C4363" t="s">
        <v>669</v>
      </c>
      <c r="D4363" t="s">
        <v>669</v>
      </c>
      <c r="E4363">
        <v>140</v>
      </c>
      <c r="F4363">
        <v>140</v>
      </c>
      <c r="G4363" t="s">
        <v>792</v>
      </c>
      <c r="H4363" t="s">
        <v>792</v>
      </c>
      <c r="P4363">
        <f t="shared" si="68"/>
        <v>0</v>
      </c>
    </row>
    <row r="4364" spans="1:16" x14ac:dyDescent="0.25">
      <c r="A4364" t="s">
        <v>430</v>
      </c>
      <c r="B4364" t="s">
        <v>669</v>
      </c>
      <c r="C4364" t="s">
        <v>669</v>
      </c>
      <c r="D4364" t="s">
        <v>669</v>
      </c>
      <c r="E4364">
        <v>160</v>
      </c>
      <c r="F4364">
        <v>140</v>
      </c>
      <c r="G4364" t="s">
        <v>757</v>
      </c>
      <c r="H4364" t="s">
        <v>792</v>
      </c>
      <c r="P4364">
        <f t="shared" si="68"/>
        <v>0</v>
      </c>
    </row>
    <row r="4365" spans="1:16" x14ac:dyDescent="0.25">
      <c r="A4365" t="s">
        <v>431</v>
      </c>
      <c r="B4365" t="s">
        <v>669</v>
      </c>
      <c r="C4365" t="s">
        <v>669</v>
      </c>
      <c r="D4365" t="s">
        <v>669</v>
      </c>
      <c r="E4365">
        <v>137</v>
      </c>
      <c r="F4365">
        <v>137</v>
      </c>
      <c r="G4365" t="s">
        <v>815</v>
      </c>
      <c r="H4365" t="s">
        <v>815</v>
      </c>
      <c r="P4365">
        <f t="shared" si="68"/>
        <v>0</v>
      </c>
    </row>
    <row r="4366" spans="1:16" x14ac:dyDescent="0.25">
      <c r="A4366" t="s">
        <v>432</v>
      </c>
      <c r="B4366" t="s">
        <v>669</v>
      </c>
      <c r="C4366" t="s">
        <v>669</v>
      </c>
      <c r="D4366" t="s">
        <v>669</v>
      </c>
      <c r="E4366">
        <v>133</v>
      </c>
      <c r="F4366">
        <v>133</v>
      </c>
      <c r="G4366" t="s">
        <v>816</v>
      </c>
      <c r="H4366" t="s">
        <v>816</v>
      </c>
      <c r="P4366">
        <f t="shared" si="68"/>
        <v>0</v>
      </c>
    </row>
    <row r="4367" spans="1:16" x14ac:dyDescent="0.25">
      <c r="A4367" t="s">
        <v>433</v>
      </c>
      <c r="B4367" t="s">
        <v>669</v>
      </c>
      <c r="C4367" t="s">
        <v>669</v>
      </c>
      <c r="D4367" t="s">
        <v>669</v>
      </c>
      <c r="E4367">
        <v>155</v>
      </c>
      <c r="F4367">
        <v>133</v>
      </c>
      <c r="G4367" t="s">
        <v>760</v>
      </c>
      <c r="H4367" t="s">
        <v>816</v>
      </c>
      <c r="P4367">
        <f t="shared" si="68"/>
        <v>0</v>
      </c>
    </row>
    <row r="4368" spans="1:16" x14ac:dyDescent="0.25">
      <c r="A4368" t="s">
        <v>434</v>
      </c>
      <c r="B4368" t="s">
        <v>669</v>
      </c>
      <c r="C4368" t="s">
        <v>669</v>
      </c>
      <c r="D4368" t="s">
        <v>669</v>
      </c>
      <c r="E4368">
        <v>132</v>
      </c>
      <c r="F4368">
        <v>132</v>
      </c>
      <c r="G4368" t="s">
        <v>738</v>
      </c>
      <c r="H4368" t="s">
        <v>738</v>
      </c>
      <c r="P4368">
        <f t="shared" si="68"/>
        <v>0</v>
      </c>
    </row>
    <row r="4369" spans="1:16" x14ac:dyDescent="0.25">
      <c r="A4369" t="s">
        <v>435</v>
      </c>
      <c r="B4369" t="s">
        <v>669</v>
      </c>
      <c r="C4369" t="s">
        <v>669</v>
      </c>
      <c r="D4369" t="s">
        <v>669</v>
      </c>
      <c r="E4369">
        <v>132</v>
      </c>
      <c r="F4369">
        <v>120</v>
      </c>
      <c r="G4369" t="s">
        <v>738</v>
      </c>
      <c r="H4369" t="s">
        <v>740</v>
      </c>
      <c r="P4369">
        <f t="shared" si="68"/>
        <v>0</v>
      </c>
    </row>
    <row r="4370" spans="1:16" x14ac:dyDescent="0.25">
      <c r="A4370" t="s">
        <v>437</v>
      </c>
      <c r="B4370" t="s">
        <v>669</v>
      </c>
      <c r="C4370" t="s">
        <v>669</v>
      </c>
      <c r="D4370" t="s">
        <v>669</v>
      </c>
      <c r="E4370">
        <v>79</v>
      </c>
      <c r="F4370">
        <v>79</v>
      </c>
      <c r="G4370" t="s">
        <v>720</v>
      </c>
      <c r="H4370" t="s">
        <v>720</v>
      </c>
      <c r="P4370">
        <f t="shared" si="68"/>
        <v>0</v>
      </c>
    </row>
    <row r="4371" spans="1:16" x14ac:dyDescent="0.25">
      <c r="A4371" t="s">
        <v>438</v>
      </c>
      <c r="B4371" t="s">
        <v>669</v>
      </c>
      <c r="C4371" t="s">
        <v>669</v>
      </c>
      <c r="D4371" t="s">
        <v>669</v>
      </c>
      <c r="E4371">
        <v>176</v>
      </c>
      <c r="F4371">
        <v>176</v>
      </c>
      <c r="G4371" t="s">
        <v>947</v>
      </c>
      <c r="H4371" t="s">
        <v>947</v>
      </c>
      <c r="P4371">
        <f t="shared" si="68"/>
        <v>0</v>
      </c>
    </row>
    <row r="4372" spans="1:16" x14ac:dyDescent="0.25">
      <c r="A4372" t="s">
        <v>669</v>
      </c>
      <c r="B4372">
        <v>15827</v>
      </c>
      <c r="C4372" t="s">
        <v>669</v>
      </c>
      <c r="D4372" t="s">
        <v>865</v>
      </c>
      <c r="E4372" t="s">
        <v>910</v>
      </c>
      <c r="F4372">
        <v>8</v>
      </c>
      <c r="H4372" t="s">
        <v>687</v>
      </c>
      <c r="K4372">
        <v>1.5827000000000001E-2</v>
      </c>
      <c r="L4372" t="s">
        <v>303</v>
      </c>
      <c r="N4372">
        <v>15827</v>
      </c>
      <c r="O4372" t="s">
        <v>931</v>
      </c>
      <c r="P4372">
        <f t="shared" si="68"/>
        <v>0</v>
      </c>
    </row>
    <row r="4373" spans="1:16" x14ac:dyDescent="0.25">
      <c r="A4373" t="s">
        <v>440</v>
      </c>
      <c r="B4373" t="s">
        <v>669</v>
      </c>
      <c r="C4373" t="s">
        <v>669</v>
      </c>
      <c r="D4373" t="s">
        <v>669</v>
      </c>
      <c r="E4373">
        <v>33</v>
      </c>
      <c r="F4373">
        <v>33</v>
      </c>
      <c r="G4373" t="s">
        <v>698</v>
      </c>
      <c r="H4373" t="s">
        <v>698</v>
      </c>
      <c r="P4373">
        <f t="shared" si="68"/>
        <v>0</v>
      </c>
    </row>
    <row r="4374" spans="1:16" x14ac:dyDescent="0.25">
      <c r="A4374" t="s">
        <v>441</v>
      </c>
      <c r="B4374" t="s">
        <v>669</v>
      </c>
      <c r="C4374" t="s">
        <v>669</v>
      </c>
      <c r="D4374" t="s">
        <v>669</v>
      </c>
      <c r="E4374">
        <v>33</v>
      </c>
      <c r="F4374">
        <v>33</v>
      </c>
      <c r="G4374" t="s">
        <v>698</v>
      </c>
      <c r="H4374" t="s">
        <v>698</v>
      </c>
      <c r="P4374">
        <f t="shared" si="68"/>
        <v>0</v>
      </c>
    </row>
    <row r="4375" spans="1:16" x14ac:dyDescent="0.25">
      <c r="A4375" t="s">
        <v>442</v>
      </c>
      <c r="B4375" t="s">
        <v>669</v>
      </c>
      <c r="C4375" t="s">
        <v>669</v>
      </c>
      <c r="D4375" t="s">
        <v>669</v>
      </c>
      <c r="E4375">
        <v>33</v>
      </c>
      <c r="F4375">
        <v>28</v>
      </c>
      <c r="G4375" t="s">
        <v>698</v>
      </c>
      <c r="H4375" t="s">
        <v>688</v>
      </c>
      <c r="P4375">
        <f t="shared" si="68"/>
        <v>0</v>
      </c>
    </row>
    <row r="4376" spans="1:16" x14ac:dyDescent="0.25">
      <c r="A4376" t="s">
        <v>443</v>
      </c>
      <c r="B4376" t="s">
        <v>669</v>
      </c>
      <c r="C4376" t="s">
        <v>669</v>
      </c>
      <c r="D4376" t="s">
        <v>669</v>
      </c>
      <c r="E4376">
        <v>33</v>
      </c>
      <c r="F4376">
        <v>32</v>
      </c>
      <c r="G4376" t="s">
        <v>698</v>
      </c>
      <c r="H4376" t="s">
        <v>696</v>
      </c>
      <c r="P4376">
        <f t="shared" si="68"/>
        <v>0</v>
      </c>
    </row>
    <row r="4377" spans="1:16" x14ac:dyDescent="0.25">
      <c r="A4377" t="s">
        <v>444</v>
      </c>
      <c r="B4377" t="s">
        <v>669</v>
      </c>
      <c r="C4377" t="s">
        <v>669</v>
      </c>
      <c r="D4377" t="s">
        <v>669</v>
      </c>
      <c r="E4377">
        <v>33</v>
      </c>
      <c r="F4377">
        <v>33</v>
      </c>
      <c r="G4377" t="s">
        <v>698</v>
      </c>
      <c r="H4377" t="s">
        <v>698</v>
      </c>
      <c r="I4377" t="s">
        <v>799</v>
      </c>
      <c r="P4377">
        <f t="shared" si="68"/>
        <v>9</v>
      </c>
    </row>
    <row r="4378" spans="1:16" x14ac:dyDescent="0.25">
      <c r="A4378" t="s">
        <v>445</v>
      </c>
      <c r="B4378" t="s">
        <v>669</v>
      </c>
      <c r="C4378" t="s">
        <v>669</v>
      </c>
      <c r="D4378" t="s">
        <v>669</v>
      </c>
      <c r="E4378">
        <v>33</v>
      </c>
      <c r="F4378">
        <v>33</v>
      </c>
      <c r="G4378" t="s">
        <v>698</v>
      </c>
      <c r="H4378" t="s">
        <v>698</v>
      </c>
      <c r="I4378" t="s">
        <v>799</v>
      </c>
      <c r="P4378">
        <f t="shared" si="68"/>
        <v>9</v>
      </c>
    </row>
    <row r="4379" spans="1:16" x14ac:dyDescent="0.25">
      <c r="A4379" t="s">
        <v>446</v>
      </c>
      <c r="B4379" t="s">
        <v>669</v>
      </c>
      <c r="C4379" t="s">
        <v>669</v>
      </c>
      <c r="D4379" t="s">
        <v>669</v>
      </c>
      <c r="E4379">
        <v>33</v>
      </c>
      <c r="F4379">
        <v>33</v>
      </c>
      <c r="G4379" t="s">
        <v>698</v>
      </c>
      <c r="H4379" t="s">
        <v>698</v>
      </c>
      <c r="I4379" t="s">
        <v>939</v>
      </c>
      <c r="P4379">
        <f t="shared" si="68"/>
        <v>19</v>
      </c>
    </row>
    <row r="4380" spans="1:16" x14ac:dyDescent="0.25">
      <c r="A4380" t="s">
        <v>447</v>
      </c>
      <c r="B4380" t="s">
        <v>669</v>
      </c>
      <c r="C4380" t="s">
        <v>669</v>
      </c>
      <c r="D4380" t="s">
        <v>669</v>
      </c>
      <c r="E4380">
        <v>33</v>
      </c>
      <c r="F4380">
        <v>28</v>
      </c>
      <c r="G4380" t="s">
        <v>698</v>
      </c>
      <c r="H4380" t="s">
        <v>688</v>
      </c>
      <c r="P4380">
        <f t="shared" si="68"/>
        <v>0</v>
      </c>
    </row>
    <row r="4381" spans="1:16" x14ac:dyDescent="0.25">
      <c r="A4381" t="s">
        <v>448</v>
      </c>
      <c r="B4381" t="s">
        <v>669</v>
      </c>
      <c r="C4381" t="s">
        <v>669</v>
      </c>
      <c r="D4381" t="s">
        <v>669</v>
      </c>
      <c r="E4381">
        <v>24</v>
      </c>
      <c r="F4381">
        <v>24</v>
      </c>
      <c r="G4381" t="s">
        <v>692</v>
      </c>
      <c r="H4381" t="s">
        <v>692</v>
      </c>
      <c r="P4381">
        <f t="shared" si="68"/>
        <v>0</v>
      </c>
    </row>
    <row r="4382" spans="1:16" x14ac:dyDescent="0.25">
      <c r="A4382" t="s">
        <v>449</v>
      </c>
      <c r="B4382" t="s">
        <v>669</v>
      </c>
      <c r="C4382" t="s">
        <v>669</v>
      </c>
      <c r="D4382" t="s">
        <v>669</v>
      </c>
      <c r="E4382">
        <v>25</v>
      </c>
      <c r="F4382">
        <v>25</v>
      </c>
      <c r="G4382" t="s">
        <v>691</v>
      </c>
      <c r="H4382" t="s">
        <v>691</v>
      </c>
      <c r="I4382" t="s">
        <v>799</v>
      </c>
      <c r="P4382">
        <f t="shared" si="68"/>
        <v>9</v>
      </c>
    </row>
    <row r="4383" spans="1:16" x14ac:dyDescent="0.25">
      <c r="A4383" t="s">
        <v>450</v>
      </c>
      <c r="B4383" t="s">
        <v>669</v>
      </c>
      <c r="C4383" t="s">
        <v>669</v>
      </c>
      <c r="D4383" t="s">
        <v>669</v>
      </c>
      <c r="E4383">
        <v>28</v>
      </c>
      <c r="F4383">
        <v>28</v>
      </c>
      <c r="G4383" t="s">
        <v>688</v>
      </c>
      <c r="H4383" t="s">
        <v>688</v>
      </c>
      <c r="P4383">
        <f t="shared" si="68"/>
        <v>0</v>
      </c>
    </row>
    <row r="4384" spans="1:16" x14ac:dyDescent="0.25">
      <c r="A4384" t="s">
        <v>451</v>
      </c>
      <c r="B4384" t="s">
        <v>669</v>
      </c>
      <c r="C4384" t="s">
        <v>669</v>
      </c>
      <c r="D4384" t="s">
        <v>669</v>
      </c>
      <c r="E4384">
        <v>32</v>
      </c>
      <c r="F4384">
        <v>32</v>
      </c>
      <c r="G4384" t="s">
        <v>696</v>
      </c>
      <c r="H4384" t="s">
        <v>696</v>
      </c>
      <c r="P4384">
        <f t="shared" si="68"/>
        <v>0</v>
      </c>
    </row>
    <row r="4385" spans="1:16" x14ac:dyDescent="0.25">
      <c r="A4385" t="s">
        <v>452</v>
      </c>
      <c r="B4385" t="s">
        <v>669</v>
      </c>
      <c r="C4385" t="s">
        <v>669</v>
      </c>
      <c r="D4385" t="s">
        <v>669</v>
      </c>
      <c r="E4385">
        <v>25</v>
      </c>
      <c r="F4385">
        <v>25</v>
      </c>
      <c r="G4385" t="s">
        <v>691</v>
      </c>
      <c r="H4385" t="s">
        <v>691</v>
      </c>
      <c r="P4385">
        <f t="shared" si="68"/>
        <v>0</v>
      </c>
    </row>
    <row r="4386" spans="1:16" x14ac:dyDescent="0.25">
      <c r="A4386" t="s">
        <v>453</v>
      </c>
      <c r="B4386" t="s">
        <v>669</v>
      </c>
      <c r="C4386" t="s">
        <v>669</v>
      </c>
      <c r="D4386" t="s">
        <v>669</v>
      </c>
      <c r="E4386">
        <v>25</v>
      </c>
      <c r="F4386">
        <v>25</v>
      </c>
      <c r="G4386" t="s">
        <v>691</v>
      </c>
      <c r="H4386" t="s">
        <v>691</v>
      </c>
      <c r="P4386">
        <f t="shared" si="68"/>
        <v>0</v>
      </c>
    </row>
    <row r="4387" spans="1:16" x14ac:dyDescent="0.25">
      <c r="A4387" t="s">
        <v>454</v>
      </c>
      <c r="B4387" t="s">
        <v>669</v>
      </c>
      <c r="C4387" t="s">
        <v>669</v>
      </c>
      <c r="D4387" t="s">
        <v>669</v>
      </c>
      <c r="E4387">
        <v>26</v>
      </c>
      <c r="F4387">
        <v>26</v>
      </c>
      <c r="G4387" t="s">
        <v>775</v>
      </c>
      <c r="H4387" t="s">
        <v>775</v>
      </c>
      <c r="P4387">
        <f t="shared" si="68"/>
        <v>0</v>
      </c>
    </row>
    <row r="4388" spans="1:16" x14ac:dyDescent="0.25">
      <c r="A4388" t="s">
        <v>455</v>
      </c>
      <c r="B4388" t="s">
        <v>669</v>
      </c>
      <c r="C4388" t="s">
        <v>669</v>
      </c>
      <c r="D4388" t="s">
        <v>669</v>
      </c>
      <c r="E4388">
        <v>25</v>
      </c>
      <c r="F4388">
        <v>17</v>
      </c>
      <c r="G4388" t="s">
        <v>691</v>
      </c>
      <c r="H4388" t="s">
        <v>689</v>
      </c>
      <c r="P4388">
        <f t="shared" si="68"/>
        <v>0</v>
      </c>
    </row>
    <row r="4389" spans="1:16" x14ac:dyDescent="0.25">
      <c r="A4389" t="s">
        <v>456</v>
      </c>
      <c r="B4389" t="s">
        <v>669</v>
      </c>
      <c r="C4389" t="s">
        <v>669</v>
      </c>
      <c r="D4389" t="s">
        <v>669</v>
      </c>
      <c r="E4389">
        <v>33</v>
      </c>
      <c r="F4389">
        <v>33</v>
      </c>
      <c r="G4389" t="s">
        <v>698</v>
      </c>
      <c r="H4389" t="s">
        <v>698</v>
      </c>
      <c r="P4389">
        <f t="shared" si="68"/>
        <v>0</v>
      </c>
    </row>
    <row r="4390" spans="1:16" x14ac:dyDescent="0.25">
      <c r="A4390" t="s">
        <v>457</v>
      </c>
      <c r="B4390" t="s">
        <v>669</v>
      </c>
      <c r="C4390" t="s">
        <v>669</v>
      </c>
      <c r="D4390" t="s">
        <v>669</v>
      </c>
      <c r="E4390">
        <v>40</v>
      </c>
      <c r="F4390">
        <v>33</v>
      </c>
      <c r="G4390" t="s">
        <v>707</v>
      </c>
      <c r="H4390" t="s">
        <v>698</v>
      </c>
      <c r="P4390">
        <f t="shared" si="68"/>
        <v>0</v>
      </c>
    </row>
    <row r="4391" spans="1:16" x14ac:dyDescent="0.25">
      <c r="A4391" t="s">
        <v>458</v>
      </c>
      <c r="B4391" t="s">
        <v>669</v>
      </c>
      <c r="C4391" t="s">
        <v>669</v>
      </c>
      <c r="D4391" t="s">
        <v>669</v>
      </c>
      <c r="E4391">
        <v>33</v>
      </c>
      <c r="F4391">
        <v>28</v>
      </c>
      <c r="G4391" t="s">
        <v>698</v>
      </c>
      <c r="H4391" t="s">
        <v>688</v>
      </c>
      <c r="P4391">
        <f t="shared" si="68"/>
        <v>0</v>
      </c>
    </row>
    <row r="4392" spans="1:16" x14ac:dyDescent="0.25">
      <c r="A4392" t="s">
        <v>459</v>
      </c>
      <c r="B4392" t="s">
        <v>669</v>
      </c>
      <c r="C4392" t="s">
        <v>669</v>
      </c>
      <c r="D4392" t="s">
        <v>669</v>
      </c>
      <c r="E4392">
        <v>168</v>
      </c>
      <c r="F4392">
        <v>168</v>
      </c>
      <c r="G4392" t="s">
        <v>759</v>
      </c>
      <c r="H4392" t="s">
        <v>759</v>
      </c>
      <c r="P4392">
        <f t="shared" si="68"/>
        <v>0</v>
      </c>
    </row>
    <row r="4393" spans="1:16" x14ac:dyDescent="0.25">
      <c r="A4393" t="s">
        <v>460</v>
      </c>
      <c r="B4393" t="s">
        <v>669</v>
      </c>
      <c r="C4393" t="s">
        <v>669</v>
      </c>
      <c r="D4393" t="s">
        <v>669</v>
      </c>
      <c r="E4393">
        <v>79</v>
      </c>
      <c r="F4393">
        <v>79</v>
      </c>
      <c r="G4393" t="s">
        <v>720</v>
      </c>
      <c r="H4393" t="s">
        <v>720</v>
      </c>
      <c r="P4393">
        <f t="shared" si="68"/>
        <v>0</v>
      </c>
    </row>
    <row r="4394" spans="1:16" x14ac:dyDescent="0.25">
      <c r="A4394" t="s">
        <v>461</v>
      </c>
      <c r="B4394" t="s">
        <v>669</v>
      </c>
      <c r="C4394" t="s">
        <v>669</v>
      </c>
      <c r="D4394" t="s">
        <v>669</v>
      </c>
      <c r="E4394">
        <v>79</v>
      </c>
      <c r="F4394">
        <v>79</v>
      </c>
      <c r="G4394" t="s">
        <v>720</v>
      </c>
      <c r="H4394" t="s">
        <v>720</v>
      </c>
      <c r="P4394">
        <f t="shared" si="68"/>
        <v>0</v>
      </c>
    </row>
    <row r="4395" spans="1:16" x14ac:dyDescent="0.25">
      <c r="A4395" t="s">
        <v>462</v>
      </c>
      <c r="B4395" t="s">
        <v>669</v>
      </c>
      <c r="C4395" t="s">
        <v>669</v>
      </c>
      <c r="D4395" t="s">
        <v>669</v>
      </c>
      <c r="E4395">
        <v>143</v>
      </c>
      <c r="F4395">
        <v>143</v>
      </c>
      <c r="G4395" t="s">
        <v>718</v>
      </c>
      <c r="H4395" t="s">
        <v>718</v>
      </c>
      <c r="P4395">
        <f t="shared" si="68"/>
        <v>0</v>
      </c>
    </row>
    <row r="4396" spans="1:16" x14ac:dyDescent="0.25">
      <c r="A4396" t="s">
        <v>463</v>
      </c>
      <c r="B4396" t="s">
        <v>669</v>
      </c>
      <c r="C4396" t="s">
        <v>669</v>
      </c>
      <c r="D4396" t="s">
        <v>669</v>
      </c>
      <c r="E4396">
        <v>80</v>
      </c>
      <c r="F4396">
        <v>80</v>
      </c>
      <c r="G4396" t="s">
        <v>721</v>
      </c>
      <c r="H4396" t="s">
        <v>721</v>
      </c>
      <c r="P4396">
        <f t="shared" si="68"/>
        <v>0</v>
      </c>
    </row>
    <row r="4397" spans="1:16" x14ac:dyDescent="0.25">
      <c r="A4397" t="s">
        <v>487</v>
      </c>
      <c r="B4397" t="s">
        <v>669</v>
      </c>
      <c r="C4397" t="s">
        <v>669</v>
      </c>
      <c r="D4397" t="s">
        <v>669</v>
      </c>
      <c r="E4397">
        <v>94</v>
      </c>
      <c r="F4397">
        <v>94</v>
      </c>
      <c r="G4397" t="s">
        <v>735</v>
      </c>
      <c r="H4397" t="s">
        <v>735</v>
      </c>
      <c r="P4397">
        <f t="shared" si="68"/>
        <v>0</v>
      </c>
    </row>
    <row r="4398" spans="1:16" x14ac:dyDescent="0.25">
      <c r="A4398" t="s">
        <v>488</v>
      </c>
      <c r="B4398" t="s">
        <v>669</v>
      </c>
      <c r="C4398" t="s">
        <v>669</v>
      </c>
      <c r="D4398" t="s">
        <v>669</v>
      </c>
      <c r="E4398">
        <v>96</v>
      </c>
      <c r="F4398">
        <v>96</v>
      </c>
      <c r="G4398" t="s">
        <v>809</v>
      </c>
      <c r="H4398" t="s">
        <v>809</v>
      </c>
      <c r="P4398">
        <f t="shared" si="68"/>
        <v>0</v>
      </c>
    </row>
    <row r="4399" spans="1:16" x14ac:dyDescent="0.25">
      <c r="A4399" t="s">
        <v>489</v>
      </c>
      <c r="B4399" t="s">
        <v>669</v>
      </c>
      <c r="C4399" t="s">
        <v>669</v>
      </c>
      <c r="D4399" t="s">
        <v>669</v>
      </c>
      <c r="E4399">
        <v>94</v>
      </c>
      <c r="F4399">
        <v>94</v>
      </c>
      <c r="G4399" t="s">
        <v>735</v>
      </c>
      <c r="H4399" t="s">
        <v>735</v>
      </c>
      <c r="P4399">
        <f t="shared" si="68"/>
        <v>0</v>
      </c>
    </row>
    <row r="4400" spans="1:16" x14ac:dyDescent="0.25">
      <c r="A4400" t="s">
        <v>888</v>
      </c>
      <c r="B4400" t="s">
        <v>669</v>
      </c>
      <c r="C4400" t="s">
        <v>669</v>
      </c>
      <c r="D4400" t="s">
        <v>669</v>
      </c>
      <c r="E4400">
        <v>94</v>
      </c>
      <c r="F4400">
        <v>94</v>
      </c>
      <c r="G4400" t="s">
        <v>735</v>
      </c>
      <c r="H4400" t="s">
        <v>735</v>
      </c>
      <c r="P4400">
        <f t="shared" si="68"/>
        <v>0</v>
      </c>
    </row>
    <row r="4401" spans="1:16" x14ac:dyDescent="0.25">
      <c r="A4401" t="s">
        <v>490</v>
      </c>
      <c r="B4401" t="s">
        <v>669</v>
      </c>
      <c r="C4401" t="s">
        <v>669</v>
      </c>
      <c r="D4401" t="s">
        <v>669</v>
      </c>
      <c r="E4401">
        <v>100</v>
      </c>
      <c r="F4401">
        <v>100</v>
      </c>
      <c r="G4401" t="s">
        <v>835</v>
      </c>
      <c r="H4401" t="s">
        <v>835</v>
      </c>
      <c r="P4401">
        <f t="shared" si="68"/>
        <v>0</v>
      </c>
    </row>
    <row r="4402" spans="1:16" x14ac:dyDescent="0.25">
      <c r="A4402" t="s">
        <v>491</v>
      </c>
      <c r="B4402" t="s">
        <v>669</v>
      </c>
      <c r="C4402" t="s">
        <v>669</v>
      </c>
      <c r="D4402" t="s">
        <v>669</v>
      </c>
      <c r="E4402">
        <v>94</v>
      </c>
      <c r="F4402">
        <v>80</v>
      </c>
      <c r="G4402" t="s">
        <v>735</v>
      </c>
      <c r="H4402" t="s">
        <v>721</v>
      </c>
      <c r="P4402">
        <f t="shared" si="68"/>
        <v>0</v>
      </c>
    </row>
    <row r="4403" spans="1:16" x14ac:dyDescent="0.25">
      <c r="A4403" t="s">
        <v>492</v>
      </c>
      <c r="B4403" t="s">
        <v>669</v>
      </c>
      <c r="C4403" t="s">
        <v>669</v>
      </c>
      <c r="D4403" t="s">
        <v>669</v>
      </c>
      <c r="E4403">
        <v>98</v>
      </c>
      <c r="F4403">
        <v>98</v>
      </c>
      <c r="G4403" t="s">
        <v>794</v>
      </c>
      <c r="H4403" t="s">
        <v>794</v>
      </c>
      <c r="P4403">
        <f t="shared" si="68"/>
        <v>0</v>
      </c>
    </row>
    <row r="4404" spans="1:16" x14ac:dyDescent="0.25">
      <c r="A4404" t="s">
        <v>493</v>
      </c>
      <c r="B4404" t="s">
        <v>669</v>
      </c>
      <c r="C4404" t="s">
        <v>669</v>
      </c>
      <c r="D4404" t="s">
        <v>669</v>
      </c>
      <c r="E4404">
        <v>100</v>
      </c>
      <c r="F4404">
        <v>98</v>
      </c>
      <c r="G4404" t="s">
        <v>835</v>
      </c>
      <c r="H4404" t="s">
        <v>794</v>
      </c>
      <c r="P4404">
        <f t="shared" si="68"/>
        <v>0</v>
      </c>
    </row>
    <row r="4405" spans="1:16" x14ac:dyDescent="0.25">
      <c r="A4405" t="s">
        <v>494</v>
      </c>
      <c r="B4405" t="s">
        <v>669</v>
      </c>
      <c r="C4405" t="s">
        <v>669</v>
      </c>
      <c r="D4405" t="s">
        <v>669</v>
      </c>
      <c r="E4405">
        <v>100</v>
      </c>
      <c r="F4405">
        <v>100</v>
      </c>
      <c r="G4405" t="s">
        <v>835</v>
      </c>
      <c r="H4405" t="s">
        <v>835</v>
      </c>
      <c r="P4405">
        <f t="shared" si="68"/>
        <v>0</v>
      </c>
    </row>
    <row r="4406" spans="1:16" x14ac:dyDescent="0.25">
      <c r="A4406" t="s">
        <v>495</v>
      </c>
      <c r="B4406" t="s">
        <v>669</v>
      </c>
      <c r="C4406" t="s">
        <v>669</v>
      </c>
      <c r="D4406" t="s">
        <v>669</v>
      </c>
      <c r="E4406">
        <v>102</v>
      </c>
      <c r="F4406">
        <v>94</v>
      </c>
      <c r="G4406" t="s">
        <v>716</v>
      </c>
      <c r="H4406" t="s">
        <v>735</v>
      </c>
      <c r="P4406">
        <f t="shared" si="68"/>
        <v>0</v>
      </c>
    </row>
    <row r="4407" spans="1:16" x14ac:dyDescent="0.25">
      <c r="A4407" t="s">
        <v>496</v>
      </c>
      <c r="B4407" t="s">
        <v>669</v>
      </c>
      <c r="C4407" t="s">
        <v>669</v>
      </c>
      <c r="D4407" t="s">
        <v>669</v>
      </c>
      <c r="E4407">
        <v>80</v>
      </c>
      <c r="F4407">
        <v>80</v>
      </c>
      <c r="G4407" t="s">
        <v>721</v>
      </c>
      <c r="H4407" t="s">
        <v>721</v>
      </c>
      <c r="P4407">
        <f t="shared" si="68"/>
        <v>0</v>
      </c>
    </row>
    <row r="4408" spans="1:16" x14ac:dyDescent="0.25">
      <c r="A4408" t="s">
        <v>497</v>
      </c>
      <c r="B4408" t="s">
        <v>669</v>
      </c>
      <c r="C4408" t="s">
        <v>669</v>
      </c>
      <c r="D4408" t="s">
        <v>669</v>
      </c>
      <c r="E4408">
        <v>80</v>
      </c>
      <c r="F4408">
        <v>53</v>
      </c>
      <c r="G4408" t="s">
        <v>721</v>
      </c>
      <c r="H4408" t="s">
        <v>711</v>
      </c>
      <c r="P4408">
        <f t="shared" si="68"/>
        <v>0</v>
      </c>
    </row>
    <row r="4409" spans="1:16" x14ac:dyDescent="0.25">
      <c r="A4409" t="s">
        <v>498</v>
      </c>
      <c r="B4409" t="s">
        <v>669</v>
      </c>
      <c r="C4409" t="s">
        <v>669</v>
      </c>
      <c r="D4409" t="s">
        <v>669</v>
      </c>
      <c r="E4409">
        <v>81</v>
      </c>
      <c r="F4409">
        <v>81</v>
      </c>
      <c r="G4409" t="s">
        <v>843</v>
      </c>
      <c r="H4409" t="s">
        <v>843</v>
      </c>
      <c r="P4409">
        <f t="shared" si="68"/>
        <v>0</v>
      </c>
    </row>
    <row r="4410" spans="1:16" x14ac:dyDescent="0.25">
      <c r="A4410" t="s">
        <v>499</v>
      </c>
      <c r="B4410" t="s">
        <v>669</v>
      </c>
      <c r="C4410" t="s">
        <v>669</v>
      </c>
      <c r="D4410" t="s">
        <v>669</v>
      </c>
      <c r="E4410">
        <v>68</v>
      </c>
      <c r="F4410">
        <v>80</v>
      </c>
      <c r="G4410" t="s">
        <v>717</v>
      </c>
      <c r="H4410" t="s">
        <v>721</v>
      </c>
      <c r="P4410">
        <f t="shared" si="68"/>
        <v>0</v>
      </c>
    </row>
    <row r="4411" spans="1:16" x14ac:dyDescent="0.25">
      <c r="A4411" t="s">
        <v>500</v>
      </c>
      <c r="B4411" t="s">
        <v>669</v>
      </c>
      <c r="C4411" t="s">
        <v>669</v>
      </c>
      <c r="D4411" t="s">
        <v>669</v>
      </c>
      <c r="E4411">
        <v>80</v>
      </c>
      <c r="F4411">
        <v>80</v>
      </c>
      <c r="G4411" t="s">
        <v>721</v>
      </c>
      <c r="H4411" t="s">
        <v>721</v>
      </c>
      <c r="P4411">
        <f t="shared" si="68"/>
        <v>0</v>
      </c>
    </row>
    <row r="4412" spans="1:16" x14ac:dyDescent="0.25">
      <c r="A4412" t="s">
        <v>501</v>
      </c>
      <c r="B4412" t="s">
        <v>669</v>
      </c>
      <c r="C4412" t="s">
        <v>669</v>
      </c>
      <c r="D4412" t="s">
        <v>669</v>
      </c>
      <c r="E4412">
        <v>80</v>
      </c>
      <c r="F4412">
        <v>80</v>
      </c>
      <c r="G4412" t="s">
        <v>721</v>
      </c>
      <c r="H4412" t="s">
        <v>721</v>
      </c>
      <c r="P4412">
        <f t="shared" si="68"/>
        <v>0</v>
      </c>
    </row>
    <row r="4413" spans="1:16" x14ac:dyDescent="0.25">
      <c r="A4413" t="s">
        <v>502</v>
      </c>
      <c r="B4413" t="s">
        <v>669</v>
      </c>
      <c r="C4413" t="s">
        <v>669</v>
      </c>
      <c r="D4413" t="s">
        <v>669</v>
      </c>
      <c r="E4413">
        <v>80</v>
      </c>
      <c r="F4413">
        <v>80</v>
      </c>
      <c r="G4413" t="s">
        <v>721</v>
      </c>
      <c r="H4413" t="s">
        <v>721</v>
      </c>
      <c r="P4413">
        <f t="shared" si="68"/>
        <v>0</v>
      </c>
    </row>
    <row r="4414" spans="1:16" x14ac:dyDescent="0.25">
      <c r="A4414" t="s">
        <v>503</v>
      </c>
      <c r="B4414" t="s">
        <v>669</v>
      </c>
      <c r="C4414" t="s">
        <v>669</v>
      </c>
      <c r="D4414" t="s">
        <v>669</v>
      </c>
      <c r="E4414">
        <v>80</v>
      </c>
      <c r="F4414">
        <v>53</v>
      </c>
      <c r="G4414" t="s">
        <v>721</v>
      </c>
      <c r="H4414" t="s">
        <v>711</v>
      </c>
      <c r="P4414">
        <f t="shared" si="68"/>
        <v>0</v>
      </c>
    </row>
    <row r="4415" spans="1:16" x14ac:dyDescent="0.25">
      <c r="A4415" t="s">
        <v>504</v>
      </c>
      <c r="B4415" t="s">
        <v>669</v>
      </c>
      <c r="C4415" t="s">
        <v>669</v>
      </c>
      <c r="D4415" t="s">
        <v>669</v>
      </c>
      <c r="E4415">
        <v>94</v>
      </c>
      <c r="F4415">
        <v>80</v>
      </c>
      <c r="G4415" t="s">
        <v>735</v>
      </c>
      <c r="H4415" t="s">
        <v>721</v>
      </c>
      <c r="P4415">
        <f t="shared" si="68"/>
        <v>0</v>
      </c>
    </row>
    <row r="4416" spans="1:16" x14ac:dyDescent="0.25">
      <c r="A4416" t="s">
        <v>505</v>
      </c>
      <c r="B4416" t="s">
        <v>669</v>
      </c>
      <c r="C4416" t="s">
        <v>669</v>
      </c>
      <c r="D4416" t="s">
        <v>669</v>
      </c>
      <c r="E4416">
        <v>80</v>
      </c>
      <c r="F4416">
        <v>68</v>
      </c>
      <c r="G4416" t="s">
        <v>721</v>
      </c>
      <c r="H4416" t="s">
        <v>717</v>
      </c>
      <c r="P4416">
        <f t="shared" si="68"/>
        <v>0</v>
      </c>
    </row>
    <row r="4417" spans="1:16" x14ac:dyDescent="0.25">
      <c r="A4417" t="s">
        <v>506</v>
      </c>
      <c r="B4417" t="s">
        <v>669</v>
      </c>
      <c r="C4417" t="s">
        <v>669</v>
      </c>
      <c r="D4417" t="s">
        <v>669</v>
      </c>
      <c r="E4417">
        <v>85</v>
      </c>
      <c r="F4417">
        <v>85</v>
      </c>
      <c r="G4417" t="s">
        <v>765</v>
      </c>
      <c r="H4417" t="s">
        <v>765</v>
      </c>
      <c r="P4417">
        <f t="shared" si="68"/>
        <v>0</v>
      </c>
    </row>
    <row r="4418" spans="1:16" x14ac:dyDescent="0.25">
      <c r="A4418" t="s">
        <v>507</v>
      </c>
      <c r="B4418" t="s">
        <v>669</v>
      </c>
      <c r="C4418" t="s">
        <v>669</v>
      </c>
      <c r="D4418" t="s">
        <v>669</v>
      </c>
      <c r="E4418">
        <v>82</v>
      </c>
      <c r="F4418">
        <v>82</v>
      </c>
      <c r="G4418" t="s">
        <v>766</v>
      </c>
      <c r="H4418" t="s">
        <v>766</v>
      </c>
      <c r="P4418">
        <f t="shared" si="68"/>
        <v>0</v>
      </c>
    </row>
    <row r="4419" spans="1:16" x14ac:dyDescent="0.25">
      <c r="A4419" t="s">
        <v>508</v>
      </c>
      <c r="B4419" t="s">
        <v>669</v>
      </c>
      <c r="C4419" t="s">
        <v>669</v>
      </c>
      <c r="D4419" t="s">
        <v>669</v>
      </c>
      <c r="E4419">
        <v>88</v>
      </c>
      <c r="F4419">
        <v>88</v>
      </c>
      <c r="G4419" t="s">
        <v>703</v>
      </c>
      <c r="H4419" t="s">
        <v>703</v>
      </c>
      <c r="P4419">
        <f t="shared" ref="P4419:P4482" si="69">LEN(I4419)</f>
        <v>0</v>
      </c>
    </row>
    <row r="4420" spans="1:16" x14ac:dyDescent="0.25">
      <c r="A4420" t="s">
        <v>509</v>
      </c>
      <c r="B4420" t="s">
        <v>669</v>
      </c>
      <c r="C4420" t="s">
        <v>669</v>
      </c>
      <c r="D4420" t="s">
        <v>669</v>
      </c>
      <c r="E4420">
        <v>80</v>
      </c>
      <c r="F4420">
        <v>80</v>
      </c>
      <c r="G4420" t="s">
        <v>721</v>
      </c>
      <c r="H4420" t="s">
        <v>721</v>
      </c>
      <c r="P4420">
        <f t="shared" si="69"/>
        <v>0</v>
      </c>
    </row>
    <row r="4421" spans="1:16" x14ac:dyDescent="0.25">
      <c r="A4421" t="s">
        <v>512</v>
      </c>
      <c r="B4421" t="s">
        <v>669</v>
      </c>
      <c r="C4421" t="s">
        <v>669</v>
      </c>
      <c r="D4421" t="s">
        <v>669</v>
      </c>
      <c r="E4421">
        <v>80</v>
      </c>
      <c r="F4421">
        <v>68</v>
      </c>
      <c r="G4421" t="s">
        <v>721</v>
      </c>
      <c r="H4421" t="s">
        <v>717</v>
      </c>
      <c r="P4421">
        <f t="shared" si="69"/>
        <v>0</v>
      </c>
    </row>
    <row r="4422" spans="1:16" x14ac:dyDescent="0.25">
      <c r="A4422" t="s">
        <v>513</v>
      </c>
      <c r="B4422" t="s">
        <v>669</v>
      </c>
      <c r="C4422" t="s">
        <v>669</v>
      </c>
      <c r="D4422" t="s">
        <v>669</v>
      </c>
      <c r="E4422">
        <v>80</v>
      </c>
      <c r="F4422">
        <v>68</v>
      </c>
      <c r="G4422" t="s">
        <v>721</v>
      </c>
      <c r="H4422" t="s">
        <v>717</v>
      </c>
      <c r="P4422">
        <f t="shared" si="69"/>
        <v>0</v>
      </c>
    </row>
    <row r="4423" spans="1:16" x14ac:dyDescent="0.25">
      <c r="A4423" t="s">
        <v>669</v>
      </c>
      <c r="B4423">
        <v>16142</v>
      </c>
      <c r="C4423" t="s">
        <v>669</v>
      </c>
      <c r="D4423" t="s">
        <v>865</v>
      </c>
      <c r="E4423" t="s">
        <v>910</v>
      </c>
      <c r="F4423">
        <v>8</v>
      </c>
      <c r="H4423" t="s">
        <v>687</v>
      </c>
      <c r="K4423">
        <v>1.6142E-2</v>
      </c>
      <c r="L4423" t="s">
        <v>303</v>
      </c>
      <c r="N4423">
        <v>16142</v>
      </c>
      <c r="O4423" t="s">
        <v>931</v>
      </c>
      <c r="P4423">
        <f t="shared" si="69"/>
        <v>0</v>
      </c>
    </row>
    <row r="4424" spans="1:16" x14ac:dyDescent="0.25">
      <c r="A4424" t="s">
        <v>515</v>
      </c>
      <c r="B4424" t="s">
        <v>669</v>
      </c>
      <c r="C4424" t="s">
        <v>669</v>
      </c>
      <c r="D4424" t="s">
        <v>669</v>
      </c>
      <c r="E4424">
        <v>17</v>
      </c>
      <c r="F4424">
        <v>17</v>
      </c>
      <c r="G4424" t="s">
        <v>689</v>
      </c>
      <c r="H4424" t="s">
        <v>689</v>
      </c>
      <c r="P4424">
        <f t="shared" si="69"/>
        <v>0</v>
      </c>
    </row>
    <row r="4425" spans="1:16" x14ac:dyDescent="0.25">
      <c r="A4425" t="s">
        <v>516</v>
      </c>
      <c r="B4425" t="s">
        <v>669</v>
      </c>
      <c r="C4425" t="s">
        <v>669</v>
      </c>
      <c r="D4425" t="s">
        <v>669</v>
      </c>
      <c r="E4425">
        <v>38</v>
      </c>
      <c r="F4425">
        <v>38</v>
      </c>
      <c r="G4425" t="s">
        <v>704</v>
      </c>
      <c r="H4425" t="s">
        <v>704</v>
      </c>
      <c r="P4425">
        <f t="shared" si="69"/>
        <v>0</v>
      </c>
    </row>
    <row r="4426" spans="1:16" x14ac:dyDescent="0.25">
      <c r="A4426" t="s">
        <v>517</v>
      </c>
      <c r="B4426" t="s">
        <v>669</v>
      </c>
      <c r="C4426" t="s">
        <v>669</v>
      </c>
      <c r="D4426" t="s">
        <v>669</v>
      </c>
      <c r="E4426">
        <v>36</v>
      </c>
      <c r="F4426">
        <v>36</v>
      </c>
      <c r="G4426" t="s">
        <v>714</v>
      </c>
      <c r="H4426" t="s">
        <v>714</v>
      </c>
      <c r="P4426">
        <f t="shared" si="69"/>
        <v>0</v>
      </c>
    </row>
    <row r="4427" spans="1:16" x14ac:dyDescent="0.25">
      <c r="A4427" t="s">
        <v>518</v>
      </c>
      <c r="B4427" t="s">
        <v>669</v>
      </c>
      <c r="C4427" t="s">
        <v>669</v>
      </c>
      <c r="D4427" t="s">
        <v>669</v>
      </c>
      <c r="E4427">
        <v>40</v>
      </c>
      <c r="F4427">
        <v>40</v>
      </c>
      <c r="G4427" t="s">
        <v>707</v>
      </c>
      <c r="H4427" t="s">
        <v>707</v>
      </c>
      <c r="P4427">
        <f t="shared" si="69"/>
        <v>0</v>
      </c>
    </row>
    <row r="4428" spans="1:16" x14ac:dyDescent="0.25">
      <c r="A4428" t="s">
        <v>519</v>
      </c>
      <c r="B4428" t="s">
        <v>669</v>
      </c>
      <c r="C4428" t="s">
        <v>669</v>
      </c>
      <c r="D4428" t="s">
        <v>669</v>
      </c>
      <c r="E4428">
        <v>111</v>
      </c>
      <c r="F4428">
        <v>111</v>
      </c>
      <c r="G4428" t="s">
        <v>724</v>
      </c>
      <c r="H4428" t="s">
        <v>724</v>
      </c>
      <c r="P4428">
        <f t="shared" si="69"/>
        <v>0</v>
      </c>
    </row>
    <row r="4429" spans="1:16" x14ac:dyDescent="0.25">
      <c r="A4429" t="s">
        <v>520</v>
      </c>
      <c r="B4429" t="s">
        <v>669</v>
      </c>
      <c r="C4429" t="s">
        <v>669</v>
      </c>
      <c r="D4429" t="s">
        <v>669</v>
      </c>
      <c r="E4429">
        <v>112</v>
      </c>
      <c r="F4429">
        <v>112</v>
      </c>
      <c r="G4429" t="s">
        <v>726</v>
      </c>
      <c r="H4429" t="s">
        <v>726</v>
      </c>
      <c r="P4429">
        <f t="shared" si="69"/>
        <v>0</v>
      </c>
    </row>
    <row r="4430" spans="1:16" x14ac:dyDescent="0.25">
      <c r="A4430" t="s">
        <v>521</v>
      </c>
      <c r="B4430" t="s">
        <v>669</v>
      </c>
      <c r="C4430" t="s">
        <v>669</v>
      </c>
      <c r="D4430" t="s">
        <v>669</v>
      </c>
      <c r="E4430">
        <v>53</v>
      </c>
      <c r="F4430">
        <v>53</v>
      </c>
      <c r="G4430" t="s">
        <v>711</v>
      </c>
      <c r="H4430" t="s">
        <v>711</v>
      </c>
      <c r="P4430">
        <f t="shared" si="69"/>
        <v>0</v>
      </c>
    </row>
    <row r="4431" spans="1:16" x14ac:dyDescent="0.25">
      <c r="A4431" t="s">
        <v>522</v>
      </c>
      <c r="B4431" t="s">
        <v>669</v>
      </c>
      <c r="C4431" t="s">
        <v>669</v>
      </c>
      <c r="D4431" t="s">
        <v>669</v>
      </c>
      <c r="E4431">
        <v>40</v>
      </c>
      <c r="F4431">
        <v>40</v>
      </c>
      <c r="G4431" t="s">
        <v>707</v>
      </c>
      <c r="H4431" t="s">
        <v>707</v>
      </c>
      <c r="P4431">
        <f t="shared" si="69"/>
        <v>0</v>
      </c>
    </row>
    <row r="4432" spans="1:16" x14ac:dyDescent="0.25">
      <c r="A4432" t="s">
        <v>523</v>
      </c>
      <c r="B4432" t="s">
        <v>669</v>
      </c>
      <c r="C4432" t="s">
        <v>669</v>
      </c>
      <c r="D4432" t="s">
        <v>669</v>
      </c>
      <c r="E4432">
        <v>17</v>
      </c>
      <c r="F4432">
        <v>17</v>
      </c>
      <c r="G4432" t="s">
        <v>689</v>
      </c>
      <c r="H4432" t="s">
        <v>689</v>
      </c>
      <c r="P4432">
        <f t="shared" si="69"/>
        <v>0</v>
      </c>
    </row>
    <row r="4433" spans="1:16" x14ac:dyDescent="0.25">
      <c r="A4433" t="s">
        <v>524</v>
      </c>
      <c r="B4433" t="s">
        <v>669</v>
      </c>
      <c r="C4433" t="s">
        <v>669</v>
      </c>
      <c r="D4433" t="s">
        <v>669</v>
      </c>
      <c r="E4433">
        <v>111</v>
      </c>
      <c r="F4433">
        <v>111</v>
      </c>
      <c r="G4433" t="s">
        <v>724</v>
      </c>
      <c r="H4433" t="s">
        <v>724</v>
      </c>
      <c r="P4433">
        <f t="shared" si="69"/>
        <v>0</v>
      </c>
    </row>
    <row r="4434" spans="1:16" x14ac:dyDescent="0.25">
      <c r="A4434" t="s">
        <v>525</v>
      </c>
      <c r="B4434" t="s">
        <v>669</v>
      </c>
      <c r="C4434" t="s">
        <v>669</v>
      </c>
      <c r="D4434" t="s">
        <v>669</v>
      </c>
      <c r="E4434">
        <v>112</v>
      </c>
      <c r="F4434">
        <v>112</v>
      </c>
      <c r="G4434" t="s">
        <v>726</v>
      </c>
      <c r="H4434" t="s">
        <v>726</v>
      </c>
      <c r="P4434">
        <f t="shared" si="69"/>
        <v>0</v>
      </c>
    </row>
    <row r="4435" spans="1:16" x14ac:dyDescent="0.25">
      <c r="A4435" t="s">
        <v>526</v>
      </c>
      <c r="B4435" t="s">
        <v>669</v>
      </c>
      <c r="C4435" t="s">
        <v>669</v>
      </c>
      <c r="D4435" t="s">
        <v>669</v>
      </c>
      <c r="E4435">
        <v>132</v>
      </c>
      <c r="F4435">
        <v>132</v>
      </c>
      <c r="G4435" t="s">
        <v>738</v>
      </c>
      <c r="H4435" t="s">
        <v>738</v>
      </c>
      <c r="P4435">
        <f t="shared" si="69"/>
        <v>0</v>
      </c>
    </row>
    <row r="4436" spans="1:16" x14ac:dyDescent="0.25">
      <c r="A4436" t="s">
        <v>527</v>
      </c>
      <c r="B4436" t="s">
        <v>669</v>
      </c>
      <c r="C4436" t="s">
        <v>669</v>
      </c>
      <c r="D4436" t="s">
        <v>669</v>
      </c>
      <c r="E4436">
        <v>8</v>
      </c>
      <c r="F4436">
        <v>8</v>
      </c>
      <c r="G4436" t="s">
        <v>687</v>
      </c>
      <c r="H4436" t="s">
        <v>687</v>
      </c>
      <c r="P4436">
        <f t="shared" si="69"/>
        <v>0</v>
      </c>
    </row>
    <row r="4437" spans="1:16" x14ac:dyDescent="0.25">
      <c r="A4437" t="s">
        <v>528</v>
      </c>
      <c r="B4437" t="s">
        <v>669</v>
      </c>
      <c r="C4437" t="s">
        <v>669</v>
      </c>
      <c r="D4437" t="s">
        <v>669</v>
      </c>
      <c r="E4437">
        <v>8</v>
      </c>
      <c r="F4437">
        <v>4</v>
      </c>
      <c r="G4437" t="s">
        <v>687</v>
      </c>
      <c r="H4437" t="s">
        <v>701</v>
      </c>
      <c r="P4437">
        <f t="shared" si="69"/>
        <v>0</v>
      </c>
    </row>
    <row r="4438" spans="1:16" x14ac:dyDescent="0.25">
      <c r="A4438" t="s">
        <v>529</v>
      </c>
      <c r="B4438" t="s">
        <v>669</v>
      </c>
      <c r="C4438" t="s">
        <v>669</v>
      </c>
      <c r="D4438" t="s">
        <v>669</v>
      </c>
      <c r="E4438">
        <v>8</v>
      </c>
      <c r="F4438">
        <v>8</v>
      </c>
      <c r="G4438" t="s">
        <v>687</v>
      </c>
      <c r="H4438" t="s">
        <v>687</v>
      </c>
      <c r="P4438">
        <f t="shared" si="69"/>
        <v>0</v>
      </c>
    </row>
    <row r="4439" spans="1:16" x14ac:dyDescent="0.25">
      <c r="A4439" t="s">
        <v>530</v>
      </c>
      <c r="B4439" t="s">
        <v>669</v>
      </c>
      <c r="C4439" t="s">
        <v>669</v>
      </c>
      <c r="D4439" t="s">
        <v>669</v>
      </c>
      <c r="E4439">
        <v>8</v>
      </c>
      <c r="F4439">
        <v>8</v>
      </c>
      <c r="G4439" t="s">
        <v>687</v>
      </c>
      <c r="H4439" t="s">
        <v>687</v>
      </c>
      <c r="P4439">
        <f t="shared" si="69"/>
        <v>0</v>
      </c>
    </row>
    <row r="4440" spans="1:16" x14ac:dyDescent="0.25">
      <c r="A4440" t="s">
        <v>531</v>
      </c>
      <c r="B4440" t="s">
        <v>669</v>
      </c>
      <c r="C4440" t="s">
        <v>669</v>
      </c>
      <c r="D4440" t="s">
        <v>669</v>
      </c>
      <c r="E4440">
        <v>9</v>
      </c>
      <c r="F4440">
        <v>9</v>
      </c>
      <c r="G4440" t="s">
        <v>832</v>
      </c>
      <c r="H4440" t="s">
        <v>832</v>
      </c>
      <c r="P4440">
        <f t="shared" si="69"/>
        <v>0</v>
      </c>
    </row>
    <row r="4441" spans="1:16" x14ac:dyDescent="0.25">
      <c r="A4441" t="s">
        <v>532</v>
      </c>
      <c r="B4441" t="s">
        <v>669</v>
      </c>
      <c r="C4441" t="s">
        <v>669</v>
      </c>
      <c r="D4441" t="s">
        <v>669</v>
      </c>
      <c r="E4441">
        <v>8</v>
      </c>
      <c r="F4441">
        <v>8</v>
      </c>
      <c r="G4441" t="s">
        <v>687</v>
      </c>
      <c r="H4441" t="s">
        <v>687</v>
      </c>
      <c r="P4441">
        <f t="shared" si="69"/>
        <v>0</v>
      </c>
    </row>
    <row r="4442" spans="1:16" x14ac:dyDescent="0.25">
      <c r="A4442" t="s">
        <v>534</v>
      </c>
      <c r="B4442" t="s">
        <v>669</v>
      </c>
      <c r="C4442" t="s">
        <v>669</v>
      </c>
      <c r="D4442" t="s">
        <v>669</v>
      </c>
      <c r="E4442">
        <v>8</v>
      </c>
      <c r="F4442">
        <v>8</v>
      </c>
      <c r="G4442" t="s">
        <v>687</v>
      </c>
      <c r="H4442" t="s">
        <v>687</v>
      </c>
      <c r="P4442">
        <f t="shared" si="69"/>
        <v>0</v>
      </c>
    </row>
    <row r="4443" spans="1:16" x14ac:dyDescent="0.25">
      <c r="A4443" t="s">
        <v>535</v>
      </c>
      <c r="B4443" t="s">
        <v>669</v>
      </c>
      <c r="C4443" t="s">
        <v>669</v>
      </c>
      <c r="D4443" t="s">
        <v>669</v>
      </c>
      <c r="E4443">
        <v>14</v>
      </c>
      <c r="F4443">
        <v>8</v>
      </c>
      <c r="G4443" t="s">
        <v>690</v>
      </c>
      <c r="H4443" t="s">
        <v>687</v>
      </c>
      <c r="P4443">
        <f t="shared" si="69"/>
        <v>0</v>
      </c>
    </row>
    <row r="4444" spans="1:16" x14ac:dyDescent="0.25">
      <c r="A4444" t="s">
        <v>536</v>
      </c>
      <c r="B4444" t="s">
        <v>669</v>
      </c>
      <c r="C4444" t="s">
        <v>669</v>
      </c>
      <c r="D4444" t="s">
        <v>669</v>
      </c>
      <c r="E4444">
        <v>14</v>
      </c>
      <c r="F4444">
        <v>3</v>
      </c>
      <c r="G4444" t="s">
        <v>690</v>
      </c>
      <c r="H4444" t="s">
        <v>700</v>
      </c>
      <c r="P4444">
        <f t="shared" si="69"/>
        <v>0</v>
      </c>
    </row>
    <row r="4445" spans="1:16" x14ac:dyDescent="0.25">
      <c r="A4445" t="s">
        <v>537</v>
      </c>
      <c r="B4445" t="s">
        <v>669</v>
      </c>
      <c r="C4445">
        <v>4.22</v>
      </c>
      <c r="D4445" t="s">
        <v>669</v>
      </c>
      <c r="E4445">
        <v>14</v>
      </c>
      <c r="F4445">
        <v>14</v>
      </c>
      <c r="G4445" t="s">
        <v>690</v>
      </c>
      <c r="H4445" t="s">
        <v>690</v>
      </c>
      <c r="J4445">
        <v>4.22</v>
      </c>
      <c r="L4445" t="s">
        <v>303</v>
      </c>
      <c r="M4445">
        <v>4.22</v>
      </c>
      <c r="P4445">
        <f t="shared" si="69"/>
        <v>0</v>
      </c>
    </row>
    <row r="4446" spans="1:16" x14ac:dyDescent="0.25">
      <c r="A4446" t="s">
        <v>537</v>
      </c>
      <c r="B4446" t="s">
        <v>669</v>
      </c>
      <c r="C4446" t="s">
        <v>669</v>
      </c>
      <c r="D4446" t="s">
        <v>669</v>
      </c>
      <c r="E4446">
        <v>14</v>
      </c>
      <c r="F4446">
        <v>14</v>
      </c>
      <c r="G4446" t="s">
        <v>690</v>
      </c>
      <c r="H4446" t="s">
        <v>690</v>
      </c>
      <c r="P4446">
        <f t="shared" si="69"/>
        <v>0</v>
      </c>
    </row>
    <row r="4447" spans="1:16" x14ac:dyDescent="0.25">
      <c r="A4447" t="s">
        <v>539</v>
      </c>
      <c r="B4447" t="s">
        <v>669</v>
      </c>
      <c r="C4447" t="s">
        <v>669</v>
      </c>
      <c r="D4447" t="s">
        <v>669</v>
      </c>
      <c r="E4447">
        <v>14</v>
      </c>
      <c r="F4447">
        <v>8</v>
      </c>
      <c r="G4447" t="s">
        <v>690</v>
      </c>
      <c r="H4447" t="s">
        <v>687</v>
      </c>
      <c r="P4447">
        <f t="shared" si="69"/>
        <v>0</v>
      </c>
    </row>
    <row r="4448" spans="1:16" x14ac:dyDescent="0.25">
      <c r="A4448" t="s">
        <v>540</v>
      </c>
      <c r="B4448" t="s">
        <v>669</v>
      </c>
      <c r="C4448" t="s">
        <v>669</v>
      </c>
      <c r="D4448" t="s">
        <v>669</v>
      </c>
      <c r="E4448">
        <v>14</v>
      </c>
      <c r="F4448">
        <v>8</v>
      </c>
      <c r="G4448" t="s">
        <v>690</v>
      </c>
      <c r="H4448" t="s">
        <v>687</v>
      </c>
      <c r="P4448">
        <f t="shared" si="69"/>
        <v>0</v>
      </c>
    </row>
    <row r="4449" spans="1:16" x14ac:dyDescent="0.25">
      <c r="A4449" t="s">
        <v>541</v>
      </c>
      <c r="B4449" t="s">
        <v>669</v>
      </c>
      <c r="C4449" t="s">
        <v>669</v>
      </c>
      <c r="D4449" t="s">
        <v>669</v>
      </c>
      <c r="E4449">
        <v>14</v>
      </c>
      <c r="F4449">
        <v>8</v>
      </c>
      <c r="G4449" t="s">
        <v>690</v>
      </c>
      <c r="H4449" t="s">
        <v>687</v>
      </c>
      <c r="P4449">
        <f t="shared" si="69"/>
        <v>0</v>
      </c>
    </row>
    <row r="4450" spans="1:16" x14ac:dyDescent="0.25">
      <c r="A4450" t="s">
        <v>542</v>
      </c>
      <c r="B4450" t="s">
        <v>669</v>
      </c>
      <c r="C4450" t="s">
        <v>669</v>
      </c>
      <c r="D4450" t="s">
        <v>669</v>
      </c>
      <c r="E4450">
        <v>14</v>
      </c>
      <c r="F4450">
        <v>3</v>
      </c>
      <c r="G4450" t="s">
        <v>690</v>
      </c>
      <c r="H4450" t="s">
        <v>700</v>
      </c>
      <c r="P4450">
        <f t="shared" si="69"/>
        <v>0</v>
      </c>
    </row>
    <row r="4451" spans="1:16" x14ac:dyDescent="0.25">
      <c r="A4451" t="s">
        <v>543</v>
      </c>
      <c r="B4451" t="s">
        <v>669</v>
      </c>
      <c r="C4451" t="s">
        <v>669</v>
      </c>
      <c r="D4451" t="s">
        <v>669</v>
      </c>
      <c r="E4451">
        <v>14</v>
      </c>
      <c r="F4451">
        <v>14</v>
      </c>
      <c r="G4451" t="s">
        <v>690</v>
      </c>
      <c r="H4451" t="s">
        <v>690</v>
      </c>
      <c r="P4451">
        <f t="shared" si="69"/>
        <v>0</v>
      </c>
    </row>
    <row r="4452" spans="1:16" x14ac:dyDescent="0.25">
      <c r="A4452" t="s">
        <v>544</v>
      </c>
      <c r="B4452" t="s">
        <v>669</v>
      </c>
      <c r="C4452" t="s">
        <v>669</v>
      </c>
      <c r="D4452" t="s">
        <v>669</v>
      </c>
      <c r="E4452">
        <v>16</v>
      </c>
      <c r="F4452">
        <v>16</v>
      </c>
      <c r="G4452" t="s">
        <v>695</v>
      </c>
      <c r="H4452" t="s">
        <v>695</v>
      </c>
      <c r="P4452">
        <f t="shared" si="69"/>
        <v>0</v>
      </c>
    </row>
    <row r="4453" spans="1:16" x14ac:dyDescent="0.25">
      <c r="A4453" t="s">
        <v>545</v>
      </c>
      <c r="B4453" t="s">
        <v>669</v>
      </c>
      <c r="C4453" t="s">
        <v>669</v>
      </c>
      <c r="D4453" t="s">
        <v>669</v>
      </c>
      <c r="E4453">
        <v>14</v>
      </c>
      <c r="F4453">
        <v>14</v>
      </c>
      <c r="G4453" t="s">
        <v>690</v>
      </c>
      <c r="H4453" t="s">
        <v>690</v>
      </c>
      <c r="P4453">
        <f t="shared" si="69"/>
        <v>0</v>
      </c>
    </row>
    <row r="4454" spans="1:16" x14ac:dyDescent="0.25">
      <c r="A4454" t="s">
        <v>546</v>
      </c>
      <c r="B4454" t="s">
        <v>669</v>
      </c>
      <c r="C4454" t="s">
        <v>669</v>
      </c>
      <c r="D4454" t="s">
        <v>669</v>
      </c>
      <c r="E4454">
        <v>14</v>
      </c>
      <c r="F4454">
        <v>14</v>
      </c>
      <c r="G4454" t="s">
        <v>690</v>
      </c>
      <c r="H4454" t="s">
        <v>690</v>
      </c>
      <c r="P4454">
        <f t="shared" si="69"/>
        <v>0</v>
      </c>
    </row>
    <row r="4455" spans="1:16" x14ac:dyDescent="0.25">
      <c r="A4455" t="s">
        <v>547</v>
      </c>
      <c r="B4455" t="s">
        <v>669</v>
      </c>
      <c r="C4455" t="s">
        <v>669</v>
      </c>
      <c r="D4455" t="s">
        <v>669</v>
      </c>
      <c r="E4455">
        <v>55</v>
      </c>
      <c r="F4455">
        <v>55</v>
      </c>
      <c r="G4455" t="s">
        <v>737</v>
      </c>
      <c r="H4455" t="s">
        <v>737</v>
      </c>
      <c r="P4455">
        <f t="shared" si="69"/>
        <v>0</v>
      </c>
    </row>
    <row r="4456" spans="1:16" x14ac:dyDescent="0.25">
      <c r="A4456" t="s">
        <v>548</v>
      </c>
      <c r="B4456" t="s">
        <v>669</v>
      </c>
      <c r="C4456" t="s">
        <v>669</v>
      </c>
      <c r="D4456" t="s">
        <v>669</v>
      </c>
      <c r="E4456">
        <v>118</v>
      </c>
      <c r="F4456">
        <v>118</v>
      </c>
      <c r="G4456" t="s">
        <v>767</v>
      </c>
      <c r="H4456" t="s">
        <v>767</v>
      </c>
      <c r="P4456">
        <f t="shared" si="69"/>
        <v>0</v>
      </c>
    </row>
    <row r="4457" spans="1:16" x14ac:dyDescent="0.25">
      <c r="A4457" t="s">
        <v>549</v>
      </c>
      <c r="B4457" t="s">
        <v>669</v>
      </c>
      <c r="C4457">
        <v>504</v>
      </c>
      <c r="D4457" t="s">
        <v>669</v>
      </c>
      <c r="E4457">
        <v>158</v>
      </c>
      <c r="F4457">
        <v>143</v>
      </c>
      <c r="G4457" t="s">
        <v>768</v>
      </c>
      <c r="H4457" t="s">
        <v>718</v>
      </c>
      <c r="I4457" t="s">
        <v>952</v>
      </c>
      <c r="J4457">
        <v>504</v>
      </c>
      <c r="L4457" t="s">
        <v>303</v>
      </c>
      <c r="M4457">
        <v>504</v>
      </c>
    </row>
    <row r="4458" spans="1:16" x14ac:dyDescent="0.25">
      <c r="A4458" t="s">
        <v>549</v>
      </c>
      <c r="B4458" t="s">
        <v>669</v>
      </c>
      <c r="C4458">
        <v>561</v>
      </c>
      <c r="D4458" t="s">
        <v>669</v>
      </c>
      <c r="E4458">
        <v>158</v>
      </c>
      <c r="F4458">
        <v>158</v>
      </c>
      <c r="G4458" t="s">
        <v>768</v>
      </c>
      <c r="H4458" t="s">
        <v>768</v>
      </c>
      <c r="J4458">
        <v>561</v>
      </c>
      <c r="L4458" t="s">
        <v>303</v>
      </c>
      <c r="M4458">
        <v>561</v>
      </c>
      <c r="P4458">
        <f t="shared" si="69"/>
        <v>0</v>
      </c>
    </row>
    <row r="4459" spans="1:16" x14ac:dyDescent="0.25">
      <c r="A4459" t="s">
        <v>549</v>
      </c>
      <c r="B4459" t="s">
        <v>669</v>
      </c>
      <c r="C4459">
        <v>596</v>
      </c>
      <c r="D4459" t="s">
        <v>669</v>
      </c>
      <c r="E4459">
        <v>158</v>
      </c>
      <c r="F4459">
        <v>158</v>
      </c>
      <c r="G4459" t="s">
        <v>768</v>
      </c>
      <c r="H4459" t="s">
        <v>768</v>
      </c>
      <c r="J4459">
        <v>596</v>
      </c>
      <c r="L4459" t="s">
        <v>303</v>
      </c>
      <c r="M4459">
        <v>596</v>
      </c>
      <c r="P4459">
        <f t="shared" si="69"/>
        <v>0</v>
      </c>
    </row>
    <row r="4460" spans="1:16" x14ac:dyDescent="0.25">
      <c r="A4460" t="s">
        <v>549</v>
      </c>
      <c r="B4460" t="s">
        <v>669</v>
      </c>
      <c r="C4460" t="s">
        <v>669</v>
      </c>
      <c r="D4460" t="s">
        <v>669</v>
      </c>
      <c r="E4460">
        <v>158</v>
      </c>
      <c r="F4460">
        <v>158</v>
      </c>
      <c r="G4460" t="s">
        <v>768</v>
      </c>
      <c r="H4460" t="s">
        <v>768</v>
      </c>
      <c r="P4460">
        <f t="shared" si="69"/>
        <v>0</v>
      </c>
    </row>
    <row r="4461" spans="1:16" x14ac:dyDescent="0.25">
      <c r="A4461" t="s">
        <v>550</v>
      </c>
      <c r="B4461" t="s">
        <v>669</v>
      </c>
      <c r="C4461" t="s">
        <v>669</v>
      </c>
      <c r="D4461" t="s">
        <v>669</v>
      </c>
      <c r="E4461">
        <v>168</v>
      </c>
      <c r="F4461">
        <v>168</v>
      </c>
      <c r="G4461" t="s">
        <v>759</v>
      </c>
      <c r="H4461" t="s">
        <v>759</v>
      </c>
      <c r="P4461">
        <f t="shared" si="69"/>
        <v>0</v>
      </c>
    </row>
    <row r="4462" spans="1:16" x14ac:dyDescent="0.25">
      <c r="A4462" t="s">
        <v>551</v>
      </c>
      <c r="B4462" t="s">
        <v>669</v>
      </c>
      <c r="C4462" t="s">
        <v>669</v>
      </c>
      <c r="D4462" t="s">
        <v>669</v>
      </c>
      <c r="E4462">
        <v>158</v>
      </c>
      <c r="F4462">
        <v>158</v>
      </c>
      <c r="G4462" t="s">
        <v>768</v>
      </c>
      <c r="H4462" t="s">
        <v>768</v>
      </c>
      <c r="P4462">
        <f t="shared" si="69"/>
        <v>0</v>
      </c>
    </row>
    <row r="4463" spans="1:16" x14ac:dyDescent="0.25">
      <c r="A4463" t="s">
        <v>552</v>
      </c>
      <c r="B4463" t="s">
        <v>669</v>
      </c>
      <c r="C4463" t="s">
        <v>669</v>
      </c>
      <c r="D4463" t="s">
        <v>669</v>
      </c>
      <c r="E4463">
        <v>158</v>
      </c>
      <c r="F4463">
        <v>132</v>
      </c>
      <c r="G4463" t="s">
        <v>768</v>
      </c>
      <c r="H4463" t="s">
        <v>738</v>
      </c>
      <c r="P4463">
        <f t="shared" si="69"/>
        <v>0</v>
      </c>
    </row>
    <row r="4464" spans="1:16" x14ac:dyDescent="0.25">
      <c r="A4464" t="s">
        <v>553</v>
      </c>
      <c r="B4464" t="s">
        <v>669</v>
      </c>
      <c r="C4464" t="s">
        <v>669</v>
      </c>
      <c r="D4464" t="s">
        <v>669</v>
      </c>
      <c r="E4464">
        <v>165</v>
      </c>
      <c r="F4464">
        <v>165</v>
      </c>
      <c r="G4464" t="s">
        <v>770</v>
      </c>
      <c r="H4464" t="s">
        <v>770</v>
      </c>
      <c r="P4464">
        <f t="shared" si="69"/>
        <v>0</v>
      </c>
    </row>
    <row r="4465" spans="1:16" x14ac:dyDescent="0.25">
      <c r="A4465" t="s">
        <v>554</v>
      </c>
      <c r="B4465" t="s">
        <v>669</v>
      </c>
      <c r="C4465" t="s">
        <v>669</v>
      </c>
      <c r="D4465" t="s">
        <v>669</v>
      </c>
      <c r="E4465">
        <v>158</v>
      </c>
      <c r="F4465">
        <v>158</v>
      </c>
      <c r="G4465" t="s">
        <v>768</v>
      </c>
      <c r="H4465" t="s">
        <v>768</v>
      </c>
      <c r="P4465">
        <f t="shared" si="69"/>
        <v>0</v>
      </c>
    </row>
    <row r="4466" spans="1:16" x14ac:dyDescent="0.25">
      <c r="A4466" t="s">
        <v>961</v>
      </c>
      <c r="B4466" t="s">
        <v>669</v>
      </c>
      <c r="C4466" t="s">
        <v>669</v>
      </c>
      <c r="D4466" t="s">
        <v>669</v>
      </c>
      <c r="E4466">
        <v>29</v>
      </c>
      <c r="F4466">
        <v>26</v>
      </c>
      <c r="G4466" t="s">
        <v>697</v>
      </c>
      <c r="H4466" t="s">
        <v>775</v>
      </c>
      <c r="P4466">
        <f t="shared" si="69"/>
        <v>0</v>
      </c>
    </row>
    <row r="4467" spans="1:16" x14ac:dyDescent="0.25">
      <c r="A4467" t="s">
        <v>571</v>
      </c>
      <c r="B4467" t="s">
        <v>669</v>
      </c>
      <c r="C4467" t="s">
        <v>669</v>
      </c>
      <c r="D4467" t="s">
        <v>669</v>
      </c>
      <c r="E4467">
        <v>159</v>
      </c>
      <c r="F4467">
        <v>159</v>
      </c>
      <c r="G4467" t="s">
        <v>722</v>
      </c>
      <c r="H4467" t="s">
        <v>722</v>
      </c>
      <c r="P4467">
        <f t="shared" si="69"/>
        <v>0</v>
      </c>
    </row>
    <row r="4468" spans="1:16" x14ac:dyDescent="0.25">
      <c r="A4468" t="s">
        <v>573</v>
      </c>
      <c r="B4468" t="s">
        <v>669</v>
      </c>
      <c r="C4468" t="s">
        <v>669</v>
      </c>
      <c r="D4468" t="s">
        <v>669</v>
      </c>
      <c r="E4468">
        <v>164</v>
      </c>
      <c r="F4468">
        <v>164</v>
      </c>
      <c r="G4468" t="s">
        <v>746</v>
      </c>
      <c r="H4468" t="s">
        <v>746</v>
      </c>
      <c r="P4468">
        <f t="shared" si="69"/>
        <v>0</v>
      </c>
    </row>
    <row r="4469" spans="1:16" x14ac:dyDescent="0.25">
      <c r="A4469" t="s">
        <v>574</v>
      </c>
      <c r="B4469" t="s">
        <v>669</v>
      </c>
      <c r="C4469" t="s">
        <v>669</v>
      </c>
      <c r="D4469" t="s">
        <v>669</v>
      </c>
      <c r="E4469">
        <v>159</v>
      </c>
      <c r="F4469">
        <v>143</v>
      </c>
      <c r="G4469" t="s">
        <v>722</v>
      </c>
      <c r="H4469" t="s">
        <v>718</v>
      </c>
      <c r="P4469">
        <f t="shared" si="69"/>
        <v>0</v>
      </c>
    </row>
    <row r="4470" spans="1:16" x14ac:dyDescent="0.25">
      <c r="A4470" t="s">
        <v>575</v>
      </c>
      <c r="B4470" t="s">
        <v>669</v>
      </c>
      <c r="C4470" t="s">
        <v>669</v>
      </c>
      <c r="D4470" t="s">
        <v>669</v>
      </c>
      <c r="E4470">
        <v>3</v>
      </c>
      <c r="F4470">
        <v>3</v>
      </c>
      <c r="G4470" t="s">
        <v>700</v>
      </c>
      <c r="H4470" t="s">
        <v>700</v>
      </c>
      <c r="I4470" t="s">
        <v>940</v>
      </c>
      <c r="P4470">
        <f t="shared" si="69"/>
        <v>29</v>
      </c>
    </row>
    <row r="4471" spans="1:16" x14ac:dyDescent="0.25">
      <c r="A4471" t="s">
        <v>576</v>
      </c>
      <c r="B4471" t="s">
        <v>669</v>
      </c>
      <c r="C4471" t="s">
        <v>669</v>
      </c>
      <c r="D4471" t="s">
        <v>669</v>
      </c>
      <c r="E4471">
        <v>3</v>
      </c>
      <c r="F4471">
        <v>3</v>
      </c>
      <c r="G4471" t="s">
        <v>700</v>
      </c>
      <c r="H4471" t="s">
        <v>700</v>
      </c>
      <c r="P4471">
        <f t="shared" si="69"/>
        <v>0</v>
      </c>
    </row>
    <row r="4472" spans="1:16" x14ac:dyDescent="0.25">
      <c r="A4472" t="s">
        <v>577</v>
      </c>
      <c r="B4472" t="s">
        <v>669</v>
      </c>
      <c r="C4472" t="s">
        <v>669</v>
      </c>
      <c r="D4472" t="s">
        <v>669</v>
      </c>
      <c r="E4472">
        <v>68</v>
      </c>
      <c r="F4472">
        <v>3</v>
      </c>
      <c r="G4472" t="s">
        <v>717</v>
      </c>
      <c r="H4472" t="s">
        <v>700</v>
      </c>
      <c r="P4472">
        <f t="shared" si="69"/>
        <v>0</v>
      </c>
    </row>
    <row r="4473" spans="1:16" x14ac:dyDescent="0.25">
      <c r="A4473" t="s">
        <v>578</v>
      </c>
      <c r="B4473" t="s">
        <v>669</v>
      </c>
      <c r="C4473" t="s">
        <v>669</v>
      </c>
      <c r="D4473" t="s">
        <v>669</v>
      </c>
      <c r="E4473">
        <v>3</v>
      </c>
      <c r="F4473">
        <v>3</v>
      </c>
      <c r="G4473" t="s">
        <v>700</v>
      </c>
      <c r="H4473" t="s">
        <v>700</v>
      </c>
      <c r="P4473">
        <f t="shared" si="69"/>
        <v>0</v>
      </c>
    </row>
    <row r="4474" spans="1:16" x14ac:dyDescent="0.25">
      <c r="A4474" t="s">
        <v>579</v>
      </c>
      <c r="B4474" t="s">
        <v>669</v>
      </c>
      <c r="C4474" t="s">
        <v>669</v>
      </c>
      <c r="D4474" t="s">
        <v>669</v>
      </c>
      <c r="E4474">
        <v>38</v>
      </c>
      <c r="F4474">
        <v>3</v>
      </c>
      <c r="G4474" t="s">
        <v>704</v>
      </c>
      <c r="H4474" t="s">
        <v>700</v>
      </c>
      <c r="P4474">
        <f t="shared" si="69"/>
        <v>0</v>
      </c>
    </row>
    <row r="4475" spans="1:16" x14ac:dyDescent="0.25">
      <c r="A4475" t="s">
        <v>581</v>
      </c>
      <c r="B4475" t="s">
        <v>669</v>
      </c>
      <c r="C4475" t="s">
        <v>669</v>
      </c>
      <c r="D4475" t="s">
        <v>669</v>
      </c>
      <c r="E4475">
        <v>2</v>
      </c>
      <c r="F4475">
        <v>2</v>
      </c>
      <c r="G4475" t="s">
        <v>798</v>
      </c>
      <c r="H4475" t="s">
        <v>798</v>
      </c>
      <c r="P4475">
        <f t="shared" si="69"/>
        <v>0</v>
      </c>
    </row>
    <row r="4476" spans="1:16" x14ac:dyDescent="0.25">
      <c r="A4476" t="s">
        <v>582</v>
      </c>
      <c r="B4476" t="s">
        <v>669</v>
      </c>
      <c r="C4476" t="s">
        <v>669</v>
      </c>
      <c r="D4476" t="s">
        <v>669</v>
      </c>
      <c r="E4476">
        <v>2</v>
      </c>
      <c r="F4476">
        <v>2</v>
      </c>
      <c r="G4476" t="s">
        <v>798</v>
      </c>
      <c r="H4476" t="s">
        <v>798</v>
      </c>
      <c r="P4476">
        <f t="shared" si="69"/>
        <v>0</v>
      </c>
    </row>
    <row r="4477" spans="1:16" x14ac:dyDescent="0.25">
      <c r="A4477" t="s">
        <v>583</v>
      </c>
      <c r="B4477" t="s">
        <v>669</v>
      </c>
      <c r="C4477" t="s">
        <v>669</v>
      </c>
      <c r="D4477" t="s">
        <v>669</v>
      </c>
      <c r="E4477">
        <v>38</v>
      </c>
      <c r="F4477">
        <v>3</v>
      </c>
      <c r="G4477" t="s">
        <v>704</v>
      </c>
      <c r="H4477" t="s">
        <v>700</v>
      </c>
      <c r="P4477">
        <f t="shared" si="69"/>
        <v>0</v>
      </c>
    </row>
    <row r="4478" spans="1:16" x14ac:dyDescent="0.25">
      <c r="A4478" t="s">
        <v>584</v>
      </c>
      <c r="B4478" t="s">
        <v>669</v>
      </c>
      <c r="C4478" t="s">
        <v>669</v>
      </c>
      <c r="D4478" t="s">
        <v>669</v>
      </c>
      <c r="E4478">
        <v>4</v>
      </c>
      <c r="F4478">
        <v>4</v>
      </c>
      <c r="G4478" t="s">
        <v>701</v>
      </c>
      <c r="H4478" t="s">
        <v>701</v>
      </c>
      <c r="P4478">
        <f t="shared" si="69"/>
        <v>0</v>
      </c>
    </row>
    <row r="4479" spans="1:16" x14ac:dyDescent="0.25">
      <c r="A4479" t="s">
        <v>585</v>
      </c>
      <c r="B4479" t="s">
        <v>669</v>
      </c>
      <c r="C4479" t="s">
        <v>669</v>
      </c>
      <c r="D4479" t="s">
        <v>669</v>
      </c>
      <c r="E4479">
        <v>8</v>
      </c>
      <c r="F4479">
        <v>8</v>
      </c>
      <c r="G4479" t="s">
        <v>687</v>
      </c>
      <c r="H4479" t="s">
        <v>687</v>
      </c>
      <c r="P4479">
        <f t="shared" si="69"/>
        <v>0</v>
      </c>
    </row>
    <row r="4480" spans="1:16" x14ac:dyDescent="0.25">
      <c r="A4480" t="s">
        <v>586</v>
      </c>
      <c r="B4480" t="s">
        <v>669</v>
      </c>
      <c r="C4480" t="s">
        <v>669</v>
      </c>
      <c r="D4480" t="s">
        <v>669</v>
      </c>
      <c r="E4480">
        <v>8</v>
      </c>
      <c r="F4480">
        <v>4</v>
      </c>
      <c r="G4480" t="s">
        <v>687</v>
      </c>
      <c r="H4480" t="s">
        <v>701</v>
      </c>
      <c r="P4480">
        <f t="shared" si="69"/>
        <v>0</v>
      </c>
    </row>
    <row r="4481" spans="1:16" x14ac:dyDescent="0.25">
      <c r="A4481" t="s">
        <v>587</v>
      </c>
      <c r="B4481" t="s">
        <v>669</v>
      </c>
      <c r="C4481" t="s">
        <v>669</v>
      </c>
      <c r="D4481" t="s">
        <v>669</v>
      </c>
      <c r="E4481">
        <v>4</v>
      </c>
      <c r="F4481">
        <v>4</v>
      </c>
      <c r="G4481" t="s">
        <v>701</v>
      </c>
      <c r="H4481" t="s">
        <v>701</v>
      </c>
      <c r="P4481">
        <f t="shared" si="69"/>
        <v>0</v>
      </c>
    </row>
    <row r="4482" spans="1:16" x14ac:dyDescent="0.25">
      <c r="A4482" t="s">
        <v>588</v>
      </c>
      <c r="B4482" t="s">
        <v>669</v>
      </c>
      <c r="C4482" t="s">
        <v>669</v>
      </c>
      <c r="D4482" t="s">
        <v>669</v>
      </c>
      <c r="E4482">
        <v>68</v>
      </c>
      <c r="F4482">
        <v>3</v>
      </c>
      <c r="G4482" t="s">
        <v>717</v>
      </c>
      <c r="H4482" t="s">
        <v>700</v>
      </c>
      <c r="P4482">
        <f t="shared" si="69"/>
        <v>0</v>
      </c>
    </row>
    <row r="4483" spans="1:16" x14ac:dyDescent="0.25">
      <c r="A4483" t="s">
        <v>589</v>
      </c>
      <c r="B4483" t="s">
        <v>669</v>
      </c>
      <c r="C4483" t="s">
        <v>669</v>
      </c>
      <c r="D4483" t="s">
        <v>669</v>
      </c>
      <c r="E4483">
        <v>9</v>
      </c>
      <c r="F4483">
        <v>9</v>
      </c>
      <c r="G4483" t="s">
        <v>832</v>
      </c>
      <c r="H4483" t="s">
        <v>832</v>
      </c>
      <c r="P4483">
        <f t="shared" ref="P4483:P4546" si="70">LEN(I4483)</f>
        <v>0</v>
      </c>
    </row>
    <row r="4484" spans="1:16" x14ac:dyDescent="0.25">
      <c r="A4484" t="s">
        <v>590</v>
      </c>
      <c r="B4484" t="s">
        <v>669</v>
      </c>
      <c r="C4484" t="s">
        <v>669</v>
      </c>
      <c r="D4484" t="s">
        <v>669</v>
      </c>
      <c r="E4484">
        <v>9</v>
      </c>
      <c r="F4484">
        <v>9</v>
      </c>
      <c r="G4484" t="s">
        <v>832</v>
      </c>
      <c r="H4484" t="s">
        <v>832</v>
      </c>
      <c r="P4484">
        <f t="shared" si="70"/>
        <v>0</v>
      </c>
    </row>
    <row r="4485" spans="1:16" x14ac:dyDescent="0.25">
      <c r="A4485" t="s">
        <v>591</v>
      </c>
      <c r="B4485" t="s">
        <v>669</v>
      </c>
      <c r="C4485" t="s">
        <v>669</v>
      </c>
      <c r="D4485" t="s">
        <v>669</v>
      </c>
      <c r="E4485">
        <v>5</v>
      </c>
      <c r="F4485">
        <v>5</v>
      </c>
      <c r="G4485" t="s">
        <v>684</v>
      </c>
      <c r="H4485" t="s">
        <v>684</v>
      </c>
      <c r="P4485">
        <f t="shared" si="70"/>
        <v>0</v>
      </c>
    </row>
    <row r="4486" spans="1:16" x14ac:dyDescent="0.25">
      <c r="A4486" t="s">
        <v>592</v>
      </c>
      <c r="B4486" t="s">
        <v>669</v>
      </c>
      <c r="C4486" t="s">
        <v>669</v>
      </c>
      <c r="D4486" t="s">
        <v>669</v>
      </c>
      <c r="E4486">
        <v>5</v>
      </c>
      <c r="F4486">
        <v>5</v>
      </c>
      <c r="G4486" t="s">
        <v>684</v>
      </c>
      <c r="H4486" t="s">
        <v>684</v>
      </c>
      <c r="P4486">
        <f t="shared" si="70"/>
        <v>0</v>
      </c>
    </row>
    <row r="4487" spans="1:16" x14ac:dyDescent="0.25">
      <c r="A4487" t="s">
        <v>593</v>
      </c>
      <c r="B4487" t="s">
        <v>669</v>
      </c>
      <c r="C4487" t="s">
        <v>669</v>
      </c>
      <c r="D4487" t="s">
        <v>669</v>
      </c>
      <c r="E4487">
        <v>25</v>
      </c>
      <c r="F4487">
        <v>14</v>
      </c>
      <c r="G4487" t="s">
        <v>691</v>
      </c>
      <c r="H4487" t="s">
        <v>690</v>
      </c>
      <c r="I4487" t="s">
        <v>935</v>
      </c>
      <c r="P4487">
        <f t="shared" si="70"/>
        <v>8</v>
      </c>
    </row>
    <row r="4488" spans="1:16" x14ac:dyDescent="0.25">
      <c r="A4488" t="s">
        <v>595</v>
      </c>
      <c r="B4488" t="s">
        <v>669</v>
      </c>
      <c r="C4488" t="s">
        <v>669</v>
      </c>
      <c r="D4488" t="s">
        <v>669</v>
      </c>
      <c r="E4488">
        <v>27</v>
      </c>
      <c r="F4488">
        <v>27</v>
      </c>
      <c r="G4488" t="s">
        <v>778</v>
      </c>
      <c r="H4488" t="s">
        <v>778</v>
      </c>
      <c r="P4488">
        <f t="shared" si="70"/>
        <v>0</v>
      </c>
    </row>
    <row r="4489" spans="1:16" x14ac:dyDescent="0.25">
      <c r="A4489" t="s">
        <v>596</v>
      </c>
      <c r="B4489" t="s">
        <v>669</v>
      </c>
      <c r="C4489" t="s">
        <v>669</v>
      </c>
      <c r="D4489" t="s">
        <v>669</v>
      </c>
      <c r="E4489">
        <v>136</v>
      </c>
      <c r="F4489">
        <v>136</v>
      </c>
      <c r="G4489" t="s">
        <v>779</v>
      </c>
      <c r="H4489" t="s">
        <v>779</v>
      </c>
      <c r="P4489">
        <f t="shared" si="70"/>
        <v>0</v>
      </c>
    </row>
    <row r="4490" spans="1:16" x14ac:dyDescent="0.25">
      <c r="A4490" t="s">
        <v>597</v>
      </c>
      <c r="B4490" t="s">
        <v>669</v>
      </c>
      <c r="C4490" t="s">
        <v>669</v>
      </c>
      <c r="D4490" t="s">
        <v>669</v>
      </c>
      <c r="E4490">
        <v>42</v>
      </c>
      <c r="F4490">
        <v>42</v>
      </c>
      <c r="G4490" t="s">
        <v>709</v>
      </c>
      <c r="H4490" t="s">
        <v>709</v>
      </c>
      <c r="P4490">
        <f t="shared" si="70"/>
        <v>0</v>
      </c>
    </row>
    <row r="4491" spans="1:16" x14ac:dyDescent="0.25">
      <c r="A4491" t="s">
        <v>598</v>
      </c>
      <c r="B4491" t="s">
        <v>669</v>
      </c>
      <c r="C4491" t="s">
        <v>669</v>
      </c>
      <c r="D4491" t="s">
        <v>669</v>
      </c>
      <c r="E4491">
        <v>42</v>
      </c>
      <c r="F4491">
        <v>41</v>
      </c>
      <c r="G4491" t="s">
        <v>709</v>
      </c>
      <c r="H4491" t="s">
        <v>706</v>
      </c>
      <c r="P4491">
        <f t="shared" si="70"/>
        <v>0</v>
      </c>
    </row>
    <row r="4492" spans="1:16" x14ac:dyDescent="0.25">
      <c r="A4492" t="s">
        <v>599</v>
      </c>
      <c r="B4492" t="s">
        <v>669</v>
      </c>
      <c r="C4492" t="s">
        <v>669</v>
      </c>
      <c r="D4492" t="s">
        <v>669</v>
      </c>
      <c r="E4492">
        <v>38</v>
      </c>
      <c r="F4492">
        <v>38</v>
      </c>
      <c r="G4492" t="s">
        <v>704</v>
      </c>
      <c r="H4492" t="s">
        <v>704</v>
      </c>
      <c r="I4492" t="s">
        <v>941</v>
      </c>
      <c r="P4492">
        <f t="shared" si="70"/>
        <v>15</v>
      </c>
    </row>
    <row r="4493" spans="1:16" x14ac:dyDescent="0.25">
      <c r="A4493" t="s">
        <v>601</v>
      </c>
      <c r="B4493" t="s">
        <v>669</v>
      </c>
      <c r="C4493" t="s">
        <v>669</v>
      </c>
      <c r="D4493" t="s">
        <v>669</v>
      </c>
      <c r="E4493">
        <v>8</v>
      </c>
      <c r="F4493">
        <v>8</v>
      </c>
      <c r="G4493" t="s">
        <v>687</v>
      </c>
      <c r="H4493" t="s">
        <v>687</v>
      </c>
      <c r="P4493">
        <f t="shared" si="70"/>
        <v>0</v>
      </c>
    </row>
    <row r="4494" spans="1:16" x14ac:dyDescent="0.25">
      <c r="A4494" t="s">
        <v>602</v>
      </c>
      <c r="B4494" t="s">
        <v>669</v>
      </c>
      <c r="C4494" t="s">
        <v>669</v>
      </c>
      <c r="D4494" t="s">
        <v>669</v>
      </c>
      <c r="E4494">
        <v>120</v>
      </c>
      <c r="F4494">
        <v>120</v>
      </c>
      <c r="G4494" t="s">
        <v>740</v>
      </c>
      <c r="H4494" t="s">
        <v>740</v>
      </c>
      <c r="P4494">
        <f t="shared" si="70"/>
        <v>0</v>
      </c>
    </row>
    <row r="4495" spans="1:16" x14ac:dyDescent="0.25">
      <c r="A4495" t="s">
        <v>884</v>
      </c>
      <c r="B4495" t="s">
        <v>669</v>
      </c>
      <c r="C4495" t="s">
        <v>669</v>
      </c>
      <c r="D4495" t="s">
        <v>669</v>
      </c>
      <c r="E4495">
        <v>120</v>
      </c>
      <c r="F4495">
        <v>109</v>
      </c>
      <c r="G4495" t="s">
        <v>740</v>
      </c>
      <c r="H4495" t="s">
        <v>715</v>
      </c>
      <c r="I4495" t="s">
        <v>799</v>
      </c>
      <c r="P4495">
        <f t="shared" si="70"/>
        <v>9</v>
      </c>
    </row>
    <row r="4496" spans="1:16" x14ac:dyDescent="0.25">
      <c r="A4496" t="s">
        <v>603</v>
      </c>
      <c r="B4496" t="s">
        <v>669</v>
      </c>
      <c r="C4496" t="s">
        <v>669</v>
      </c>
      <c r="D4496" t="s">
        <v>669</v>
      </c>
      <c r="E4496">
        <v>125</v>
      </c>
      <c r="F4496">
        <v>121</v>
      </c>
      <c r="G4496" t="s">
        <v>848</v>
      </c>
      <c r="H4496" t="s">
        <v>776</v>
      </c>
      <c r="P4496">
        <f t="shared" si="70"/>
        <v>0</v>
      </c>
    </row>
    <row r="4497" spans="1:16" x14ac:dyDescent="0.25">
      <c r="A4497" t="s">
        <v>604</v>
      </c>
      <c r="B4497" t="s">
        <v>669</v>
      </c>
      <c r="C4497" t="s">
        <v>669</v>
      </c>
      <c r="D4497" t="s">
        <v>669</v>
      </c>
      <c r="E4497">
        <v>120</v>
      </c>
      <c r="F4497">
        <v>120</v>
      </c>
      <c r="G4497" t="s">
        <v>740</v>
      </c>
      <c r="H4497" t="s">
        <v>740</v>
      </c>
      <c r="I4497" t="s">
        <v>799</v>
      </c>
      <c r="P4497">
        <f t="shared" si="70"/>
        <v>9</v>
      </c>
    </row>
    <row r="4498" spans="1:16" x14ac:dyDescent="0.25">
      <c r="A4498" t="s">
        <v>605</v>
      </c>
      <c r="B4498" t="s">
        <v>669</v>
      </c>
      <c r="C4498" t="s">
        <v>669</v>
      </c>
      <c r="D4498" t="s">
        <v>669</v>
      </c>
      <c r="E4498">
        <v>120</v>
      </c>
      <c r="F4498">
        <v>109</v>
      </c>
      <c r="G4498" t="s">
        <v>740</v>
      </c>
      <c r="H4498" t="s">
        <v>715</v>
      </c>
      <c r="P4498">
        <f t="shared" si="70"/>
        <v>0</v>
      </c>
    </row>
    <row r="4499" spans="1:16" x14ac:dyDescent="0.25">
      <c r="A4499" t="s">
        <v>606</v>
      </c>
      <c r="B4499" t="s">
        <v>669</v>
      </c>
      <c r="C4499" t="s">
        <v>669</v>
      </c>
      <c r="D4499" t="s">
        <v>669</v>
      </c>
      <c r="E4499">
        <v>120</v>
      </c>
      <c r="F4499">
        <v>120</v>
      </c>
      <c r="G4499" t="s">
        <v>740</v>
      </c>
      <c r="H4499" t="s">
        <v>740</v>
      </c>
      <c r="P4499">
        <f t="shared" si="70"/>
        <v>0</v>
      </c>
    </row>
    <row r="4500" spans="1:16" x14ac:dyDescent="0.25">
      <c r="A4500" t="s">
        <v>607</v>
      </c>
      <c r="B4500" t="s">
        <v>669</v>
      </c>
      <c r="C4500" t="s">
        <v>669</v>
      </c>
      <c r="D4500" t="s">
        <v>669</v>
      </c>
      <c r="E4500">
        <v>168</v>
      </c>
      <c r="F4500">
        <v>168</v>
      </c>
      <c r="G4500" t="s">
        <v>759</v>
      </c>
      <c r="H4500" t="s">
        <v>759</v>
      </c>
      <c r="P4500">
        <f t="shared" si="70"/>
        <v>0</v>
      </c>
    </row>
    <row r="4501" spans="1:16" x14ac:dyDescent="0.25">
      <c r="A4501" t="s">
        <v>608</v>
      </c>
      <c r="B4501" t="s">
        <v>669</v>
      </c>
      <c r="C4501" t="s">
        <v>669</v>
      </c>
      <c r="D4501" t="s">
        <v>669</v>
      </c>
      <c r="E4501">
        <v>165</v>
      </c>
      <c r="F4501">
        <v>165</v>
      </c>
      <c r="G4501" t="s">
        <v>770</v>
      </c>
      <c r="H4501" t="s">
        <v>770</v>
      </c>
      <c r="P4501">
        <f t="shared" si="70"/>
        <v>0</v>
      </c>
    </row>
    <row r="4502" spans="1:16" x14ac:dyDescent="0.25">
      <c r="A4502" t="s">
        <v>609</v>
      </c>
      <c r="B4502" t="s">
        <v>669</v>
      </c>
      <c r="C4502" t="s">
        <v>669</v>
      </c>
      <c r="D4502" t="s">
        <v>669</v>
      </c>
      <c r="E4502">
        <v>98</v>
      </c>
      <c r="F4502">
        <v>96</v>
      </c>
      <c r="G4502" t="s">
        <v>794</v>
      </c>
      <c r="H4502" t="s">
        <v>809</v>
      </c>
      <c r="P4502">
        <f t="shared" si="70"/>
        <v>0</v>
      </c>
    </row>
    <row r="4503" spans="1:16" x14ac:dyDescent="0.25">
      <c r="A4503" t="s">
        <v>610</v>
      </c>
      <c r="B4503" t="s">
        <v>669</v>
      </c>
      <c r="C4503" t="s">
        <v>669</v>
      </c>
      <c r="D4503" t="s">
        <v>669</v>
      </c>
      <c r="E4503">
        <v>96</v>
      </c>
      <c r="F4503">
        <v>96</v>
      </c>
      <c r="G4503" t="s">
        <v>809</v>
      </c>
      <c r="H4503" t="s">
        <v>809</v>
      </c>
      <c r="P4503">
        <f t="shared" si="70"/>
        <v>0</v>
      </c>
    </row>
    <row r="4504" spans="1:16" x14ac:dyDescent="0.25">
      <c r="A4504" t="s">
        <v>611</v>
      </c>
      <c r="B4504" t="s">
        <v>669</v>
      </c>
      <c r="C4504" t="s">
        <v>669</v>
      </c>
      <c r="D4504" t="s">
        <v>669</v>
      </c>
      <c r="E4504" t="s">
        <v>910</v>
      </c>
      <c r="F4504" t="s">
        <v>910</v>
      </c>
      <c r="I4504" t="s">
        <v>942</v>
      </c>
      <c r="P4504">
        <f t="shared" si="70"/>
        <v>15</v>
      </c>
    </row>
    <row r="4505" spans="1:16" x14ac:dyDescent="0.25">
      <c r="A4505" t="s">
        <v>612</v>
      </c>
      <c r="B4505" t="s">
        <v>669</v>
      </c>
      <c r="C4505" t="s">
        <v>669</v>
      </c>
      <c r="D4505" t="s">
        <v>669</v>
      </c>
      <c r="E4505">
        <v>132</v>
      </c>
      <c r="F4505">
        <v>132</v>
      </c>
      <c r="G4505" t="s">
        <v>738</v>
      </c>
      <c r="H4505" t="s">
        <v>738</v>
      </c>
      <c r="P4505">
        <f t="shared" si="70"/>
        <v>0</v>
      </c>
    </row>
    <row r="4506" spans="1:16" x14ac:dyDescent="0.25">
      <c r="A4506" t="s">
        <v>614</v>
      </c>
      <c r="B4506" t="s">
        <v>669</v>
      </c>
      <c r="C4506" t="s">
        <v>669</v>
      </c>
      <c r="D4506" t="s">
        <v>669</v>
      </c>
      <c r="E4506">
        <v>24</v>
      </c>
      <c r="F4506">
        <v>17</v>
      </c>
      <c r="G4506" t="s">
        <v>692</v>
      </c>
      <c r="H4506" t="s">
        <v>689</v>
      </c>
      <c r="P4506">
        <f t="shared" si="70"/>
        <v>0</v>
      </c>
    </row>
    <row r="4507" spans="1:16" x14ac:dyDescent="0.25">
      <c r="A4507" t="s">
        <v>615</v>
      </c>
      <c r="B4507" t="s">
        <v>669</v>
      </c>
      <c r="C4507" t="s">
        <v>669</v>
      </c>
      <c r="D4507" t="s">
        <v>669</v>
      </c>
      <c r="E4507">
        <v>24</v>
      </c>
      <c r="F4507">
        <v>3</v>
      </c>
      <c r="G4507" t="s">
        <v>692</v>
      </c>
      <c r="H4507" t="s">
        <v>700</v>
      </c>
      <c r="P4507">
        <f t="shared" si="70"/>
        <v>0</v>
      </c>
    </row>
    <row r="4508" spans="1:16" x14ac:dyDescent="0.25">
      <c r="A4508" t="s">
        <v>616</v>
      </c>
      <c r="B4508" t="s">
        <v>669</v>
      </c>
      <c r="C4508" t="s">
        <v>669</v>
      </c>
      <c r="D4508" t="s">
        <v>669</v>
      </c>
      <c r="E4508">
        <v>24</v>
      </c>
      <c r="F4508">
        <v>3</v>
      </c>
      <c r="G4508" t="s">
        <v>692</v>
      </c>
      <c r="H4508" t="s">
        <v>700</v>
      </c>
      <c r="P4508">
        <f t="shared" si="70"/>
        <v>0</v>
      </c>
    </row>
    <row r="4509" spans="1:16" x14ac:dyDescent="0.25">
      <c r="A4509" t="s">
        <v>883</v>
      </c>
      <c r="B4509" t="s">
        <v>669</v>
      </c>
      <c r="C4509" t="s">
        <v>669</v>
      </c>
      <c r="D4509" t="s">
        <v>669</v>
      </c>
      <c r="E4509">
        <v>24</v>
      </c>
      <c r="F4509">
        <v>17</v>
      </c>
      <c r="G4509" t="s">
        <v>692</v>
      </c>
      <c r="H4509" t="s">
        <v>689</v>
      </c>
      <c r="I4509" t="s">
        <v>943</v>
      </c>
      <c r="P4509">
        <f t="shared" si="70"/>
        <v>9</v>
      </c>
    </row>
    <row r="4510" spans="1:16" x14ac:dyDescent="0.25">
      <c r="A4510" t="s">
        <v>617</v>
      </c>
      <c r="B4510" t="s">
        <v>669</v>
      </c>
      <c r="C4510" t="s">
        <v>669</v>
      </c>
      <c r="D4510" t="s">
        <v>669</v>
      </c>
      <c r="E4510">
        <v>24</v>
      </c>
      <c r="F4510">
        <v>17</v>
      </c>
      <c r="G4510" t="s">
        <v>692</v>
      </c>
      <c r="H4510" t="s">
        <v>689</v>
      </c>
      <c r="P4510">
        <f t="shared" si="70"/>
        <v>0</v>
      </c>
    </row>
    <row r="4511" spans="1:16" x14ac:dyDescent="0.25">
      <c r="A4511" t="s">
        <v>618</v>
      </c>
      <c r="B4511" t="s">
        <v>669</v>
      </c>
      <c r="C4511" t="s">
        <v>669</v>
      </c>
      <c r="D4511" t="s">
        <v>669</v>
      </c>
      <c r="E4511">
        <v>17</v>
      </c>
      <c r="F4511">
        <v>17</v>
      </c>
      <c r="G4511" t="s">
        <v>689</v>
      </c>
      <c r="H4511" t="s">
        <v>689</v>
      </c>
      <c r="P4511">
        <f t="shared" si="70"/>
        <v>0</v>
      </c>
    </row>
    <row r="4512" spans="1:16" x14ac:dyDescent="0.25">
      <c r="A4512" t="s">
        <v>619</v>
      </c>
      <c r="B4512" t="s">
        <v>669</v>
      </c>
      <c r="C4512" t="s">
        <v>669</v>
      </c>
      <c r="D4512" t="s">
        <v>669</v>
      </c>
      <c r="E4512">
        <v>55</v>
      </c>
      <c r="F4512">
        <v>55</v>
      </c>
      <c r="G4512" t="s">
        <v>737</v>
      </c>
      <c r="H4512" t="s">
        <v>737</v>
      </c>
      <c r="P4512">
        <f t="shared" si="70"/>
        <v>0</v>
      </c>
    </row>
    <row r="4513" spans="1:16" x14ac:dyDescent="0.25">
      <c r="A4513" t="s">
        <v>620</v>
      </c>
      <c r="B4513" t="s">
        <v>669</v>
      </c>
      <c r="C4513" t="s">
        <v>669</v>
      </c>
      <c r="D4513" t="s">
        <v>669</v>
      </c>
      <c r="E4513">
        <v>55</v>
      </c>
      <c r="F4513">
        <v>55</v>
      </c>
      <c r="G4513" t="s">
        <v>737</v>
      </c>
      <c r="H4513" t="s">
        <v>737</v>
      </c>
      <c r="P4513">
        <f t="shared" si="70"/>
        <v>0</v>
      </c>
    </row>
    <row r="4514" spans="1:16" x14ac:dyDescent="0.25">
      <c r="A4514" t="s">
        <v>669</v>
      </c>
      <c r="B4514">
        <v>16158</v>
      </c>
      <c r="C4514" t="s">
        <v>669</v>
      </c>
      <c r="D4514" t="s">
        <v>865</v>
      </c>
      <c r="E4514" t="s">
        <v>910</v>
      </c>
      <c r="F4514">
        <v>8</v>
      </c>
      <c r="H4514" t="s">
        <v>687</v>
      </c>
      <c r="K4514">
        <v>1.6157999999999999E-2</v>
      </c>
      <c r="L4514" t="s">
        <v>303</v>
      </c>
      <c r="N4514">
        <v>16158</v>
      </c>
      <c r="O4514" t="s">
        <v>931</v>
      </c>
      <c r="P4514">
        <f t="shared" si="70"/>
        <v>0</v>
      </c>
    </row>
    <row r="4515" spans="1:16" x14ac:dyDescent="0.25">
      <c r="A4515" t="s">
        <v>621</v>
      </c>
      <c r="B4515" t="s">
        <v>669</v>
      </c>
      <c r="C4515" t="s">
        <v>669</v>
      </c>
      <c r="D4515" t="s">
        <v>669</v>
      </c>
      <c r="E4515">
        <v>163</v>
      </c>
      <c r="F4515">
        <v>163</v>
      </c>
      <c r="G4515" t="s">
        <v>782</v>
      </c>
      <c r="H4515" t="s">
        <v>782</v>
      </c>
      <c r="P4515">
        <f t="shared" si="70"/>
        <v>0</v>
      </c>
    </row>
    <row r="4516" spans="1:16" x14ac:dyDescent="0.25">
      <c r="A4516" t="s">
        <v>622</v>
      </c>
      <c r="B4516" t="s">
        <v>669</v>
      </c>
      <c r="C4516" t="s">
        <v>669</v>
      </c>
      <c r="D4516" t="s">
        <v>669</v>
      </c>
      <c r="E4516">
        <v>163</v>
      </c>
      <c r="F4516">
        <v>161</v>
      </c>
      <c r="G4516" t="s">
        <v>782</v>
      </c>
      <c r="H4516" t="s">
        <v>713</v>
      </c>
      <c r="P4516">
        <f t="shared" si="70"/>
        <v>0</v>
      </c>
    </row>
    <row r="4517" spans="1:16" x14ac:dyDescent="0.25">
      <c r="A4517" t="s">
        <v>669</v>
      </c>
      <c r="B4517">
        <v>16279</v>
      </c>
      <c r="C4517" t="s">
        <v>669</v>
      </c>
      <c r="D4517" t="s">
        <v>865</v>
      </c>
      <c r="E4517" t="s">
        <v>910</v>
      </c>
      <c r="F4517">
        <v>8</v>
      </c>
      <c r="H4517" t="s">
        <v>687</v>
      </c>
      <c r="K4517">
        <v>1.6278999999999998E-2</v>
      </c>
      <c r="L4517" t="s">
        <v>303</v>
      </c>
      <c r="N4517">
        <v>16279</v>
      </c>
      <c r="O4517" t="s">
        <v>931</v>
      </c>
      <c r="P4517">
        <f t="shared" si="70"/>
        <v>0</v>
      </c>
    </row>
    <row r="4518" spans="1:16" x14ac:dyDescent="0.25">
      <c r="A4518" t="s">
        <v>625</v>
      </c>
      <c r="B4518" t="s">
        <v>669</v>
      </c>
      <c r="C4518">
        <v>217</v>
      </c>
      <c r="D4518" t="s">
        <v>669</v>
      </c>
      <c r="E4518">
        <v>68</v>
      </c>
      <c r="F4518">
        <v>68</v>
      </c>
      <c r="G4518" t="s">
        <v>717</v>
      </c>
      <c r="H4518" t="s">
        <v>717</v>
      </c>
      <c r="J4518">
        <v>217</v>
      </c>
      <c r="L4518" t="s">
        <v>303</v>
      </c>
      <c r="M4518">
        <v>217</v>
      </c>
      <c r="P4518">
        <f t="shared" si="70"/>
        <v>0</v>
      </c>
    </row>
    <row r="4519" spans="1:16" x14ac:dyDescent="0.25">
      <c r="A4519" t="s">
        <v>625</v>
      </c>
      <c r="B4519" t="s">
        <v>669</v>
      </c>
      <c r="C4519">
        <v>230</v>
      </c>
      <c r="D4519" t="s">
        <v>669</v>
      </c>
      <c r="E4519">
        <v>68</v>
      </c>
      <c r="F4519">
        <v>68</v>
      </c>
      <c r="G4519" t="s">
        <v>717</v>
      </c>
      <c r="H4519" t="s">
        <v>717</v>
      </c>
      <c r="J4519">
        <v>230</v>
      </c>
      <c r="L4519" t="s">
        <v>303</v>
      </c>
      <c r="M4519">
        <v>230</v>
      </c>
      <c r="P4519">
        <f t="shared" si="70"/>
        <v>0</v>
      </c>
    </row>
    <row r="4520" spans="1:16" x14ac:dyDescent="0.25">
      <c r="A4520" t="s">
        <v>625</v>
      </c>
      <c r="B4520" t="s">
        <v>669</v>
      </c>
      <c r="C4520">
        <v>247</v>
      </c>
      <c r="D4520" t="s">
        <v>669</v>
      </c>
      <c r="E4520">
        <v>68</v>
      </c>
      <c r="F4520">
        <v>68</v>
      </c>
      <c r="G4520" t="s">
        <v>717</v>
      </c>
      <c r="H4520" t="s">
        <v>717</v>
      </c>
      <c r="J4520">
        <v>247</v>
      </c>
      <c r="L4520" t="s">
        <v>303</v>
      </c>
      <c r="M4520">
        <v>247</v>
      </c>
      <c r="P4520">
        <f t="shared" si="70"/>
        <v>0</v>
      </c>
    </row>
    <row r="4521" spans="1:16" x14ac:dyDescent="0.25">
      <c r="A4521" t="s">
        <v>625</v>
      </c>
      <c r="B4521" t="s">
        <v>669</v>
      </c>
      <c r="C4521">
        <v>265</v>
      </c>
      <c r="D4521" t="s">
        <v>669</v>
      </c>
      <c r="E4521">
        <v>68</v>
      </c>
      <c r="F4521">
        <v>68</v>
      </c>
      <c r="G4521" t="s">
        <v>717</v>
      </c>
      <c r="H4521" t="s">
        <v>717</v>
      </c>
      <c r="J4521">
        <v>265</v>
      </c>
      <c r="L4521" t="s">
        <v>303</v>
      </c>
      <c r="M4521">
        <v>265</v>
      </c>
      <c r="P4521">
        <f t="shared" si="70"/>
        <v>0</v>
      </c>
    </row>
    <row r="4522" spans="1:16" x14ac:dyDescent="0.25">
      <c r="A4522" t="s">
        <v>625</v>
      </c>
      <c r="B4522" t="s">
        <v>669</v>
      </c>
      <c r="C4522" t="s">
        <v>669</v>
      </c>
      <c r="D4522" t="s">
        <v>669</v>
      </c>
      <c r="E4522">
        <v>68</v>
      </c>
      <c r="F4522">
        <v>68</v>
      </c>
      <c r="G4522" t="s">
        <v>717</v>
      </c>
      <c r="H4522" t="s">
        <v>717</v>
      </c>
      <c r="P4522">
        <f t="shared" si="70"/>
        <v>0</v>
      </c>
    </row>
    <row r="4523" spans="1:16" x14ac:dyDescent="0.25">
      <c r="A4523" t="s">
        <v>626</v>
      </c>
      <c r="B4523" t="s">
        <v>669</v>
      </c>
      <c r="C4523" t="s">
        <v>669</v>
      </c>
      <c r="D4523" t="s">
        <v>669</v>
      </c>
      <c r="E4523">
        <v>68</v>
      </c>
      <c r="F4523">
        <v>53</v>
      </c>
      <c r="G4523" t="s">
        <v>717</v>
      </c>
      <c r="H4523" t="s">
        <v>711</v>
      </c>
      <c r="P4523">
        <f t="shared" si="70"/>
        <v>0</v>
      </c>
    </row>
    <row r="4524" spans="1:16" x14ac:dyDescent="0.25">
      <c r="A4524" t="s">
        <v>882</v>
      </c>
      <c r="B4524" t="s">
        <v>669</v>
      </c>
      <c r="C4524" t="s">
        <v>669</v>
      </c>
      <c r="D4524" t="s">
        <v>669</v>
      </c>
      <c r="E4524">
        <v>68</v>
      </c>
      <c r="F4524">
        <v>68</v>
      </c>
      <c r="G4524" t="s">
        <v>717</v>
      </c>
      <c r="H4524" t="s">
        <v>717</v>
      </c>
      <c r="P4524">
        <f t="shared" si="70"/>
        <v>0</v>
      </c>
    </row>
    <row r="4525" spans="1:16" x14ac:dyDescent="0.25">
      <c r="A4525" t="s">
        <v>627</v>
      </c>
      <c r="B4525" t="s">
        <v>669</v>
      </c>
      <c r="C4525" t="s">
        <v>669</v>
      </c>
      <c r="D4525" t="s">
        <v>669</v>
      </c>
      <c r="E4525">
        <v>69</v>
      </c>
      <c r="F4525">
        <v>69</v>
      </c>
      <c r="G4525" t="s">
        <v>817</v>
      </c>
      <c r="H4525" t="s">
        <v>817</v>
      </c>
      <c r="P4525">
        <f t="shared" si="70"/>
        <v>0</v>
      </c>
    </row>
    <row r="4526" spans="1:16" x14ac:dyDescent="0.25">
      <c r="A4526" t="s">
        <v>628</v>
      </c>
      <c r="B4526" t="s">
        <v>669</v>
      </c>
      <c r="C4526" t="s">
        <v>669</v>
      </c>
      <c r="D4526" t="s">
        <v>669</v>
      </c>
      <c r="E4526">
        <v>68</v>
      </c>
      <c r="F4526">
        <v>38</v>
      </c>
      <c r="G4526" t="s">
        <v>717</v>
      </c>
      <c r="H4526" t="s">
        <v>704</v>
      </c>
      <c r="P4526">
        <f t="shared" si="70"/>
        <v>0</v>
      </c>
    </row>
    <row r="4527" spans="1:16" x14ac:dyDescent="0.25">
      <c r="A4527" t="s">
        <v>629</v>
      </c>
      <c r="B4527" t="s">
        <v>669</v>
      </c>
      <c r="C4527" t="s">
        <v>669</v>
      </c>
      <c r="D4527" t="s">
        <v>669</v>
      </c>
      <c r="E4527">
        <v>68</v>
      </c>
      <c r="F4527">
        <v>53</v>
      </c>
      <c r="G4527" t="s">
        <v>717</v>
      </c>
      <c r="H4527" t="s">
        <v>711</v>
      </c>
      <c r="P4527">
        <f t="shared" si="70"/>
        <v>0</v>
      </c>
    </row>
    <row r="4528" spans="1:16" x14ac:dyDescent="0.25">
      <c r="A4528" t="s">
        <v>630</v>
      </c>
      <c r="B4528" t="s">
        <v>669</v>
      </c>
      <c r="C4528" t="s">
        <v>669</v>
      </c>
      <c r="D4528" t="s">
        <v>669</v>
      </c>
      <c r="E4528">
        <v>78</v>
      </c>
      <c r="F4528">
        <v>77</v>
      </c>
      <c r="G4528" t="s">
        <v>823</v>
      </c>
      <c r="H4528" t="s">
        <v>950</v>
      </c>
      <c r="P4528">
        <f t="shared" si="70"/>
        <v>0</v>
      </c>
    </row>
    <row r="4529" spans="1:16" x14ac:dyDescent="0.25">
      <c r="A4529" t="s">
        <v>631</v>
      </c>
      <c r="B4529" t="s">
        <v>669</v>
      </c>
      <c r="C4529" t="s">
        <v>669</v>
      </c>
      <c r="D4529" t="s">
        <v>669</v>
      </c>
      <c r="E4529">
        <v>71</v>
      </c>
      <c r="F4529">
        <v>71</v>
      </c>
      <c r="G4529" t="s">
        <v>719</v>
      </c>
      <c r="H4529" t="s">
        <v>719</v>
      </c>
      <c r="P4529">
        <f t="shared" si="70"/>
        <v>0</v>
      </c>
    </row>
    <row r="4530" spans="1:16" x14ac:dyDescent="0.25">
      <c r="A4530" t="s">
        <v>632</v>
      </c>
      <c r="B4530" t="s">
        <v>669</v>
      </c>
      <c r="C4530" t="s">
        <v>669</v>
      </c>
      <c r="D4530" t="s">
        <v>669</v>
      </c>
      <c r="E4530">
        <v>70</v>
      </c>
      <c r="F4530">
        <v>70</v>
      </c>
      <c r="G4530" t="s">
        <v>754</v>
      </c>
      <c r="H4530" t="s">
        <v>754</v>
      </c>
      <c r="P4530">
        <f t="shared" si="70"/>
        <v>0</v>
      </c>
    </row>
    <row r="4531" spans="1:16" x14ac:dyDescent="0.25">
      <c r="A4531" t="s">
        <v>881</v>
      </c>
      <c r="B4531" t="s">
        <v>669</v>
      </c>
      <c r="C4531" t="s">
        <v>669</v>
      </c>
      <c r="D4531" t="s">
        <v>669</v>
      </c>
      <c r="E4531">
        <v>68</v>
      </c>
      <c r="F4531">
        <v>68</v>
      </c>
      <c r="G4531" t="s">
        <v>717</v>
      </c>
      <c r="H4531" t="s">
        <v>717</v>
      </c>
      <c r="I4531" t="s">
        <v>799</v>
      </c>
      <c r="P4531">
        <f t="shared" si="70"/>
        <v>9</v>
      </c>
    </row>
    <row r="4532" spans="1:16" x14ac:dyDescent="0.25">
      <c r="A4532" t="s">
        <v>634</v>
      </c>
      <c r="B4532" t="s">
        <v>669</v>
      </c>
      <c r="C4532" t="s">
        <v>669</v>
      </c>
      <c r="D4532" t="s">
        <v>669</v>
      </c>
      <c r="E4532">
        <v>44</v>
      </c>
      <c r="F4532">
        <v>44</v>
      </c>
      <c r="G4532" t="s">
        <v>710</v>
      </c>
      <c r="H4532" t="s">
        <v>710</v>
      </c>
      <c r="P4532">
        <f t="shared" si="70"/>
        <v>0</v>
      </c>
    </row>
    <row r="4533" spans="1:16" x14ac:dyDescent="0.25">
      <c r="A4533" t="s">
        <v>635</v>
      </c>
      <c r="B4533" t="s">
        <v>669</v>
      </c>
      <c r="C4533" t="s">
        <v>669</v>
      </c>
      <c r="D4533" t="s">
        <v>669</v>
      </c>
      <c r="E4533">
        <v>44</v>
      </c>
      <c r="F4533">
        <v>42</v>
      </c>
      <c r="G4533" t="s">
        <v>710</v>
      </c>
      <c r="H4533" t="s">
        <v>709</v>
      </c>
      <c r="P4533">
        <f t="shared" si="70"/>
        <v>0</v>
      </c>
    </row>
    <row r="4534" spans="1:16" x14ac:dyDescent="0.25">
      <c r="A4534" t="s">
        <v>636</v>
      </c>
      <c r="B4534" t="s">
        <v>669</v>
      </c>
      <c r="C4534" t="s">
        <v>669</v>
      </c>
      <c r="D4534" t="s">
        <v>669</v>
      </c>
      <c r="E4534" t="s">
        <v>910</v>
      </c>
      <c r="F4534" t="s">
        <v>910</v>
      </c>
      <c r="P4534">
        <f t="shared" si="70"/>
        <v>0</v>
      </c>
    </row>
    <row r="4535" spans="1:16" x14ac:dyDescent="0.25">
      <c r="A4535" t="s">
        <v>637</v>
      </c>
      <c r="B4535" t="s">
        <v>669</v>
      </c>
      <c r="C4535" t="s">
        <v>669</v>
      </c>
      <c r="D4535" t="s">
        <v>669</v>
      </c>
      <c r="E4535" t="s">
        <v>910</v>
      </c>
      <c r="F4535" t="s">
        <v>910</v>
      </c>
      <c r="P4535">
        <f t="shared" si="70"/>
        <v>0</v>
      </c>
    </row>
    <row r="4536" spans="1:16" x14ac:dyDescent="0.25">
      <c r="A4536" t="s">
        <v>638</v>
      </c>
      <c r="B4536" t="s">
        <v>669</v>
      </c>
      <c r="C4536" t="s">
        <v>669</v>
      </c>
      <c r="D4536" t="s">
        <v>669</v>
      </c>
      <c r="E4536">
        <v>31</v>
      </c>
      <c r="F4536">
        <v>30</v>
      </c>
      <c r="G4536" t="s">
        <v>742</v>
      </c>
      <c r="H4536" t="s">
        <v>743</v>
      </c>
      <c r="P4536">
        <f t="shared" si="70"/>
        <v>0</v>
      </c>
    </row>
    <row r="4537" spans="1:16" x14ac:dyDescent="0.25">
      <c r="A4537" t="s">
        <v>639</v>
      </c>
      <c r="B4537" t="s">
        <v>669</v>
      </c>
      <c r="C4537" t="s">
        <v>669</v>
      </c>
      <c r="D4537" t="s">
        <v>669</v>
      </c>
      <c r="E4537">
        <v>48</v>
      </c>
      <c r="F4537">
        <v>48</v>
      </c>
      <c r="G4537" t="s">
        <v>705</v>
      </c>
      <c r="H4537" t="s">
        <v>705</v>
      </c>
      <c r="P4537">
        <f t="shared" si="70"/>
        <v>0</v>
      </c>
    </row>
    <row r="4538" spans="1:16" x14ac:dyDescent="0.25">
      <c r="A4538" t="s">
        <v>640</v>
      </c>
      <c r="B4538" t="s">
        <v>669</v>
      </c>
      <c r="C4538" t="s">
        <v>669</v>
      </c>
      <c r="D4538" t="s">
        <v>669</v>
      </c>
      <c r="E4538">
        <v>48</v>
      </c>
      <c r="F4538">
        <v>48</v>
      </c>
      <c r="G4538" t="s">
        <v>705</v>
      </c>
      <c r="H4538" t="s">
        <v>705</v>
      </c>
      <c r="P4538">
        <f t="shared" si="70"/>
        <v>0</v>
      </c>
    </row>
    <row r="4539" spans="1:16" x14ac:dyDescent="0.25">
      <c r="A4539" t="s">
        <v>641</v>
      </c>
      <c r="B4539" t="s">
        <v>669</v>
      </c>
      <c r="C4539" t="s">
        <v>669</v>
      </c>
      <c r="D4539" t="s">
        <v>669</v>
      </c>
      <c r="E4539">
        <v>23</v>
      </c>
      <c r="F4539">
        <v>22</v>
      </c>
      <c r="G4539" t="s">
        <v>676</v>
      </c>
      <c r="H4539" t="s">
        <v>755</v>
      </c>
      <c r="P4539">
        <f t="shared" si="70"/>
        <v>0</v>
      </c>
    </row>
    <row r="4540" spans="1:16" x14ac:dyDescent="0.25">
      <c r="A4540" t="s">
        <v>642</v>
      </c>
      <c r="B4540" t="s">
        <v>669</v>
      </c>
      <c r="C4540" t="s">
        <v>669</v>
      </c>
      <c r="D4540" t="s">
        <v>669</v>
      </c>
      <c r="E4540">
        <v>30</v>
      </c>
      <c r="F4540">
        <v>29</v>
      </c>
      <c r="G4540" t="s">
        <v>743</v>
      </c>
      <c r="H4540" t="s">
        <v>697</v>
      </c>
      <c r="P4540">
        <f t="shared" si="70"/>
        <v>0</v>
      </c>
    </row>
    <row r="4541" spans="1:16" x14ac:dyDescent="0.25">
      <c r="A4541" t="s">
        <v>643</v>
      </c>
      <c r="B4541" t="s">
        <v>669</v>
      </c>
      <c r="C4541" t="s">
        <v>669</v>
      </c>
      <c r="D4541" t="s">
        <v>669</v>
      </c>
      <c r="E4541">
        <v>30</v>
      </c>
      <c r="F4541">
        <v>29</v>
      </c>
      <c r="G4541" t="s">
        <v>743</v>
      </c>
      <c r="H4541" t="s">
        <v>697</v>
      </c>
      <c r="P4541">
        <f t="shared" si="70"/>
        <v>0</v>
      </c>
    </row>
    <row r="4542" spans="1:16" x14ac:dyDescent="0.25">
      <c r="A4542" t="s">
        <v>644</v>
      </c>
      <c r="B4542" t="s">
        <v>669</v>
      </c>
      <c r="C4542" t="s">
        <v>669</v>
      </c>
      <c r="D4542" t="s">
        <v>669</v>
      </c>
      <c r="E4542">
        <v>41</v>
      </c>
      <c r="F4542">
        <v>40</v>
      </c>
      <c r="G4542" t="s">
        <v>706</v>
      </c>
      <c r="H4542" t="s">
        <v>707</v>
      </c>
      <c r="P4542">
        <f t="shared" si="70"/>
        <v>0</v>
      </c>
    </row>
    <row r="4543" spans="1:16" x14ac:dyDescent="0.25">
      <c r="A4543" t="s">
        <v>645</v>
      </c>
      <c r="B4543" t="s">
        <v>669</v>
      </c>
      <c r="C4543" t="s">
        <v>669</v>
      </c>
      <c r="D4543" t="s">
        <v>669</v>
      </c>
      <c r="E4543">
        <v>41</v>
      </c>
      <c r="F4543">
        <v>40</v>
      </c>
      <c r="G4543" t="s">
        <v>706</v>
      </c>
      <c r="H4543" t="s">
        <v>707</v>
      </c>
      <c r="P4543">
        <f t="shared" si="70"/>
        <v>0</v>
      </c>
    </row>
    <row r="4544" spans="1:16" x14ac:dyDescent="0.25">
      <c r="A4544" t="s">
        <v>646</v>
      </c>
      <c r="B4544" t="s">
        <v>669</v>
      </c>
      <c r="C4544" t="s">
        <v>669</v>
      </c>
      <c r="D4544" t="s">
        <v>669</v>
      </c>
      <c r="E4544">
        <v>39</v>
      </c>
      <c r="F4544">
        <v>39</v>
      </c>
      <c r="G4544" t="s">
        <v>806</v>
      </c>
      <c r="H4544" t="s">
        <v>806</v>
      </c>
      <c r="P4544">
        <f t="shared" si="70"/>
        <v>0</v>
      </c>
    </row>
    <row r="4545" spans="1:16" x14ac:dyDescent="0.25">
      <c r="A4545" t="s">
        <v>647</v>
      </c>
      <c r="B4545" t="s">
        <v>669</v>
      </c>
      <c r="C4545" t="s">
        <v>669</v>
      </c>
      <c r="D4545" t="s">
        <v>669</v>
      </c>
      <c r="E4545">
        <v>39</v>
      </c>
      <c r="F4545">
        <v>39</v>
      </c>
      <c r="G4545" t="s">
        <v>806</v>
      </c>
      <c r="H4545" t="s">
        <v>806</v>
      </c>
      <c r="I4545" t="s">
        <v>799</v>
      </c>
      <c r="P4545">
        <f t="shared" si="70"/>
        <v>9</v>
      </c>
    </row>
    <row r="4546" spans="1:16" x14ac:dyDescent="0.25">
      <c r="A4546" t="s">
        <v>648</v>
      </c>
      <c r="B4546" t="s">
        <v>669</v>
      </c>
      <c r="C4546" t="s">
        <v>669</v>
      </c>
      <c r="D4546" t="s">
        <v>669</v>
      </c>
      <c r="E4546">
        <v>110</v>
      </c>
      <c r="F4546">
        <v>110</v>
      </c>
      <c r="G4546" t="s">
        <v>811</v>
      </c>
      <c r="H4546" t="s">
        <v>811</v>
      </c>
      <c r="P4546">
        <f t="shared" si="70"/>
        <v>0</v>
      </c>
    </row>
    <row r="4547" spans="1:16" x14ac:dyDescent="0.25">
      <c r="A4547" t="s">
        <v>880</v>
      </c>
      <c r="B4547" t="s">
        <v>669</v>
      </c>
      <c r="C4547" t="s">
        <v>669</v>
      </c>
      <c r="D4547" t="s">
        <v>669</v>
      </c>
      <c r="E4547">
        <v>30</v>
      </c>
      <c r="F4547">
        <v>29</v>
      </c>
      <c r="G4547" t="s">
        <v>743</v>
      </c>
      <c r="H4547" t="s">
        <v>697</v>
      </c>
      <c r="P4547">
        <f t="shared" ref="P4547:P4610" si="71">LEN(I4547)</f>
        <v>0</v>
      </c>
    </row>
    <row r="4548" spans="1:16" x14ac:dyDescent="0.25">
      <c r="A4548" t="s">
        <v>649</v>
      </c>
      <c r="B4548" t="s">
        <v>669</v>
      </c>
      <c r="C4548" t="s">
        <v>669</v>
      </c>
      <c r="D4548" t="s">
        <v>669</v>
      </c>
      <c r="E4548">
        <v>111</v>
      </c>
      <c r="F4548">
        <v>111</v>
      </c>
      <c r="G4548" t="s">
        <v>724</v>
      </c>
      <c r="H4548" t="s">
        <v>724</v>
      </c>
      <c r="P4548">
        <f t="shared" si="71"/>
        <v>0</v>
      </c>
    </row>
    <row r="4549" spans="1:16" x14ac:dyDescent="0.25">
      <c r="A4549" t="s">
        <v>650</v>
      </c>
      <c r="B4549" t="s">
        <v>669</v>
      </c>
      <c r="C4549" t="s">
        <v>669</v>
      </c>
      <c r="D4549" t="s">
        <v>669</v>
      </c>
      <c r="E4549">
        <v>54</v>
      </c>
      <c r="F4549">
        <v>54</v>
      </c>
      <c r="G4549" t="s">
        <v>796</v>
      </c>
      <c r="H4549" t="s">
        <v>796</v>
      </c>
      <c r="P4549">
        <f t="shared" si="71"/>
        <v>0</v>
      </c>
    </row>
    <row r="4550" spans="1:16" x14ac:dyDescent="0.25">
      <c r="A4550" t="s">
        <v>651</v>
      </c>
      <c r="B4550" t="s">
        <v>669</v>
      </c>
      <c r="C4550" t="s">
        <v>669</v>
      </c>
      <c r="D4550" t="s">
        <v>669</v>
      </c>
      <c r="E4550">
        <v>19</v>
      </c>
      <c r="F4550">
        <v>18</v>
      </c>
      <c r="G4550" t="s">
        <v>800</v>
      </c>
      <c r="H4550" t="s">
        <v>693</v>
      </c>
      <c r="P4550">
        <f t="shared" si="71"/>
        <v>0</v>
      </c>
    </row>
    <row r="4551" spans="1:16" x14ac:dyDescent="0.25">
      <c r="A4551" t="s">
        <v>652</v>
      </c>
      <c r="B4551" t="s">
        <v>669</v>
      </c>
      <c r="C4551" t="s">
        <v>669</v>
      </c>
      <c r="D4551" t="s">
        <v>669</v>
      </c>
      <c r="E4551">
        <v>19</v>
      </c>
      <c r="F4551">
        <v>18</v>
      </c>
      <c r="G4551" t="s">
        <v>800</v>
      </c>
      <c r="H4551" t="s">
        <v>693</v>
      </c>
      <c r="P4551">
        <f t="shared" si="71"/>
        <v>0</v>
      </c>
    </row>
    <row r="4552" spans="1:16" x14ac:dyDescent="0.25">
      <c r="A4552" t="s">
        <v>879</v>
      </c>
      <c r="B4552" t="s">
        <v>669</v>
      </c>
      <c r="C4552" t="s">
        <v>669</v>
      </c>
      <c r="D4552" t="s">
        <v>669</v>
      </c>
      <c r="E4552">
        <v>18</v>
      </c>
      <c r="F4552">
        <v>18</v>
      </c>
      <c r="G4552" t="s">
        <v>693</v>
      </c>
      <c r="H4552" t="s">
        <v>693</v>
      </c>
      <c r="P4552">
        <f t="shared" si="71"/>
        <v>0</v>
      </c>
    </row>
    <row r="4553" spans="1:16" x14ac:dyDescent="0.25">
      <c r="A4553" t="s">
        <v>878</v>
      </c>
      <c r="B4553" t="s">
        <v>669</v>
      </c>
      <c r="C4553" t="s">
        <v>669</v>
      </c>
      <c r="D4553" t="s">
        <v>669</v>
      </c>
      <c r="E4553">
        <v>18</v>
      </c>
      <c r="F4553">
        <v>18</v>
      </c>
      <c r="G4553" t="s">
        <v>693</v>
      </c>
      <c r="H4553" t="s">
        <v>693</v>
      </c>
      <c r="P4553">
        <f t="shared" si="71"/>
        <v>0</v>
      </c>
    </row>
    <row r="4554" spans="1:16" x14ac:dyDescent="0.25">
      <c r="A4554" t="s">
        <v>877</v>
      </c>
      <c r="B4554" t="s">
        <v>669</v>
      </c>
      <c r="C4554" t="s">
        <v>669</v>
      </c>
      <c r="D4554" t="s">
        <v>669</v>
      </c>
      <c r="E4554">
        <v>18</v>
      </c>
      <c r="F4554">
        <v>18</v>
      </c>
      <c r="G4554" t="s">
        <v>693</v>
      </c>
      <c r="H4554" t="s">
        <v>693</v>
      </c>
      <c r="P4554">
        <f t="shared" si="71"/>
        <v>0</v>
      </c>
    </row>
    <row r="4555" spans="1:16" x14ac:dyDescent="0.25">
      <c r="A4555" t="s">
        <v>876</v>
      </c>
      <c r="B4555" t="s">
        <v>669</v>
      </c>
      <c r="C4555" t="s">
        <v>669</v>
      </c>
      <c r="D4555" t="s">
        <v>669</v>
      </c>
      <c r="E4555">
        <v>19</v>
      </c>
      <c r="F4555">
        <v>19</v>
      </c>
      <c r="G4555" t="s">
        <v>800</v>
      </c>
      <c r="H4555" t="s">
        <v>800</v>
      </c>
      <c r="P4555">
        <f t="shared" si="71"/>
        <v>0</v>
      </c>
    </row>
    <row r="4556" spans="1:16" x14ac:dyDescent="0.25">
      <c r="A4556" t="s">
        <v>875</v>
      </c>
      <c r="B4556" t="s">
        <v>669</v>
      </c>
      <c r="C4556" t="s">
        <v>669</v>
      </c>
      <c r="D4556" t="s">
        <v>669</v>
      </c>
      <c r="E4556">
        <v>35</v>
      </c>
      <c r="F4556">
        <v>34</v>
      </c>
      <c r="G4556" t="s">
        <v>801</v>
      </c>
      <c r="H4556" t="s">
        <v>699</v>
      </c>
      <c r="P4556">
        <f t="shared" si="71"/>
        <v>0</v>
      </c>
    </row>
    <row r="4557" spans="1:16" x14ac:dyDescent="0.25">
      <c r="A4557" t="s">
        <v>655</v>
      </c>
      <c r="B4557" t="s">
        <v>669</v>
      </c>
      <c r="C4557" t="s">
        <v>669</v>
      </c>
      <c r="D4557" t="s">
        <v>669</v>
      </c>
      <c r="E4557">
        <v>15</v>
      </c>
      <c r="F4557">
        <v>15</v>
      </c>
      <c r="G4557" t="s">
        <v>834</v>
      </c>
      <c r="H4557" t="s">
        <v>834</v>
      </c>
      <c r="P4557">
        <f t="shared" si="71"/>
        <v>0</v>
      </c>
    </row>
    <row r="4558" spans="1:16" x14ac:dyDescent="0.25">
      <c r="A4558" t="s">
        <v>656</v>
      </c>
      <c r="B4558" t="s">
        <v>669</v>
      </c>
      <c r="C4558" t="s">
        <v>669</v>
      </c>
      <c r="D4558" t="s">
        <v>669</v>
      </c>
      <c r="E4558">
        <v>15</v>
      </c>
      <c r="F4558">
        <v>8</v>
      </c>
      <c r="G4558" t="s">
        <v>834</v>
      </c>
      <c r="H4558" t="s">
        <v>687</v>
      </c>
      <c r="P4558">
        <f t="shared" si="71"/>
        <v>0</v>
      </c>
    </row>
    <row r="4559" spans="1:16" x14ac:dyDescent="0.25">
      <c r="A4559" t="s">
        <v>657</v>
      </c>
      <c r="B4559" t="s">
        <v>669</v>
      </c>
      <c r="C4559" t="s">
        <v>669</v>
      </c>
      <c r="D4559" t="s">
        <v>669</v>
      </c>
      <c r="E4559">
        <v>69</v>
      </c>
      <c r="F4559">
        <v>69</v>
      </c>
      <c r="G4559" t="s">
        <v>817</v>
      </c>
      <c r="H4559" t="s">
        <v>817</v>
      </c>
      <c r="P4559">
        <f t="shared" si="71"/>
        <v>0</v>
      </c>
    </row>
    <row r="4560" spans="1:16" x14ac:dyDescent="0.25">
      <c r="A4560" t="s">
        <v>658</v>
      </c>
      <c r="B4560" t="s">
        <v>669</v>
      </c>
      <c r="C4560">
        <v>208</v>
      </c>
      <c r="D4560" t="s">
        <v>669</v>
      </c>
      <c r="E4560">
        <v>70</v>
      </c>
      <c r="F4560">
        <v>70</v>
      </c>
      <c r="G4560" t="s">
        <v>754</v>
      </c>
      <c r="H4560" t="s">
        <v>754</v>
      </c>
      <c r="J4560">
        <v>208</v>
      </c>
      <c r="L4560" t="s">
        <v>303</v>
      </c>
      <c r="M4560">
        <v>208</v>
      </c>
      <c r="P4560">
        <f t="shared" si="71"/>
        <v>0</v>
      </c>
    </row>
    <row r="4561" spans="1:16" x14ac:dyDescent="0.25">
      <c r="A4561" t="s">
        <v>659</v>
      </c>
      <c r="B4561" t="s">
        <v>669</v>
      </c>
      <c r="C4561" t="s">
        <v>669</v>
      </c>
      <c r="D4561" t="s">
        <v>669</v>
      </c>
      <c r="E4561">
        <v>51</v>
      </c>
      <c r="F4561">
        <v>51</v>
      </c>
      <c r="G4561" t="s">
        <v>785</v>
      </c>
      <c r="H4561" t="s">
        <v>785</v>
      </c>
      <c r="P4561">
        <f t="shared" si="71"/>
        <v>0</v>
      </c>
    </row>
    <row r="4562" spans="1:16" x14ac:dyDescent="0.25">
      <c r="A4562" t="s">
        <v>660</v>
      </c>
      <c r="B4562" t="s">
        <v>669</v>
      </c>
      <c r="C4562" t="s">
        <v>669</v>
      </c>
      <c r="D4562" t="s">
        <v>669</v>
      </c>
      <c r="E4562">
        <v>51</v>
      </c>
      <c r="F4562">
        <v>51</v>
      </c>
      <c r="G4562" t="s">
        <v>785</v>
      </c>
      <c r="H4562" t="s">
        <v>785</v>
      </c>
      <c r="P4562">
        <f t="shared" si="71"/>
        <v>0</v>
      </c>
    </row>
    <row r="4563" spans="1:16" x14ac:dyDescent="0.25">
      <c r="A4563" t="s">
        <v>661</v>
      </c>
      <c r="B4563" t="s">
        <v>669</v>
      </c>
      <c r="C4563" t="s">
        <v>669</v>
      </c>
      <c r="D4563" t="s">
        <v>669</v>
      </c>
      <c r="E4563">
        <v>161</v>
      </c>
      <c r="F4563">
        <v>161</v>
      </c>
      <c r="G4563" t="s">
        <v>713</v>
      </c>
      <c r="H4563" t="s">
        <v>713</v>
      </c>
      <c r="P4563">
        <f t="shared" si="71"/>
        <v>0</v>
      </c>
    </row>
    <row r="4564" spans="1:16" x14ac:dyDescent="0.25">
      <c r="A4564" t="s">
        <v>669</v>
      </c>
      <c r="B4564">
        <v>16379</v>
      </c>
      <c r="C4564" t="s">
        <v>669</v>
      </c>
      <c r="D4564" t="s">
        <v>865</v>
      </c>
      <c r="E4564" t="s">
        <v>910</v>
      </c>
      <c r="F4564">
        <v>8</v>
      </c>
      <c r="H4564" t="s">
        <v>687</v>
      </c>
      <c r="K4564">
        <v>1.6379000000000001E-2</v>
      </c>
      <c r="L4564" t="s">
        <v>303</v>
      </c>
      <c r="N4564">
        <v>16379</v>
      </c>
      <c r="O4564" t="s">
        <v>931</v>
      </c>
      <c r="P4564">
        <f t="shared" si="71"/>
        <v>0</v>
      </c>
    </row>
    <row r="4565" spans="1:16" x14ac:dyDescent="0.25">
      <c r="A4565" t="s">
        <v>669</v>
      </c>
      <c r="B4565">
        <v>16477</v>
      </c>
      <c r="C4565" t="s">
        <v>669</v>
      </c>
      <c r="D4565" t="s">
        <v>865</v>
      </c>
      <c r="E4565" t="s">
        <v>910</v>
      </c>
      <c r="F4565">
        <v>8</v>
      </c>
      <c r="H4565" t="s">
        <v>687</v>
      </c>
      <c r="K4565">
        <v>1.6476999999999999E-2</v>
      </c>
      <c r="L4565" t="s">
        <v>303</v>
      </c>
      <c r="N4565">
        <v>16477</v>
      </c>
      <c r="O4565" t="s">
        <v>931</v>
      </c>
      <c r="P4565">
        <f t="shared" si="71"/>
        <v>0</v>
      </c>
    </row>
    <row r="4566" spans="1:16" x14ac:dyDescent="0.25">
      <c r="A4566" t="s">
        <v>669</v>
      </c>
      <c r="B4566">
        <v>16509</v>
      </c>
      <c r="C4566" t="s">
        <v>669</v>
      </c>
      <c r="D4566" t="s">
        <v>865</v>
      </c>
      <c r="E4566" t="s">
        <v>910</v>
      </c>
      <c r="F4566">
        <v>8</v>
      </c>
      <c r="H4566" t="s">
        <v>687</v>
      </c>
      <c r="K4566">
        <v>1.6508999999999999E-2</v>
      </c>
      <c r="L4566" t="s">
        <v>303</v>
      </c>
      <c r="N4566">
        <v>16509</v>
      </c>
      <c r="O4566" t="s">
        <v>931</v>
      </c>
      <c r="P4566">
        <f t="shared" si="71"/>
        <v>0</v>
      </c>
    </row>
    <row r="4567" spans="1:16" x14ac:dyDescent="0.25">
      <c r="A4567" t="s">
        <v>669</v>
      </c>
      <c r="B4567">
        <v>16530</v>
      </c>
      <c r="C4567" t="s">
        <v>669</v>
      </c>
      <c r="D4567" t="s">
        <v>865</v>
      </c>
      <c r="E4567" t="s">
        <v>910</v>
      </c>
      <c r="F4567">
        <v>8</v>
      </c>
      <c r="H4567" t="s">
        <v>687</v>
      </c>
      <c r="K4567">
        <v>1.653E-2</v>
      </c>
      <c r="L4567" t="s">
        <v>303</v>
      </c>
      <c r="N4567">
        <v>16530</v>
      </c>
      <c r="O4567" t="s">
        <v>931</v>
      </c>
      <c r="P4567">
        <f t="shared" si="71"/>
        <v>0</v>
      </c>
    </row>
    <row r="4568" spans="1:16" x14ac:dyDescent="0.25">
      <c r="A4568" t="s">
        <v>663</v>
      </c>
      <c r="B4568" t="s">
        <v>669</v>
      </c>
      <c r="C4568" t="s">
        <v>669</v>
      </c>
      <c r="D4568" t="s">
        <v>669</v>
      </c>
      <c r="E4568">
        <v>57</v>
      </c>
      <c r="F4568">
        <v>55</v>
      </c>
      <c r="G4568" t="s">
        <v>732</v>
      </c>
      <c r="H4568" t="s">
        <v>737</v>
      </c>
      <c r="P4568">
        <f t="shared" si="71"/>
        <v>0</v>
      </c>
    </row>
    <row r="4569" spans="1:16" x14ac:dyDescent="0.25">
      <c r="A4569" t="s">
        <v>664</v>
      </c>
      <c r="B4569" t="s">
        <v>669</v>
      </c>
      <c r="C4569" t="s">
        <v>669</v>
      </c>
      <c r="D4569" t="s">
        <v>669</v>
      </c>
      <c r="E4569">
        <v>98</v>
      </c>
      <c r="F4569">
        <v>98</v>
      </c>
      <c r="G4569" t="s">
        <v>794</v>
      </c>
      <c r="H4569" t="s">
        <v>794</v>
      </c>
      <c r="P4569">
        <f t="shared" si="71"/>
        <v>0</v>
      </c>
    </row>
    <row r="4570" spans="1:16" x14ac:dyDescent="0.25">
      <c r="A4570" t="s">
        <v>669</v>
      </c>
      <c r="B4570">
        <v>44100</v>
      </c>
      <c r="C4570" t="s">
        <v>669</v>
      </c>
      <c r="D4570" t="s">
        <v>669</v>
      </c>
      <c r="E4570" t="s">
        <v>910</v>
      </c>
      <c r="F4570">
        <v>8</v>
      </c>
      <c r="H4570" t="s">
        <v>687</v>
      </c>
      <c r="I4570" t="s">
        <v>927</v>
      </c>
      <c r="K4570">
        <v>4.41E-2</v>
      </c>
      <c r="L4570" t="s">
        <v>930</v>
      </c>
      <c r="N4570">
        <v>44100</v>
      </c>
      <c r="P4570">
        <f t="shared" si="71"/>
        <v>14</v>
      </c>
    </row>
    <row r="4571" spans="1:16" x14ac:dyDescent="0.25">
      <c r="A4571" t="s">
        <v>669</v>
      </c>
      <c r="B4571">
        <v>16614</v>
      </c>
      <c r="C4571" t="s">
        <v>669</v>
      </c>
      <c r="D4571" t="s">
        <v>865</v>
      </c>
      <c r="E4571" t="s">
        <v>910</v>
      </c>
      <c r="F4571">
        <v>8</v>
      </c>
      <c r="H4571" t="s">
        <v>687</v>
      </c>
      <c r="K4571">
        <v>1.6614E-2</v>
      </c>
      <c r="L4571" t="s">
        <v>303</v>
      </c>
      <c r="N4571">
        <v>16614</v>
      </c>
      <c r="O4571" t="s">
        <v>931</v>
      </c>
      <c r="P4571">
        <f t="shared" si="71"/>
        <v>0</v>
      </c>
    </row>
    <row r="4572" spans="1:16" x14ac:dyDescent="0.25">
      <c r="A4572" t="s">
        <v>666</v>
      </c>
      <c r="B4572" t="s">
        <v>669</v>
      </c>
      <c r="C4572" t="s">
        <v>669</v>
      </c>
      <c r="D4572" t="s">
        <v>669</v>
      </c>
      <c r="E4572">
        <v>98</v>
      </c>
      <c r="F4572">
        <v>98</v>
      </c>
      <c r="G4572" t="s">
        <v>794</v>
      </c>
      <c r="H4572" t="s">
        <v>794</v>
      </c>
      <c r="P4572">
        <f t="shared" si="71"/>
        <v>0</v>
      </c>
    </row>
    <row r="4573" spans="1:16" x14ac:dyDescent="0.25">
      <c r="A4573" t="s">
        <v>667</v>
      </c>
      <c r="B4573" t="s">
        <v>669</v>
      </c>
      <c r="C4573" t="s">
        <v>669</v>
      </c>
      <c r="D4573" t="s">
        <v>669</v>
      </c>
      <c r="E4573">
        <v>98</v>
      </c>
      <c r="F4573">
        <v>98</v>
      </c>
      <c r="G4573" t="s">
        <v>794</v>
      </c>
      <c r="H4573" t="s">
        <v>794</v>
      </c>
      <c r="P4573">
        <f t="shared" si="71"/>
        <v>0</v>
      </c>
    </row>
    <row r="4574" spans="1:16" x14ac:dyDescent="0.25">
      <c r="A4574" t="s">
        <v>668</v>
      </c>
      <c r="B4574" t="s">
        <v>669</v>
      </c>
      <c r="C4574" t="s">
        <v>669</v>
      </c>
      <c r="D4574" t="s">
        <v>669</v>
      </c>
      <c r="E4574">
        <v>32</v>
      </c>
      <c r="F4574">
        <v>32</v>
      </c>
      <c r="G4574" t="s">
        <v>696</v>
      </c>
      <c r="H4574" t="s">
        <v>696</v>
      </c>
      <c r="P4574">
        <f t="shared" si="71"/>
        <v>0</v>
      </c>
    </row>
    <row r="4575" spans="1:16" x14ac:dyDescent="0.25">
      <c r="A4575" t="s">
        <v>669</v>
      </c>
      <c r="B4575">
        <v>16669</v>
      </c>
      <c r="C4575" t="s">
        <v>669</v>
      </c>
      <c r="D4575" t="s">
        <v>865</v>
      </c>
      <c r="E4575" t="s">
        <v>910</v>
      </c>
      <c r="F4575">
        <v>8</v>
      </c>
      <c r="H4575" t="s">
        <v>687</v>
      </c>
      <c r="K4575">
        <v>1.6669E-2</v>
      </c>
      <c r="L4575" t="s">
        <v>303</v>
      </c>
      <c r="N4575">
        <v>16669</v>
      </c>
      <c r="O4575" t="s">
        <v>931</v>
      </c>
      <c r="P4575">
        <f t="shared" si="71"/>
        <v>0</v>
      </c>
    </row>
    <row r="4576" spans="1:16" x14ac:dyDescent="0.25">
      <c r="A4576" t="s">
        <v>669</v>
      </c>
      <c r="B4576" t="s">
        <v>669</v>
      </c>
      <c r="C4576">
        <v>0.1</v>
      </c>
      <c r="D4576" t="s">
        <v>669</v>
      </c>
      <c r="E4576">
        <v>8</v>
      </c>
      <c r="F4576" t="s">
        <v>910</v>
      </c>
      <c r="G4576" t="s">
        <v>687</v>
      </c>
      <c r="J4576">
        <v>0.1</v>
      </c>
      <c r="L4576" t="s">
        <v>930</v>
      </c>
      <c r="M4576">
        <v>0.1</v>
      </c>
      <c r="P4576">
        <f t="shared" si="71"/>
        <v>0</v>
      </c>
    </row>
    <row r="4577" spans="1:16" x14ac:dyDescent="0.25">
      <c r="A4577" t="s">
        <v>669</v>
      </c>
      <c r="B4577">
        <v>16757</v>
      </c>
      <c r="C4577" t="s">
        <v>669</v>
      </c>
      <c r="D4577" t="s">
        <v>865</v>
      </c>
      <c r="E4577" t="s">
        <v>910</v>
      </c>
      <c r="F4577">
        <v>8</v>
      </c>
      <c r="H4577" t="s">
        <v>687</v>
      </c>
      <c r="K4577">
        <v>1.6757000000000001E-2</v>
      </c>
      <c r="L4577" t="s">
        <v>303</v>
      </c>
      <c r="N4577">
        <v>16757</v>
      </c>
      <c r="O4577" t="s">
        <v>931</v>
      </c>
      <c r="P4577">
        <f t="shared" si="71"/>
        <v>0</v>
      </c>
    </row>
    <row r="4578" spans="1:16" x14ac:dyDescent="0.25">
      <c r="A4578" t="s">
        <v>669</v>
      </c>
      <c r="B4578">
        <v>16766</v>
      </c>
      <c r="C4578" t="s">
        <v>669</v>
      </c>
      <c r="D4578" t="s">
        <v>865</v>
      </c>
      <c r="E4578" t="s">
        <v>910</v>
      </c>
      <c r="F4578">
        <v>8</v>
      </c>
      <c r="H4578" t="s">
        <v>687</v>
      </c>
      <c r="K4578">
        <v>1.6766E-2</v>
      </c>
      <c r="L4578" t="s">
        <v>303</v>
      </c>
      <c r="N4578">
        <v>16766</v>
      </c>
      <c r="O4578" t="s">
        <v>931</v>
      </c>
      <c r="P4578">
        <f t="shared" si="71"/>
        <v>0</v>
      </c>
    </row>
    <row r="4579" spans="1:16" x14ac:dyDescent="0.25">
      <c r="A4579" t="s">
        <v>669</v>
      </c>
      <c r="B4579">
        <v>16877</v>
      </c>
      <c r="C4579" t="s">
        <v>669</v>
      </c>
      <c r="D4579" t="s">
        <v>865</v>
      </c>
      <c r="E4579" t="s">
        <v>910</v>
      </c>
      <c r="F4579">
        <v>8</v>
      </c>
      <c r="H4579" t="s">
        <v>687</v>
      </c>
      <c r="K4579">
        <v>1.6877E-2</v>
      </c>
      <c r="L4579" t="s">
        <v>303</v>
      </c>
      <c r="N4579">
        <v>16877</v>
      </c>
      <c r="O4579" t="s">
        <v>931</v>
      </c>
      <c r="P4579">
        <f t="shared" si="71"/>
        <v>0</v>
      </c>
    </row>
    <row r="4580" spans="1:16" x14ac:dyDescent="0.25">
      <c r="A4580" t="s">
        <v>669</v>
      </c>
      <c r="B4580">
        <v>16898</v>
      </c>
      <c r="C4580" t="s">
        <v>669</v>
      </c>
      <c r="D4580" t="s">
        <v>865</v>
      </c>
      <c r="E4580" t="s">
        <v>910</v>
      </c>
      <c r="F4580">
        <v>8</v>
      </c>
      <c r="H4580" t="s">
        <v>687</v>
      </c>
      <c r="K4580">
        <v>1.6898E-2</v>
      </c>
      <c r="L4580" t="s">
        <v>303</v>
      </c>
      <c r="N4580">
        <v>16898</v>
      </c>
      <c r="O4580" t="s">
        <v>931</v>
      </c>
      <c r="P4580">
        <f t="shared" si="71"/>
        <v>0</v>
      </c>
    </row>
    <row r="4581" spans="1:16" x14ac:dyDescent="0.25">
      <c r="A4581" t="s">
        <v>669</v>
      </c>
      <c r="B4581">
        <v>16899</v>
      </c>
      <c r="C4581" t="s">
        <v>669</v>
      </c>
      <c r="D4581" t="s">
        <v>865</v>
      </c>
      <c r="E4581" t="s">
        <v>910</v>
      </c>
      <c r="F4581">
        <v>8</v>
      </c>
      <c r="H4581" t="s">
        <v>687</v>
      </c>
      <c r="K4581">
        <v>1.6899000000000001E-2</v>
      </c>
      <c r="L4581" t="s">
        <v>303</v>
      </c>
      <c r="N4581">
        <v>16899</v>
      </c>
      <c r="O4581" t="s">
        <v>931</v>
      </c>
      <c r="P4581">
        <f t="shared" si="71"/>
        <v>0</v>
      </c>
    </row>
    <row r="4582" spans="1:16" x14ac:dyDescent="0.25">
      <c r="A4582" t="s">
        <v>669</v>
      </c>
      <c r="B4582">
        <v>17049</v>
      </c>
      <c r="C4582" t="s">
        <v>669</v>
      </c>
      <c r="D4582" t="s">
        <v>865</v>
      </c>
      <c r="E4582" t="s">
        <v>910</v>
      </c>
      <c r="F4582">
        <v>8</v>
      </c>
      <c r="H4582" t="s">
        <v>687</v>
      </c>
      <c r="K4582">
        <v>1.7049000000000002E-2</v>
      </c>
      <c r="L4582" t="s">
        <v>303</v>
      </c>
      <c r="N4582">
        <v>17049</v>
      </c>
      <c r="O4582" t="s">
        <v>931</v>
      </c>
      <c r="P4582">
        <f t="shared" si="71"/>
        <v>0</v>
      </c>
    </row>
    <row r="4583" spans="1:16" x14ac:dyDescent="0.25">
      <c r="A4583" t="s">
        <v>669</v>
      </c>
      <c r="B4583">
        <v>17268</v>
      </c>
      <c r="C4583" t="s">
        <v>669</v>
      </c>
      <c r="D4583" t="s">
        <v>865</v>
      </c>
      <c r="E4583" t="s">
        <v>910</v>
      </c>
      <c r="F4583">
        <v>8</v>
      </c>
      <c r="H4583" t="s">
        <v>687</v>
      </c>
      <c r="K4583">
        <v>1.7267999999999999E-2</v>
      </c>
      <c r="L4583" t="s">
        <v>303</v>
      </c>
      <c r="N4583">
        <v>17268</v>
      </c>
      <c r="O4583" t="s">
        <v>931</v>
      </c>
      <c r="P4583">
        <f t="shared" si="71"/>
        <v>0</v>
      </c>
    </row>
    <row r="4584" spans="1:16" x14ac:dyDescent="0.25">
      <c r="A4584" t="s">
        <v>669</v>
      </c>
      <c r="B4584">
        <v>17334</v>
      </c>
      <c r="C4584" t="s">
        <v>669</v>
      </c>
      <c r="D4584" t="s">
        <v>865</v>
      </c>
      <c r="E4584" t="s">
        <v>910</v>
      </c>
      <c r="F4584">
        <v>8</v>
      </c>
      <c r="H4584" t="s">
        <v>687</v>
      </c>
      <c r="K4584">
        <v>1.7333999999999999E-2</v>
      </c>
      <c r="L4584" t="s">
        <v>303</v>
      </c>
      <c r="N4584">
        <v>17334</v>
      </c>
      <c r="O4584" t="s">
        <v>931</v>
      </c>
      <c r="P4584">
        <f t="shared" si="71"/>
        <v>0</v>
      </c>
    </row>
    <row r="4585" spans="1:16" x14ac:dyDescent="0.25">
      <c r="A4585" t="s">
        <v>403</v>
      </c>
      <c r="B4585" t="s">
        <v>669</v>
      </c>
      <c r="C4585" t="s">
        <v>669</v>
      </c>
      <c r="D4585" t="s">
        <v>864</v>
      </c>
      <c r="E4585">
        <v>5</v>
      </c>
      <c r="F4585">
        <v>5</v>
      </c>
      <c r="G4585" t="s">
        <v>684</v>
      </c>
      <c r="H4585" t="s">
        <v>684</v>
      </c>
      <c r="P4585">
        <f t="shared" si="71"/>
        <v>0</v>
      </c>
    </row>
    <row r="4586" spans="1:16" x14ac:dyDescent="0.25">
      <c r="A4586" t="s">
        <v>669</v>
      </c>
      <c r="B4586">
        <v>17376</v>
      </c>
      <c r="C4586" t="s">
        <v>669</v>
      </c>
      <c r="D4586" t="s">
        <v>865</v>
      </c>
      <c r="E4586" t="s">
        <v>910</v>
      </c>
      <c r="F4586">
        <v>8</v>
      </c>
      <c r="H4586" t="s">
        <v>687</v>
      </c>
      <c r="K4586">
        <v>1.7375999999999999E-2</v>
      </c>
      <c r="L4586" t="s">
        <v>303</v>
      </c>
      <c r="N4586">
        <v>17376</v>
      </c>
      <c r="O4586" t="s">
        <v>931</v>
      </c>
      <c r="P4586">
        <f t="shared" si="71"/>
        <v>0</v>
      </c>
    </row>
    <row r="4587" spans="1:16" x14ac:dyDescent="0.25">
      <c r="A4587" t="s">
        <v>669</v>
      </c>
      <c r="B4587">
        <v>17481</v>
      </c>
      <c r="C4587" t="s">
        <v>669</v>
      </c>
      <c r="D4587" t="s">
        <v>865</v>
      </c>
      <c r="E4587" t="s">
        <v>910</v>
      </c>
      <c r="F4587">
        <v>8</v>
      </c>
      <c r="H4587" t="s">
        <v>687</v>
      </c>
      <c r="K4587">
        <v>1.7481E-2</v>
      </c>
      <c r="L4587" t="s">
        <v>303</v>
      </c>
      <c r="N4587">
        <v>17481</v>
      </c>
      <c r="O4587" t="s">
        <v>931</v>
      </c>
      <c r="P4587">
        <f t="shared" si="71"/>
        <v>0</v>
      </c>
    </row>
    <row r="4588" spans="1:16" x14ac:dyDescent="0.25">
      <c r="A4588" t="s">
        <v>213</v>
      </c>
      <c r="B4588">
        <v>20000</v>
      </c>
      <c r="C4588" t="s">
        <v>669</v>
      </c>
      <c r="D4588" t="s">
        <v>857</v>
      </c>
      <c r="E4588" t="s">
        <v>910</v>
      </c>
      <c r="F4588">
        <v>8</v>
      </c>
      <c r="H4588" t="s">
        <v>687</v>
      </c>
      <c r="I4588" t="s">
        <v>933</v>
      </c>
      <c r="K4588">
        <v>0.02</v>
      </c>
      <c r="L4588" t="s">
        <v>303</v>
      </c>
      <c r="N4588">
        <v>20000</v>
      </c>
      <c r="O4588" t="s">
        <v>857</v>
      </c>
      <c r="P4588">
        <f t="shared" si="71"/>
        <v>42</v>
      </c>
    </row>
    <row r="4589" spans="1:16" x14ac:dyDescent="0.25">
      <c r="A4589" t="s">
        <v>213</v>
      </c>
      <c r="B4589">
        <v>30000</v>
      </c>
      <c r="C4589" t="s">
        <v>669</v>
      </c>
      <c r="D4589" t="s">
        <v>857</v>
      </c>
      <c r="E4589" t="s">
        <v>910</v>
      </c>
      <c r="F4589">
        <v>8</v>
      </c>
      <c r="H4589" t="s">
        <v>687</v>
      </c>
      <c r="I4589" t="s">
        <v>933</v>
      </c>
      <c r="K4589">
        <v>0.03</v>
      </c>
      <c r="L4589" t="s">
        <v>303</v>
      </c>
      <c r="N4589">
        <v>30000</v>
      </c>
      <c r="O4589" t="s">
        <v>857</v>
      </c>
      <c r="P4589">
        <f t="shared" si="71"/>
        <v>42</v>
      </c>
    </row>
    <row r="4590" spans="1:16" x14ac:dyDescent="0.25">
      <c r="A4590" t="s">
        <v>669</v>
      </c>
      <c r="B4590" t="s">
        <v>669</v>
      </c>
      <c r="C4590">
        <v>266</v>
      </c>
      <c r="D4590" t="s">
        <v>669</v>
      </c>
      <c r="E4590" t="s">
        <v>910</v>
      </c>
      <c r="F4590" t="s">
        <v>910</v>
      </c>
      <c r="J4590">
        <v>266</v>
      </c>
      <c r="L4590" t="s">
        <v>930</v>
      </c>
      <c r="M4590">
        <v>266</v>
      </c>
      <c r="P4590">
        <f t="shared" si="71"/>
        <v>0</v>
      </c>
    </row>
    <row r="4591" spans="1:16" x14ac:dyDescent="0.25">
      <c r="A4591" t="s">
        <v>669</v>
      </c>
      <c r="B4591">
        <v>51000</v>
      </c>
      <c r="C4591" t="s">
        <v>669</v>
      </c>
      <c r="D4591" t="s">
        <v>857</v>
      </c>
      <c r="E4591" t="s">
        <v>910</v>
      </c>
      <c r="F4591">
        <v>8</v>
      </c>
      <c r="H4591" t="s">
        <v>687</v>
      </c>
      <c r="I4591" t="s">
        <v>933</v>
      </c>
      <c r="K4591">
        <v>5.0999999999999997E-2</v>
      </c>
      <c r="L4591" t="s">
        <v>303</v>
      </c>
      <c r="N4591">
        <v>51000</v>
      </c>
      <c r="O4591" t="s">
        <v>857</v>
      </c>
      <c r="P4591">
        <f t="shared" si="71"/>
        <v>42</v>
      </c>
    </row>
    <row r="4592" spans="1:16" x14ac:dyDescent="0.25">
      <c r="A4592" t="s">
        <v>669</v>
      </c>
      <c r="B4592" t="s">
        <v>669</v>
      </c>
      <c r="C4592">
        <v>317.3</v>
      </c>
      <c r="D4592" t="s">
        <v>669</v>
      </c>
      <c r="E4592" t="s">
        <v>910</v>
      </c>
      <c r="F4592" t="s">
        <v>910</v>
      </c>
      <c r="J4592">
        <v>317.3</v>
      </c>
      <c r="L4592" t="s">
        <v>930</v>
      </c>
      <c r="M4592">
        <v>317.3</v>
      </c>
      <c r="P4592">
        <f t="shared" si="71"/>
        <v>0</v>
      </c>
    </row>
    <row r="4593" spans="1:16" x14ac:dyDescent="0.25">
      <c r="A4593" t="s">
        <v>669</v>
      </c>
      <c r="B4593" t="s">
        <v>669</v>
      </c>
      <c r="C4593">
        <v>330.5</v>
      </c>
      <c r="D4593" t="s">
        <v>669</v>
      </c>
      <c r="E4593" t="s">
        <v>910</v>
      </c>
      <c r="F4593" t="s">
        <v>910</v>
      </c>
      <c r="J4593">
        <v>330.5</v>
      </c>
      <c r="L4593" t="s">
        <v>930</v>
      </c>
      <c r="M4593">
        <v>330.5</v>
      </c>
      <c r="P4593">
        <f t="shared" si="71"/>
        <v>0</v>
      </c>
    </row>
    <row r="4594" spans="1:16" x14ac:dyDescent="0.25">
      <c r="A4594" t="s">
        <v>669</v>
      </c>
      <c r="B4594">
        <v>54000</v>
      </c>
      <c r="C4594" t="s">
        <v>669</v>
      </c>
      <c r="D4594" t="s">
        <v>857</v>
      </c>
      <c r="E4594" t="s">
        <v>910</v>
      </c>
      <c r="F4594">
        <v>8</v>
      </c>
      <c r="H4594" t="s">
        <v>687</v>
      </c>
      <c r="I4594" t="s">
        <v>933</v>
      </c>
      <c r="K4594">
        <v>5.3999999999999999E-2</v>
      </c>
      <c r="L4594" t="s">
        <v>303</v>
      </c>
      <c r="N4594">
        <v>54000</v>
      </c>
      <c r="O4594" t="s">
        <v>857</v>
      </c>
      <c r="P4594">
        <f t="shared" si="71"/>
        <v>42</v>
      </c>
    </row>
    <row r="4595" spans="1:16" x14ac:dyDescent="0.25">
      <c r="A4595" t="s">
        <v>669</v>
      </c>
      <c r="B4595" t="s">
        <v>669</v>
      </c>
      <c r="C4595">
        <v>438.4</v>
      </c>
      <c r="D4595" t="s">
        <v>669</v>
      </c>
      <c r="E4595" t="s">
        <v>910</v>
      </c>
      <c r="F4595" t="s">
        <v>910</v>
      </c>
      <c r="J4595">
        <v>438.4</v>
      </c>
      <c r="L4595" t="s">
        <v>930</v>
      </c>
      <c r="M4595">
        <v>438.4</v>
      </c>
      <c r="P4595">
        <f t="shared" si="71"/>
        <v>0</v>
      </c>
    </row>
    <row r="4596" spans="1:16" x14ac:dyDescent="0.25">
      <c r="A4596" t="s">
        <v>669</v>
      </c>
      <c r="B4596" t="s">
        <v>669</v>
      </c>
      <c r="C4596">
        <v>1454.5</v>
      </c>
      <c r="D4596" t="s">
        <v>669</v>
      </c>
      <c r="E4596" t="s">
        <v>910</v>
      </c>
      <c r="F4596" t="s">
        <v>910</v>
      </c>
      <c r="J4596">
        <v>1454.5</v>
      </c>
      <c r="L4596" t="s">
        <v>930</v>
      </c>
      <c r="M4596">
        <v>1454.5</v>
      </c>
      <c r="P4596">
        <f t="shared" si="71"/>
        <v>0</v>
      </c>
    </row>
    <row r="4597" spans="1:16" x14ac:dyDescent="0.25">
      <c r="A4597" t="s">
        <v>669</v>
      </c>
      <c r="B4597" t="s">
        <v>669</v>
      </c>
      <c r="C4597">
        <v>1859</v>
      </c>
      <c r="D4597" t="s">
        <v>859</v>
      </c>
      <c r="E4597">
        <v>5</v>
      </c>
      <c r="F4597">
        <v>5</v>
      </c>
      <c r="G4597" t="s">
        <v>684</v>
      </c>
      <c r="H4597" t="s">
        <v>684</v>
      </c>
      <c r="J4597">
        <v>1859</v>
      </c>
      <c r="L4597" t="s">
        <v>919</v>
      </c>
      <c r="M4597">
        <v>1859</v>
      </c>
      <c r="O4597" t="s">
        <v>919</v>
      </c>
      <c r="P4597">
        <f t="shared" si="71"/>
        <v>0</v>
      </c>
    </row>
    <row r="4598" spans="1:16" x14ac:dyDescent="0.25">
      <c r="A4598" t="s">
        <v>669</v>
      </c>
      <c r="B4598" t="s">
        <v>669</v>
      </c>
      <c r="C4598">
        <v>1865</v>
      </c>
      <c r="D4598" t="s">
        <v>859</v>
      </c>
      <c r="E4598">
        <v>5</v>
      </c>
      <c r="F4598">
        <v>5</v>
      </c>
      <c r="G4598" t="s">
        <v>684</v>
      </c>
      <c r="H4598" t="s">
        <v>684</v>
      </c>
      <c r="J4598">
        <v>1865</v>
      </c>
      <c r="L4598" t="s">
        <v>919</v>
      </c>
      <c r="M4598">
        <v>1865</v>
      </c>
      <c r="O4598" t="s">
        <v>919</v>
      </c>
      <c r="P4598">
        <f t="shared" si="71"/>
        <v>0</v>
      </c>
    </row>
    <row r="4599" spans="1:16" x14ac:dyDescent="0.25">
      <c r="A4599" t="s">
        <v>669</v>
      </c>
      <c r="B4599" t="s">
        <v>669</v>
      </c>
      <c r="C4599">
        <v>1873</v>
      </c>
      <c r="D4599" t="s">
        <v>859</v>
      </c>
      <c r="E4599">
        <v>5</v>
      </c>
      <c r="F4599">
        <v>5</v>
      </c>
      <c r="G4599" t="s">
        <v>684</v>
      </c>
      <c r="H4599" t="s">
        <v>684</v>
      </c>
      <c r="J4599">
        <v>1873</v>
      </c>
      <c r="L4599" t="s">
        <v>919</v>
      </c>
      <c r="M4599">
        <v>1873</v>
      </c>
      <c r="O4599" t="s">
        <v>919</v>
      </c>
      <c r="P4599">
        <f t="shared" si="71"/>
        <v>0</v>
      </c>
    </row>
    <row r="4600" spans="1:16" x14ac:dyDescent="0.25">
      <c r="A4600" t="s">
        <v>669</v>
      </c>
      <c r="B4600" t="s">
        <v>669</v>
      </c>
      <c r="C4600">
        <v>1883</v>
      </c>
      <c r="D4600" t="s">
        <v>859</v>
      </c>
      <c r="E4600">
        <v>5</v>
      </c>
      <c r="F4600">
        <v>5</v>
      </c>
      <c r="G4600" t="s">
        <v>684</v>
      </c>
      <c r="H4600" t="s">
        <v>684</v>
      </c>
      <c r="J4600">
        <v>1883</v>
      </c>
      <c r="L4600" t="s">
        <v>919</v>
      </c>
      <c r="M4600">
        <v>1883</v>
      </c>
      <c r="O4600" t="s">
        <v>919</v>
      </c>
      <c r="P4600">
        <f t="shared" si="71"/>
        <v>0</v>
      </c>
    </row>
    <row r="4601" spans="1:16" x14ac:dyDescent="0.25">
      <c r="A4601" t="s">
        <v>669</v>
      </c>
      <c r="B4601" t="s">
        <v>669</v>
      </c>
      <c r="C4601">
        <v>1892</v>
      </c>
      <c r="D4601" t="s">
        <v>859</v>
      </c>
      <c r="E4601">
        <v>5</v>
      </c>
      <c r="F4601">
        <v>5</v>
      </c>
      <c r="G4601" t="s">
        <v>684</v>
      </c>
      <c r="H4601" t="s">
        <v>684</v>
      </c>
      <c r="J4601">
        <v>1892</v>
      </c>
      <c r="L4601" t="s">
        <v>919</v>
      </c>
      <c r="M4601">
        <v>1892</v>
      </c>
      <c r="O4601" t="s">
        <v>919</v>
      </c>
      <c r="P4601">
        <f t="shared" si="71"/>
        <v>0</v>
      </c>
    </row>
    <row r="4602" spans="1:16" x14ac:dyDescent="0.25">
      <c r="A4602" t="s">
        <v>669</v>
      </c>
      <c r="B4602" t="s">
        <v>669</v>
      </c>
      <c r="C4602">
        <v>1901</v>
      </c>
      <c r="D4602" t="s">
        <v>859</v>
      </c>
      <c r="E4602">
        <v>5</v>
      </c>
      <c r="F4602">
        <v>5</v>
      </c>
      <c r="G4602" t="s">
        <v>684</v>
      </c>
      <c r="H4602" t="s">
        <v>684</v>
      </c>
      <c r="J4602">
        <v>1901</v>
      </c>
      <c r="L4602" t="s">
        <v>919</v>
      </c>
      <c r="M4602">
        <v>1901</v>
      </c>
      <c r="O4602" t="s">
        <v>919</v>
      </c>
      <c r="P4602">
        <f t="shared" si="71"/>
        <v>0</v>
      </c>
    </row>
    <row r="4603" spans="1:16" x14ac:dyDescent="0.25">
      <c r="A4603" t="s">
        <v>669</v>
      </c>
      <c r="B4603" t="s">
        <v>669</v>
      </c>
      <c r="C4603">
        <v>1912</v>
      </c>
      <c r="D4603" t="s">
        <v>859</v>
      </c>
      <c r="E4603">
        <v>5</v>
      </c>
      <c r="F4603">
        <v>5</v>
      </c>
      <c r="G4603" t="s">
        <v>684</v>
      </c>
      <c r="H4603" t="s">
        <v>684</v>
      </c>
      <c r="J4603">
        <v>1912</v>
      </c>
      <c r="L4603" t="s">
        <v>919</v>
      </c>
      <c r="M4603">
        <v>1912</v>
      </c>
      <c r="O4603" t="s">
        <v>919</v>
      </c>
      <c r="P4603">
        <f t="shared" si="71"/>
        <v>0</v>
      </c>
    </row>
    <row r="4604" spans="1:16" x14ac:dyDescent="0.25">
      <c r="A4604" t="s">
        <v>669</v>
      </c>
      <c r="B4604" t="s">
        <v>669</v>
      </c>
      <c r="C4604">
        <v>1922</v>
      </c>
      <c r="D4604" t="s">
        <v>859</v>
      </c>
      <c r="E4604">
        <v>5</v>
      </c>
      <c r="F4604">
        <v>5</v>
      </c>
      <c r="G4604" t="s">
        <v>684</v>
      </c>
      <c r="H4604" t="s">
        <v>684</v>
      </c>
      <c r="J4604">
        <v>1922</v>
      </c>
      <c r="L4604" t="s">
        <v>919</v>
      </c>
      <c r="M4604">
        <v>1922</v>
      </c>
      <c r="O4604" t="s">
        <v>919</v>
      </c>
      <c r="P4604">
        <f t="shared" si="71"/>
        <v>0</v>
      </c>
    </row>
    <row r="4605" spans="1:16" x14ac:dyDescent="0.25">
      <c r="A4605" t="s">
        <v>669</v>
      </c>
      <c r="B4605" t="s">
        <v>669</v>
      </c>
      <c r="C4605">
        <v>1933</v>
      </c>
      <c r="D4605" t="s">
        <v>859</v>
      </c>
      <c r="E4605">
        <v>5</v>
      </c>
      <c r="F4605">
        <v>5</v>
      </c>
      <c r="G4605" t="s">
        <v>684</v>
      </c>
      <c r="H4605" t="s">
        <v>684</v>
      </c>
      <c r="J4605">
        <v>1933</v>
      </c>
      <c r="L4605" t="s">
        <v>919</v>
      </c>
      <c r="M4605">
        <v>1933</v>
      </c>
      <c r="O4605" t="s">
        <v>919</v>
      </c>
      <c r="P4605">
        <f t="shared" si="71"/>
        <v>0</v>
      </c>
    </row>
    <row r="4606" spans="1:16" x14ac:dyDescent="0.25">
      <c r="A4606" t="s">
        <v>669</v>
      </c>
      <c r="B4606" t="s">
        <v>669</v>
      </c>
      <c r="C4606">
        <v>1943</v>
      </c>
      <c r="D4606" t="s">
        <v>859</v>
      </c>
      <c r="E4606">
        <v>5</v>
      </c>
      <c r="F4606">
        <v>5</v>
      </c>
      <c r="G4606" t="s">
        <v>684</v>
      </c>
      <c r="H4606" t="s">
        <v>684</v>
      </c>
      <c r="J4606">
        <v>1943</v>
      </c>
      <c r="L4606" t="s">
        <v>919</v>
      </c>
      <c r="M4606">
        <v>1943</v>
      </c>
      <c r="O4606" t="s">
        <v>919</v>
      </c>
      <c r="P4606">
        <f t="shared" si="71"/>
        <v>0</v>
      </c>
    </row>
    <row r="4607" spans="1:16" x14ac:dyDescent="0.25">
      <c r="A4607" t="s">
        <v>669</v>
      </c>
      <c r="B4607" t="s">
        <v>669</v>
      </c>
      <c r="C4607">
        <v>1954</v>
      </c>
      <c r="D4607" t="s">
        <v>859</v>
      </c>
      <c r="E4607">
        <v>5</v>
      </c>
      <c r="F4607">
        <v>5</v>
      </c>
      <c r="G4607" t="s">
        <v>684</v>
      </c>
      <c r="H4607" t="s">
        <v>684</v>
      </c>
      <c r="J4607">
        <v>1954</v>
      </c>
      <c r="L4607" t="s">
        <v>919</v>
      </c>
      <c r="M4607">
        <v>1954</v>
      </c>
      <c r="O4607" t="s">
        <v>919</v>
      </c>
      <c r="P4607">
        <f t="shared" si="71"/>
        <v>0</v>
      </c>
    </row>
    <row r="4608" spans="1:16" x14ac:dyDescent="0.25">
      <c r="A4608" t="s">
        <v>669</v>
      </c>
      <c r="B4608" t="s">
        <v>669</v>
      </c>
      <c r="C4608">
        <v>1955.1509433962001</v>
      </c>
      <c r="D4608" t="s">
        <v>858</v>
      </c>
      <c r="E4608">
        <v>5</v>
      </c>
      <c r="F4608">
        <v>5</v>
      </c>
      <c r="G4608" t="s">
        <v>684</v>
      </c>
      <c r="H4608" t="s">
        <v>684</v>
      </c>
      <c r="J4608">
        <v>1955.1509433962001</v>
      </c>
      <c r="L4608" t="s">
        <v>918</v>
      </c>
      <c r="M4608">
        <v>1955.1509433962001</v>
      </c>
      <c r="O4608" t="s">
        <v>918</v>
      </c>
      <c r="P4608">
        <f t="shared" si="71"/>
        <v>0</v>
      </c>
    </row>
    <row r="4609" spans="1:16" x14ac:dyDescent="0.25">
      <c r="A4609" t="s">
        <v>669</v>
      </c>
      <c r="B4609" t="s">
        <v>669</v>
      </c>
      <c r="C4609">
        <v>1956.2075471697999</v>
      </c>
      <c r="D4609" t="s">
        <v>858</v>
      </c>
      <c r="E4609">
        <v>5</v>
      </c>
      <c r="F4609">
        <v>5</v>
      </c>
      <c r="G4609" t="s">
        <v>684</v>
      </c>
      <c r="H4609" t="s">
        <v>684</v>
      </c>
      <c r="J4609">
        <v>1956.2075471697999</v>
      </c>
      <c r="L4609" t="s">
        <v>918</v>
      </c>
      <c r="M4609">
        <v>1956.2075471697999</v>
      </c>
      <c r="O4609" t="s">
        <v>918</v>
      </c>
      <c r="P4609">
        <f t="shared" si="71"/>
        <v>0</v>
      </c>
    </row>
    <row r="4610" spans="1:16" x14ac:dyDescent="0.25">
      <c r="A4610" t="s">
        <v>669</v>
      </c>
      <c r="B4610" t="s">
        <v>669</v>
      </c>
      <c r="C4610">
        <v>1957.1132075472001</v>
      </c>
      <c r="D4610" t="s">
        <v>858</v>
      </c>
      <c r="E4610">
        <v>5</v>
      </c>
      <c r="F4610">
        <v>5</v>
      </c>
      <c r="G4610" t="s">
        <v>684</v>
      </c>
      <c r="H4610" t="s">
        <v>684</v>
      </c>
      <c r="J4610">
        <v>1957.1132075472001</v>
      </c>
      <c r="L4610" t="s">
        <v>918</v>
      </c>
      <c r="M4610">
        <v>1957.1132075472001</v>
      </c>
      <c r="O4610" t="s">
        <v>918</v>
      </c>
      <c r="P4610">
        <f t="shared" si="71"/>
        <v>0</v>
      </c>
    </row>
    <row r="4611" spans="1:16" x14ac:dyDescent="0.25">
      <c r="A4611" t="s">
        <v>669</v>
      </c>
      <c r="B4611" t="s">
        <v>669</v>
      </c>
      <c r="C4611">
        <v>1958.0188679245</v>
      </c>
      <c r="D4611" t="s">
        <v>858</v>
      </c>
      <c r="E4611">
        <v>5</v>
      </c>
      <c r="F4611">
        <v>5</v>
      </c>
      <c r="G4611" t="s">
        <v>684</v>
      </c>
      <c r="H4611" t="s">
        <v>684</v>
      </c>
      <c r="J4611">
        <v>1958.0188679245</v>
      </c>
      <c r="L4611" t="s">
        <v>918</v>
      </c>
      <c r="M4611">
        <v>1958.0188679245</v>
      </c>
      <c r="O4611" t="s">
        <v>918</v>
      </c>
      <c r="P4611">
        <f t="shared" ref="P4611:P4668" si="72">LEN(I4611)</f>
        <v>0</v>
      </c>
    </row>
    <row r="4612" spans="1:16" x14ac:dyDescent="0.25">
      <c r="A4612" t="s">
        <v>669</v>
      </c>
      <c r="B4612" t="s">
        <v>669</v>
      </c>
      <c r="C4612">
        <v>1958.9245283019</v>
      </c>
      <c r="D4612" t="s">
        <v>858</v>
      </c>
      <c r="E4612">
        <v>5</v>
      </c>
      <c r="F4612">
        <v>5</v>
      </c>
      <c r="G4612" t="s">
        <v>684</v>
      </c>
      <c r="H4612" t="s">
        <v>684</v>
      </c>
      <c r="J4612">
        <v>1958.9245283019</v>
      </c>
      <c r="L4612" t="s">
        <v>918</v>
      </c>
      <c r="M4612">
        <v>1958.9245283019</v>
      </c>
      <c r="O4612" t="s">
        <v>918</v>
      </c>
      <c r="P4612">
        <f t="shared" si="72"/>
        <v>0</v>
      </c>
    </row>
    <row r="4613" spans="1:16" x14ac:dyDescent="0.25">
      <c r="A4613" t="s">
        <v>669</v>
      </c>
      <c r="B4613" t="s">
        <v>669</v>
      </c>
      <c r="C4613">
        <v>1959.8301886792001</v>
      </c>
      <c r="D4613" t="s">
        <v>858</v>
      </c>
      <c r="E4613">
        <v>5</v>
      </c>
      <c r="F4613">
        <v>5</v>
      </c>
      <c r="G4613" t="s">
        <v>684</v>
      </c>
      <c r="H4613" t="s">
        <v>684</v>
      </c>
      <c r="J4613">
        <v>1959.8301886792001</v>
      </c>
      <c r="L4613" t="s">
        <v>918</v>
      </c>
      <c r="M4613">
        <v>1959.8301886792001</v>
      </c>
      <c r="O4613" t="s">
        <v>918</v>
      </c>
      <c r="P4613">
        <f t="shared" si="72"/>
        <v>0</v>
      </c>
    </row>
    <row r="4614" spans="1:16" x14ac:dyDescent="0.25">
      <c r="A4614" t="s">
        <v>669</v>
      </c>
      <c r="B4614" t="s">
        <v>669</v>
      </c>
      <c r="C4614">
        <v>1960.7358490566</v>
      </c>
      <c r="D4614" t="s">
        <v>858</v>
      </c>
      <c r="E4614">
        <v>5</v>
      </c>
      <c r="F4614">
        <v>5</v>
      </c>
      <c r="G4614" t="s">
        <v>684</v>
      </c>
      <c r="H4614" t="s">
        <v>684</v>
      </c>
      <c r="J4614">
        <v>1960.7358490566</v>
      </c>
      <c r="L4614" t="s">
        <v>918</v>
      </c>
      <c r="M4614">
        <v>1960.7358490566</v>
      </c>
      <c r="O4614" t="s">
        <v>918</v>
      </c>
      <c r="P4614">
        <f t="shared" si="72"/>
        <v>0</v>
      </c>
    </row>
    <row r="4615" spans="1:16" x14ac:dyDescent="0.25">
      <c r="A4615" t="s">
        <v>669</v>
      </c>
      <c r="B4615" t="s">
        <v>669</v>
      </c>
      <c r="C4615">
        <v>1961.641509434</v>
      </c>
      <c r="D4615" t="s">
        <v>858</v>
      </c>
      <c r="E4615">
        <v>5</v>
      </c>
      <c r="F4615">
        <v>5</v>
      </c>
      <c r="G4615" t="s">
        <v>684</v>
      </c>
      <c r="H4615" t="s">
        <v>684</v>
      </c>
      <c r="J4615">
        <v>1961.641509434</v>
      </c>
      <c r="L4615" t="s">
        <v>918</v>
      </c>
      <c r="M4615">
        <v>1961.641509434</v>
      </c>
      <c r="O4615" t="s">
        <v>918</v>
      </c>
      <c r="P4615">
        <f t="shared" si="72"/>
        <v>0</v>
      </c>
    </row>
    <row r="4616" spans="1:16" x14ac:dyDescent="0.25">
      <c r="A4616" t="s">
        <v>669</v>
      </c>
      <c r="B4616" t="s">
        <v>669</v>
      </c>
      <c r="C4616">
        <v>1962.5471698112999</v>
      </c>
      <c r="D4616" t="s">
        <v>858</v>
      </c>
      <c r="E4616">
        <v>5</v>
      </c>
      <c r="F4616">
        <v>5</v>
      </c>
      <c r="G4616" t="s">
        <v>684</v>
      </c>
      <c r="H4616" t="s">
        <v>684</v>
      </c>
      <c r="J4616">
        <v>1962.5471698112999</v>
      </c>
      <c r="L4616" t="s">
        <v>918</v>
      </c>
      <c r="M4616">
        <v>1962.5471698112999</v>
      </c>
      <c r="O4616" t="s">
        <v>918</v>
      </c>
      <c r="P4616">
        <f t="shared" si="72"/>
        <v>0</v>
      </c>
    </row>
    <row r="4617" spans="1:16" x14ac:dyDescent="0.25">
      <c r="A4617" t="s">
        <v>669</v>
      </c>
      <c r="B4617" t="s">
        <v>669</v>
      </c>
      <c r="C4617">
        <v>1964</v>
      </c>
      <c r="D4617" t="s">
        <v>859</v>
      </c>
      <c r="E4617">
        <v>5</v>
      </c>
      <c r="F4617">
        <v>5</v>
      </c>
      <c r="G4617" t="s">
        <v>684</v>
      </c>
      <c r="H4617" t="s">
        <v>684</v>
      </c>
      <c r="J4617">
        <v>1964</v>
      </c>
      <c r="L4617" t="s">
        <v>919</v>
      </c>
      <c r="M4617">
        <v>1964</v>
      </c>
      <c r="O4617" t="s">
        <v>919</v>
      </c>
      <c r="P4617">
        <f t="shared" si="72"/>
        <v>0</v>
      </c>
    </row>
    <row r="4618" spans="1:16" x14ac:dyDescent="0.25">
      <c r="A4618" t="s">
        <v>669</v>
      </c>
      <c r="B4618" t="s">
        <v>669</v>
      </c>
      <c r="C4618">
        <v>1965.5555555556</v>
      </c>
      <c r="D4618" t="s">
        <v>858</v>
      </c>
      <c r="E4618">
        <v>5</v>
      </c>
      <c r="F4618">
        <v>5</v>
      </c>
      <c r="G4618" t="s">
        <v>684</v>
      </c>
      <c r="H4618" t="s">
        <v>684</v>
      </c>
      <c r="J4618">
        <v>1965.5555555556</v>
      </c>
      <c r="L4618" t="s">
        <v>918</v>
      </c>
      <c r="M4618">
        <v>1965.5555555556</v>
      </c>
      <c r="O4618" t="s">
        <v>918</v>
      </c>
      <c r="P4618">
        <f t="shared" si="72"/>
        <v>0</v>
      </c>
    </row>
    <row r="4619" spans="1:16" x14ac:dyDescent="0.25">
      <c r="A4619" t="s">
        <v>669</v>
      </c>
      <c r="B4619" t="s">
        <v>669</v>
      </c>
      <c r="C4619">
        <v>1970.6666666666999</v>
      </c>
      <c r="D4619" t="s">
        <v>858</v>
      </c>
      <c r="E4619">
        <v>5</v>
      </c>
      <c r="F4619">
        <v>5</v>
      </c>
      <c r="G4619" t="s">
        <v>684</v>
      </c>
      <c r="H4619" t="s">
        <v>684</v>
      </c>
      <c r="J4619">
        <v>1970.6666666666999</v>
      </c>
      <c r="L4619" t="s">
        <v>918</v>
      </c>
      <c r="M4619">
        <v>1970.6666666666999</v>
      </c>
      <c r="O4619" t="s">
        <v>918</v>
      </c>
      <c r="P4619">
        <f t="shared" si="72"/>
        <v>0</v>
      </c>
    </row>
    <row r="4620" spans="1:16" x14ac:dyDescent="0.25">
      <c r="A4620" t="s">
        <v>669</v>
      </c>
      <c r="B4620" t="s">
        <v>669</v>
      </c>
      <c r="C4620">
        <v>1975.7777777778001</v>
      </c>
      <c r="D4620" t="s">
        <v>858</v>
      </c>
      <c r="E4620">
        <v>5</v>
      </c>
      <c r="F4620">
        <v>5</v>
      </c>
      <c r="G4620" t="s">
        <v>684</v>
      </c>
      <c r="H4620" t="s">
        <v>684</v>
      </c>
      <c r="J4620">
        <v>1975.7777777778001</v>
      </c>
      <c r="L4620" t="s">
        <v>918</v>
      </c>
      <c r="M4620">
        <v>1975.7777777778001</v>
      </c>
      <c r="O4620" t="s">
        <v>918</v>
      </c>
      <c r="P4620">
        <f t="shared" si="72"/>
        <v>0</v>
      </c>
    </row>
    <row r="4621" spans="1:16" x14ac:dyDescent="0.25">
      <c r="A4621" t="s">
        <v>669</v>
      </c>
      <c r="B4621" t="s">
        <v>669</v>
      </c>
      <c r="C4621">
        <v>1976</v>
      </c>
      <c r="D4621" t="s">
        <v>859</v>
      </c>
      <c r="E4621">
        <v>5</v>
      </c>
      <c r="F4621">
        <v>5</v>
      </c>
      <c r="G4621" t="s">
        <v>684</v>
      </c>
      <c r="H4621" t="s">
        <v>684</v>
      </c>
      <c r="J4621">
        <v>1976</v>
      </c>
      <c r="L4621" t="s">
        <v>919</v>
      </c>
      <c r="M4621">
        <v>1976</v>
      </c>
      <c r="O4621" t="s">
        <v>919</v>
      </c>
      <c r="P4621">
        <f t="shared" si="72"/>
        <v>0</v>
      </c>
    </row>
    <row r="4622" spans="1:16" x14ac:dyDescent="0.25">
      <c r="A4622" t="s">
        <v>669</v>
      </c>
      <c r="B4622" t="s">
        <v>669</v>
      </c>
      <c r="C4622">
        <v>1980.8888888889001</v>
      </c>
      <c r="D4622" t="s">
        <v>858</v>
      </c>
      <c r="E4622">
        <v>5</v>
      </c>
      <c r="F4622">
        <v>5</v>
      </c>
      <c r="G4622" t="s">
        <v>684</v>
      </c>
      <c r="H4622" t="s">
        <v>684</v>
      </c>
      <c r="J4622">
        <v>1980.8888888889001</v>
      </c>
      <c r="L4622" t="s">
        <v>918</v>
      </c>
      <c r="M4622">
        <v>1980.8888888889001</v>
      </c>
      <c r="O4622" t="s">
        <v>918</v>
      </c>
      <c r="P4622">
        <f t="shared" si="72"/>
        <v>0</v>
      </c>
    </row>
    <row r="4623" spans="1:16" x14ac:dyDescent="0.25">
      <c r="A4623" t="s">
        <v>669</v>
      </c>
      <c r="B4623" t="s">
        <v>669</v>
      </c>
      <c r="C4623">
        <v>1984.2962962962999</v>
      </c>
      <c r="D4623" t="s">
        <v>858</v>
      </c>
      <c r="E4623">
        <v>5</v>
      </c>
      <c r="F4623">
        <v>5</v>
      </c>
      <c r="G4623" t="s">
        <v>684</v>
      </c>
      <c r="H4623" t="s">
        <v>684</v>
      </c>
      <c r="J4623">
        <v>1984.2962962962999</v>
      </c>
      <c r="L4623" t="s">
        <v>918</v>
      </c>
      <c r="M4623">
        <v>1984.2962962962999</v>
      </c>
      <c r="O4623" t="s">
        <v>918</v>
      </c>
      <c r="P4623">
        <f t="shared" si="72"/>
        <v>0</v>
      </c>
    </row>
    <row r="4624" spans="1:16" x14ac:dyDescent="0.25">
      <c r="A4624" t="s">
        <v>669</v>
      </c>
      <c r="B4624" t="s">
        <v>669</v>
      </c>
      <c r="C4624">
        <v>1986</v>
      </c>
      <c r="D4624" t="s">
        <v>858</v>
      </c>
      <c r="E4624">
        <v>5</v>
      </c>
      <c r="F4624">
        <v>5</v>
      </c>
      <c r="G4624" t="s">
        <v>684</v>
      </c>
      <c r="H4624" t="s">
        <v>684</v>
      </c>
      <c r="J4624">
        <v>1986</v>
      </c>
      <c r="L4624" t="s">
        <v>918</v>
      </c>
      <c r="M4624">
        <v>1986</v>
      </c>
      <c r="O4624" t="s">
        <v>918</v>
      </c>
      <c r="P4624">
        <f t="shared" si="72"/>
        <v>0</v>
      </c>
    </row>
    <row r="4625" spans="1:16" x14ac:dyDescent="0.25">
      <c r="A4625" t="s">
        <v>669</v>
      </c>
      <c r="B4625" t="s">
        <v>669</v>
      </c>
      <c r="C4625">
        <v>1987</v>
      </c>
      <c r="D4625" t="s">
        <v>859</v>
      </c>
      <c r="E4625">
        <v>5</v>
      </c>
      <c r="F4625">
        <v>5</v>
      </c>
      <c r="G4625" t="s">
        <v>684</v>
      </c>
      <c r="H4625" t="s">
        <v>684</v>
      </c>
      <c r="J4625">
        <v>1987</v>
      </c>
      <c r="L4625" t="s">
        <v>919</v>
      </c>
      <c r="M4625">
        <v>1987</v>
      </c>
      <c r="O4625" t="s">
        <v>919</v>
      </c>
      <c r="P4625">
        <f t="shared" si="72"/>
        <v>0</v>
      </c>
    </row>
    <row r="4626" spans="1:16" x14ac:dyDescent="0.25">
      <c r="A4626" t="s">
        <v>669</v>
      </c>
      <c r="B4626" t="s">
        <v>669</v>
      </c>
      <c r="C4626">
        <v>1988.6842105262999</v>
      </c>
      <c r="D4626" t="s">
        <v>858</v>
      </c>
      <c r="E4626">
        <v>5</v>
      </c>
      <c r="F4626">
        <v>5</v>
      </c>
      <c r="G4626" t="s">
        <v>684</v>
      </c>
      <c r="H4626" t="s">
        <v>684</v>
      </c>
      <c r="J4626">
        <v>1988.6842105262999</v>
      </c>
      <c r="L4626" t="s">
        <v>918</v>
      </c>
      <c r="M4626">
        <v>1988.6842105262999</v>
      </c>
      <c r="O4626" t="s">
        <v>918</v>
      </c>
      <c r="P4626">
        <f t="shared" si="72"/>
        <v>0</v>
      </c>
    </row>
    <row r="4627" spans="1:16" x14ac:dyDescent="0.25">
      <c r="A4627" t="s">
        <v>669</v>
      </c>
      <c r="B4627" t="s">
        <v>669</v>
      </c>
      <c r="C4627">
        <v>1991.3684210526001</v>
      </c>
      <c r="D4627" t="s">
        <v>858</v>
      </c>
      <c r="E4627">
        <v>5</v>
      </c>
      <c r="F4627">
        <v>5</v>
      </c>
      <c r="G4627" t="s">
        <v>684</v>
      </c>
      <c r="H4627" t="s">
        <v>684</v>
      </c>
      <c r="J4627">
        <v>1991.3684210526001</v>
      </c>
      <c r="L4627" t="s">
        <v>918</v>
      </c>
      <c r="M4627">
        <v>1991.3684210526001</v>
      </c>
      <c r="O4627" t="s">
        <v>918</v>
      </c>
      <c r="P4627">
        <f t="shared" si="72"/>
        <v>0</v>
      </c>
    </row>
    <row r="4628" spans="1:16" x14ac:dyDescent="0.25">
      <c r="A4628" t="s">
        <v>669</v>
      </c>
      <c r="B4628" t="s">
        <v>669</v>
      </c>
      <c r="C4628">
        <v>1993.1578947368</v>
      </c>
      <c r="D4628" t="s">
        <v>858</v>
      </c>
      <c r="E4628">
        <v>5</v>
      </c>
      <c r="F4628">
        <v>5</v>
      </c>
      <c r="G4628" t="s">
        <v>684</v>
      </c>
      <c r="H4628" t="s">
        <v>684</v>
      </c>
      <c r="J4628">
        <v>1993.1578947368</v>
      </c>
      <c r="L4628" t="s">
        <v>918</v>
      </c>
      <c r="M4628">
        <v>1993.1578947368</v>
      </c>
      <c r="O4628" t="s">
        <v>918</v>
      </c>
      <c r="P4628">
        <f t="shared" si="72"/>
        <v>0</v>
      </c>
    </row>
    <row r="4629" spans="1:16" x14ac:dyDescent="0.25">
      <c r="A4629" t="s">
        <v>669</v>
      </c>
      <c r="B4629" t="s">
        <v>669</v>
      </c>
      <c r="C4629">
        <v>1995.8421052632</v>
      </c>
      <c r="D4629" t="s">
        <v>858</v>
      </c>
      <c r="E4629">
        <v>5</v>
      </c>
      <c r="F4629">
        <v>5</v>
      </c>
      <c r="G4629" t="s">
        <v>684</v>
      </c>
      <c r="H4629" t="s">
        <v>684</v>
      </c>
      <c r="J4629">
        <v>1995.8421052632</v>
      </c>
      <c r="L4629" t="s">
        <v>918</v>
      </c>
      <c r="M4629">
        <v>1995.8421052632</v>
      </c>
      <c r="O4629" t="s">
        <v>918</v>
      </c>
      <c r="P4629">
        <f t="shared" si="72"/>
        <v>0</v>
      </c>
    </row>
    <row r="4630" spans="1:16" x14ac:dyDescent="0.25">
      <c r="A4630" t="s">
        <v>669</v>
      </c>
      <c r="B4630" t="s">
        <v>669</v>
      </c>
      <c r="C4630">
        <v>1996</v>
      </c>
      <c r="D4630" t="s">
        <v>859</v>
      </c>
      <c r="E4630">
        <v>5</v>
      </c>
      <c r="F4630">
        <v>5</v>
      </c>
      <c r="G4630" t="s">
        <v>684</v>
      </c>
      <c r="H4630" t="s">
        <v>684</v>
      </c>
      <c r="J4630">
        <v>1996</v>
      </c>
      <c r="L4630" t="s">
        <v>919</v>
      </c>
      <c r="M4630">
        <v>1996</v>
      </c>
      <c r="O4630" t="s">
        <v>919</v>
      </c>
      <c r="P4630">
        <f t="shared" si="72"/>
        <v>0</v>
      </c>
    </row>
    <row r="4631" spans="1:16" x14ac:dyDescent="0.25">
      <c r="A4631" t="s">
        <v>669</v>
      </c>
      <c r="B4631" t="s">
        <v>669</v>
      </c>
      <c r="C4631">
        <v>1999.4210526316001</v>
      </c>
      <c r="D4631" t="s">
        <v>858</v>
      </c>
      <c r="E4631">
        <v>5</v>
      </c>
      <c r="F4631">
        <v>5</v>
      </c>
      <c r="G4631" t="s">
        <v>684</v>
      </c>
      <c r="H4631" t="s">
        <v>684</v>
      </c>
      <c r="J4631">
        <v>1999.4210526316001</v>
      </c>
      <c r="L4631" t="s">
        <v>918</v>
      </c>
      <c r="M4631">
        <v>1999.4210526316001</v>
      </c>
      <c r="O4631" t="s">
        <v>918</v>
      </c>
      <c r="P4631">
        <f t="shared" si="72"/>
        <v>0</v>
      </c>
    </row>
    <row r="4632" spans="1:16" x14ac:dyDescent="0.25">
      <c r="A4632" t="s">
        <v>669</v>
      </c>
      <c r="B4632" t="s">
        <v>669</v>
      </c>
      <c r="C4632">
        <v>2000.3157894737001</v>
      </c>
      <c r="D4632" t="s">
        <v>858</v>
      </c>
      <c r="E4632">
        <v>5</v>
      </c>
      <c r="F4632">
        <v>5</v>
      </c>
      <c r="G4632" t="s">
        <v>684</v>
      </c>
      <c r="H4632" t="s">
        <v>684</v>
      </c>
      <c r="J4632">
        <v>2000.3157894737001</v>
      </c>
      <c r="L4632" t="s">
        <v>918</v>
      </c>
      <c r="M4632">
        <v>2000.3157894737001</v>
      </c>
      <c r="O4632" t="s">
        <v>918</v>
      </c>
      <c r="P4632">
        <f t="shared" si="72"/>
        <v>0</v>
      </c>
    </row>
    <row r="4633" spans="1:16" x14ac:dyDescent="0.25">
      <c r="A4633" t="s">
        <v>669</v>
      </c>
      <c r="B4633" t="s">
        <v>669</v>
      </c>
      <c r="C4633">
        <v>2004.8888889</v>
      </c>
      <c r="D4633" t="s">
        <v>858</v>
      </c>
      <c r="E4633">
        <v>5</v>
      </c>
      <c r="F4633">
        <v>5</v>
      </c>
      <c r="G4633" t="s">
        <v>684</v>
      </c>
      <c r="H4633" t="s">
        <v>684</v>
      </c>
      <c r="J4633">
        <v>2004.8888889</v>
      </c>
      <c r="L4633" t="s">
        <v>918</v>
      </c>
      <c r="M4633">
        <v>2004.8888889</v>
      </c>
      <c r="O4633" t="s">
        <v>918</v>
      </c>
      <c r="P4633">
        <f t="shared" si="72"/>
        <v>0</v>
      </c>
    </row>
    <row r="4634" spans="1:16" x14ac:dyDescent="0.25">
      <c r="A4634" t="s">
        <v>669</v>
      </c>
      <c r="B4634" t="s">
        <v>669</v>
      </c>
      <c r="C4634">
        <v>2008.8888889</v>
      </c>
      <c r="D4634" t="s">
        <v>858</v>
      </c>
      <c r="E4634">
        <v>5</v>
      </c>
      <c r="F4634">
        <v>5</v>
      </c>
      <c r="G4634" t="s">
        <v>684</v>
      </c>
      <c r="H4634" t="s">
        <v>684</v>
      </c>
      <c r="J4634">
        <v>2008.8888889</v>
      </c>
      <c r="L4634" t="s">
        <v>918</v>
      </c>
      <c r="M4634">
        <v>2008.8888889</v>
      </c>
      <c r="O4634" t="s">
        <v>918</v>
      </c>
      <c r="P4634">
        <f t="shared" si="72"/>
        <v>0</v>
      </c>
    </row>
    <row r="4635" spans="1:16" x14ac:dyDescent="0.25">
      <c r="A4635" t="s">
        <v>669</v>
      </c>
      <c r="B4635" t="s">
        <v>669</v>
      </c>
      <c r="C4635">
        <v>2010.8888889</v>
      </c>
      <c r="D4635" t="s">
        <v>858</v>
      </c>
      <c r="E4635">
        <v>5</v>
      </c>
      <c r="F4635">
        <v>5</v>
      </c>
      <c r="G4635" t="s">
        <v>684</v>
      </c>
      <c r="H4635" t="s">
        <v>684</v>
      </c>
      <c r="J4635">
        <v>2010.8888889</v>
      </c>
      <c r="L4635" t="s">
        <v>918</v>
      </c>
      <c r="M4635">
        <v>2010.8888889</v>
      </c>
      <c r="O4635" t="s">
        <v>918</v>
      </c>
      <c r="P4635">
        <f t="shared" si="72"/>
        <v>0</v>
      </c>
    </row>
    <row r="4636" spans="1:16" x14ac:dyDescent="0.25">
      <c r="A4636" t="s">
        <v>669</v>
      </c>
      <c r="B4636" t="s">
        <v>669</v>
      </c>
      <c r="C4636">
        <v>2011.6</v>
      </c>
      <c r="D4636" t="s">
        <v>858</v>
      </c>
      <c r="E4636">
        <v>5</v>
      </c>
      <c r="F4636">
        <v>5</v>
      </c>
      <c r="G4636" t="s">
        <v>684</v>
      </c>
      <c r="H4636" t="s">
        <v>684</v>
      </c>
      <c r="J4636">
        <v>2011.6</v>
      </c>
      <c r="L4636" t="s">
        <v>918</v>
      </c>
      <c r="M4636">
        <v>2011.6</v>
      </c>
      <c r="O4636" t="s">
        <v>918</v>
      </c>
      <c r="P4636">
        <f t="shared" si="72"/>
        <v>0</v>
      </c>
    </row>
    <row r="4637" spans="1:16" x14ac:dyDescent="0.25">
      <c r="A4637" t="s">
        <v>669</v>
      </c>
      <c r="B4637" t="s">
        <v>669</v>
      </c>
      <c r="C4637">
        <v>2012.6</v>
      </c>
      <c r="D4637" t="s">
        <v>858</v>
      </c>
      <c r="E4637">
        <v>5</v>
      </c>
      <c r="F4637">
        <v>5</v>
      </c>
      <c r="G4637" t="s">
        <v>684</v>
      </c>
      <c r="H4637" t="s">
        <v>684</v>
      </c>
      <c r="J4637">
        <v>2012.6</v>
      </c>
      <c r="L4637" t="s">
        <v>918</v>
      </c>
      <c r="M4637">
        <v>2012.6</v>
      </c>
      <c r="O4637" t="s">
        <v>918</v>
      </c>
      <c r="P4637">
        <f t="shared" si="72"/>
        <v>0</v>
      </c>
    </row>
    <row r="4638" spans="1:16" x14ac:dyDescent="0.25">
      <c r="A4638" t="s">
        <v>669</v>
      </c>
      <c r="B4638" t="s">
        <v>669</v>
      </c>
      <c r="C4638">
        <v>2013</v>
      </c>
      <c r="D4638" t="s">
        <v>858</v>
      </c>
      <c r="E4638">
        <v>5</v>
      </c>
      <c r="F4638">
        <v>5</v>
      </c>
      <c r="G4638" t="s">
        <v>684</v>
      </c>
      <c r="H4638" t="s">
        <v>684</v>
      </c>
      <c r="J4638">
        <v>2013</v>
      </c>
      <c r="L4638" t="s">
        <v>918</v>
      </c>
      <c r="M4638">
        <v>2013</v>
      </c>
      <c r="O4638" t="s">
        <v>918</v>
      </c>
      <c r="P4638">
        <f t="shared" si="72"/>
        <v>0</v>
      </c>
    </row>
    <row r="4639" spans="1:16" x14ac:dyDescent="0.25">
      <c r="A4639" t="s">
        <v>669</v>
      </c>
      <c r="B4639" t="s">
        <v>669</v>
      </c>
      <c r="C4639">
        <v>2013.7</v>
      </c>
      <c r="D4639" t="s">
        <v>858</v>
      </c>
      <c r="E4639">
        <v>5</v>
      </c>
      <c r="F4639">
        <v>5</v>
      </c>
      <c r="G4639" t="s">
        <v>684</v>
      </c>
      <c r="H4639" t="s">
        <v>684</v>
      </c>
      <c r="J4639">
        <v>2013.7</v>
      </c>
      <c r="L4639" t="s">
        <v>918</v>
      </c>
      <c r="M4639">
        <v>2013.7</v>
      </c>
      <c r="O4639" t="s">
        <v>918</v>
      </c>
      <c r="P4639">
        <f t="shared" si="72"/>
        <v>0</v>
      </c>
    </row>
    <row r="4640" spans="1:16" x14ac:dyDescent="0.25">
      <c r="A4640" t="s">
        <v>669</v>
      </c>
      <c r="B4640" t="s">
        <v>669</v>
      </c>
      <c r="C4640">
        <v>2013.8</v>
      </c>
      <c r="D4640" t="s">
        <v>858</v>
      </c>
      <c r="E4640">
        <v>5</v>
      </c>
      <c r="F4640">
        <v>5</v>
      </c>
      <c r="G4640" t="s">
        <v>684</v>
      </c>
      <c r="H4640" t="s">
        <v>684</v>
      </c>
      <c r="J4640">
        <v>2013.8</v>
      </c>
      <c r="L4640" t="s">
        <v>918</v>
      </c>
      <c r="M4640">
        <v>2013.8</v>
      </c>
      <c r="O4640" t="s">
        <v>918</v>
      </c>
      <c r="P4640">
        <f t="shared" si="72"/>
        <v>0</v>
      </c>
    </row>
    <row r="4641" spans="1:16" x14ac:dyDescent="0.25">
      <c r="A4641" t="s">
        <v>669</v>
      </c>
      <c r="B4641" t="s">
        <v>669</v>
      </c>
      <c r="C4641">
        <v>2014.3</v>
      </c>
      <c r="D4641" t="s">
        <v>858</v>
      </c>
      <c r="E4641">
        <v>5</v>
      </c>
      <c r="F4641">
        <v>5</v>
      </c>
      <c r="G4641" t="s">
        <v>684</v>
      </c>
      <c r="H4641" t="s">
        <v>684</v>
      </c>
      <c r="J4641">
        <v>2014.3</v>
      </c>
      <c r="L4641" t="s">
        <v>918</v>
      </c>
      <c r="M4641">
        <v>2014.3</v>
      </c>
      <c r="O4641" t="s">
        <v>918</v>
      </c>
      <c r="P4641">
        <f t="shared" si="72"/>
        <v>0</v>
      </c>
    </row>
    <row r="4642" spans="1:16" x14ac:dyDescent="0.25">
      <c r="A4642" t="s">
        <v>669</v>
      </c>
      <c r="B4642" t="s">
        <v>669</v>
      </c>
      <c r="C4642">
        <v>2014.6</v>
      </c>
      <c r="D4642" t="s">
        <v>858</v>
      </c>
      <c r="E4642">
        <v>5</v>
      </c>
      <c r="F4642">
        <v>5</v>
      </c>
      <c r="G4642" t="s">
        <v>684</v>
      </c>
      <c r="H4642" t="s">
        <v>684</v>
      </c>
      <c r="J4642">
        <v>2014.6</v>
      </c>
      <c r="L4642" t="s">
        <v>918</v>
      </c>
      <c r="M4642">
        <v>2014.6</v>
      </c>
      <c r="O4642" t="s">
        <v>918</v>
      </c>
      <c r="P4642">
        <f t="shared" si="72"/>
        <v>0</v>
      </c>
    </row>
    <row r="4643" spans="1:16" x14ac:dyDescent="0.25">
      <c r="A4643" t="s">
        <v>669</v>
      </c>
      <c r="B4643" t="s">
        <v>669</v>
      </c>
      <c r="C4643">
        <v>2014.8</v>
      </c>
      <c r="D4643" t="s">
        <v>858</v>
      </c>
      <c r="E4643">
        <v>5</v>
      </c>
      <c r="F4643">
        <v>5</v>
      </c>
      <c r="G4643" t="s">
        <v>684</v>
      </c>
      <c r="H4643" t="s">
        <v>684</v>
      </c>
      <c r="J4643">
        <v>2014.8</v>
      </c>
      <c r="L4643" t="s">
        <v>918</v>
      </c>
      <c r="M4643">
        <v>2014.8</v>
      </c>
      <c r="O4643" t="s">
        <v>918</v>
      </c>
      <c r="P4643">
        <f t="shared" si="72"/>
        <v>0</v>
      </c>
    </row>
    <row r="4644" spans="1:16" x14ac:dyDescent="0.25">
      <c r="A4644" t="s">
        <v>669</v>
      </c>
      <c r="B4644" t="s">
        <v>669</v>
      </c>
      <c r="C4644">
        <v>2014.9</v>
      </c>
      <c r="D4644" t="s">
        <v>858</v>
      </c>
      <c r="E4644">
        <v>5</v>
      </c>
      <c r="F4644">
        <v>5</v>
      </c>
      <c r="G4644" t="s">
        <v>684</v>
      </c>
      <c r="H4644" t="s">
        <v>684</v>
      </c>
      <c r="J4644">
        <v>2014.9</v>
      </c>
      <c r="L4644" t="s">
        <v>918</v>
      </c>
      <c r="M4644">
        <v>2014.9</v>
      </c>
      <c r="O4644" t="s">
        <v>918</v>
      </c>
      <c r="P4644">
        <f t="shared" si="72"/>
        <v>0</v>
      </c>
    </row>
    <row r="4645" spans="1:16" x14ac:dyDescent="0.25">
      <c r="A4645" t="s">
        <v>669</v>
      </c>
      <c r="B4645" t="s">
        <v>669</v>
      </c>
      <c r="C4645">
        <v>2015.3</v>
      </c>
      <c r="D4645" t="s">
        <v>858</v>
      </c>
      <c r="E4645">
        <v>5</v>
      </c>
      <c r="F4645">
        <v>5</v>
      </c>
      <c r="G4645" t="s">
        <v>684</v>
      </c>
      <c r="H4645" t="s">
        <v>684</v>
      </c>
      <c r="J4645">
        <v>2015.3</v>
      </c>
      <c r="L4645" t="s">
        <v>918</v>
      </c>
      <c r="M4645">
        <v>2015.3</v>
      </c>
      <c r="O4645" t="s">
        <v>918</v>
      </c>
      <c r="P4645">
        <f t="shared" si="72"/>
        <v>0</v>
      </c>
    </row>
    <row r="4646" spans="1:16" x14ac:dyDescent="0.25">
      <c r="A4646" t="s">
        <v>669</v>
      </c>
      <c r="B4646" t="s">
        <v>669</v>
      </c>
      <c r="C4646">
        <v>2015.36</v>
      </c>
      <c r="D4646" t="s">
        <v>858</v>
      </c>
      <c r="E4646">
        <v>5</v>
      </c>
      <c r="F4646">
        <v>5</v>
      </c>
      <c r="G4646" t="s">
        <v>684</v>
      </c>
      <c r="H4646" t="s">
        <v>684</v>
      </c>
      <c r="J4646">
        <v>2015.36</v>
      </c>
      <c r="L4646" t="s">
        <v>918</v>
      </c>
      <c r="M4646">
        <v>2015.36</v>
      </c>
      <c r="O4646" t="s">
        <v>918</v>
      </c>
      <c r="P4646">
        <f t="shared" si="72"/>
        <v>0</v>
      </c>
    </row>
    <row r="4647" spans="1:16" x14ac:dyDescent="0.25">
      <c r="A4647" t="s">
        <v>669</v>
      </c>
      <c r="B4647" t="s">
        <v>669</v>
      </c>
      <c r="C4647">
        <v>2016.3</v>
      </c>
      <c r="D4647" t="s">
        <v>858</v>
      </c>
      <c r="E4647">
        <v>5</v>
      </c>
      <c r="F4647">
        <v>5</v>
      </c>
      <c r="G4647" t="s">
        <v>684</v>
      </c>
      <c r="H4647" t="s">
        <v>684</v>
      </c>
      <c r="J4647">
        <v>2016.3</v>
      </c>
      <c r="L4647" t="s">
        <v>918</v>
      </c>
      <c r="M4647">
        <v>2016.3</v>
      </c>
      <c r="O4647" t="s">
        <v>918</v>
      </c>
      <c r="P4647">
        <f t="shared" si="72"/>
        <v>0</v>
      </c>
    </row>
    <row r="4648" spans="1:16" x14ac:dyDescent="0.25">
      <c r="A4648" t="s">
        <v>669</v>
      </c>
      <c r="B4648" t="s">
        <v>669</v>
      </c>
      <c r="C4648">
        <v>2017.9</v>
      </c>
      <c r="D4648" t="s">
        <v>858</v>
      </c>
      <c r="E4648">
        <v>5</v>
      </c>
      <c r="F4648">
        <v>5</v>
      </c>
      <c r="G4648" t="s">
        <v>684</v>
      </c>
      <c r="H4648" t="s">
        <v>684</v>
      </c>
      <c r="J4648">
        <v>2017.9</v>
      </c>
      <c r="L4648" t="s">
        <v>918</v>
      </c>
      <c r="M4648">
        <v>2017.9</v>
      </c>
      <c r="O4648" t="s">
        <v>918</v>
      </c>
      <c r="P4648">
        <f t="shared" si="72"/>
        <v>0</v>
      </c>
    </row>
    <row r="4649" spans="1:16" x14ac:dyDescent="0.25">
      <c r="A4649" t="s">
        <v>669</v>
      </c>
      <c r="B4649" t="s">
        <v>669</v>
      </c>
      <c r="C4649">
        <v>2018.1</v>
      </c>
      <c r="D4649" t="s">
        <v>858</v>
      </c>
      <c r="E4649">
        <v>5</v>
      </c>
      <c r="F4649">
        <v>5</v>
      </c>
      <c r="G4649" t="s">
        <v>684</v>
      </c>
      <c r="H4649" t="s">
        <v>684</v>
      </c>
      <c r="J4649">
        <v>2018.1</v>
      </c>
      <c r="L4649" t="s">
        <v>918</v>
      </c>
      <c r="M4649">
        <v>2018.1</v>
      </c>
      <c r="O4649" t="s">
        <v>918</v>
      </c>
      <c r="P4649">
        <f t="shared" si="72"/>
        <v>0</v>
      </c>
    </row>
    <row r="4650" spans="1:16" x14ac:dyDescent="0.25">
      <c r="A4650" t="s">
        <v>669</v>
      </c>
      <c r="B4650" t="s">
        <v>669</v>
      </c>
      <c r="C4650">
        <v>2018.2</v>
      </c>
      <c r="D4650" t="s">
        <v>858</v>
      </c>
      <c r="E4650">
        <v>5</v>
      </c>
      <c r="F4650">
        <v>5</v>
      </c>
      <c r="G4650" t="s">
        <v>684</v>
      </c>
      <c r="H4650" t="s">
        <v>684</v>
      </c>
      <c r="J4650">
        <v>2018.2</v>
      </c>
      <c r="L4650" t="s">
        <v>918</v>
      </c>
      <c r="M4650">
        <v>2018.2</v>
      </c>
      <c r="O4650" t="s">
        <v>918</v>
      </c>
      <c r="P4650">
        <f t="shared" si="72"/>
        <v>0</v>
      </c>
    </row>
    <row r="4651" spans="1:16" x14ac:dyDescent="0.25">
      <c r="A4651" t="s">
        <v>669</v>
      </c>
      <c r="B4651" t="s">
        <v>669</v>
      </c>
      <c r="C4651">
        <v>2018.4</v>
      </c>
      <c r="D4651" t="s">
        <v>858</v>
      </c>
      <c r="E4651">
        <v>5</v>
      </c>
      <c r="F4651">
        <v>5</v>
      </c>
      <c r="G4651" t="s">
        <v>684</v>
      </c>
      <c r="H4651" t="s">
        <v>684</v>
      </c>
      <c r="J4651">
        <v>2018.4</v>
      </c>
      <c r="L4651" t="s">
        <v>918</v>
      </c>
      <c r="M4651">
        <v>2018.4</v>
      </c>
      <c r="O4651" t="s">
        <v>918</v>
      </c>
      <c r="P4651">
        <f t="shared" si="72"/>
        <v>0</v>
      </c>
    </row>
    <row r="4652" spans="1:16" x14ac:dyDescent="0.25">
      <c r="A4652" t="s">
        <v>669</v>
      </c>
      <c r="B4652" t="s">
        <v>669</v>
      </c>
      <c r="C4652">
        <v>2018.5</v>
      </c>
      <c r="D4652" t="s">
        <v>858</v>
      </c>
      <c r="E4652">
        <v>5</v>
      </c>
      <c r="F4652">
        <v>5</v>
      </c>
      <c r="G4652" t="s">
        <v>684</v>
      </c>
      <c r="H4652" t="s">
        <v>684</v>
      </c>
      <c r="J4652">
        <v>2018.5</v>
      </c>
      <c r="L4652" t="s">
        <v>918</v>
      </c>
      <c r="M4652">
        <v>2018.5</v>
      </c>
      <c r="O4652" t="s">
        <v>918</v>
      </c>
      <c r="P4652">
        <f t="shared" si="72"/>
        <v>0</v>
      </c>
    </row>
    <row r="4653" spans="1:16" x14ac:dyDescent="0.25">
      <c r="A4653" t="s">
        <v>669</v>
      </c>
      <c r="B4653" t="s">
        <v>669</v>
      </c>
      <c r="C4653">
        <v>2018.6</v>
      </c>
      <c r="D4653" t="s">
        <v>858</v>
      </c>
      <c r="E4653">
        <v>5</v>
      </c>
      <c r="F4653">
        <v>5</v>
      </c>
      <c r="G4653" t="s">
        <v>684</v>
      </c>
      <c r="H4653" t="s">
        <v>684</v>
      </c>
      <c r="J4653">
        <v>2018.6</v>
      </c>
      <c r="L4653" t="s">
        <v>918</v>
      </c>
      <c r="M4653">
        <v>2018.6</v>
      </c>
      <c r="O4653" t="s">
        <v>918</v>
      </c>
      <c r="P4653">
        <f t="shared" si="72"/>
        <v>0</v>
      </c>
    </row>
    <row r="4654" spans="1:16" x14ac:dyDescent="0.25">
      <c r="A4654" t="s">
        <v>669</v>
      </c>
      <c r="B4654" t="s">
        <v>669</v>
      </c>
      <c r="C4654">
        <v>2019.1</v>
      </c>
      <c r="D4654" t="s">
        <v>858</v>
      </c>
      <c r="E4654">
        <v>5</v>
      </c>
      <c r="F4654">
        <v>5</v>
      </c>
      <c r="G4654" t="s">
        <v>684</v>
      </c>
      <c r="H4654" t="s">
        <v>684</v>
      </c>
      <c r="J4654">
        <v>2019.1</v>
      </c>
      <c r="L4654" t="s">
        <v>918</v>
      </c>
      <c r="M4654">
        <v>2019.1</v>
      </c>
      <c r="O4654" t="s">
        <v>918</v>
      </c>
      <c r="P4654">
        <f t="shared" si="72"/>
        <v>0</v>
      </c>
    </row>
    <row r="4655" spans="1:16" x14ac:dyDescent="0.25">
      <c r="A4655" t="s">
        <v>669</v>
      </c>
      <c r="B4655" t="s">
        <v>669</v>
      </c>
      <c r="C4655">
        <v>2019.6</v>
      </c>
      <c r="D4655" t="s">
        <v>858</v>
      </c>
      <c r="E4655">
        <v>5</v>
      </c>
      <c r="F4655">
        <v>5</v>
      </c>
      <c r="G4655" t="s">
        <v>684</v>
      </c>
      <c r="H4655" t="s">
        <v>684</v>
      </c>
      <c r="J4655">
        <v>2019.6</v>
      </c>
      <c r="L4655" t="s">
        <v>918</v>
      </c>
      <c r="M4655">
        <v>2019.6</v>
      </c>
      <c r="O4655" t="s">
        <v>918</v>
      </c>
      <c r="P4655">
        <f t="shared" si="72"/>
        <v>0</v>
      </c>
    </row>
    <row r="4656" spans="1:16" x14ac:dyDescent="0.25">
      <c r="A4656" t="s">
        <v>669</v>
      </c>
      <c r="B4656" t="s">
        <v>669</v>
      </c>
      <c r="C4656">
        <v>2019.8</v>
      </c>
      <c r="D4656" t="s">
        <v>858</v>
      </c>
      <c r="E4656">
        <v>5</v>
      </c>
      <c r="F4656">
        <v>5</v>
      </c>
      <c r="G4656" t="s">
        <v>684</v>
      </c>
      <c r="H4656" t="s">
        <v>684</v>
      </c>
      <c r="J4656">
        <v>2019.8</v>
      </c>
      <c r="L4656" t="s">
        <v>918</v>
      </c>
      <c r="M4656">
        <v>2019.8</v>
      </c>
      <c r="O4656" t="s">
        <v>918</v>
      </c>
      <c r="P4656">
        <f t="shared" si="72"/>
        <v>0</v>
      </c>
    </row>
    <row r="4657" spans="1:16" x14ac:dyDescent="0.25">
      <c r="A4657" t="s">
        <v>669</v>
      </c>
      <c r="B4657" t="s">
        <v>669</v>
      </c>
      <c r="C4657">
        <v>2020</v>
      </c>
      <c r="D4657" t="s">
        <v>858</v>
      </c>
      <c r="E4657">
        <v>5</v>
      </c>
      <c r="F4657">
        <v>5</v>
      </c>
      <c r="G4657" t="s">
        <v>684</v>
      </c>
      <c r="H4657" t="s">
        <v>684</v>
      </c>
      <c r="J4657">
        <v>2020</v>
      </c>
      <c r="L4657" t="s">
        <v>918</v>
      </c>
      <c r="M4657">
        <v>2020</v>
      </c>
      <c r="O4657" t="s">
        <v>918</v>
      </c>
      <c r="P4657">
        <f t="shared" si="72"/>
        <v>0</v>
      </c>
    </row>
    <row r="4658" spans="1:16" x14ac:dyDescent="0.25">
      <c r="A4658" t="s">
        <v>669</v>
      </c>
      <c r="B4658" t="s">
        <v>669</v>
      </c>
      <c r="C4658">
        <v>2020.2</v>
      </c>
      <c r="D4658" t="s">
        <v>858</v>
      </c>
      <c r="E4658">
        <v>5</v>
      </c>
      <c r="F4658">
        <v>5</v>
      </c>
      <c r="G4658" t="s">
        <v>684</v>
      </c>
      <c r="H4658" t="s">
        <v>684</v>
      </c>
      <c r="J4658">
        <v>2020.2</v>
      </c>
      <c r="L4658" t="s">
        <v>918</v>
      </c>
      <c r="M4658">
        <v>2020.2</v>
      </c>
      <c r="O4658" t="s">
        <v>918</v>
      </c>
      <c r="P4658">
        <f t="shared" si="72"/>
        <v>0</v>
      </c>
    </row>
    <row r="4659" spans="1:16" x14ac:dyDescent="0.25">
      <c r="A4659" t="s">
        <v>669</v>
      </c>
      <c r="B4659" t="s">
        <v>669</v>
      </c>
      <c r="C4659">
        <v>2020.3</v>
      </c>
      <c r="D4659" t="s">
        <v>858</v>
      </c>
      <c r="E4659">
        <v>5</v>
      </c>
      <c r="F4659">
        <v>5</v>
      </c>
      <c r="G4659" t="s">
        <v>684</v>
      </c>
      <c r="H4659" t="s">
        <v>684</v>
      </c>
      <c r="J4659">
        <v>2020.3</v>
      </c>
      <c r="L4659" t="s">
        <v>918</v>
      </c>
      <c r="M4659">
        <v>2020.3</v>
      </c>
      <c r="O4659" t="s">
        <v>918</v>
      </c>
      <c r="P4659">
        <f t="shared" si="72"/>
        <v>0</v>
      </c>
    </row>
    <row r="4660" spans="1:16" x14ac:dyDescent="0.25">
      <c r="A4660" t="s">
        <v>669</v>
      </c>
      <c r="B4660" t="s">
        <v>669</v>
      </c>
      <c r="C4660">
        <v>2020.7</v>
      </c>
      <c r="D4660" t="s">
        <v>858</v>
      </c>
      <c r="E4660">
        <v>5</v>
      </c>
      <c r="F4660">
        <v>5</v>
      </c>
      <c r="G4660" t="s">
        <v>684</v>
      </c>
      <c r="H4660" t="s">
        <v>684</v>
      </c>
      <c r="J4660">
        <v>2020.7</v>
      </c>
      <c r="L4660" t="s">
        <v>918</v>
      </c>
      <c r="M4660">
        <v>2020.7</v>
      </c>
      <c r="O4660" t="s">
        <v>918</v>
      </c>
      <c r="P4660">
        <f t="shared" si="72"/>
        <v>0</v>
      </c>
    </row>
    <row r="4661" spans="1:16" x14ac:dyDescent="0.25">
      <c r="A4661" t="s">
        <v>669</v>
      </c>
      <c r="B4661" t="s">
        <v>669</v>
      </c>
      <c r="C4661">
        <v>2021</v>
      </c>
      <c r="D4661" t="s">
        <v>858</v>
      </c>
      <c r="E4661">
        <v>5</v>
      </c>
      <c r="F4661">
        <v>5</v>
      </c>
      <c r="G4661" t="s">
        <v>684</v>
      </c>
      <c r="H4661" t="s">
        <v>684</v>
      </c>
      <c r="J4661">
        <v>2021</v>
      </c>
      <c r="L4661" t="s">
        <v>918</v>
      </c>
      <c r="M4661">
        <v>2021</v>
      </c>
      <c r="O4661" t="s">
        <v>918</v>
      </c>
      <c r="P4661">
        <f t="shared" si="72"/>
        <v>0</v>
      </c>
    </row>
    <row r="4662" spans="1:16" x14ac:dyDescent="0.25">
      <c r="A4662" t="s">
        <v>669</v>
      </c>
      <c r="B4662" t="s">
        <v>669</v>
      </c>
      <c r="C4662">
        <v>2021.2</v>
      </c>
      <c r="D4662" t="s">
        <v>858</v>
      </c>
      <c r="E4662">
        <v>5</v>
      </c>
      <c r="F4662">
        <v>5</v>
      </c>
      <c r="G4662" t="s">
        <v>684</v>
      </c>
      <c r="H4662" t="s">
        <v>684</v>
      </c>
      <c r="J4662">
        <v>2021.2</v>
      </c>
      <c r="L4662" t="s">
        <v>918</v>
      </c>
      <c r="M4662">
        <v>2021.2</v>
      </c>
      <c r="O4662" t="s">
        <v>918</v>
      </c>
      <c r="P4662">
        <f t="shared" si="72"/>
        <v>0</v>
      </c>
    </row>
    <row r="4663" spans="1:16" x14ac:dyDescent="0.25">
      <c r="A4663" t="s">
        <v>669</v>
      </c>
      <c r="B4663" t="s">
        <v>669</v>
      </c>
      <c r="C4663">
        <v>2021.4</v>
      </c>
      <c r="D4663" t="s">
        <v>858</v>
      </c>
      <c r="E4663">
        <v>5</v>
      </c>
      <c r="F4663">
        <v>5</v>
      </c>
      <c r="G4663" t="s">
        <v>684</v>
      </c>
      <c r="H4663" t="s">
        <v>684</v>
      </c>
      <c r="J4663">
        <v>2021.4</v>
      </c>
      <c r="L4663" t="s">
        <v>918</v>
      </c>
      <c r="M4663">
        <v>2021.4</v>
      </c>
      <c r="O4663" t="s">
        <v>918</v>
      </c>
      <c r="P4663">
        <f t="shared" si="72"/>
        <v>0</v>
      </c>
    </row>
    <row r="4664" spans="1:16" x14ac:dyDescent="0.25">
      <c r="A4664" t="s">
        <v>669</v>
      </c>
      <c r="B4664" t="s">
        <v>669</v>
      </c>
      <c r="C4664">
        <v>2021.5</v>
      </c>
      <c r="D4664" t="s">
        <v>858</v>
      </c>
      <c r="E4664">
        <v>5</v>
      </c>
      <c r="F4664">
        <v>5</v>
      </c>
      <c r="G4664" t="s">
        <v>684</v>
      </c>
      <c r="H4664" t="s">
        <v>684</v>
      </c>
      <c r="J4664">
        <v>2021.5</v>
      </c>
      <c r="L4664" t="s">
        <v>918</v>
      </c>
      <c r="M4664">
        <v>2021.5</v>
      </c>
      <c r="O4664" t="s">
        <v>918</v>
      </c>
      <c r="P4664">
        <f t="shared" si="72"/>
        <v>0</v>
      </c>
    </row>
    <row r="4665" spans="1:16" x14ac:dyDescent="0.25">
      <c r="A4665" t="s">
        <v>669</v>
      </c>
      <c r="B4665">
        <v>84000</v>
      </c>
      <c r="C4665" t="s">
        <v>669</v>
      </c>
      <c r="D4665" t="s">
        <v>857</v>
      </c>
      <c r="E4665" t="s">
        <v>910</v>
      </c>
      <c r="F4665">
        <v>8</v>
      </c>
      <c r="H4665" t="s">
        <v>687</v>
      </c>
      <c r="I4665" t="s">
        <v>933</v>
      </c>
      <c r="K4665">
        <v>8.4000000000000005E-2</v>
      </c>
      <c r="L4665" t="s">
        <v>303</v>
      </c>
      <c r="N4665">
        <v>84000</v>
      </c>
      <c r="O4665" t="s">
        <v>857</v>
      </c>
      <c r="P4665">
        <f t="shared" si="72"/>
        <v>42</v>
      </c>
    </row>
    <row r="4666" spans="1:16" x14ac:dyDescent="0.25">
      <c r="A4666" t="s">
        <v>669</v>
      </c>
      <c r="B4666">
        <v>94600</v>
      </c>
      <c r="C4666" t="s">
        <v>669</v>
      </c>
      <c r="D4666" t="s">
        <v>857</v>
      </c>
      <c r="E4666" t="s">
        <v>910</v>
      </c>
      <c r="F4666">
        <v>8</v>
      </c>
      <c r="H4666" t="s">
        <v>687</v>
      </c>
      <c r="I4666" t="s">
        <v>933</v>
      </c>
      <c r="K4666">
        <v>9.4600000000000004E-2</v>
      </c>
      <c r="L4666" t="s">
        <v>303</v>
      </c>
      <c r="N4666">
        <v>94600</v>
      </c>
      <c r="O4666" t="s">
        <v>857</v>
      </c>
      <c r="P4666">
        <f t="shared" si="72"/>
        <v>42</v>
      </c>
    </row>
    <row r="4667" spans="1:16" x14ac:dyDescent="0.25">
      <c r="A4667" t="s">
        <v>669</v>
      </c>
      <c r="B4667" t="s">
        <v>669</v>
      </c>
      <c r="C4667">
        <v>30000</v>
      </c>
      <c r="D4667" t="s">
        <v>669</v>
      </c>
      <c r="E4667" t="s">
        <v>910</v>
      </c>
      <c r="F4667">
        <v>8</v>
      </c>
      <c r="H4667" t="s">
        <v>687</v>
      </c>
      <c r="I4667" t="s">
        <v>933</v>
      </c>
      <c r="J4667">
        <v>0.03</v>
      </c>
      <c r="L4667" t="s">
        <v>930</v>
      </c>
      <c r="M4667">
        <v>30000</v>
      </c>
      <c r="P4667">
        <f t="shared" si="72"/>
        <v>42</v>
      </c>
    </row>
    <row r="4668" spans="1:16" x14ac:dyDescent="0.25">
      <c r="A4668" t="s">
        <v>527</v>
      </c>
      <c r="B4668">
        <v>577335</v>
      </c>
      <c r="C4668" t="s">
        <v>669</v>
      </c>
      <c r="D4668" t="s">
        <v>857</v>
      </c>
      <c r="E4668" t="s">
        <v>910</v>
      </c>
      <c r="F4668">
        <v>8</v>
      </c>
      <c r="H4668" t="s">
        <v>687</v>
      </c>
      <c r="I4668" t="s">
        <v>933</v>
      </c>
      <c r="K4668">
        <v>0.57733500000000004</v>
      </c>
      <c r="L4668" t="s">
        <v>303</v>
      </c>
      <c r="N4668">
        <v>577335</v>
      </c>
      <c r="O4668" t="s">
        <v>857</v>
      </c>
      <c r="P4668">
        <f t="shared" si="72"/>
        <v>42</v>
      </c>
    </row>
    <row r="4669" spans="1:16" x14ac:dyDescent="0.25">
      <c r="A4669" t="s">
        <v>669</v>
      </c>
      <c r="B4669" t="s">
        <v>669</v>
      </c>
      <c r="C4669" t="s">
        <v>669</v>
      </c>
      <c r="D4669" t="s">
        <v>303</v>
      </c>
      <c r="E4669" t="s">
        <v>910</v>
      </c>
      <c r="F4669" t="s">
        <v>910</v>
      </c>
    </row>
    <row r="4670" spans="1:16" x14ac:dyDescent="0.25">
      <c r="A4670" t="s">
        <v>669</v>
      </c>
      <c r="B4670" t="s">
        <v>669</v>
      </c>
      <c r="C4670" t="s">
        <v>669</v>
      </c>
      <c r="D4670" t="s">
        <v>669</v>
      </c>
      <c r="E4670" t="s">
        <v>910</v>
      </c>
      <c r="F4670" t="s">
        <v>910</v>
      </c>
    </row>
  </sheetData>
  <autoFilter ref="A1:D4670" xr:uid="{845D0E16-CE78-4D17-8378-027997FA2AB3}"/>
  <sortState xmlns:xlrd2="http://schemas.microsoft.com/office/spreadsheetml/2017/richdata2" ref="M183:O204">
    <sortCondition ref="M2:M204"/>
    <sortCondition ref="N2:N204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9D2D6-EA52-4122-A20D-92989F86F3F0}">
  <dimension ref="A1:G770"/>
  <sheetViews>
    <sheetView workbookViewId="0">
      <pane ySplit="1" topLeftCell="A480" activePane="bottomLeft" state="frozen"/>
      <selection pane="bottomLeft" activeCell="A492" sqref="A492"/>
    </sheetView>
  </sheetViews>
  <sheetFormatPr defaultRowHeight="15" x14ac:dyDescent="0.25"/>
  <cols>
    <col min="1" max="1" width="30.28515625" customWidth="1"/>
    <col min="2" max="2" width="25.5703125" customWidth="1"/>
    <col min="3" max="4" width="28.85546875" customWidth="1"/>
    <col min="5" max="5" width="17" bestFit="1" customWidth="1"/>
    <col min="6" max="7" width="16.7109375" bestFit="1" customWidth="1"/>
  </cols>
  <sheetData>
    <row r="1" spans="1:7" x14ac:dyDescent="0.25">
      <c r="A1" t="s">
        <v>0</v>
      </c>
      <c r="B1" t="s">
        <v>673</v>
      </c>
      <c r="C1" t="s">
        <v>674</v>
      </c>
      <c r="D1" t="s">
        <v>795</v>
      </c>
      <c r="E1" t="s">
        <v>670</v>
      </c>
      <c r="F1" t="s">
        <v>671</v>
      </c>
      <c r="G1" t="s">
        <v>672</v>
      </c>
    </row>
    <row r="2" spans="1:7" x14ac:dyDescent="0.25">
      <c r="A2" t="s">
        <v>1</v>
      </c>
      <c r="B2" s="2" t="s">
        <v>796</v>
      </c>
      <c r="C2" s="2" t="s">
        <v>796</v>
      </c>
      <c r="D2" s="2"/>
    </row>
    <row r="3" spans="1:7" x14ac:dyDescent="0.25">
      <c r="A3" t="s">
        <v>2</v>
      </c>
      <c r="B3" s="2" t="s">
        <v>688</v>
      </c>
      <c r="C3" s="2" t="s">
        <v>688</v>
      </c>
      <c r="D3" s="2"/>
    </row>
    <row r="4" spans="1:7" x14ac:dyDescent="0.25">
      <c r="A4">
        <v>1.5</v>
      </c>
      <c r="E4">
        <f>A4</f>
        <v>1.5</v>
      </c>
      <c r="F4">
        <f>A4</f>
        <v>1.5</v>
      </c>
    </row>
    <row r="5" spans="1:7" x14ac:dyDescent="0.25">
      <c r="A5">
        <v>10</v>
      </c>
      <c r="E5">
        <f>A5</f>
        <v>10</v>
      </c>
      <c r="F5">
        <f>A5</f>
        <v>10</v>
      </c>
    </row>
    <row r="6" spans="1:7" x14ac:dyDescent="0.25">
      <c r="A6">
        <v>10.02</v>
      </c>
      <c r="E6">
        <f>A6</f>
        <v>10.02</v>
      </c>
      <c r="F6">
        <f>A6</f>
        <v>10.02</v>
      </c>
    </row>
    <row r="7" spans="1:7" x14ac:dyDescent="0.25">
      <c r="A7">
        <v>100000000</v>
      </c>
      <c r="D7" t="s">
        <v>856</v>
      </c>
      <c r="E7">
        <f>A7/1000000</f>
        <v>100</v>
      </c>
      <c r="F7">
        <v>100</v>
      </c>
    </row>
    <row r="8" spans="1:7" x14ac:dyDescent="0.25">
      <c r="A8">
        <v>105.4</v>
      </c>
      <c r="E8">
        <f>A8</f>
        <v>105.4</v>
      </c>
      <c r="F8">
        <f>A8</f>
        <v>105.4</v>
      </c>
    </row>
    <row r="9" spans="1:7" x14ac:dyDescent="0.25">
      <c r="A9">
        <v>106.2</v>
      </c>
      <c r="E9">
        <f>A9</f>
        <v>106.2</v>
      </c>
      <c r="F9">
        <f>A9</f>
        <v>106.2</v>
      </c>
    </row>
    <row r="10" spans="1:7" x14ac:dyDescent="0.25">
      <c r="A10">
        <v>106.8</v>
      </c>
      <c r="E10">
        <f>A10</f>
        <v>106.8</v>
      </c>
      <c r="F10">
        <f>A10</f>
        <v>106.8</v>
      </c>
    </row>
    <row r="11" spans="1:7" x14ac:dyDescent="0.25">
      <c r="A11">
        <v>108.21</v>
      </c>
      <c r="E11">
        <f>A11</f>
        <v>108.21</v>
      </c>
      <c r="F11">
        <f>A11</f>
        <v>108.21</v>
      </c>
    </row>
    <row r="12" spans="1:7" x14ac:dyDescent="0.25">
      <c r="A12">
        <v>108.4</v>
      </c>
      <c r="E12">
        <f>A12</f>
        <v>108.4</v>
      </c>
      <c r="F12">
        <f>A12</f>
        <v>108.4</v>
      </c>
    </row>
    <row r="13" spans="1:7" x14ac:dyDescent="0.25">
      <c r="A13" t="s">
        <v>3</v>
      </c>
      <c r="E13">
        <v>1089</v>
      </c>
      <c r="F13">
        <v>1079</v>
      </c>
    </row>
    <row r="14" spans="1:7" x14ac:dyDescent="0.25">
      <c r="A14">
        <v>11.396000000000001</v>
      </c>
      <c r="E14">
        <f>A14</f>
        <v>11.396000000000001</v>
      </c>
      <c r="F14">
        <f>A14</f>
        <v>11.396000000000001</v>
      </c>
    </row>
    <row r="15" spans="1:7" x14ac:dyDescent="0.25">
      <c r="A15">
        <v>112.83</v>
      </c>
      <c r="E15">
        <f t="shared" ref="E15:E40" si="0">A15</f>
        <v>112.83</v>
      </c>
      <c r="F15">
        <f t="shared" ref="F15:F40" si="1">A15</f>
        <v>112.83</v>
      </c>
    </row>
    <row r="16" spans="1:7" x14ac:dyDescent="0.25">
      <c r="A16">
        <v>113.5</v>
      </c>
      <c r="E16">
        <f t="shared" si="0"/>
        <v>113.5</v>
      </c>
      <c r="F16">
        <f t="shared" si="1"/>
        <v>113.5</v>
      </c>
    </row>
    <row r="17" spans="1:6" x14ac:dyDescent="0.25">
      <c r="A17">
        <v>115.5</v>
      </c>
      <c r="E17">
        <f t="shared" si="0"/>
        <v>115.5</v>
      </c>
      <c r="F17">
        <f t="shared" si="1"/>
        <v>115.5</v>
      </c>
    </row>
    <row r="18" spans="1:6" x14ac:dyDescent="0.25">
      <c r="A18">
        <v>1175</v>
      </c>
      <c r="E18">
        <f t="shared" si="0"/>
        <v>1175</v>
      </c>
      <c r="F18">
        <f t="shared" si="1"/>
        <v>1175</v>
      </c>
    </row>
    <row r="19" spans="1:6" x14ac:dyDescent="0.25">
      <c r="A19">
        <v>12.81</v>
      </c>
      <c r="E19">
        <f t="shared" si="0"/>
        <v>12.81</v>
      </c>
      <c r="F19">
        <f t="shared" si="1"/>
        <v>12.81</v>
      </c>
    </row>
    <row r="20" spans="1:6" x14ac:dyDescent="0.25">
      <c r="A20">
        <v>120.3</v>
      </c>
      <c r="E20">
        <f t="shared" si="0"/>
        <v>120.3</v>
      </c>
      <c r="F20">
        <f t="shared" si="1"/>
        <v>120.3</v>
      </c>
    </row>
    <row r="21" spans="1:6" x14ac:dyDescent="0.25">
      <c r="A21">
        <v>121.9</v>
      </c>
      <c r="E21">
        <f t="shared" si="0"/>
        <v>121.9</v>
      </c>
      <c r="F21">
        <f t="shared" si="1"/>
        <v>121.9</v>
      </c>
    </row>
    <row r="22" spans="1:6" x14ac:dyDescent="0.25">
      <c r="A22">
        <v>13.07</v>
      </c>
      <c r="E22">
        <f t="shared" si="0"/>
        <v>13.07</v>
      </c>
      <c r="F22">
        <f t="shared" si="1"/>
        <v>13.07</v>
      </c>
    </row>
    <row r="23" spans="1:6" x14ac:dyDescent="0.25">
      <c r="A23">
        <v>13.08</v>
      </c>
      <c r="E23">
        <f t="shared" si="0"/>
        <v>13.08</v>
      </c>
      <c r="F23">
        <f t="shared" si="1"/>
        <v>13.08</v>
      </c>
    </row>
    <row r="24" spans="1:6" x14ac:dyDescent="0.25">
      <c r="A24">
        <v>13.12</v>
      </c>
      <c r="E24">
        <f t="shared" si="0"/>
        <v>13.12</v>
      </c>
      <c r="F24">
        <f t="shared" si="1"/>
        <v>13.12</v>
      </c>
    </row>
    <row r="25" spans="1:6" x14ac:dyDescent="0.25">
      <c r="A25">
        <v>13.35</v>
      </c>
      <c r="E25">
        <f t="shared" si="0"/>
        <v>13.35</v>
      </c>
      <c r="F25">
        <f t="shared" si="1"/>
        <v>13.35</v>
      </c>
    </row>
    <row r="26" spans="1:6" x14ac:dyDescent="0.25">
      <c r="A26">
        <v>13.37</v>
      </c>
      <c r="E26">
        <f t="shared" si="0"/>
        <v>13.37</v>
      </c>
      <c r="F26">
        <f t="shared" si="1"/>
        <v>13.37</v>
      </c>
    </row>
    <row r="27" spans="1:6" x14ac:dyDescent="0.25">
      <c r="A27">
        <v>13.41</v>
      </c>
      <c r="E27">
        <f t="shared" si="0"/>
        <v>13.41</v>
      </c>
      <c r="F27">
        <f t="shared" si="1"/>
        <v>13.41</v>
      </c>
    </row>
    <row r="28" spans="1:6" x14ac:dyDescent="0.25">
      <c r="A28">
        <v>13.44</v>
      </c>
      <c r="E28">
        <f t="shared" si="0"/>
        <v>13.44</v>
      </c>
      <c r="F28">
        <f t="shared" si="1"/>
        <v>13.44</v>
      </c>
    </row>
    <row r="29" spans="1:6" x14ac:dyDescent="0.25">
      <c r="A29">
        <v>13.49</v>
      </c>
      <c r="E29">
        <f t="shared" si="0"/>
        <v>13.49</v>
      </c>
      <c r="F29">
        <f t="shared" si="1"/>
        <v>13.49</v>
      </c>
    </row>
    <row r="30" spans="1:6" x14ac:dyDescent="0.25">
      <c r="A30">
        <v>13.56</v>
      </c>
      <c r="E30">
        <f t="shared" si="0"/>
        <v>13.56</v>
      </c>
      <c r="F30">
        <f t="shared" si="1"/>
        <v>13.56</v>
      </c>
    </row>
    <row r="31" spans="1:6" x14ac:dyDescent="0.25">
      <c r="A31">
        <v>13.79</v>
      </c>
      <c r="E31">
        <f t="shared" si="0"/>
        <v>13.79</v>
      </c>
      <c r="F31">
        <f t="shared" si="1"/>
        <v>13.79</v>
      </c>
    </row>
    <row r="32" spans="1:6" x14ac:dyDescent="0.25">
      <c r="A32">
        <v>13.92</v>
      </c>
      <c r="E32">
        <f t="shared" si="0"/>
        <v>13.92</v>
      </c>
      <c r="F32">
        <f t="shared" si="1"/>
        <v>13.92</v>
      </c>
    </row>
    <row r="33" spans="1:6" x14ac:dyDescent="0.25">
      <c r="A33">
        <v>137.9</v>
      </c>
      <c r="E33">
        <f t="shared" si="0"/>
        <v>137.9</v>
      </c>
      <c r="F33">
        <f t="shared" si="1"/>
        <v>137.9</v>
      </c>
    </row>
    <row r="34" spans="1:6" x14ac:dyDescent="0.25">
      <c r="A34">
        <v>14.27</v>
      </c>
      <c r="E34">
        <f t="shared" si="0"/>
        <v>14.27</v>
      </c>
      <c r="F34">
        <f t="shared" si="1"/>
        <v>14.27</v>
      </c>
    </row>
    <row r="35" spans="1:6" x14ac:dyDescent="0.25">
      <c r="A35">
        <v>14.49</v>
      </c>
      <c r="E35">
        <f t="shared" si="0"/>
        <v>14.49</v>
      </c>
      <c r="F35">
        <f t="shared" si="1"/>
        <v>14.49</v>
      </c>
    </row>
    <row r="36" spans="1:6" x14ac:dyDescent="0.25">
      <c r="A36">
        <v>14.55</v>
      </c>
      <c r="E36">
        <f t="shared" si="0"/>
        <v>14.55</v>
      </c>
      <c r="F36">
        <f t="shared" si="1"/>
        <v>14.55</v>
      </c>
    </row>
    <row r="37" spans="1:6" x14ac:dyDescent="0.25">
      <c r="A37">
        <v>14.62</v>
      </c>
      <c r="E37">
        <f t="shared" si="0"/>
        <v>14.62</v>
      </c>
      <c r="F37">
        <f t="shared" si="1"/>
        <v>14.62</v>
      </c>
    </row>
    <row r="38" spans="1:6" x14ac:dyDescent="0.25">
      <c r="A38">
        <v>14.81</v>
      </c>
      <c r="E38">
        <f t="shared" si="0"/>
        <v>14.81</v>
      </c>
      <c r="F38">
        <f t="shared" si="1"/>
        <v>14.81</v>
      </c>
    </row>
    <row r="39" spans="1:6" x14ac:dyDescent="0.25">
      <c r="A39">
        <v>1451.5</v>
      </c>
      <c r="E39">
        <f t="shared" si="0"/>
        <v>1451.5</v>
      </c>
      <c r="F39">
        <f t="shared" si="1"/>
        <v>1451.5</v>
      </c>
    </row>
    <row r="40" spans="1:6" x14ac:dyDescent="0.25">
      <c r="A40">
        <v>1464.5</v>
      </c>
      <c r="E40">
        <f t="shared" si="0"/>
        <v>1464.5</v>
      </c>
      <c r="F40">
        <f t="shared" si="1"/>
        <v>1464.5</v>
      </c>
    </row>
    <row r="41" spans="1:6" x14ac:dyDescent="0.25">
      <c r="A41" t="s">
        <v>4</v>
      </c>
      <c r="D41" t="s">
        <v>855</v>
      </c>
      <c r="E41">
        <f>1466+17</f>
        <v>1483</v>
      </c>
      <c r="F41">
        <f>1466-17</f>
        <v>1449</v>
      </c>
    </row>
    <row r="42" spans="1:6" x14ac:dyDescent="0.25">
      <c r="A42">
        <v>1466.7</v>
      </c>
      <c r="E42">
        <f t="shared" ref="E42" si="2">A42</f>
        <v>1466.7</v>
      </c>
      <c r="F42">
        <f t="shared" ref="F42" si="3">A42</f>
        <v>1466.7</v>
      </c>
    </row>
    <row r="43" spans="1:6" x14ac:dyDescent="0.25">
      <c r="A43">
        <v>149.17699999999999</v>
      </c>
      <c r="E43">
        <f t="shared" ref="E43:E59" si="4">A43</f>
        <v>149.17699999999999</v>
      </c>
      <c r="F43">
        <f t="shared" ref="F43:F59" si="5">A43</f>
        <v>149.17699999999999</v>
      </c>
    </row>
    <row r="44" spans="1:6" x14ac:dyDescent="0.25">
      <c r="A44">
        <v>149.465</v>
      </c>
      <c r="E44">
        <f t="shared" si="4"/>
        <v>149.465</v>
      </c>
      <c r="F44">
        <f t="shared" si="5"/>
        <v>149.465</v>
      </c>
    </row>
    <row r="45" spans="1:6" x14ac:dyDescent="0.25">
      <c r="A45">
        <v>150.03399999999999</v>
      </c>
      <c r="E45">
        <f t="shared" si="4"/>
        <v>150.03399999999999</v>
      </c>
      <c r="F45">
        <f t="shared" si="5"/>
        <v>150.03399999999999</v>
      </c>
    </row>
    <row r="46" spans="1:6" x14ac:dyDescent="0.25">
      <c r="A46">
        <v>150.18</v>
      </c>
      <c r="E46">
        <f t="shared" si="4"/>
        <v>150.18</v>
      </c>
      <c r="F46">
        <f t="shared" si="5"/>
        <v>150.18</v>
      </c>
    </row>
    <row r="47" spans="1:6" x14ac:dyDescent="0.25">
      <c r="A47">
        <v>151</v>
      </c>
      <c r="E47">
        <f t="shared" si="4"/>
        <v>151</v>
      </c>
      <c r="F47">
        <f t="shared" si="5"/>
        <v>151</v>
      </c>
    </row>
    <row r="48" spans="1:6" x14ac:dyDescent="0.25">
      <c r="A48">
        <v>151.02000000000001</v>
      </c>
      <c r="E48">
        <f t="shared" si="4"/>
        <v>151.02000000000001</v>
      </c>
      <c r="F48">
        <f t="shared" si="5"/>
        <v>151.02000000000001</v>
      </c>
    </row>
    <row r="49" spans="1:6" x14ac:dyDescent="0.25">
      <c r="A49">
        <v>151.69999999999999</v>
      </c>
      <c r="E49">
        <f t="shared" si="4"/>
        <v>151.69999999999999</v>
      </c>
      <c r="F49">
        <f t="shared" si="5"/>
        <v>151.69999999999999</v>
      </c>
    </row>
    <row r="50" spans="1:6" x14ac:dyDescent="0.25">
      <c r="A50">
        <v>153.19999999999999</v>
      </c>
      <c r="E50">
        <f t="shared" si="4"/>
        <v>153.19999999999999</v>
      </c>
      <c r="F50">
        <f t="shared" si="5"/>
        <v>153.19999999999999</v>
      </c>
    </row>
    <row r="51" spans="1:6" x14ac:dyDescent="0.25">
      <c r="A51">
        <v>158.88499999999999</v>
      </c>
      <c r="E51">
        <f t="shared" si="4"/>
        <v>158.88499999999999</v>
      </c>
      <c r="F51">
        <f t="shared" si="5"/>
        <v>158.88499999999999</v>
      </c>
    </row>
    <row r="52" spans="1:6" x14ac:dyDescent="0.25">
      <c r="A52">
        <v>159.20500000000001</v>
      </c>
      <c r="E52">
        <f t="shared" si="4"/>
        <v>159.20500000000001</v>
      </c>
      <c r="F52">
        <f t="shared" si="5"/>
        <v>159.20500000000001</v>
      </c>
    </row>
    <row r="53" spans="1:6" x14ac:dyDescent="0.25">
      <c r="A53">
        <v>16.11</v>
      </c>
      <c r="E53">
        <f t="shared" si="4"/>
        <v>16.11</v>
      </c>
      <c r="F53">
        <f t="shared" si="5"/>
        <v>16.11</v>
      </c>
    </row>
    <row r="54" spans="1:6" x14ac:dyDescent="0.25">
      <c r="A54">
        <v>161.44</v>
      </c>
      <c r="E54">
        <f t="shared" si="4"/>
        <v>161.44</v>
      </c>
      <c r="F54">
        <f t="shared" si="5"/>
        <v>161.44</v>
      </c>
    </row>
    <row r="55" spans="1:6" x14ac:dyDescent="0.25">
      <c r="A55">
        <v>162.24</v>
      </c>
      <c r="E55">
        <f t="shared" si="4"/>
        <v>162.24</v>
      </c>
      <c r="F55">
        <f t="shared" si="5"/>
        <v>162.24</v>
      </c>
    </row>
    <row r="56" spans="1:6" x14ac:dyDescent="0.25">
      <c r="A56">
        <v>162.69999999999999</v>
      </c>
      <c r="E56">
        <f t="shared" si="4"/>
        <v>162.69999999999999</v>
      </c>
      <c r="F56">
        <f t="shared" si="5"/>
        <v>162.69999999999999</v>
      </c>
    </row>
    <row r="57" spans="1:6" x14ac:dyDescent="0.25">
      <c r="A57">
        <v>168.43</v>
      </c>
      <c r="E57">
        <f t="shared" si="4"/>
        <v>168.43</v>
      </c>
      <c r="F57">
        <f t="shared" si="5"/>
        <v>168.43</v>
      </c>
    </row>
    <row r="58" spans="1:6" x14ac:dyDescent="0.25">
      <c r="A58">
        <v>174.3</v>
      </c>
      <c r="E58">
        <f t="shared" si="4"/>
        <v>174.3</v>
      </c>
      <c r="F58">
        <f t="shared" si="5"/>
        <v>174.3</v>
      </c>
    </row>
    <row r="59" spans="1:6" x14ac:dyDescent="0.25">
      <c r="A59">
        <v>174.66</v>
      </c>
      <c r="E59">
        <f t="shared" si="4"/>
        <v>174.66</v>
      </c>
      <c r="F59">
        <f t="shared" si="5"/>
        <v>174.66</v>
      </c>
    </row>
    <row r="60" spans="1:6" x14ac:dyDescent="0.25">
      <c r="A60" t="s">
        <v>5</v>
      </c>
      <c r="D60" t="s">
        <v>855</v>
      </c>
      <c r="E60">
        <f>1798+24</f>
        <v>1822</v>
      </c>
      <c r="F60">
        <f>1798-24</f>
        <v>1774</v>
      </c>
    </row>
    <row r="61" spans="1:6" x14ac:dyDescent="0.25">
      <c r="A61">
        <v>184.2</v>
      </c>
      <c r="E61">
        <f t="shared" ref="E61" si="6">A61</f>
        <v>184.2</v>
      </c>
      <c r="F61">
        <f t="shared" ref="F61" si="7">A61</f>
        <v>184.2</v>
      </c>
    </row>
    <row r="62" spans="1:6" x14ac:dyDescent="0.25">
      <c r="A62">
        <v>198</v>
      </c>
      <c r="E62">
        <f t="shared" ref="E62:E70" si="8">A62</f>
        <v>198</v>
      </c>
      <c r="F62">
        <f t="shared" ref="F62:F70" si="9">A62</f>
        <v>198</v>
      </c>
    </row>
    <row r="63" spans="1:6" x14ac:dyDescent="0.25">
      <c r="A63">
        <v>2</v>
      </c>
      <c r="E63">
        <f t="shared" si="8"/>
        <v>2</v>
      </c>
      <c r="F63">
        <f t="shared" si="9"/>
        <v>2</v>
      </c>
    </row>
    <row r="64" spans="1:6" x14ac:dyDescent="0.25">
      <c r="A64">
        <v>2.13</v>
      </c>
      <c r="E64">
        <f t="shared" si="8"/>
        <v>2.13</v>
      </c>
      <c r="F64">
        <f t="shared" si="9"/>
        <v>2.13</v>
      </c>
    </row>
    <row r="65" spans="1:6" x14ac:dyDescent="0.25">
      <c r="A65">
        <v>2.9</v>
      </c>
      <c r="E65">
        <f t="shared" si="8"/>
        <v>2.9</v>
      </c>
      <c r="F65">
        <f t="shared" si="9"/>
        <v>2.9</v>
      </c>
    </row>
    <row r="66" spans="1:6" x14ac:dyDescent="0.25">
      <c r="A66">
        <v>208</v>
      </c>
      <c r="E66">
        <f t="shared" si="8"/>
        <v>208</v>
      </c>
      <c r="F66">
        <f t="shared" si="9"/>
        <v>208</v>
      </c>
    </row>
    <row r="67" spans="1:6" x14ac:dyDescent="0.25">
      <c r="A67">
        <v>21.7</v>
      </c>
      <c r="E67">
        <f t="shared" si="8"/>
        <v>21.7</v>
      </c>
      <c r="F67">
        <f t="shared" si="9"/>
        <v>21.7</v>
      </c>
    </row>
    <row r="68" spans="1:6" x14ac:dyDescent="0.25">
      <c r="A68">
        <v>25.9</v>
      </c>
      <c r="E68">
        <f t="shared" si="8"/>
        <v>25.9</v>
      </c>
      <c r="F68">
        <f t="shared" si="9"/>
        <v>25.9</v>
      </c>
    </row>
    <row r="69" spans="1:6" x14ac:dyDescent="0.25">
      <c r="A69">
        <v>27.6</v>
      </c>
      <c r="E69">
        <f t="shared" si="8"/>
        <v>27.6</v>
      </c>
      <c r="F69">
        <f t="shared" si="9"/>
        <v>27.6</v>
      </c>
    </row>
    <row r="70" spans="1:6" x14ac:dyDescent="0.25">
      <c r="A70">
        <v>28.1</v>
      </c>
      <c r="E70">
        <f t="shared" si="8"/>
        <v>28.1</v>
      </c>
      <c r="F70">
        <f t="shared" si="9"/>
        <v>28.1</v>
      </c>
    </row>
    <row r="71" spans="1:6" x14ac:dyDescent="0.25">
      <c r="A71" t="s">
        <v>6</v>
      </c>
      <c r="D71" t="s">
        <v>854</v>
      </c>
      <c r="E71">
        <f>288.17+0.78</f>
        <v>288.95</v>
      </c>
      <c r="F71">
        <f>288.17-0.78</f>
        <v>287.39000000000004</v>
      </c>
    </row>
    <row r="72" spans="1:6" x14ac:dyDescent="0.25">
      <c r="A72" t="s">
        <v>7</v>
      </c>
      <c r="D72" t="s">
        <v>854</v>
      </c>
      <c r="E72">
        <f>288.44+0.7</f>
        <v>289.14</v>
      </c>
      <c r="F72">
        <f>288.44-0.7</f>
        <v>287.74</v>
      </c>
    </row>
    <row r="73" spans="1:6" x14ac:dyDescent="0.25">
      <c r="A73">
        <v>29</v>
      </c>
      <c r="E73">
        <f t="shared" ref="E73" si="10">A73</f>
        <v>29</v>
      </c>
      <c r="F73">
        <f t="shared" ref="F73" si="11">A73</f>
        <v>29</v>
      </c>
    </row>
    <row r="74" spans="1:6" x14ac:dyDescent="0.25">
      <c r="A74" t="s">
        <v>8</v>
      </c>
      <c r="E74">
        <f>29+0.5</f>
        <v>29.5</v>
      </c>
      <c r="F74">
        <f>29-0.5</f>
        <v>28.5</v>
      </c>
    </row>
    <row r="75" spans="1:6" x14ac:dyDescent="0.25">
      <c r="A75" t="s">
        <v>9</v>
      </c>
      <c r="E75">
        <f>29.24+0.08</f>
        <v>29.319999999999997</v>
      </c>
      <c r="F75">
        <f>29.24-0.08</f>
        <v>29.16</v>
      </c>
    </row>
    <row r="76" spans="1:6" x14ac:dyDescent="0.25">
      <c r="A76">
        <v>29.8</v>
      </c>
      <c r="E76">
        <f t="shared" ref="E76" si="12">A76</f>
        <v>29.8</v>
      </c>
      <c r="F76">
        <f t="shared" ref="F76" si="13">A76</f>
        <v>29.8</v>
      </c>
    </row>
    <row r="77" spans="1:6" x14ac:dyDescent="0.25">
      <c r="A77">
        <v>3.5</v>
      </c>
      <c r="E77">
        <f t="shared" ref="E77:E83" si="14">A77</f>
        <v>3.5</v>
      </c>
      <c r="F77">
        <f t="shared" ref="F77:F83" si="15">A77</f>
        <v>3.5</v>
      </c>
    </row>
    <row r="78" spans="1:6" x14ac:dyDescent="0.25">
      <c r="A78">
        <v>33.21</v>
      </c>
      <c r="E78">
        <f t="shared" si="14"/>
        <v>33.21</v>
      </c>
      <c r="F78">
        <f t="shared" si="15"/>
        <v>33.21</v>
      </c>
    </row>
    <row r="79" spans="1:6" x14ac:dyDescent="0.25">
      <c r="A79">
        <v>33.5</v>
      </c>
      <c r="E79">
        <f t="shared" si="14"/>
        <v>33.5</v>
      </c>
      <c r="F79">
        <f t="shared" si="15"/>
        <v>33.5</v>
      </c>
    </row>
    <row r="80" spans="1:6" x14ac:dyDescent="0.25">
      <c r="A80">
        <v>34.4</v>
      </c>
      <c r="E80">
        <f t="shared" si="14"/>
        <v>34.4</v>
      </c>
      <c r="F80">
        <f t="shared" si="15"/>
        <v>34.4</v>
      </c>
    </row>
    <row r="81" spans="1:6" x14ac:dyDescent="0.25">
      <c r="A81">
        <v>34.82</v>
      </c>
      <c r="E81">
        <f t="shared" si="14"/>
        <v>34.82</v>
      </c>
      <c r="F81">
        <f t="shared" si="15"/>
        <v>34.82</v>
      </c>
    </row>
    <row r="82" spans="1:6" x14ac:dyDescent="0.25">
      <c r="A82">
        <v>35.69</v>
      </c>
      <c r="E82">
        <f t="shared" si="14"/>
        <v>35.69</v>
      </c>
      <c r="F82">
        <f t="shared" si="15"/>
        <v>35.69</v>
      </c>
    </row>
    <row r="83" spans="1:6" x14ac:dyDescent="0.25">
      <c r="A83">
        <v>36.1</v>
      </c>
      <c r="E83">
        <f t="shared" si="14"/>
        <v>36.1</v>
      </c>
      <c r="F83">
        <f t="shared" si="15"/>
        <v>36.1</v>
      </c>
    </row>
    <row r="84" spans="1:6" x14ac:dyDescent="0.25">
      <c r="A84" t="s">
        <v>10</v>
      </c>
      <c r="E84">
        <f>3600/1000000</f>
        <v>3.5999999999999999E-3</v>
      </c>
      <c r="F84">
        <f>3600/1000000</f>
        <v>3.5999999999999999E-3</v>
      </c>
    </row>
    <row r="85" spans="1:6" x14ac:dyDescent="0.25">
      <c r="A85">
        <v>37.9</v>
      </c>
      <c r="E85">
        <f t="shared" ref="E85" si="16">A85</f>
        <v>37.9</v>
      </c>
      <c r="F85">
        <f t="shared" ref="F85" si="17">A85</f>
        <v>37.9</v>
      </c>
    </row>
    <row r="86" spans="1:6" x14ac:dyDescent="0.25">
      <c r="A86" t="s">
        <v>11</v>
      </c>
      <c r="E86">
        <v>393.3</v>
      </c>
      <c r="F86">
        <v>382.7</v>
      </c>
    </row>
    <row r="87" spans="1:6" x14ac:dyDescent="0.25">
      <c r="A87" t="s">
        <v>12</v>
      </c>
      <c r="E87">
        <f>4/1000000</f>
        <v>3.9999999999999998E-6</v>
      </c>
      <c r="F87">
        <f>4/1000000</f>
        <v>3.9999999999999998E-6</v>
      </c>
    </row>
    <row r="88" spans="1:6" x14ac:dyDescent="0.25">
      <c r="A88">
        <v>4.04</v>
      </c>
      <c r="E88">
        <f t="shared" ref="E88" si="18">A88</f>
        <v>4.04</v>
      </c>
      <c r="F88">
        <f t="shared" ref="F88" si="19">A88</f>
        <v>4.04</v>
      </c>
    </row>
    <row r="89" spans="1:6" x14ac:dyDescent="0.25">
      <c r="A89">
        <v>4.4000000000000004</v>
      </c>
      <c r="E89">
        <f t="shared" ref="E89:E112" si="20">A89</f>
        <v>4.4000000000000004</v>
      </c>
      <c r="F89">
        <f t="shared" ref="F89:F112" si="21">A89</f>
        <v>4.4000000000000004</v>
      </c>
    </row>
    <row r="90" spans="1:6" x14ac:dyDescent="0.25">
      <c r="A90">
        <v>4.5</v>
      </c>
      <c r="E90">
        <f t="shared" si="20"/>
        <v>4.5</v>
      </c>
      <c r="F90">
        <f t="shared" si="21"/>
        <v>4.5</v>
      </c>
    </row>
    <row r="91" spans="1:6" x14ac:dyDescent="0.25">
      <c r="A91">
        <v>44.6</v>
      </c>
      <c r="E91">
        <f t="shared" si="20"/>
        <v>44.6</v>
      </c>
      <c r="F91">
        <f t="shared" si="21"/>
        <v>44.6</v>
      </c>
    </row>
    <row r="92" spans="1:6" x14ac:dyDescent="0.25">
      <c r="A92">
        <v>5</v>
      </c>
      <c r="E92">
        <f t="shared" si="20"/>
        <v>5</v>
      </c>
      <c r="F92">
        <f t="shared" si="21"/>
        <v>5</v>
      </c>
    </row>
    <row r="93" spans="1:6" x14ac:dyDescent="0.25">
      <c r="A93">
        <v>5.3</v>
      </c>
      <c r="E93">
        <f t="shared" si="20"/>
        <v>5.3</v>
      </c>
      <c r="F93">
        <f t="shared" si="21"/>
        <v>5.3</v>
      </c>
    </row>
    <row r="94" spans="1:6" x14ac:dyDescent="0.25">
      <c r="A94">
        <v>5.7</v>
      </c>
      <c r="E94">
        <f t="shared" si="20"/>
        <v>5.7</v>
      </c>
      <c r="F94">
        <f t="shared" si="21"/>
        <v>5.7</v>
      </c>
    </row>
    <row r="95" spans="1:6" x14ac:dyDescent="0.25">
      <c r="A95">
        <v>5.8</v>
      </c>
      <c r="E95">
        <f t="shared" si="20"/>
        <v>5.8</v>
      </c>
      <c r="F95">
        <f t="shared" si="21"/>
        <v>5.8</v>
      </c>
    </row>
    <row r="96" spans="1:6" x14ac:dyDescent="0.25">
      <c r="A96">
        <v>5.9</v>
      </c>
      <c r="E96">
        <f t="shared" si="20"/>
        <v>5.9</v>
      </c>
      <c r="F96">
        <f t="shared" si="21"/>
        <v>5.9</v>
      </c>
    </row>
    <row r="97" spans="1:6" x14ac:dyDescent="0.25">
      <c r="A97">
        <v>53.57</v>
      </c>
      <c r="E97">
        <f t="shared" si="20"/>
        <v>53.57</v>
      </c>
      <c r="F97">
        <f t="shared" si="21"/>
        <v>53.57</v>
      </c>
    </row>
    <row r="98" spans="1:6" x14ac:dyDescent="0.25">
      <c r="A98">
        <v>54.5</v>
      </c>
      <c r="E98">
        <f t="shared" si="20"/>
        <v>54.5</v>
      </c>
      <c r="F98">
        <f t="shared" si="21"/>
        <v>54.5</v>
      </c>
    </row>
    <row r="99" spans="1:6" x14ac:dyDescent="0.25">
      <c r="A99">
        <v>62.4</v>
      </c>
      <c r="E99">
        <f t="shared" si="20"/>
        <v>62.4</v>
      </c>
      <c r="F99">
        <f t="shared" si="21"/>
        <v>62.4</v>
      </c>
    </row>
    <row r="100" spans="1:6" x14ac:dyDescent="0.25">
      <c r="A100">
        <v>68.3</v>
      </c>
      <c r="E100">
        <f t="shared" si="20"/>
        <v>68.3</v>
      </c>
      <c r="F100">
        <f t="shared" si="21"/>
        <v>68.3</v>
      </c>
    </row>
    <row r="101" spans="1:6" x14ac:dyDescent="0.25">
      <c r="A101">
        <v>7.2</v>
      </c>
      <c r="E101">
        <f t="shared" si="20"/>
        <v>7.2</v>
      </c>
      <c r="F101">
        <f t="shared" si="21"/>
        <v>7.2</v>
      </c>
    </row>
    <row r="102" spans="1:6" x14ac:dyDescent="0.25">
      <c r="A102">
        <v>77.2</v>
      </c>
      <c r="E102">
        <f t="shared" si="20"/>
        <v>77.2</v>
      </c>
      <c r="F102">
        <f t="shared" si="21"/>
        <v>77.2</v>
      </c>
    </row>
    <row r="103" spans="1:6" x14ac:dyDescent="0.25">
      <c r="A103">
        <v>8.8000000000000007</v>
      </c>
      <c r="E103">
        <f t="shared" si="20"/>
        <v>8.8000000000000007</v>
      </c>
      <c r="F103">
        <f t="shared" si="21"/>
        <v>8.8000000000000007</v>
      </c>
    </row>
    <row r="104" spans="1:6" x14ac:dyDescent="0.25">
      <c r="A104">
        <v>86.1</v>
      </c>
      <c r="E104">
        <f t="shared" si="20"/>
        <v>86.1</v>
      </c>
      <c r="F104">
        <f t="shared" si="21"/>
        <v>86.1</v>
      </c>
    </row>
    <row r="105" spans="1:6" x14ac:dyDescent="0.25">
      <c r="A105">
        <v>9.1</v>
      </c>
      <c r="E105">
        <f t="shared" si="20"/>
        <v>9.1</v>
      </c>
      <c r="F105">
        <f t="shared" si="21"/>
        <v>9.1</v>
      </c>
    </row>
    <row r="106" spans="1:6" x14ac:dyDescent="0.25">
      <c r="A106">
        <v>9.23</v>
      </c>
      <c r="E106">
        <f t="shared" si="20"/>
        <v>9.23</v>
      </c>
      <c r="F106">
        <f t="shared" si="21"/>
        <v>9.23</v>
      </c>
    </row>
    <row r="107" spans="1:6" x14ac:dyDescent="0.25">
      <c r="A107">
        <v>9.6999999999999993</v>
      </c>
      <c r="E107">
        <f t="shared" si="20"/>
        <v>9.6999999999999993</v>
      </c>
      <c r="F107">
        <f t="shared" si="21"/>
        <v>9.6999999999999993</v>
      </c>
    </row>
    <row r="108" spans="1:6" x14ac:dyDescent="0.25">
      <c r="A108">
        <v>9.9</v>
      </c>
      <c r="E108">
        <f t="shared" si="20"/>
        <v>9.9</v>
      </c>
      <c r="F108">
        <f t="shared" si="21"/>
        <v>9.9</v>
      </c>
    </row>
    <row r="109" spans="1:6" x14ac:dyDescent="0.25">
      <c r="A109">
        <v>90</v>
      </c>
      <c r="E109">
        <f t="shared" si="20"/>
        <v>90</v>
      </c>
      <c r="F109">
        <f t="shared" si="21"/>
        <v>90</v>
      </c>
    </row>
    <row r="110" spans="1:6" x14ac:dyDescent="0.25">
      <c r="A110">
        <v>93.32</v>
      </c>
      <c r="E110">
        <f t="shared" si="20"/>
        <v>93.32</v>
      </c>
      <c r="F110">
        <f t="shared" si="21"/>
        <v>93.32</v>
      </c>
    </row>
    <row r="111" spans="1:6" x14ac:dyDescent="0.25">
      <c r="A111">
        <v>96.3</v>
      </c>
      <c r="E111">
        <f t="shared" si="20"/>
        <v>96.3</v>
      </c>
      <c r="F111">
        <f t="shared" si="21"/>
        <v>96.3</v>
      </c>
    </row>
    <row r="112" spans="1:6" x14ac:dyDescent="0.25">
      <c r="A112">
        <v>99.454999999999998</v>
      </c>
      <c r="E112">
        <f t="shared" si="20"/>
        <v>99.454999999999998</v>
      </c>
      <c r="F112">
        <f t="shared" si="21"/>
        <v>99.454999999999998</v>
      </c>
    </row>
    <row r="113" spans="1:4" x14ac:dyDescent="0.25">
      <c r="A113" t="s">
        <v>13</v>
      </c>
      <c r="B113" s="2" t="s">
        <v>787</v>
      </c>
      <c r="C113" s="2" t="s">
        <v>787</v>
      </c>
      <c r="D113" s="2"/>
    </row>
    <row r="114" spans="1:4" x14ac:dyDescent="0.25">
      <c r="A114" t="s">
        <v>14</v>
      </c>
      <c r="D114" t="s">
        <v>851</v>
      </c>
    </row>
    <row r="115" spans="1:4" x14ac:dyDescent="0.25">
      <c r="A115" t="s">
        <v>15</v>
      </c>
      <c r="D115" t="s">
        <v>636</v>
      </c>
    </row>
    <row r="116" spans="1:4" x14ac:dyDescent="0.25">
      <c r="A116" t="s">
        <v>16</v>
      </c>
      <c r="D116" t="s">
        <v>852</v>
      </c>
    </row>
    <row r="117" spans="1:4" x14ac:dyDescent="0.25">
      <c r="A117" t="s">
        <v>17</v>
      </c>
      <c r="B117" t="s">
        <v>675</v>
      </c>
      <c r="C117" t="s">
        <v>675</v>
      </c>
    </row>
    <row r="118" spans="1:4" x14ac:dyDescent="0.25">
      <c r="A118" t="s">
        <v>18</v>
      </c>
      <c r="B118" t="s">
        <v>675</v>
      </c>
      <c r="C118" t="s">
        <v>679</v>
      </c>
    </row>
    <row r="119" spans="1:4" x14ac:dyDescent="0.25">
      <c r="A119" t="s">
        <v>19</v>
      </c>
      <c r="B119" t="s">
        <v>675</v>
      </c>
      <c r="C119" t="s">
        <v>679</v>
      </c>
    </row>
    <row r="120" spans="1:4" x14ac:dyDescent="0.25">
      <c r="A120" t="s">
        <v>20</v>
      </c>
      <c r="B120" t="s">
        <v>675</v>
      </c>
      <c r="C120" t="s">
        <v>675</v>
      </c>
    </row>
    <row r="121" spans="1:4" x14ac:dyDescent="0.25">
      <c r="A121" t="s">
        <v>21</v>
      </c>
      <c r="B121" t="s">
        <v>680</v>
      </c>
      <c r="C121" t="s">
        <v>681</v>
      </c>
    </row>
    <row r="122" spans="1:4" x14ac:dyDescent="0.25">
      <c r="A122" t="s">
        <v>22</v>
      </c>
      <c r="B122" t="s">
        <v>682</v>
      </c>
      <c r="C122" t="s">
        <v>683</v>
      </c>
    </row>
    <row r="123" spans="1:4" x14ac:dyDescent="0.25">
      <c r="A123" t="s">
        <v>23</v>
      </c>
      <c r="B123" s="2" t="s">
        <v>684</v>
      </c>
      <c r="C123" s="2" t="s">
        <v>684</v>
      </c>
      <c r="D123" s="2"/>
    </row>
    <row r="124" spans="1:4" x14ac:dyDescent="0.25">
      <c r="A124" t="s">
        <v>24</v>
      </c>
      <c r="B124" t="s">
        <v>685</v>
      </c>
      <c r="C124" t="s">
        <v>684</v>
      </c>
    </row>
    <row r="125" spans="1:4" x14ac:dyDescent="0.25">
      <c r="A125" t="s">
        <v>25</v>
      </c>
      <c r="B125" t="s">
        <v>685</v>
      </c>
      <c r="C125" t="s">
        <v>684</v>
      </c>
    </row>
    <row r="126" spans="1:4" x14ac:dyDescent="0.25">
      <c r="A126" t="s">
        <v>26</v>
      </c>
      <c r="B126" t="s">
        <v>676</v>
      </c>
      <c r="C126" t="str">
        <f>"ics:"&amp;A126</f>
        <v>ics:Aquitanian</v>
      </c>
    </row>
    <row r="127" spans="1:4" x14ac:dyDescent="0.25">
      <c r="A127" t="s">
        <v>27</v>
      </c>
      <c r="B127" t="s">
        <v>676</v>
      </c>
      <c r="C127" t="s">
        <v>755</v>
      </c>
    </row>
    <row r="128" spans="1:4" x14ac:dyDescent="0.25">
      <c r="A128" t="s">
        <v>28</v>
      </c>
      <c r="B128" t="s">
        <v>677</v>
      </c>
      <c r="C128" t="str">
        <f>"ics:"&amp;A128</f>
        <v>ics:Archaean</v>
      </c>
    </row>
    <row r="129" spans="1:3" x14ac:dyDescent="0.25">
      <c r="A129" t="s">
        <v>29</v>
      </c>
      <c r="B129" t="s">
        <v>678</v>
      </c>
      <c r="C129" t="str">
        <f>"ics:"&amp;A129</f>
        <v>ics:Archean</v>
      </c>
    </row>
    <row r="130" spans="1:3" x14ac:dyDescent="0.25">
      <c r="A130" t="s">
        <v>30</v>
      </c>
      <c r="B130" t="s">
        <v>745</v>
      </c>
      <c r="C130" t="s">
        <v>745</v>
      </c>
    </row>
    <row r="131" spans="1:3" x14ac:dyDescent="0.25">
      <c r="A131" t="s">
        <v>31</v>
      </c>
      <c r="B131" t="s">
        <v>696</v>
      </c>
      <c r="C131" t="s">
        <v>696</v>
      </c>
    </row>
    <row r="132" spans="1:3" x14ac:dyDescent="0.25">
      <c r="A132" t="s">
        <v>32</v>
      </c>
      <c r="B132" t="s">
        <v>714</v>
      </c>
      <c r="C132" t="s">
        <v>714</v>
      </c>
    </row>
    <row r="133" spans="1:3" x14ac:dyDescent="0.25">
      <c r="A133" t="s">
        <v>33</v>
      </c>
      <c r="B133" t="s">
        <v>704</v>
      </c>
      <c r="C133" t="s">
        <v>686</v>
      </c>
    </row>
    <row r="134" spans="1:3" x14ac:dyDescent="0.25">
      <c r="A134" t="s">
        <v>34</v>
      </c>
      <c r="B134" t="s">
        <v>755</v>
      </c>
      <c r="C134" t="str">
        <f>"ics:"&amp;A134</f>
        <v>ics:Burdigalian</v>
      </c>
    </row>
    <row r="135" spans="1:3" x14ac:dyDescent="0.25">
      <c r="A135" t="s">
        <v>35</v>
      </c>
      <c r="B135" t="s">
        <v>788</v>
      </c>
      <c r="C135" t="s">
        <v>732</v>
      </c>
    </row>
    <row r="136" spans="1:3" x14ac:dyDescent="0.25">
      <c r="A136" t="s">
        <v>36</v>
      </c>
      <c r="B136" t="s">
        <v>788</v>
      </c>
      <c r="C136" t="s">
        <v>732</v>
      </c>
    </row>
    <row r="137" spans="1:3" x14ac:dyDescent="0.25">
      <c r="A137" t="s">
        <v>37</v>
      </c>
      <c r="B137" t="s">
        <v>718</v>
      </c>
      <c r="C137" t="str">
        <f>"ics:"&amp;A137</f>
        <v>ics:Cambrian</v>
      </c>
    </row>
    <row r="138" spans="1:3" x14ac:dyDescent="0.25">
      <c r="A138" t="s">
        <v>38</v>
      </c>
      <c r="B138" t="s">
        <v>718</v>
      </c>
      <c r="C138" t="s">
        <v>738</v>
      </c>
    </row>
    <row r="139" spans="1:3" x14ac:dyDescent="0.25">
      <c r="A139" t="s">
        <v>39</v>
      </c>
      <c r="B139" t="s">
        <v>718</v>
      </c>
      <c r="C139" t="s">
        <v>789</v>
      </c>
    </row>
    <row r="140" spans="1:3" x14ac:dyDescent="0.25">
      <c r="A140" t="s">
        <v>40</v>
      </c>
      <c r="B140" t="s">
        <v>791</v>
      </c>
      <c r="C140" t="s">
        <v>790</v>
      </c>
    </row>
    <row r="141" spans="1:3" x14ac:dyDescent="0.25">
      <c r="A141" t="s">
        <v>41</v>
      </c>
      <c r="B141" t="s">
        <v>791</v>
      </c>
      <c r="C141" t="s">
        <v>792</v>
      </c>
    </row>
    <row r="142" spans="1:3" x14ac:dyDescent="0.25">
      <c r="A142" t="s">
        <v>42</v>
      </c>
      <c r="B142" t="s">
        <v>759</v>
      </c>
      <c r="C142" t="s">
        <v>790</v>
      </c>
    </row>
    <row r="143" spans="1:3" x14ac:dyDescent="0.25">
      <c r="A143" t="s">
        <v>43</v>
      </c>
      <c r="B143" t="s">
        <v>757</v>
      </c>
      <c r="C143" t="s">
        <v>790</v>
      </c>
    </row>
    <row r="144" spans="1:3" x14ac:dyDescent="0.25">
      <c r="A144" t="s">
        <v>44</v>
      </c>
      <c r="B144" t="s">
        <v>790</v>
      </c>
      <c r="C144" t="s">
        <v>793</v>
      </c>
    </row>
    <row r="145" spans="1:4" x14ac:dyDescent="0.25">
      <c r="A145" t="s">
        <v>45</v>
      </c>
      <c r="B145" t="s">
        <v>718</v>
      </c>
      <c r="C145" t="s">
        <v>718</v>
      </c>
    </row>
    <row r="146" spans="1:4" x14ac:dyDescent="0.25">
      <c r="A146" t="s">
        <v>46</v>
      </c>
      <c r="B146" t="s">
        <v>718</v>
      </c>
      <c r="C146" t="s">
        <v>738</v>
      </c>
    </row>
    <row r="147" spans="1:4" x14ac:dyDescent="0.25">
      <c r="A147" t="s">
        <v>47</v>
      </c>
      <c r="B147" t="s">
        <v>718</v>
      </c>
      <c r="C147" t="s">
        <v>740</v>
      </c>
    </row>
    <row r="148" spans="1:4" x14ac:dyDescent="0.25">
      <c r="A148" t="s">
        <v>48</v>
      </c>
      <c r="B148" t="s">
        <v>718</v>
      </c>
      <c r="C148" t="s">
        <v>686</v>
      </c>
    </row>
    <row r="149" spans="1:4" x14ac:dyDescent="0.25">
      <c r="A149" t="s">
        <v>49</v>
      </c>
      <c r="B149" t="s">
        <v>718</v>
      </c>
      <c r="C149" t="s">
        <v>686</v>
      </c>
    </row>
    <row r="150" spans="1:4" x14ac:dyDescent="0.25">
      <c r="A150" t="s">
        <v>50</v>
      </c>
      <c r="B150" t="s">
        <v>718</v>
      </c>
      <c r="C150" t="s">
        <v>718</v>
      </c>
      <c r="D150" t="s">
        <v>799</v>
      </c>
    </row>
    <row r="151" spans="1:4" x14ac:dyDescent="0.25">
      <c r="A151" t="s">
        <v>51</v>
      </c>
      <c r="B151" t="s">
        <v>718</v>
      </c>
      <c r="C151" t="s">
        <v>738</v>
      </c>
    </row>
    <row r="152" spans="1:4" x14ac:dyDescent="0.25">
      <c r="A152" t="s">
        <v>52</v>
      </c>
      <c r="B152" t="s">
        <v>706</v>
      </c>
      <c r="C152" t="str">
        <f>"ics:"&amp;A152</f>
        <v>ics:Campanian</v>
      </c>
    </row>
    <row r="153" spans="1:4" x14ac:dyDescent="0.25">
      <c r="A153" t="s">
        <v>53</v>
      </c>
      <c r="B153" t="s">
        <v>706</v>
      </c>
      <c r="C153" t="s">
        <v>707</v>
      </c>
    </row>
    <row r="154" spans="1:4" x14ac:dyDescent="0.25">
      <c r="A154" t="s">
        <v>52</v>
      </c>
      <c r="B154" t="s">
        <v>706</v>
      </c>
      <c r="C154" t="str">
        <f>"ics:"&amp;A154</f>
        <v>ics:Campanian</v>
      </c>
    </row>
    <row r="155" spans="1:4" x14ac:dyDescent="0.25">
      <c r="A155" t="s">
        <v>54</v>
      </c>
      <c r="B155" t="s">
        <v>739</v>
      </c>
      <c r="C155" t="s">
        <v>739</v>
      </c>
    </row>
    <row r="156" spans="1:4" x14ac:dyDescent="0.25">
      <c r="A156" t="s">
        <v>55</v>
      </c>
      <c r="B156" t="s">
        <v>794</v>
      </c>
      <c r="C156" t="s">
        <v>794</v>
      </c>
    </row>
    <row r="157" spans="1:4" x14ac:dyDescent="0.25">
      <c r="A157" t="s">
        <v>56</v>
      </c>
      <c r="B157" t="s">
        <v>739</v>
      </c>
      <c r="C157" t="s">
        <v>721</v>
      </c>
    </row>
    <row r="158" spans="1:4" x14ac:dyDescent="0.25">
      <c r="A158" t="s">
        <v>57</v>
      </c>
      <c r="B158" t="s">
        <v>716</v>
      </c>
      <c r="C158" t="s">
        <v>716</v>
      </c>
    </row>
    <row r="159" spans="1:4" x14ac:dyDescent="0.25">
      <c r="A159" t="s">
        <v>58</v>
      </c>
      <c r="B159" t="s">
        <v>797</v>
      </c>
      <c r="C159" t="str">
        <f>"ics:"&amp;A159</f>
        <v>ics:Carnian</v>
      </c>
    </row>
    <row r="160" spans="1:4" x14ac:dyDescent="0.25">
      <c r="A160" t="s">
        <v>59</v>
      </c>
      <c r="B160" t="s">
        <v>798</v>
      </c>
      <c r="C160" t="str">
        <f>"ics:"&amp;A160</f>
        <v>ics:Cenozoic</v>
      </c>
    </row>
    <row r="161" spans="1:4" x14ac:dyDescent="0.25">
      <c r="A161" t="s">
        <v>60</v>
      </c>
      <c r="B161" t="s">
        <v>798</v>
      </c>
      <c r="C161" t="s">
        <v>798</v>
      </c>
      <c r="D161" t="s">
        <v>799</v>
      </c>
    </row>
    <row r="162" spans="1:4" x14ac:dyDescent="0.25">
      <c r="A162" t="s">
        <v>61</v>
      </c>
      <c r="B162" t="s">
        <v>686</v>
      </c>
      <c r="C162" t="s">
        <v>686</v>
      </c>
    </row>
    <row r="163" spans="1:4" x14ac:dyDescent="0.25">
      <c r="A163" t="s">
        <v>62</v>
      </c>
      <c r="B163" t="s">
        <v>687</v>
      </c>
      <c r="C163" t="s">
        <v>687</v>
      </c>
    </row>
    <row r="164" spans="1:4" x14ac:dyDescent="0.25">
      <c r="A164" t="s">
        <v>63</v>
      </c>
      <c r="B164" t="s">
        <v>688</v>
      </c>
      <c r="C164" t="s">
        <v>688</v>
      </c>
    </row>
    <row r="165" spans="1:4" x14ac:dyDescent="0.25">
      <c r="A165" t="s">
        <v>64</v>
      </c>
      <c r="B165" t="s">
        <v>689</v>
      </c>
      <c r="C165" t="s">
        <v>689</v>
      </c>
    </row>
    <row r="166" spans="1:4" x14ac:dyDescent="0.25">
      <c r="A166" t="s">
        <v>65</v>
      </c>
      <c r="B166" t="s">
        <v>690</v>
      </c>
      <c r="C166" t="s">
        <v>690</v>
      </c>
    </row>
    <row r="167" spans="1:4" x14ac:dyDescent="0.25">
      <c r="A167" t="s">
        <v>66</v>
      </c>
      <c r="B167" t="s">
        <v>691</v>
      </c>
      <c r="C167" t="s">
        <v>691</v>
      </c>
    </row>
    <row r="168" spans="1:4" x14ac:dyDescent="0.25">
      <c r="A168" t="s">
        <v>67</v>
      </c>
      <c r="B168" t="s">
        <v>692</v>
      </c>
      <c r="C168" t="s">
        <v>692</v>
      </c>
    </row>
    <row r="169" spans="1:4" x14ac:dyDescent="0.25">
      <c r="A169" t="s">
        <v>68</v>
      </c>
      <c r="B169" t="s">
        <v>686</v>
      </c>
      <c r="C169" t="s">
        <v>686</v>
      </c>
    </row>
    <row r="170" spans="1:4" x14ac:dyDescent="0.25">
      <c r="A170" t="s">
        <v>69</v>
      </c>
      <c r="B170" t="s">
        <v>689</v>
      </c>
      <c r="C170" t="s">
        <v>689</v>
      </c>
    </row>
    <row r="171" spans="1:4" x14ac:dyDescent="0.25">
      <c r="A171" t="s">
        <v>70</v>
      </c>
      <c r="B171" t="s">
        <v>676</v>
      </c>
      <c r="C171" t="s">
        <v>755</v>
      </c>
    </row>
    <row r="172" spans="1:4" x14ac:dyDescent="0.25">
      <c r="A172" t="s">
        <v>71</v>
      </c>
      <c r="B172" t="s">
        <v>800</v>
      </c>
      <c r="C172" t="s">
        <v>693</v>
      </c>
    </row>
    <row r="173" spans="1:4" x14ac:dyDescent="0.25">
      <c r="A173" t="s">
        <v>72</v>
      </c>
      <c r="B173" t="s">
        <v>693</v>
      </c>
      <c r="C173" t="s">
        <v>693</v>
      </c>
    </row>
    <row r="174" spans="1:4" x14ac:dyDescent="0.25">
      <c r="A174" t="s">
        <v>73</v>
      </c>
      <c r="B174" t="s">
        <v>694</v>
      </c>
      <c r="C174" t="s">
        <v>786</v>
      </c>
    </row>
    <row r="175" spans="1:4" x14ac:dyDescent="0.25">
      <c r="A175" t="s">
        <v>74</v>
      </c>
      <c r="B175" t="s">
        <v>694</v>
      </c>
      <c r="C175" t="s">
        <v>694</v>
      </c>
    </row>
    <row r="176" spans="1:4" x14ac:dyDescent="0.25">
      <c r="A176" t="s">
        <v>75</v>
      </c>
      <c r="B176" t="s">
        <v>690</v>
      </c>
      <c r="C176" t="s">
        <v>690</v>
      </c>
    </row>
    <row r="177" spans="1:3" x14ac:dyDescent="0.25">
      <c r="A177" t="s">
        <v>76</v>
      </c>
      <c r="B177" t="s">
        <v>695</v>
      </c>
      <c r="C177" t="s">
        <v>695</v>
      </c>
    </row>
    <row r="178" spans="1:3" x14ac:dyDescent="0.25">
      <c r="A178" t="s">
        <v>77</v>
      </c>
      <c r="B178" t="s">
        <v>692</v>
      </c>
      <c r="C178" t="s">
        <v>692</v>
      </c>
    </row>
    <row r="179" spans="1:3" x14ac:dyDescent="0.25">
      <c r="A179" t="s">
        <v>78</v>
      </c>
      <c r="B179" t="s">
        <v>688</v>
      </c>
      <c r="C179" t="s">
        <v>688</v>
      </c>
    </row>
    <row r="180" spans="1:3" x14ac:dyDescent="0.25">
      <c r="A180" t="s">
        <v>79</v>
      </c>
      <c r="B180" t="s">
        <v>696</v>
      </c>
      <c r="C180" t="s">
        <v>696</v>
      </c>
    </row>
    <row r="181" spans="1:3" x14ac:dyDescent="0.25">
      <c r="A181" t="s">
        <v>80</v>
      </c>
      <c r="B181" t="s">
        <v>696</v>
      </c>
      <c r="C181" t="s">
        <v>696</v>
      </c>
    </row>
    <row r="182" spans="1:3" x14ac:dyDescent="0.25">
      <c r="A182" t="s">
        <v>81</v>
      </c>
      <c r="B182" t="s">
        <v>697</v>
      </c>
      <c r="C182" t="s">
        <v>697</v>
      </c>
    </row>
    <row r="183" spans="1:3" x14ac:dyDescent="0.25">
      <c r="A183" t="s">
        <v>82</v>
      </c>
      <c r="B183" t="s">
        <v>697</v>
      </c>
      <c r="C183" t="s">
        <v>697</v>
      </c>
    </row>
    <row r="184" spans="1:3" x14ac:dyDescent="0.25">
      <c r="A184" t="s">
        <v>83</v>
      </c>
      <c r="B184" t="s">
        <v>742</v>
      </c>
      <c r="C184" t="s">
        <v>742</v>
      </c>
    </row>
    <row r="185" spans="1:3" x14ac:dyDescent="0.25">
      <c r="A185" t="s">
        <v>84</v>
      </c>
      <c r="B185" t="s">
        <v>691</v>
      </c>
      <c r="C185" t="s">
        <v>691</v>
      </c>
    </row>
    <row r="186" spans="1:3" x14ac:dyDescent="0.25">
      <c r="A186" t="s">
        <v>85</v>
      </c>
      <c r="B186" t="s">
        <v>698</v>
      </c>
      <c r="C186" t="s">
        <v>698</v>
      </c>
    </row>
    <row r="187" spans="1:3" x14ac:dyDescent="0.25">
      <c r="A187" t="s">
        <v>86</v>
      </c>
      <c r="B187" t="s">
        <v>714</v>
      </c>
      <c r="C187" t="s">
        <v>714</v>
      </c>
    </row>
    <row r="188" spans="1:3" x14ac:dyDescent="0.25">
      <c r="A188" t="s">
        <v>87</v>
      </c>
      <c r="B188" t="s">
        <v>699</v>
      </c>
      <c r="C188" t="s">
        <v>699</v>
      </c>
    </row>
    <row r="189" spans="1:3" x14ac:dyDescent="0.25">
      <c r="A189" t="s">
        <v>88</v>
      </c>
      <c r="B189" t="s">
        <v>801</v>
      </c>
      <c r="C189" t="s">
        <v>801</v>
      </c>
    </row>
    <row r="190" spans="1:3" x14ac:dyDescent="0.25">
      <c r="A190" t="s">
        <v>89</v>
      </c>
      <c r="B190" t="s">
        <v>700</v>
      </c>
      <c r="C190" t="s">
        <v>700</v>
      </c>
    </row>
    <row r="191" spans="1:3" x14ac:dyDescent="0.25">
      <c r="A191" t="s">
        <v>90</v>
      </c>
      <c r="B191" t="s">
        <v>701</v>
      </c>
      <c r="C191" t="s">
        <v>701</v>
      </c>
    </row>
    <row r="192" spans="1:3" x14ac:dyDescent="0.25">
      <c r="A192" t="s">
        <v>91</v>
      </c>
      <c r="B192" t="s">
        <v>687</v>
      </c>
      <c r="C192" t="s">
        <v>687</v>
      </c>
    </row>
    <row r="193" spans="1:4" x14ac:dyDescent="0.25">
      <c r="A193" t="s">
        <v>92</v>
      </c>
      <c r="B193" t="s">
        <v>702</v>
      </c>
      <c r="C193" t="s">
        <v>702</v>
      </c>
    </row>
    <row r="194" spans="1:4" x14ac:dyDescent="0.25">
      <c r="A194" t="s">
        <v>93</v>
      </c>
      <c r="B194" t="s">
        <v>802</v>
      </c>
      <c r="C194" t="s">
        <v>710</v>
      </c>
    </row>
    <row r="195" spans="1:4" x14ac:dyDescent="0.25">
      <c r="A195" t="s">
        <v>94</v>
      </c>
      <c r="B195" t="s">
        <v>775</v>
      </c>
      <c r="C195" t="s">
        <v>676</v>
      </c>
    </row>
    <row r="196" spans="1:4" x14ac:dyDescent="0.25">
      <c r="A196" t="s">
        <v>95</v>
      </c>
      <c r="B196" t="s">
        <v>703</v>
      </c>
      <c r="C196" t="s">
        <v>703</v>
      </c>
    </row>
    <row r="197" spans="1:4" x14ac:dyDescent="0.25">
      <c r="A197" t="s">
        <v>96</v>
      </c>
      <c r="D197" t="s">
        <v>804</v>
      </c>
    </row>
    <row r="198" spans="1:4" x14ac:dyDescent="0.25">
      <c r="A198" t="s">
        <v>97</v>
      </c>
      <c r="B198" t="s">
        <v>704</v>
      </c>
      <c r="C198" t="s">
        <v>704</v>
      </c>
    </row>
    <row r="199" spans="1:4" x14ac:dyDescent="0.25">
      <c r="A199" t="s">
        <v>98</v>
      </c>
      <c r="B199" t="s">
        <v>704</v>
      </c>
      <c r="C199" t="s">
        <v>704</v>
      </c>
    </row>
    <row r="200" spans="1:4" x14ac:dyDescent="0.25">
      <c r="A200" t="s">
        <v>99</v>
      </c>
      <c r="B200" t="s">
        <v>704</v>
      </c>
      <c r="C200" t="s">
        <v>704</v>
      </c>
    </row>
    <row r="201" spans="1:4" x14ac:dyDescent="0.25">
      <c r="A201" t="s">
        <v>100</v>
      </c>
      <c r="B201" t="s">
        <v>704</v>
      </c>
      <c r="C201" t="s">
        <v>704</v>
      </c>
    </row>
    <row r="202" spans="1:4" x14ac:dyDescent="0.25">
      <c r="A202" t="s">
        <v>101</v>
      </c>
      <c r="B202" t="s">
        <v>748</v>
      </c>
      <c r="C202" t="s">
        <v>705</v>
      </c>
    </row>
    <row r="203" spans="1:4" x14ac:dyDescent="0.25">
      <c r="A203" t="s">
        <v>102</v>
      </c>
      <c r="B203" t="s">
        <v>704</v>
      </c>
      <c r="C203" t="s">
        <v>686</v>
      </c>
    </row>
    <row r="204" spans="1:4" x14ac:dyDescent="0.25">
      <c r="A204" t="s">
        <v>103</v>
      </c>
      <c r="B204" t="s">
        <v>704</v>
      </c>
      <c r="C204" t="s">
        <v>704</v>
      </c>
    </row>
    <row r="205" spans="1:4" x14ac:dyDescent="0.25">
      <c r="A205" t="s">
        <v>104</v>
      </c>
      <c r="B205" t="s">
        <v>704</v>
      </c>
      <c r="C205" t="s">
        <v>704</v>
      </c>
      <c r="D205" t="s">
        <v>799</v>
      </c>
    </row>
    <row r="206" spans="1:4" x14ac:dyDescent="0.25">
      <c r="A206" t="s">
        <v>105</v>
      </c>
      <c r="B206" t="s">
        <v>704</v>
      </c>
      <c r="C206" t="s">
        <v>704</v>
      </c>
      <c r="D206" t="s">
        <v>803</v>
      </c>
    </row>
    <row r="207" spans="1:4" x14ac:dyDescent="0.25">
      <c r="A207" t="s">
        <v>106</v>
      </c>
      <c r="B207" t="s">
        <v>805</v>
      </c>
      <c r="C207" t="s">
        <v>805</v>
      </c>
    </row>
    <row r="208" spans="1:4" x14ac:dyDescent="0.25">
      <c r="A208" t="s">
        <v>107</v>
      </c>
      <c r="B208" t="s">
        <v>675</v>
      </c>
      <c r="C208" t="s">
        <v>675</v>
      </c>
    </row>
    <row r="209" spans="1:6" x14ac:dyDescent="0.25">
      <c r="A209" t="s">
        <v>108</v>
      </c>
      <c r="B209" t="s">
        <v>675</v>
      </c>
      <c r="C209" t="s">
        <v>679</v>
      </c>
    </row>
    <row r="210" spans="1:6" x14ac:dyDescent="0.25">
      <c r="A210" t="s">
        <v>109</v>
      </c>
      <c r="B210" t="s">
        <v>675</v>
      </c>
      <c r="C210" t="s">
        <v>675</v>
      </c>
    </row>
    <row r="211" spans="1:6" x14ac:dyDescent="0.25">
      <c r="A211" t="s">
        <v>110</v>
      </c>
      <c r="B211" t="s">
        <v>705</v>
      </c>
      <c r="C211" t="s">
        <v>679</v>
      </c>
    </row>
    <row r="212" spans="1:6" x14ac:dyDescent="0.25">
      <c r="A212" t="s">
        <v>111</v>
      </c>
      <c r="B212" t="s">
        <v>805</v>
      </c>
      <c r="C212" t="s">
        <v>689</v>
      </c>
    </row>
    <row r="213" spans="1:6" x14ac:dyDescent="0.25">
      <c r="A213" t="s">
        <v>112</v>
      </c>
      <c r="B213" t="s">
        <v>806</v>
      </c>
      <c r="C213" t="s">
        <v>806</v>
      </c>
    </row>
    <row r="214" spans="1:6" x14ac:dyDescent="0.25">
      <c r="A214" t="s">
        <v>113</v>
      </c>
      <c r="B214" t="s">
        <v>706</v>
      </c>
      <c r="C214" t="s">
        <v>706</v>
      </c>
    </row>
    <row r="215" spans="1:6" x14ac:dyDescent="0.25">
      <c r="A215" t="s">
        <v>114</v>
      </c>
      <c r="B215" t="s">
        <v>706</v>
      </c>
      <c r="C215" t="s">
        <v>707</v>
      </c>
    </row>
    <row r="216" spans="1:6" x14ac:dyDescent="0.25">
      <c r="A216" t="s">
        <v>115</v>
      </c>
      <c r="B216" t="s">
        <v>679</v>
      </c>
      <c r="C216" t="s">
        <v>679</v>
      </c>
    </row>
    <row r="217" spans="1:6" x14ac:dyDescent="0.25">
      <c r="A217" t="s">
        <v>116</v>
      </c>
      <c r="B217" t="s">
        <v>679</v>
      </c>
      <c r="C217" t="s">
        <v>708</v>
      </c>
    </row>
    <row r="218" spans="1:6" x14ac:dyDescent="0.25">
      <c r="A218" t="s">
        <v>117</v>
      </c>
      <c r="B218" t="s">
        <v>708</v>
      </c>
      <c r="C218" t="s">
        <v>708</v>
      </c>
    </row>
    <row r="219" spans="1:6" x14ac:dyDescent="0.25">
      <c r="A219" t="s">
        <v>118</v>
      </c>
      <c r="B219" t="s">
        <v>707</v>
      </c>
      <c r="C219" t="s">
        <v>707</v>
      </c>
    </row>
    <row r="220" spans="1:6" x14ac:dyDescent="0.25">
      <c r="A220" t="s">
        <v>119</v>
      </c>
      <c r="B220" t="s">
        <v>709</v>
      </c>
      <c r="C220" t="s">
        <v>709</v>
      </c>
    </row>
    <row r="221" spans="1:6" x14ac:dyDescent="0.25">
      <c r="A221" t="s">
        <v>120</v>
      </c>
      <c r="B221" t="s">
        <v>710</v>
      </c>
      <c r="C221" t="s">
        <v>710</v>
      </c>
    </row>
    <row r="222" spans="1:6" x14ac:dyDescent="0.25">
      <c r="A222" t="s">
        <v>121</v>
      </c>
      <c r="B222" t="s">
        <v>806</v>
      </c>
      <c r="C222" t="s">
        <v>688</v>
      </c>
    </row>
    <row r="223" spans="1:6" x14ac:dyDescent="0.25">
      <c r="A223" t="s">
        <v>122</v>
      </c>
      <c r="B223" t="s">
        <v>806</v>
      </c>
      <c r="C223" t="s">
        <v>698</v>
      </c>
    </row>
    <row r="224" spans="1:6" x14ac:dyDescent="0.25">
      <c r="A224" t="s">
        <v>123</v>
      </c>
      <c r="E224">
        <f>83+1.1</f>
        <v>84.1</v>
      </c>
      <c r="F224">
        <f>83-1.1</f>
        <v>81.900000000000006</v>
      </c>
    </row>
    <row r="225" spans="1:4" x14ac:dyDescent="0.25">
      <c r="A225" t="s">
        <v>124</v>
      </c>
      <c r="B225" t="s">
        <v>704</v>
      </c>
      <c r="C225" t="s">
        <v>704</v>
      </c>
      <c r="D225" t="s">
        <v>807</v>
      </c>
    </row>
    <row r="226" spans="1:4" x14ac:dyDescent="0.25">
      <c r="A226" t="s">
        <v>125</v>
      </c>
      <c r="B226" t="s">
        <v>704</v>
      </c>
      <c r="C226" t="s">
        <v>704</v>
      </c>
      <c r="D226" t="s">
        <v>808</v>
      </c>
    </row>
    <row r="227" spans="1:4" x14ac:dyDescent="0.25">
      <c r="A227" t="s">
        <v>126</v>
      </c>
      <c r="B227" t="s">
        <v>704</v>
      </c>
      <c r="C227" t="s">
        <v>704</v>
      </c>
      <c r="D227" t="s">
        <v>803</v>
      </c>
    </row>
    <row r="228" spans="1:4" x14ac:dyDescent="0.25">
      <c r="A228" t="s">
        <v>127</v>
      </c>
      <c r="B228" t="s">
        <v>711</v>
      </c>
      <c r="C228" t="s">
        <v>704</v>
      </c>
    </row>
    <row r="229" spans="1:4" x14ac:dyDescent="0.25">
      <c r="A229" t="s">
        <v>128</v>
      </c>
      <c r="B229" t="s">
        <v>704</v>
      </c>
      <c r="C229" t="s">
        <v>686</v>
      </c>
    </row>
    <row r="230" spans="1:4" x14ac:dyDescent="0.25">
      <c r="A230" t="s">
        <v>129</v>
      </c>
      <c r="B230" t="s">
        <v>704</v>
      </c>
      <c r="C230" t="s">
        <v>704</v>
      </c>
      <c r="D230" t="s">
        <v>799</v>
      </c>
    </row>
    <row r="231" spans="1:4" x14ac:dyDescent="0.25">
      <c r="A231" t="s">
        <v>130</v>
      </c>
      <c r="B231" t="s">
        <v>675</v>
      </c>
      <c r="C231" t="str">
        <f>B231</f>
        <v>ics:Albian</v>
      </c>
    </row>
    <row r="232" spans="1:4" x14ac:dyDescent="0.25">
      <c r="A232" t="s">
        <v>131</v>
      </c>
      <c r="B232" t="s">
        <v>675</v>
      </c>
      <c r="C232" t="str">
        <f t="shared" ref="C232:C235" si="22">B232</f>
        <v>ics:Albian</v>
      </c>
      <c r="D232" t="s">
        <v>799</v>
      </c>
    </row>
    <row r="233" spans="1:4" x14ac:dyDescent="0.25">
      <c r="A233" t="s">
        <v>132</v>
      </c>
      <c r="B233" t="s">
        <v>706</v>
      </c>
      <c r="C233" t="str">
        <f t="shared" si="22"/>
        <v>ics:Campanian</v>
      </c>
    </row>
    <row r="234" spans="1:4" x14ac:dyDescent="0.25">
      <c r="A234" t="s">
        <v>133</v>
      </c>
      <c r="B234" t="s">
        <v>706</v>
      </c>
      <c r="C234" t="str">
        <f t="shared" si="22"/>
        <v>ics:Campanian</v>
      </c>
      <c r="D234" t="s">
        <v>799</v>
      </c>
    </row>
    <row r="235" spans="1:4" x14ac:dyDescent="0.25">
      <c r="A235" t="s">
        <v>134</v>
      </c>
      <c r="B235" t="s">
        <v>679</v>
      </c>
      <c r="C235" t="str">
        <f t="shared" si="22"/>
        <v>ics:Cenomanian</v>
      </c>
    </row>
    <row r="236" spans="1:4" x14ac:dyDescent="0.25">
      <c r="A236" t="s">
        <v>135</v>
      </c>
      <c r="B236" t="s">
        <v>679</v>
      </c>
      <c r="C236" t="s">
        <v>710</v>
      </c>
    </row>
    <row r="237" spans="1:4" x14ac:dyDescent="0.25">
      <c r="A237" t="s">
        <v>136</v>
      </c>
      <c r="B237" t="s">
        <v>679</v>
      </c>
      <c r="C237" t="s">
        <v>710</v>
      </c>
    </row>
    <row r="238" spans="1:4" x14ac:dyDescent="0.25">
      <c r="A238" t="s">
        <v>137</v>
      </c>
      <c r="B238" t="s">
        <v>706</v>
      </c>
      <c r="C238" t="s">
        <v>706</v>
      </c>
    </row>
    <row r="239" spans="1:4" x14ac:dyDescent="0.25">
      <c r="A239" t="s">
        <v>138</v>
      </c>
      <c r="B239" t="s">
        <v>709</v>
      </c>
      <c r="C239" t="str">
        <f t="shared" ref="C239:C240" si="23">B239</f>
        <v>ics:Santonian</v>
      </c>
      <c r="D239" t="s">
        <v>799</v>
      </c>
    </row>
    <row r="240" spans="1:4" x14ac:dyDescent="0.25">
      <c r="A240" t="s">
        <v>139</v>
      </c>
      <c r="B240" t="s">
        <v>710</v>
      </c>
      <c r="C240" t="str">
        <f t="shared" si="23"/>
        <v>ics:Turonian</v>
      </c>
    </row>
    <row r="241" spans="1:4" x14ac:dyDescent="0.25">
      <c r="A241" t="s">
        <v>140</v>
      </c>
      <c r="B241" t="s">
        <v>704</v>
      </c>
      <c r="C241" t="s">
        <v>692</v>
      </c>
    </row>
    <row r="242" spans="1:4" x14ac:dyDescent="0.25">
      <c r="A242" t="s">
        <v>141</v>
      </c>
      <c r="B242" t="s">
        <v>704</v>
      </c>
      <c r="C242" t="s">
        <v>692</v>
      </c>
    </row>
    <row r="243" spans="1:4" x14ac:dyDescent="0.25">
      <c r="A243" t="s">
        <v>142</v>
      </c>
      <c r="B243" t="s">
        <v>704</v>
      </c>
      <c r="C243" t="str">
        <f t="shared" ref="C243:C244" si="24">B243</f>
        <v>ics:Cretaceous</v>
      </c>
    </row>
    <row r="244" spans="1:4" x14ac:dyDescent="0.25">
      <c r="A244" t="s">
        <v>143</v>
      </c>
      <c r="B244" t="s">
        <v>712</v>
      </c>
      <c r="C244" t="str">
        <f t="shared" si="24"/>
        <v>ics:Cryogenian</v>
      </c>
    </row>
    <row r="245" spans="1:4" x14ac:dyDescent="0.25">
      <c r="A245" t="s">
        <v>144</v>
      </c>
      <c r="B245" t="s">
        <v>712</v>
      </c>
      <c r="C245" t="s">
        <v>713</v>
      </c>
    </row>
    <row r="246" spans="1:4" x14ac:dyDescent="0.25">
      <c r="A246" t="s">
        <v>145</v>
      </c>
      <c r="B246" t="str">
        <f>"ics:"&amp;A246</f>
        <v>ics:Danian</v>
      </c>
      <c r="C246" t="str">
        <f t="shared" ref="C246:C249" si="25">B246</f>
        <v>ics:Danian</v>
      </c>
    </row>
    <row r="247" spans="1:4" x14ac:dyDescent="0.25">
      <c r="A247" t="s">
        <v>146</v>
      </c>
      <c r="B247" t="str">
        <f t="shared" ref="B247:B248" si="26">"ics:"&amp;A247</f>
        <v>ics:Dapingian</v>
      </c>
      <c r="C247" t="str">
        <f t="shared" si="25"/>
        <v>ics:Dapingian</v>
      </c>
    </row>
    <row r="248" spans="1:4" x14ac:dyDescent="0.25">
      <c r="A248" t="s">
        <v>147</v>
      </c>
      <c r="B248" t="str">
        <f t="shared" si="26"/>
        <v>ics:Darriwilian</v>
      </c>
      <c r="C248" t="str">
        <f t="shared" si="25"/>
        <v>ics:Darriwilian</v>
      </c>
    </row>
    <row r="249" spans="1:4" x14ac:dyDescent="0.25">
      <c r="A249" t="s">
        <v>148</v>
      </c>
      <c r="B249" t="s">
        <v>809</v>
      </c>
      <c r="C249" t="str">
        <f t="shared" si="25"/>
        <v>ics:UpperPennsylvanian</v>
      </c>
    </row>
    <row r="250" spans="1:4" x14ac:dyDescent="0.25">
      <c r="A250" t="s">
        <v>149</v>
      </c>
      <c r="B250" t="s">
        <v>715</v>
      </c>
      <c r="C250" t="s">
        <v>716</v>
      </c>
    </row>
    <row r="251" spans="1:4" x14ac:dyDescent="0.25">
      <c r="A251" t="s">
        <v>150</v>
      </c>
      <c r="B251" t="s">
        <v>715</v>
      </c>
      <c r="C251" t="s">
        <v>756</v>
      </c>
      <c r="D251" t="s">
        <v>799</v>
      </c>
    </row>
    <row r="252" spans="1:4" x14ac:dyDescent="0.25">
      <c r="A252" t="s">
        <v>151</v>
      </c>
      <c r="B252" t="s">
        <v>715</v>
      </c>
      <c r="C252" t="s">
        <v>715</v>
      </c>
    </row>
    <row r="253" spans="1:4" x14ac:dyDescent="0.25">
      <c r="A253" t="s">
        <v>152</v>
      </c>
      <c r="B253" t="s">
        <v>715</v>
      </c>
      <c r="C253" t="s">
        <v>715</v>
      </c>
    </row>
    <row r="254" spans="1:4" x14ac:dyDescent="0.25">
      <c r="A254" t="s">
        <v>153</v>
      </c>
      <c r="B254" t="s">
        <v>810</v>
      </c>
      <c r="C254" t="s">
        <v>810</v>
      </c>
    </row>
    <row r="255" spans="1:4" x14ac:dyDescent="0.25">
      <c r="A255" t="s">
        <v>154</v>
      </c>
      <c r="B255" t="s">
        <v>812</v>
      </c>
      <c r="C255" t="s">
        <v>812</v>
      </c>
    </row>
    <row r="256" spans="1:4" x14ac:dyDescent="0.25">
      <c r="A256" t="s">
        <v>155</v>
      </c>
      <c r="B256" t="s">
        <v>811</v>
      </c>
      <c r="C256" t="s">
        <v>811</v>
      </c>
    </row>
    <row r="257" spans="1:4" x14ac:dyDescent="0.25">
      <c r="A257" t="s">
        <v>156</v>
      </c>
      <c r="B257" t="s">
        <v>715</v>
      </c>
      <c r="C257" t="s">
        <v>716</v>
      </c>
    </row>
    <row r="258" spans="1:4" x14ac:dyDescent="0.25">
      <c r="A258" t="s">
        <v>157</v>
      </c>
      <c r="B258" t="s">
        <v>715</v>
      </c>
      <c r="C258" t="s">
        <v>716</v>
      </c>
    </row>
    <row r="259" spans="1:4" x14ac:dyDescent="0.25">
      <c r="A259" t="s">
        <v>158</v>
      </c>
      <c r="B259" t="s">
        <v>715</v>
      </c>
      <c r="C259" t="s">
        <v>715</v>
      </c>
      <c r="D259" t="s">
        <v>799</v>
      </c>
    </row>
    <row r="260" spans="1:4" x14ac:dyDescent="0.25">
      <c r="A260" t="s">
        <v>159</v>
      </c>
      <c r="B260" t="s">
        <v>818</v>
      </c>
      <c r="C260" t="s">
        <v>818</v>
      </c>
    </row>
    <row r="261" spans="1:4" x14ac:dyDescent="0.25">
      <c r="A261" t="s">
        <v>160</v>
      </c>
      <c r="B261" t="s">
        <v>819</v>
      </c>
      <c r="C261" t="s">
        <v>820</v>
      </c>
    </row>
    <row r="262" spans="1:4" x14ac:dyDescent="0.25">
      <c r="A262" t="s">
        <v>161</v>
      </c>
      <c r="B262" t="s">
        <v>821</v>
      </c>
      <c r="C262" t="s">
        <v>822</v>
      </c>
    </row>
    <row r="263" spans="1:4" x14ac:dyDescent="0.25">
      <c r="A263" t="s">
        <v>162</v>
      </c>
      <c r="B263" t="s">
        <v>760</v>
      </c>
      <c r="C263" t="s">
        <v>760</v>
      </c>
    </row>
    <row r="264" spans="1:4" x14ac:dyDescent="0.25">
      <c r="A264" t="s">
        <v>163</v>
      </c>
      <c r="B264" t="s">
        <v>805</v>
      </c>
      <c r="C264" t="s">
        <v>805</v>
      </c>
    </row>
    <row r="265" spans="1:4" x14ac:dyDescent="0.25">
      <c r="A265" t="s">
        <v>164</v>
      </c>
      <c r="B265" t="s">
        <v>805</v>
      </c>
      <c r="C265" t="s">
        <v>805</v>
      </c>
    </row>
    <row r="266" spans="1:4" x14ac:dyDescent="0.25">
      <c r="A266" t="s">
        <v>165</v>
      </c>
      <c r="B266" t="s">
        <v>805</v>
      </c>
      <c r="C266" t="s">
        <v>805</v>
      </c>
    </row>
    <row r="267" spans="1:4" x14ac:dyDescent="0.25">
      <c r="A267" t="s">
        <v>166</v>
      </c>
      <c r="B267" t="s">
        <v>805</v>
      </c>
      <c r="C267" t="s">
        <v>805</v>
      </c>
      <c r="D267" t="s">
        <v>799</v>
      </c>
    </row>
    <row r="268" spans="1:4" x14ac:dyDescent="0.25">
      <c r="A268" t="s">
        <v>167</v>
      </c>
      <c r="B268" t="s">
        <v>696</v>
      </c>
      <c r="C268" t="s">
        <v>696</v>
      </c>
    </row>
    <row r="269" spans="1:4" x14ac:dyDescent="0.25">
      <c r="A269" t="s">
        <v>168</v>
      </c>
      <c r="B269" t="s">
        <v>696</v>
      </c>
      <c r="C269" t="s">
        <v>696</v>
      </c>
    </row>
    <row r="270" spans="1:4" x14ac:dyDescent="0.25">
      <c r="A270" t="s">
        <v>169</v>
      </c>
      <c r="B270" t="s">
        <v>696</v>
      </c>
      <c r="C270" t="s">
        <v>696</v>
      </c>
    </row>
    <row r="271" spans="1:4" x14ac:dyDescent="0.25">
      <c r="A271" t="s">
        <v>170</v>
      </c>
      <c r="B271" t="s">
        <v>685</v>
      </c>
      <c r="C271" t="s">
        <v>685</v>
      </c>
    </row>
    <row r="272" spans="1:4" x14ac:dyDescent="0.25">
      <c r="A272" t="s">
        <v>171</v>
      </c>
      <c r="B272" t="s">
        <v>813</v>
      </c>
      <c r="C272" t="s">
        <v>813</v>
      </c>
    </row>
    <row r="273" spans="1:4" x14ac:dyDescent="0.25">
      <c r="A273" t="s">
        <v>172</v>
      </c>
      <c r="B273" t="s">
        <v>676</v>
      </c>
      <c r="C273" t="s">
        <v>755</v>
      </c>
    </row>
    <row r="274" spans="1:4" x14ac:dyDescent="0.25">
      <c r="A274" t="s">
        <v>173</v>
      </c>
      <c r="B274" t="s">
        <v>676</v>
      </c>
      <c r="C274" t="s">
        <v>755</v>
      </c>
    </row>
    <row r="275" spans="1:4" x14ac:dyDescent="0.25">
      <c r="A275" t="s">
        <v>174</v>
      </c>
      <c r="B275" t="s">
        <v>719</v>
      </c>
      <c r="C275" t="s">
        <v>719</v>
      </c>
    </row>
    <row r="276" spans="1:4" x14ac:dyDescent="0.25">
      <c r="A276" t="s">
        <v>175</v>
      </c>
      <c r="B276" t="s">
        <v>719</v>
      </c>
      <c r="C276" t="s">
        <v>719</v>
      </c>
    </row>
    <row r="277" spans="1:4" x14ac:dyDescent="0.25">
      <c r="A277" t="s">
        <v>176</v>
      </c>
      <c r="B277" t="s">
        <v>718</v>
      </c>
      <c r="C277" t="s">
        <v>715</v>
      </c>
    </row>
    <row r="278" spans="1:4" x14ac:dyDescent="0.25">
      <c r="A278" t="s">
        <v>177</v>
      </c>
      <c r="B278" t="s">
        <v>703</v>
      </c>
      <c r="C278" t="s">
        <v>703</v>
      </c>
    </row>
    <row r="279" spans="1:4" x14ac:dyDescent="0.25">
      <c r="A279" t="s">
        <v>178</v>
      </c>
      <c r="B279" t="s">
        <v>703</v>
      </c>
      <c r="C279" t="s">
        <v>703</v>
      </c>
    </row>
    <row r="280" spans="1:4" x14ac:dyDescent="0.25">
      <c r="A280" t="s">
        <v>179</v>
      </c>
      <c r="B280" t="s">
        <v>824</v>
      </c>
      <c r="C280" t="s">
        <v>824</v>
      </c>
    </row>
    <row r="281" spans="1:4" x14ac:dyDescent="0.25">
      <c r="A281" t="s">
        <v>180</v>
      </c>
      <c r="B281" t="s">
        <v>695</v>
      </c>
      <c r="C281" t="s">
        <v>695</v>
      </c>
    </row>
    <row r="282" spans="1:4" x14ac:dyDescent="0.25">
      <c r="A282" t="s">
        <v>181</v>
      </c>
      <c r="B282" t="s">
        <v>759</v>
      </c>
      <c r="C282" t="s">
        <v>759</v>
      </c>
    </row>
    <row r="283" spans="1:4" x14ac:dyDescent="0.25">
      <c r="A283" t="s">
        <v>182</v>
      </c>
      <c r="B283" t="s">
        <v>713</v>
      </c>
      <c r="C283" t="s">
        <v>713</v>
      </c>
    </row>
    <row r="284" spans="1:4" x14ac:dyDescent="0.25">
      <c r="A284" t="s">
        <v>183</v>
      </c>
      <c r="B284" t="s">
        <v>713</v>
      </c>
      <c r="C284" t="s">
        <v>713</v>
      </c>
      <c r="D284" t="s">
        <v>799</v>
      </c>
    </row>
    <row r="285" spans="1:4" x14ac:dyDescent="0.25">
      <c r="A285" t="s">
        <v>184</v>
      </c>
      <c r="B285" t="s">
        <v>713</v>
      </c>
      <c r="C285" t="s">
        <v>715</v>
      </c>
      <c r="D285" t="s">
        <v>799</v>
      </c>
    </row>
    <row r="286" spans="1:4" x14ac:dyDescent="0.25">
      <c r="A286" t="s">
        <v>185</v>
      </c>
      <c r="B286" t="str">
        <f>"ics:"&amp;A286</f>
        <v>ics:Eifelian</v>
      </c>
      <c r="C286" t="str">
        <f>"ics:"&amp;B286</f>
        <v>ics:ics:Eifelian</v>
      </c>
    </row>
    <row r="287" spans="1:4" x14ac:dyDescent="0.25">
      <c r="A287" t="s">
        <v>186</v>
      </c>
      <c r="B287" t="str">
        <f>"ics:"&amp;A287</f>
        <v>ics:Emsian</v>
      </c>
      <c r="C287" t="str">
        <f>"ics:"&amp;B287</f>
        <v>ics:ics:Emsian</v>
      </c>
    </row>
    <row r="288" spans="1:4" x14ac:dyDescent="0.25">
      <c r="A288" t="s">
        <v>187</v>
      </c>
      <c r="B288" t="s">
        <v>723</v>
      </c>
      <c r="C288" t="s">
        <v>723</v>
      </c>
    </row>
    <row r="289" spans="1:4" x14ac:dyDescent="0.25">
      <c r="A289" t="s">
        <v>188</v>
      </c>
      <c r="B289" t="str">
        <f t="shared" ref="B289:C289" si="27">"ics:"&amp;A289</f>
        <v>ics:Eocene</v>
      </c>
      <c r="C289" t="str">
        <f t="shared" si="27"/>
        <v>ics:ics:Eocene</v>
      </c>
    </row>
    <row r="290" spans="1:4" x14ac:dyDescent="0.25">
      <c r="A290" t="s">
        <v>189</v>
      </c>
      <c r="B290" t="s">
        <v>688</v>
      </c>
      <c r="C290" t="s">
        <v>689</v>
      </c>
    </row>
    <row r="291" spans="1:4" x14ac:dyDescent="0.25">
      <c r="A291" t="s">
        <v>190</v>
      </c>
      <c r="B291" t="s">
        <v>688</v>
      </c>
      <c r="C291" t="s">
        <v>691</v>
      </c>
    </row>
    <row r="292" spans="1:4" x14ac:dyDescent="0.25">
      <c r="A292" t="s">
        <v>191</v>
      </c>
      <c r="B292" t="s">
        <v>688</v>
      </c>
      <c r="C292" t="s">
        <v>691</v>
      </c>
    </row>
    <row r="293" spans="1:4" x14ac:dyDescent="0.25">
      <c r="A293" t="s">
        <v>192</v>
      </c>
      <c r="B293" t="s">
        <v>688</v>
      </c>
      <c r="C293" t="s">
        <v>688</v>
      </c>
      <c r="D293" t="s">
        <v>400</v>
      </c>
    </row>
    <row r="294" spans="1:4" x14ac:dyDescent="0.25">
      <c r="A294" t="s">
        <v>193</v>
      </c>
      <c r="B294" t="s">
        <v>688</v>
      </c>
      <c r="C294" t="s">
        <v>688</v>
      </c>
      <c r="D294" t="s">
        <v>799</v>
      </c>
    </row>
    <row r="295" spans="1:4" x14ac:dyDescent="0.25">
      <c r="A295" t="s">
        <v>194</v>
      </c>
      <c r="B295" t="s">
        <v>688</v>
      </c>
      <c r="C295" t="s">
        <v>688</v>
      </c>
      <c r="D295" t="s">
        <v>825</v>
      </c>
    </row>
    <row r="296" spans="1:4" x14ac:dyDescent="0.25">
      <c r="A296" t="s">
        <v>195</v>
      </c>
      <c r="B296" t="s">
        <v>688</v>
      </c>
      <c r="C296" t="s">
        <v>688</v>
      </c>
      <c r="D296" t="s">
        <v>804</v>
      </c>
    </row>
    <row r="297" spans="1:4" x14ac:dyDescent="0.25">
      <c r="A297" t="s">
        <v>196</v>
      </c>
      <c r="B297" t="s">
        <v>688</v>
      </c>
      <c r="C297" t="s">
        <v>701</v>
      </c>
    </row>
    <row r="298" spans="1:4" x14ac:dyDescent="0.25">
      <c r="A298" t="s">
        <v>197</v>
      </c>
      <c r="B298" t="s">
        <v>688</v>
      </c>
      <c r="C298" t="s">
        <v>688</v>
      </c>
      <c r="D298" t="s">
        <v>826</v>
      </c>
    </row>
    <row r="299" spans="1:4" x14ac:dyDescent="0.25">
      <c r="A299" t="s">
        <v>198</v>
      </c>
      <c r="B299" t="s">
        <v>688</v>
      </c>
      <c r="C299" t="s">
        <v>688</v>
      </c>
      <c r="D299" t="s">
        <v>799</v>
      </c>
    </row>
    <row r="300" spans="1:4" ht="45" x14ac:dyDescent="0.25">
      <c r="A300" s="1" t="s">
        <v>199</v>
      </c>
      <c r="B300" t="s">
        <v>688</v>
      </c>
      <c r="C300" t="s">
        <v>691</v>
      </c>
      <c r="D300" t="s">
        <v>827</v>
      </c>
    </row>
    <row r="301" spans="1:4" x14ac:dyDescent="0.25">
      <c r="A301" t="s">
        <v>200</v>
      </c>
      <c r="B301" t="s">
        <v>688</v>
      </c>
      <c r="C301" t="s">
        <v>688</v>
      </c>
      <c r="D301" t="s">
        <v>799</v>
      </c>
    </row>
    <row r="302" spans="1:4" x14ac:dyDescent="0.25">
      <c r="A302" t="s">
        <v>201</v>
      </c>
      <c r="B302" t="s">
        <v>688</v>
      </c>
      <c r="C302" t="s">
        <v>688</v>
      </c>
    </row>
    <row r="303" spans="1:4" x14ac:dyDescent="0.25">
      <c r="A303" t="s">
        <v>202</v>
      </c>
      <c r="B303" t="s">
        <v>724</v>
      </c>
      <c r="C303" t="s">
        <v>724</v>
      </c>
    </row>
    <row r="304" spans="1:4" x14ac:dyDescent="0.25">
      <c r="A304" t="s">
        <v>203</v>
      </c>
      <c r="B304" t="s">
        <v>724</v>
      </c>
      <c r="C304" t="s">
        <v>761</v>
      </c>
    </row>
    <row r="305" spans="1:4" x14ac:dyDescent="0.25">
      <c r="A305" t="s">
        <v>204</v>
      </c>
      <c r="B305" t="s">
        <v>724</v>
      </c>
      <c r="C305" t="s">
        <v>724</v>
      </c>
    </row>
    <row r="306" spans="1:4" x14ac:dyDescent="0.25">
      <c r="A306" t="s">
        <v>205</v>
      </c>
      <c r="B306" t="str">
        <f>"ics:"&amp;A306</f>
        <v>ics:Floian</v>
      </c>
      <c r="C306" t="s">
        <v>725</v>
      </c>
    </row>
    <row r="307" spans="1:4" x14ac:dyDescent="0.25">
      <c r="A307" t="s">
        <v>206</v>
      </c>
      <c r="B307" t="str">
        <f t="shared" ref="B307:B310" si="28">"ics:"&amp;A307</f>
        <v>ics:Frasnian</v>
      </c>
      <c r="C307" t="s">
        <v>726</v>
      </c>
    </row>
    <row r="308" spans="1:4" x14ac:dyDescent="0.25">
      <c r="A308" t="s">
        <v>207</v>
      </c>
      <c r="B308" t="str">
        <f t="shared" si="28"/>
        <v>ics:Furongian</v>
      </c>
      <c r="C308" t="s">
        <v>727</v>
      </c>
    </row>
    <row r="309" spans="1:4" x14ac:dyDescent="0.25">
      <c r="A309" t="s">
        <v>208</v>
      </c>
      <c r="B309" t="str">
        <f t="shared" si="28"/>
        <v>ics:Givetian</v>
      </c>
      <c r="C309" t="s">
        <v>728</v>
      </c>
    </row>
    <row r="310" spans="1:4" x14ac:dyDescent="0.25">
      <c r="A310" t="s">
        <v>209</v>
      </c>
      <c r="B310" t="str">
        <f t="shared" si="28"/>
        <v>ics:Guzhangian</v>
      </c>
      <c r="C310" t="s">
        <v>729</v>
      </c>
    </row>
    <row r="311" spans="1:4" x14ac:dyDescent="0.25">
      <c r="A311" t="s">
        <v>210</v>
      </c>
      <c r="B311" t="s">
        <v>829</v>
      </c>
      <c r="C311" t="s">
        <v>829</v>
      </c>
    </row>
    <row r="312" spans="1:4" x14ac:dyDescent="0.25">
      <c r="A312" t="s">
        <v>211</v>
      </c>
      <c r="B312" t="s">
        <v>684</v>
      </c>
      <c r="C312" t="s">
        <v>684</v>
      </c>
      <c r="D312" t="s">
        <v>828</v>
      </c>
    </row>
    <row r="313" spans="1:4" x14ac:dyDescent="0.25">
      <c r="A313" t="s">
        <v>212</v>
      </c>
      <c r="B313" t="s">
        <v>701</v>
      </c>
      <c r="C313" t="s">
        <v>701</v>
      </c>
    </row>
    <row r="314" spans="1:4" x14ac:dyDescent="0.25">
      <c r="A314" t="s">
        <v>213</v>
      </c>
      <c r="B314" t="s">
        <v>701</v>
      </c>
      <c r="C314" t="s">
        <v>701</v>
      </c>
    </row>
    <row r="315" spans="1:4" x14ac:dyDescent="0.25">
      <c r="A315" t="s">
        <v>214</v>
      </c>
      <c r="B315" t="s">
        <v>701</v>
      </c>
      <c r="C315" t="s">
        <v>701</v>
      </c>
    </row>
    <row r="316" spans="1:4" x14ac:dyDescent="0.25">
      <c r="A316" t="s">
        <v>215</v>
      </c>
      <c r="B316" t="s">
        <v>687</v>
      </c>
      <c r="C316" t="s">
        <v>701</v>
      </c>
    </row>
    <row r="317" spans="1:4" x14ac:dyDescent="0.25">
      <c r="A317" t="s">
        <v>216</v>
      </c>
      <c r="B317" t="s">
        <v>686</v>
      </c>
      <c r="C317" t="s">
        <v>701</v>
      </c>
    </row>
    <row r="318" spans="1:4" x14ac:dyDescent="0.25">
      <c r="A318" t="s">
        <v>217</v>
      </c>
      <c r="B318" t="s">
        <v>730</v>
      </c>
      <c r="C318" t="str">
        <f t="shared" ref="C318:C322" si="29">B318</f>
        <v>ics:Homerian</v>
      </c>
    </row>
    <row r="319" spans="1:4" x14ac:dyDescent="0.25">
      <c r="A319" t="s">
        <v>218</v>
      </c>
      <c r="B319" t="s">
        <v>701</v>
      </c>
      <c r="C319" t="str">
        <f t="shared" si="29"/>
        <v>ics:Holocene</v>
      </c>
    </row>
    <row r="320" spans="1:4" x14ac:dyDescent="0.25">
      <c r="A320" t="s">
        <v>219</v>
      </c>
      <c r="B320" t="str">
        <f t="shared" ref="B320" si="30">"ics:"&amp;A320</f>
        <v>ics:Jiangshanian</v>
      </c>
      <c r="C320" t="str">
        <f t="shared" si="29"/>
        <v>ics:Jiangshanian</v>
      </c>
    </row>
    <row r="321" spans="1:4" x14ac:dyDescent="0.25">
      <c r="A321" t="s">
        <v>220</v>
      </c>
      <c r="B321" t="s">
        <v>711</v>
      </c>
      <c r="C321" t="str">
        <f t="shared" si="29"/>
        <v>ics:Jurassic</v>
      </c>
    </row>
    <row r="322" spans="1:4" x14ac:dyDescent="0.25">
      <c r="A322" t="s">
        <v>221</v>
      </c>
      <c r="B322" t="s">
        <v>711</v>
      </c>
      <c r="C322" t="str">
        <f t="shared" si="29"/>
        <v>ics:Jurassic</v>
      </c>
    </row>
    <row r="323" spans="1:4" x14ac:dyDescent="0.25">
      <c r="A323" t="s">
        <v>222</v>
      </c>
      <c r="B323" t="s">
        <v>711</v>
      </c>
      <c r="C323" t="s">
        <v>704</v>
      </c>
      <c r="D323" t="s">
        <v>799</v>
      </c>
    </row>
    <row r="324" spans="1:4" x14ac:dyDescent="0.25">
      <c r="A324" t="s">
        <v>223</v>
      </c>
      <c r="B324" t="s">
        <v>717</v>
      </c>
      <c r="C324" t="s">
        <v>711</v>
      </c>
    </row>
    <row r="325" spans="1:4" x14ac:dyDescent="0.25">
      <c r="A325" t="s">
        <v>224</v>
      </c>
      <c r="B325" t="s">
        <v>711</v>
      </c>
      <c r="C325" t="s">
        <v>704</v>
      </c>
    </row>
    <row r="326" spans="1:4" x14ac:dyDescent="0.25">
      <c r="A326" t="s">
        <v>225</v>
      </c>
      <c r="B326" t="s">
        <v>813</v>
      </c>
      <c r="C326" t="str">
        <f t="shared" ref="C326:C330" si="31">B326</f>
        <v>ics:LowerJurassic</v>
      </c>
    </row>
    <row r="327" spans="1:4" x14ac:dyDescent="0.25">
      <c r="A327" t="s">
        <v>226</v>
      </c>
      <c r="B327" t="s">
        <v>814</v>
      </c>
      <c r="C327" t="str">
        <f t="shared" si="31"/>
        <v>ics:MiddleJurassic</v>
      </c>
    </row>
    <row r="328" spans="1:4" x14ac:dyDescent="0.25">
      <c r="A328" t="s">
        <v>227</v>
      </c>
      <c r="B328" t="s">
        <v>796</v>
      </c>
      <c r="C328" t="str">
        <f t="shared" si="31"/>
        <v>ics:UpperJurassic</v>
      </c>
    </row>
    <row r="329" spans="1:4" x14ac:dyDescent="0.25">
      <c r="A329" t="s">
        <v>228</v>
      </c>
      <c r="B329" t="s">
        <v>731</v>
      </c>
      <c r="C329" t="str">
        <f t="shared" si="31"/>
        <v>ics:Kimmeridgian</v>
      </c>
    </row>
    <row r="330" spans="1:4" x14ac:dyDescent="0.25">
      <c r="A330" t="s">
        <v>229</v>
      </c>
      <c r="B330" t="s">
        <v>732</v>
      </c>
      <c r="C330" t="str">
        <f t="shared" si="31"/>
        <v>ics:Oxfordian</v>
      </c>
    </row>
    <row r="331" spans="1:4" x14ac:dyDescent="0.25">
      <c r="A331" t="s">
        <v>230</v>
      </c>
      <c r="B331" t="s">
        <v>711</v>
      </c>
      <c r="C331" t="s">
        <v>704</v>
      </c>
      <c r="D331" t="s">
        <v>799</v>
      </c>
    </row>
    <row r="332" spans="1:4" x14ac:dyDescent="0.25">
      <c r="A332" t="s">
        <v>231</v>
      </c>
      <c r="B332" t="s">
        <v>711</v>
      </c>
      <c r="C332" t="s">
        <v>704</v>
      </c>
    </row>
    <row r="333" spans="1:4" x14ac:dyDescent="0.25">
      <c r="A333" t="s">
        <v>232</v>
      </c>
      <c r="B333" t="s">
        <v>733</v>
      </c>
      <c r="C333" t="str">
        <f t="shared" ref="C333:C334" si="32">B333</f>
        <v>ics:Pliensbachian</v>
      </c>
    </row>
    <row r="334" spans="1:4" x14ac:dyDescent="0.25">
      <c r="A334" t="s">
        <v>233</v>
      </c>
      <c r="B334" t="s">
        <v>734</v>
      </c>
      <c r="C334" t="str">
        <f t="shared" si="32"/>
        <v>ics:Sinemurian</v>
      </c>
    </row>
    <row r="335" spans="1:4" x14ac:dyDescent="0.25">
      <c r="A335" t="s">
        <v>234</v>
      </c>
      <c r="B335" t="s">
        <v>711</v>
      </c>
      <c r="C335" t="s">
        <v>704</v>
      </c>
    </row>
    <row r="336" spans="1:4" x14ac:dyDescent="0.25">
      <c r="A336" t="s">
        <v>235</v>
      </c>
      <c r="B336" t="s">
        <v>711</v>
      </c>
      <c r="C336" t="str">
        <f>B336</f>
        <v>ics:Jurassic</v>
      </c>
      <c r="D336" t="s">
        <v>799</v>
      </c>
    </row>
    <row r="337" spans="1:6" x14ac:dyDescent="0.25">
      <c r="A337" t="s">
        <v>236</v>
      </c>
      <c r="B337" t="s">
        <v>735</v>
      </c>
      <c r="C337" t="s">
        <v>711</v>
      </c>
    </row>
    <row r="338" spans="1:6" x14ac:dyDescent="0.25">
      <c r="A338" t="s">
        <v>237</v>
      </c>
      <c r="B338" t="s">
        <v>736</v>
      </c>
      <c r="C338" t="str">
        <f t="shared" ref="C338:C340" si="33">B338</f>
        <v>ics:Katian</v>
      </c>
    </row>
    <row r="339" spans="1:6" x14ac:dyDescent="0.25">
      <c r="A339" t="s">
        <v>238</v>
      </c>
      <c r="B339" t="s">
        <v>736</v>
      </c>
      <c r="C339" t="str">
        <f t="shared" si="33"/>
        <v>ics:Katian</v>
      </c>
    </row>
    <row r="340" spans="1:6" x14ac:dyDescent="0.25">
      <c r="A340" t="s">
        <v>239</v>
      </c>
      <c r="B340" t="s">
        <v>731</v>
      </c>
      <c r="C340" t="str">
        <f t="shared" si="33"/>
        <v>ics:Kimmeridgian</v>
      </c>
    </row>
    <row r="341" spans="1:6" x14ac:dyDescent="0.25">
      <c r="A341" t="s">
        <v>240</v>
      </c>
      <c r="B341" t="s">
        <v>731</v>
      </c>
      <c r="C341" t="s">
        <v>737</v>
      </c>
    </row>
    <row r="342" spans="1:6" x14ac:dyDescent="0.25">
      <c r="A342" t="s">
        <v>241</v>
      </c>
      <c r="B342" t="s">
        <v>731</v>
      </c>
      <c r="C342" t="str">
        <f t="shared" ref="C342:C344" si="34">B342</f>
        <v>ics:Kimmeridgian</v>
      </c>
    </row>
    <row r="343" spans="1:6" x14ac:dyDescent="0.25">
      <c r="A343" t="s">
        <v>242</v>
      </c>
      <c r="B343" t="s">
        <v>832</v>
      </c>
      <c r="C343" t="str">
        <f t="shared" si="34"/>
        <v>ics:UpperPleistocene</v>
      </c>
      <c r="E343">
        <v>0.13</v>
      </c>
      <c r="F343">
        <v>0.115</v>
      </c>
    </row>
    <row r="344" spans="1:6" x14ac:dyDescent="0.25">
      <c r="A344" t="s">
        <v>243</v>
      </c>
      <c r="B344" t="s">
        <v>831</v>
      </c>
      <c r="C344" t="str">
        <f t="shared" si="34"/>
        <v>ics:Neoarchaen</v>
      </c>
    </row>
    <row r="345" spans="1:6" x14ac:dyDescent="0.25">
      <c r="A345" t="s">
        <v>244</v>
      </c>
      <c r="B345" t="s">
        <v>727</v>
      </c>
      <c r="C345" t="s">
        <v>792</v>
      </c>
    </row>
    <row r="346" spans="1:6" x14ac:dyDescent="0.25">
      <c r="A346" t="s">
        <v>245</v>
      </c>
      <c r="B346" t="s">
        <v>806</v>
      </c>
      <c r="C346" t="str">
        <f t="shared" ref="C346:C347" si="35">B346</f>
        <v>ics:UpperCretaceous</v>
      </c>
    </row>
    <row r="347" spans="1:6" x14ac:dyDescent="0.25">
      <c r="A347" t="s">
        <v>246</v>
      </c>
      <c r="B347" t="s">
        <v>806</v>
      </c>
      <c r="C347" t="str">
        <f t="shared" si="35"/>
        <v>ics:UpperCretaceous</v>
      </c>
    </row>
    <row r="348" spans="1:6" x14ac:dyDescent="0.25">
      <c r="A348" t="s">
        <v>247</v>
      </c>
      <c r="B348" t="s">
        <v>806</v>
      </c>
      <c r="C348" t="s">
        <v>688</v>
      </c>
    </row>
    <row r="349" spans="1:6" x14ac:dyDescent="0.25">
      <c r="A349" t="s">
        <v>248</v>
      </c>
      <c r="B349" t="s">
        <v>806</v>
      </c>
      <c r="C349" t="s">
        <v>688</v>
      </c>
      <c r="D349" t="s">
        <v>799</v>
      </c>
    </row>
    <row r="350" spans="1:6" x14ac:dyDescent="0.25">
      <c r="A350" t="s">
        <v>249</v>
      </c>
      <c r="B350" t="s">
        <v>806</v>
      </c>
      <c r="C350" t="s">
        <v>688</v>
      </c>
    </row>
    <row r="351" spans="1:6" x14ac:dyDescent="0.25">
      <c r="A351" t="s">
        <v>250</v>
      </c>
      <c r="B351" t="s">
        <v>806</v>
      </c>
      <c r="C351" t="s">
        <v>688</v>
      </c>
    </row>
    <row r="352" spans="1:6" x14ac:dyDescent="0.25">
      <c r="A352" t="s">
        <v>251</v>
      </c>
      <c r="B352" t="s">
        <v>806</v>
      </c>
      <c r="C352" t="s">
        <v>775</v>
      </c>
    </row>
    <row r="353" spans="1:6" x14ac:dyDescent="0.25">
      <c r="A353" t="s">
        <v>252</v>
      </c>
      <c r="B353" t="s">
        <v>806</v>
      </c>
      <c r="C353" t="str">
        <f t="shared" ref="C353:C354" si="36">B353</f>
        <v>ics:UpperCretaceous</v>
      </c>
      <c r="D353" t="s">
        <v>799</v>
      </c>
    </row>
    <row r="354" spans="1:6" x14ac:dyDescent="0.25">
      <c r="A354" t="s">
        <v>253</v>
      </c>
      <c r="B354" t="s">
        <v>811</v>
      </c>
      <c r="C354" t="str">
        <f t="shared" si="36"/>
        <v>ics:UpperDevonian</v>
      </c>
    </row>
    <row r="355" spans="1:6" x14ac:dyDescent="0.25">
      <c r="A355" t="s">
        <v>254</v>
      </c>
      <c r="B355" t="s">
        <v>811</v>
      </c>
      <c r="C355" t="s">
        <v>716</v>
      </c>
    </row>
    <row r="356" spans="1:6" x14ac:dyDescent="0.25">
      <c r="A356" t="s">
        <v>255</v>
      </c>
      <c r="B356" t="s">
        <v>811</v>
      </c>
      <c r="C356" t="s">
        <v>761</v>
      </c>
    </row>
    <row r="357" spans="1:6" x14ac:dyDescent="0.25">
      <c r="A357" t="s">
        <v>256</v>
      </c>
      <c r="B357" t="s">
        <v>697</v>
      </c>
      <c r="C357" t="str">
        <f t="shared" ref="C357:C360" si="37">B357</f>
        <v>ics:Priabonian</v>
      </c>
    </row>
    <row r="358" spans="1:6" x14ac:dyDescent="0.25">
      <c r="A358" t="s">
        <v>257</v>
      </c>
      <c r="B358" t="s">
        <v>684</v>
      </c>
      <c r="C358" t="str">
        <f t="shared" si="37"/>
        <v>ics:Meghalayan</v>
      </c>
    </row>
    <row r="359" spans="1:6" x14ac:dyDescent="0.25">
      <c r="A359" t="s">
        <v>258</v>
      </c>
      <c r="B359" t="s">
        <v>796</v>
      </c>
      <c r="C359" t="str">
        <f t="shared" si="37"/>
        <v>ics:UpperJurassic</v>
      </c>
    </row>
    <row r="360" spans="1:6" x14ac:dyDescent="0.25">
      <c r="A360" t="s">
        <v>259</v>
      </c>
      <c r="B360" t="s">
        <v>806</v>
      </c>
      <c r="C360" t="str">
        <f t="shared" si="37"/>
        <v>ics:UpperCretaceous</v>
      </c>
    </row>
    <row r="361" spans="1:6" x14ac:dyDescent="0.25">
      <c r="A361" t="s">
        <v>260</v>
      </c>
      <c r="B361" t="s">
        <v>800</v>
      </c>
      <c r="C361" t="s">
        <v>693</v>
      </c>
    </row>
    <row r="362" spans="1:6" x14ac:dyDescent="0.25">
      <c r="A362" t="s">
        <v>261</v>
      </c>
      <c r="B362" t="s">
        <v>778</v>
      </c>
      <c r="C362" t="s">
        <v>701</v>
      </c>
    </row>
    <row r="363" spans="1:6" x14ac:dyDescent="0.25">
      <c r="A363" t="s">
        <v>262</v>
      </c>
      <c r="B363" t="s">
        <v>705</v>
      </c>
      <c r="C363" t="s">
        <v>806</v>
      </c>
    </row>
    <row r="364" spans="1:6" x14ac:dyDescent="0.25">
      <c r="A364" t="s">
        <v>263</v>
      </c>
      <c r="B364" t="s">
        <v>816</v>
      </c>
      <c r="C364" t="str">
        <f>B364</f>
        <v>ics:UpperOrdovician</v>
      </c>
    </row>
    <row r="365" spans="1:6" x14ac:dyDescent="0.25">
      <c r="A365" t="s">
        <v>264</v>
      </c>
      <c r="B365" t="s">
        <v>816</v>
      </c>
      <c r="C365" t="s">
        <v>833</v>
      </c>
    </row>
    <row r="366" spans="1:6" x14ac:dyDescent="0.25">
      <c r="A366" t="s">
        <v>265</v>
      </c>
      <c r="B366" t="s">
        <v>816</v>
      </c>
      <c r="C366" t="s">
        <v>740</v>
      </c>
    </row>
    <row r="367" spans="1:6" x14ac:dyDescent="0.25">
      <c r="A367" t="s">
        <v>266</v>
      </c>
      <c r="B367" t="s">
        <v>699</v>
      </c>
      <c r="C367" t="str">
        <f>B367</f>
        <v>ics:Thanetian</v>
      </c>
      <c r="D367" t="s">
        <v>807</v>
      </c>
    </row>
    <row r="368" spans="1:6" x14ac:dyDescent="0.25">
      <c r="A368" t="s">
        <v>267</v>
      </c>
      <c r="B368" t="s">
        <v>699</v>
      </c>
      <c r="C368" t="s">
        <v>696</v>
      </c>
      <c r="E368">
        <v>56.8</v>
      </c>
      <c r="F368">
        <v>55.4</v>
      </c>
    </row>
    <row r="369" spans="1:3" x14ac:dyDescent="0.25">
      <c r="A369" t="s">
        <v>268</v>
      </c>
      <c r="B369" t="s">
        <v>832</v>
      </c>
      <c r="C369" t="str">
        <f t="shared" ref="C369:C373" si="38">B369</f>
        <v>ics:UpperPleistocene</v>
      </c>
    </row>
    <row r="370" spans="1:3" x14ac:dyDescent="0.25">
      <c r="A370" t="s">
        <v>269</v>
      </c>
      <c r="B370" t="s">
        <v>832</v>
      </c>
      <c r="C370" t="str">
        <f t="shared" si="38"/>
        <v>ics:UpperPleistocene</v>
      </c>
    </row>
    <row r="371" spans="1:3" x14ac:dyDescent="0.25">
      <c r="A371" t="s">
        <v>270</v>
      </c>
      <c r="B371" t="s">
        <v>834</v>
      </c>
      <c r="C371" t="str">
        <f t="shared" si="38"/>
        <v>ics:Piacenzian</v>
      </c>
    </row>
    <row r="372" spans="1:3" x14ac:dyDescent="0.25">
      <c r="A372" t="s">
        <v>271</v>
      </c>
      <c r="B372" t="s">
        <v>757</v>
      </c>
      <c r="C372" t="str">
        <f t="shared" si="38"/>
        <v>ics:Neoproterozoic</v>
      </c>
    </row>
    <row r="373" spans="1:3" x14ac:dyDescent="0.25">
      <c r="A373" t="s">
        <v>272</v>
      </c>
      <c r="B373" t="s">
        <v>817</v>
      </c>
      <c r="C373" t="str">
        <f t="shared" si="38"/>
        <v>ics:UpperTriassic</v>
      </c>
    </row>
    <row r="374" spans="1:3" x14ac:dyDescent="0.25">
      <c r="A374" t="s">
        <v>273</v>
      </c>
      <c r="B374" t="s">
        <v>817</v>
      </c>
      <c r="C374" t="s">
        <v>813</v>
      </c>
    </row>
    <row r="375" spans="1:3" x14ac:dyDescent="0.25">
      <c r="A375" t="s">
        <v>274</v>
      </c>
      <c r="B375" t="s">
        <v>693</v>
      </c>
      <c r="C375" t="s">
        <v>700</v>
      </c>
    </row>
    <row r="376" spans="1:3" x14ac:dyDescent="0.25">
      <c r="A376" t="s">
        <v>275</v>
      </c>
      <c r="B376" t="s">
        <v>714</v>
      </c>
      <c r="C376" t="s">
        <v>801</v>
      </c>
    </row>
    <row r="377" spans="1:3" x14ac:dyDescent="0.25">
      <c r="A377" t="s">
        <v>276</v>
      </c>
      <c r="B377" t="s">
        <v>810</v>
      </c>
      <c r="C377" t="s">
        <v>812</v>
      </c>
    </row>
    <row r="378" spans="1:3" x14ac:dyDescent="0.25">
      <c r="A378" t="s">
        <v>277</v>
      </c>
      <c r="B378" t="s">
        <v>810</v>
      </c>
      <c r="C378" t="s">
        <v>812</v>
      </c>
    </row>
    <row r="379" spans="1:3" x14ac:dyDescent="0.25">
      <c r="A379" t="s">
        <v>278</v>
      </c>
      <c r="B379" t="s">
        <v>813</v>
      </c>
      <c r="C379" t="s">
        <v>814</v>
      </c>
    </row>
    <row r="380" spans="1:3" x14ac:dyDescent="0.25">
      <c r="A380" t="s">
        <v>279</v>
      </c>
      <c r="B380" t="s">
        <v>813</v>
      </c>
      <c r="C380" t="s">
        <v>814</v>
      </c>
    </row>
    <row r="381" spans="1:3" x14ac:dyDescent="0.25">
      <c r="A381" t="s">
        <v>280</v>
      </c>
      <c r="B381" t="s">
        <v>705</v>
      </c>
      <c r="C381" t="str">
        <f t="shared" ref="C381:C394" si="39">B381</f>
        <v>ics:Aptian</v>
      </c>
    </row>
    <row r="382" spans="1:3" x14ac:dyDescent="0.25">
      <c r="A382" t="s">
        <v>281</v>
      </c>
      <c r="B382" t="s">
        <v>705</v>
      </c>
      <c r="C382" t="str">
        <f t="shared" si="39"/>
        <v>ics:Aptian</v>
      </c>
    </row>
    <row r="383" spans="1:3" x14ac:dyDescent="0.25">
      <c r="A383" t="s">
        <v>282</v>
      </c>
      <c r="B383" t="s">
        <v>760</v>
      </c>
      <c r="C383" t="str">
        <f t="shared" si="39"/>
        <v>ics:Terreneuvian</v>
      </c>
    </row>
    <row r="384" spans="1:3" x14ac:dyDescent="0.25">
      <c r="A384" t="s">
        <v>283</v>
      </c>
      <c r="B384" t="s">
        <v>706</v>
      </c>
      <c r="C384" t="str">
        <f t="shared" si="39"/>
        <v>ics:Campanian</v>
      </c>
    </row>
    <row r="385" spans="1:4" x14ac:dyDescent="0.25">
      <c r="A385" t="s">
        <v>284</v>
      </c>
      <c r="B385" t="s">
        <v>716</v>
      </c>
      <c r="C385" t="str">
        <f t="shared" si="39"/>
        <v>ics:Mississippian</v>
      </c>
    </row>
    <row r="386" spans="1:4" x14ac:dyDescent="0.25">
      <c r="A386" t="s">
        <v>285</v>
      </c>
      <c r="B386" t="s">
        <v>805</v>
      </c>
      <c r="C386" t="str">
        <f t="shared" si="39"/>
        <v>ics:LowerCretaceous</v>
      </c>
    </row>
    <row r="387" spans="1:4" x14ac:dyDescent="0.25">
      <c r="A387" t="s">
        <v>286</v>
      </c>
      <c r="B387" t="s">
        <v>810</v>
      </c>
      <c r="C387" t="str">
        <f t="shared" si="39"/>
        <v>ics:LowerDevonian</v>
      </c>
    </row>
    <row r="388" spans="1:4" x14ac:dyDescent="0.25">
      <c r="A388" t="s">
        <v>287</v>
      </c>
      <c r="B388" t="s">
        <v>696</v>
      </c>
      <c r="C388" t="str">
        <f t="shared" si="39"/>
        <v>ics:Ypresian</v>
      </c>
    </row>
    <row r="389" spans="1:4" x14ac:dyDescent="0.25">
      <c r="A389" t="s">
        <v>288</v>
      </c>
      <c r="B389" t="s">
        <v>813</v>
      </c>
      <c r="C389" t="str">
        <f t="shared" si="39"/>
        <v>ics:LowerJurassic</v>
      </c>
    </row>
    <row r="390" spans="1:4" x14ac:dyDescent="0.25">
      <c r="A390" t="s">
        <v>289</v>
      </c>
      <c r="B390" t="s">
        <v>813</v>
      </c>
      <c r="C390" t="str">
        <f t="shared" si="39"/>
        <v>ics:LowerJurassic</v>
      </c>
      <c r="D390" t="s">
        <v>799</v>
      </c>
    </row>
    <row r="391" spans="1:4" x14ac:dyDescent="0.25">
      <c r="A391" t="s">
        <v>290</v>
      </c>
      <c r="B391" t="s">
        <v>761</v>
      </c>
      <c r="C391" t="str">
        <f t="shared" si="39"/>
        <v>ics:Tournaisian</v>
      </c>
    </row>
    <row r="392" spans="1:4" x14ac:dyDescent="0.25">
      <c r="A392" t="s">
        <v>291</v>
      </c>
      <c r="B392" t="s">
        <v>792</v>
      </c>
      <c r="C392" t="str">
        <f t="shared" si="39"/>
        <v>ics:LowerOrdovician</v>
      </c>
    </row>
    <row r="393" spans="1:4" x14ac:dyDescent="0.25">
      <c r="A393" t="s">
        <v>292</v>
      </c>
      <c r="B393" t="s">
        <v>714</v>
      </c>
      <c r="C393" t="str">
        <f t="shared" si="39"/>
        <v>ics:Danian</v>
      </c>
    </row>
    <row r="394" spans="1:4" x14ac:dyDescent="0.25">
      <c r="A394" t="s">
        <v>293</v>
      </c>
      <c r="B394" t="s">
        <v>835</v>
      </c>
      <c r="C394" t="str">
        <f t="shared" si="39"/>
        <v>ics:Bashkirian</v>
      </c>
    </row>
    <row r="395" spans="1:4" x14ac:dyDescent="0.25">
      <c r="A395" t="s">
        <v>294</v>
      </c>
      <c r="B395" t="s">
        <v>824</v>
      </c>
      <c r="C395" t="s">
        <v>702</v>
      </c>
    </row>
    <row r="396" spans="1:4" x14ac:dyDescent="0.25">
      <c r="A396" t="s">
        <v>295</v>
      </c>
      <c r="B396" t="s">
        <v>824</v>
      </c>
      <c r="C396" t="s">
        <v>702</v>
      </c>
    </row>
    <row r="397" spans="1:4" x14ac:dyDescent="0.25">
      <c r="A397" t="s">
        <v>296</v>
      </c>
      <c r="B397" t="s">
        <v>695</v>
      </c>
      <c r="C397" t="str">
        <f>B397</f>
        <v>ics:Zanclean</v>
      </c>
    </row>
    <row r="398" spans="1:4" x14ac:dyDescent="0.25">
      <c r="A398" t="s">
        <v>297</v>
      </c>
      <c r="B398" t="s">
        <v>792</v>
      </c>
      <c r="C398" t="s">
        <v>815</v>
      </c>
    </row>
    <row r="399" spans="1:4" x14ac:dyDescent="0.25">
      <c r="A399" t="s">
        <v>298</v>
      </c>
      <c r="B399" t="s">
        <v>704</v>
      </c>
      <c r="C399" t="str">
        <f t="shared" ref="C399:C402" si="40">B399</f>
        <v>ics:Cretaceous</v>
      </c>
    </row>
    <row r="400" spans="1:4" x14ac:dyDescent="0.25">
      <c r="A400" t="s">
        <v>299</v>
      </c>
      <c r="B400" t="s">
        <v>749</v>
      </c>
      <c r="C400" t="str">
        <f t="shared" si="40"/>
        <v>ics:Berriasian</v>
      </c>
    </row>
    <row r="401" spans="1:4" x14ac:dyDescent="0.25">
      <c r="A401" t="s">
        <v>300</v>
      </c>
      <c r="B401" t="s">
        <v>741</v>
      </c>
      <c r="C401" t="str">
        <f t="shared" si="40"/>
        <v>ics:Ludlow</v>
      </c>
    </row>
    <row r="402" spans="1:4" x14ac:dyDescent="0.25">
      <c r="A402" t="s">
        <v>301</v>
      </c>
      <c r="B402" t="s">
        <v>742</v>
      </c>
      <c r="C402" t="str">
        <f t="shared" si="40"/>
        <v>ics:Lutetian</v>
      </c>
    </row>
    <row r="403" spans="1:4" x14ac:dyDescent="0.25">
      <c r="A403" t="s">
        <v>302</v>
      </c>
      <c r="B403" t="s">
        <v>742</v>
      </c>
      <c r="C403" t="s">
        <v>743</v>
      </c>
    </row>
    <row r="404" spans="1:4" x14ac:dyDescent="0.25">
      <c r="A404" t="s">
        <v>303</v>
      </c>
      <c r="D404" t="s">
        <v>853</v>
      </c>
    </row>
    <row r="405" spans="1:4" x14ac:dyDescent="0.25">
      <c r="A405" t="s">
        <v>304</v>
      </c>
      <c r="B405" t="s">
        <v>707</v>
      </c>
      <c r="C405" t="s">
        <v>714</v>
      </c>
    </row>
    <row r="406" spans="1:4" x14ac:dyDescent="0.25">
      <c r="A406" t="s">
        <v>305</v>
      </c>
      <c r="B406" t="s">
        <v>707</v>
      </c>
      <c r="C406" t="str">
        <f>B406</f>
        <v>ics:Maastrichtian</v>
      </c>
    </row>
    <row r="407" spans="1:4" x14ac:dyDescent="0.25">
      <c r="A407" t="s">
        <v>306</v>
      </c>
      <c r="B407" t="s">
        <v>707</v>
      </c>
      <c r="C407" t="s">
        <v>714</v>
      </c>
    </row>
    <row r="408" spans="1:4" x14ac:dyDescent="0.25">
      <c r="A408" t="s">
        <v>307</v>
      </c>
      <c r="B408" t="s">
        <v>744</v>
      </c>
      <c r="C408" t="str">
        <f>B408</f>
        <v>ics:Mesoarchean</v>
      </c>
    </row>
    <row r="409" spans="1:4" x14ac:dyDescent="0.25">
      <c r="A409" t="s">
        <v>308</v>
      </c>
      <c r="B409" t="s">
        <v>744</v>
      </c>
      <c r="C409" t="s">
        <v>745</v>
      </c>
    </row>
    <row r="410" spans="1:4" x14ac:dyDescent="0.25">
      <c r="A410" t="s">
        <v>309</v>
      </c>
      <c r="B410" t="s">
        <v>746</v>
      </c>
      <c r="C410" t="str">
        <f t="shared" ref="C410:C445" si="41">B410</f>
        <v>ics:Mesoproterozoic</v>
      </c>
    </row>
    <row r="411" spans="1:4" x14ac:dyDescent="0.25">
      <c r="A411" t="s">
        <v>310</v>
      </c>
      <c r="B411" t="s">
        <v>747</v>
      </c>
      <c r="C411" t="str">
        <f t="shared" si="41"/>
        <v>ics:Mesozoic</v>
      </c>
    </row>
    <row r="412" spans="1:4" x14ac:dyDescent="0.25">
      <c r="A412" t="s">
        <v>311</v>
      </c>
      <c r="B412" t="s">
        <v>747</v>
      </c>
      <c r="C412" t="str">
        <f t="shared" si="41"/>
        <v>ics:Mesozoic</v>
      </c>
    </row>
    <row r="413" spans="1:4" x14ac:dyDescent="0.25">
      <c r="A413" t="s">
        <v>312</v>
      </c>
      <c r="B413" t="s">
        <v>747</v>
      </c>
      <c r="C413" t="str">
        <f t="shared" si="41"/>
        <v>ics:Mesozoic</v>
      </c>
      <c r="D413" t="s">
        <v>799</v>
      </c>
    </row>
    <row r="414" spans="1:4" x14ac:dyDescent="0.25">
      <c r="A414" t="s">
        <v>313</v>
      </c>
      <c r="B414" t="s">
        <v>704</v>
      </c>
      <c r="C414" t="str">
        <f t="shared" si="41"/>
        <v>ics:Cretaceous</v>
      </c>
    </row>
    <row r="415" spans="1:4" x14ac:dyDescent="0.25">
      <c r="A415" t="s">
        <v>314</v>
      </c>
      <c r="B415" t="s">
        <v>805</v>
      </c>
      <c r="C415" t="str">
        <f t="shared" si="41"/>
        <v>ics:LowerCretaceous</v>
      </c>
    </row>
    <row r="416" spans="1:4" x14ac:dyDescent="0.25">
      <c r="A416" t="s">
        <v>315</v>
      </c>
      <c r="B416" t="s">
        <v>675</v>
      </c>
      <c r="C416" t="str">
        <f t="shared" si="41"/>
        <v>ics:Albian</v>
      </c>
    </row>
    <row r="417" spans="1:3" x14ac:dyDescent="0.25">
      <c r="A417" t="s">
        <v>316</v>
      </c>
      <c r="B417" t="s">
        <v>705</v>
      </c>
      <c r="C417" t="str">
        <f t="shared" si="41"/>
        <v>ics:Aptian</v>
      </c>
    </row>
    <row r="418" spans="1:3" x14ac:dyDescent="0.25">
      <c r="A418" t="s">
        <v>317</v>
      </c>
      <c r="B418" t="s">
        <v>748</v>
      </c>
      <c r="C418" t="str">
        <f t="shared" si="41"/>
        <v>ics:Barremian</v>
      </c>
    </row>
    <row r="419" spans="1:3" x14ac:dyDescent="0.25">
      <c r="A419" t="s">
        <v>318</v>
      </c>
      <c r="B419" t="s">
        <v>749</v>
      </c>
      <c r="C419" t="str">
        <f t="shared" si="41"/>
        <v>ics:Berriasian</v>
      </c>
    </row>
    <row r="420" spans="1:3" x14ac:dyDescent="0.25">
      <c r="A420" t="s">
        <v>319</v>
      </c>
      <c r="B420" t="s">
        <v>806</v>
      </c>
      <c r="C420" t="str">
        <f t="shared" si="41"/>
        <v>ics:UpperCretaceous</v>
      </c>
    </row>
    <row r="421" spans="1:3" x14ac:dyDescent="0.25">
      <c r="A421" t="s">
        <v>320</v>
      </c>
      <c r="B421" t="s">
        <v>706</v>
      </c>
      <c r="C421" t="str">
        <f t="shared" si="41"/>
        <v>ics:Campanian</v>
      </c>
    </row>
    <row r="422" spans="1:3" x14ac:dyDescent="0.25">
      <c r="A422" t="s">
        <v>321</v>
      </c>
      <c r="B422" t="s">
        <v>679</v>
      </c>
      <c r="C422" t="str">
        <f t="shared" si="41"/>
        <v>ics:Cenomanian</v>
      </c>
    </row>
    <row r="423" spans="1:3" x14ac:dyDescent="0.25">
      <c r="A423" t="s">
        <v>322</v>
      </c>
      <c r="B423" t="s">
        <v>708</v>
      </c>
      <c r="C423" t="str">
        <f t="shared" si="41"/>
        <v>ics:Coniacian</v>
      </c>
    </row>
    <row r="424" spans="1:3" x14ac:dyDescent="0.25">
      <c r="A424" t="s">
        <v>323</v>
      </c>
      <c r="B424" t="s">
        <v>707</v>
      </c>
      <c r="C424" t="str">
        <f t="shared" si="41"/>
        <v>ics:Maastrichtian</v>
      </c>
    </row>
    <row r="425" spans="1:3" x14ac:dyDescent="0.25">
      <c r="A425" t="s">
        <v>324</v>
      </c>
      <c r="B425" t="s">
        <v>710</v>
      </c>
      <c r="C425" t="str">
        <f t="shared" si="41"/>
        <v>ics:Turonian</v>
      </c>
    </row>
    <row r="426" spans="1:3" x14ac:dyDescent="0.25">
      <c r="A426" t="s">
        <v>325</v>
      </c>
      <c r="B426" t="s">
        <v>711</v>
      </c>
      <c r="C426" t="str">
        <f t="shared" si="41"/>
        <v>ics:Jurassic</v>
      </c>
    </row>
    <row r="427" spans="1:3" x14ac:dyDescent="0.25">
      <c r="A427" t="s">
        <v>326</v>
      </c>
      <c r="B427" t="s">
        <v>813</v>
      </c>
      <c r="C427" t="str">
        <f t="shared" si="41"/>
        <v>ics:LowerJurassic</v>
      </c>
    </row>
    <row r="428" spans="1:3" x14ac:dyDescent="0.25">
      <c r="A428" t="s">
        <v>327</v>
      </c>
      <c r="B428" t="s">
        <v>733</v>
      </c>
      <c r="C428" t="str">
        <f t="shared" si="41"/>
        <v>ics:Pliensbachian</v>
      </c>
    </row>
    <row r="429" spans="1:3" x14ac:dyDescent="0.25">
      <c r="A429" t="s">
        <v>328</v>
      </c>
      <c r="B429" t="s">
        <v>734</v>
      </c>
      <c r="C429" t="str">
        <f t="shared" si="41"/>
        <v>ics:Sinemurian</v>
      </c>
    </row>
    <row r="430" spans="1:3" x14ac:dyDescent="0.25">
      <c r="A430" t="s">
        <v>329</v>
      </c>
      <c r="B430" t="s">
        <v>750</v>
      </c>
      <c r="C430" t="str">
        <f t="shared" si="41"/>
        <v>ics:Toarcian</v>
      </c>
    </row>
    <row r="431" spans="1:3" x14ac:dyDescent="0.25">
      <c r="A431" t="s">
        <v>330</v>
      </c>
      <c r="B431" t="s">
        <v>796</v>
      </c>
      <c r="C431" t="str">
        <f t="shared" si="41"/>
        <v>ics:UpperJurassic</v>
      </c>
    </row>
    <row r="432" spans="1:3" x14ac:dyDescent="0.25">
      <c r="A432" t="s">
        <v>331</v>
      </c>
      <c r="B432" t="s">
        <v>731</v>
      </c>
      <c r="C432" t="str">
        <f t="shared" si="41"/>
        <v>ics:Kimmeridgian</v>
      </c>
    </row>
    <row r="433" spans="1:4" x14ac:dyDescent="0.25">
      <c r="A433" t="s">
        <v>332</v>
      </c>
      <c r="B433" t="s">
        <v>732</v>
      </c>
      <c r="C433" t="str">
        <f t="shared" si="41"/>
        <v>ics:Oxfordian</v>
      </c>
    </row>
    <row r="434" spans="1:4" x14ac:dyDescent="0.25">
      <c r="A434" t="s">
        <v>333</v>
      </c>
      <c r="B434" t="s">
        <v>737</v>
      </c>
      <c r="C434" t="str">
        <f t="shared" si="41"/>
        <v>ics:Tithonian</v>
      </c>
    </row>
    <row r="435" spans="1:4" x14ac:dyDescent="0.25">
      <c r="A435" t="s">
        <v>334</v>
      </c>
      <c r="B435" t="s">
        <v>814</v>
      </c>
      <c r="C435" t="str">
        <f t="shared" si="41"/>
        <v>ics:MiddleJurassic</v>
      </c>
    </row>
    <row r="436" spans="1:4" x14ac:dyDescent="0.25">
      <c r="A436" t="s">
        <v>335</v>
      </c>
      <c r="B436" t="s">
        <v>751</v>
      </c>
      <c r="C436" t="str">
        <f t="shared" si="41"/>
        <v>ics:Aalenian</v>
      </c>
    </row>
    <row r="437" spans="1:4" x14ac:dyDescent="0.25">
      <c r="A437" t="s">
        <v>336</v>
      </c>
      <c r="B437" t="s">
        <v>752</v>
      </c>
      <c r="C437" t="str">
        <f t="shared" si="41"/>
        <v>ics:Bajocian</v>
      </c>
    </row>
    <row r="438" spans="1:4" x14ac:dyDescent="0.25">
      <c r="A438" t="s">
        <v>337</v>
      </c>
      <c r="B438" t="s">
        <v>753</v>
      </c>
      <c r="C438" t="str">
        <f t="shared" si="41"/>
        <v>ics:Bathonian</v>
      </c>
    </row>
    <row r="439" spans="1:4" x14ac:dyDescent="0.25">
      <c r="A439" t="s">
        <v>338</v>
      </c>
      <c r="B439" t="s">
        <v>717</v>
      </c>
      <c r="C439" t="str">
        <f t="shared" si="41"/>
        <v>ics:Triassic</v>
      </c>
    </row>
    <row r="440" spans="1:4" x14ac:dyDescent="0.25">
      <c r="A440" t="s">
        <v>339</v>
      </c>
      <c r="B440" t="s">
        <v>819</v>
      </c>
      <c r="C440" t="str">
        <f t="shared" si="41"/>
        <v>ics:LowerTriassic</v>
      </c>
    </row>
    <row r="441" spans="1:4" x14ac:dyDescent="0.25">
      <c r="A441" t="s">
        <v>340</v>
      </c>
      <c r="B441" t="s">
        <v>817</v>
      </c>
      <c r="C441" t="str">
        <f t="shared" si="41"/>
        <v>ics:UpperTriassic</v>
      </c>
    </row>
    <row r="442" spans="1:4" x14ac:dyDescent="0.25">
      <c r="A442" t="s">
        <v>341</v>
      </c>
      <c r="B442" t="s">
        <v>754</v>
      </c>
      <c r="C442" t="str">
        <f t="shared" si="41"/>
        <v>ics:Rhaetian</v>
      </c>
    </row>
    <row r="443" spans="1:4" x14ac:dyDescent="0.25">
      <c r="A443" t="s">
        <v>342</v>
      </c>
      <c r="B443" t="s">
        <v>682</v>
      </c>
      <c r="C443" t="str">
        <f t="shared" si="41"/>
        <v>ics:Anisian</v>
      </c>
    </row>
    <row r="444" spans="1:4" x14ac:dyDescent="0.25">
      <c r="A444" t="s">
        <v>343</v>
      </c>
      <c r="B444" t="s">
        <v>683</v>
      </c>
      <c r="C444" t="str">
        <f t="shared" si="41"/>
        <v>ics:Ladinian</v>
      </c>
    </row>
    <row r="445" spans="1:4" x14ac:dyDescent="0.25">
      <c r="A445" t="s">
        <v>344</v>
      </c>
      <c r="B445" t="s">
        <v>746</v>
      </c>
      <c r="C445" t="str">
        <f t="shared" si="41"/>
        <v>ics:Mesoproterozoic</v>
      </c>
      <c r="D445" t="s">
        <v>799</v>
      </c>
    </row>
    <row r="446" spans="1:4" x14ac:dyDescent="0.25">
      <c r="A446" t="s">
        <v>345</v>
      </c>
      <c r="B446" t="s">
        <v>705</v>
      </c>
      <c r="C446" t="s">
        <v>710</v>
      </c>
    </row>
    <row r="447" spans="1:4" x14ac:dyDescent="0.25">
      <c r="A447" t="s">
        <v>346</v>
      </c>
      <c r="B447" t="s">
        <v>694</v>
      </c>
      <c r="C447" t="s">
        <v>693</v>
      </c>
    </row>
    <row r="448" spans="1:4" x14ac:dyDescent="0.25">
      <c r="A448" t="s">
        <v>347</v>
      </c>
      <c r="B448" t="s">
        <v>790</v>
      </c>
      <c r="C448" t="s">
        <v>793</v>
      </c>
    </row>
    <row r="449" spans="1:6" x14ac:dyDescent="0.25">
      <c r="A449" t="s">
        <v>348</v>
      </c>
      <c r="B449" t="s">
        <v>694</v>
      </c>
      <c r="C449" t="s">
        <v>786</v>
      </c>
    </row>
    <row r="450" spans="1:6" x14ac:dyDescent="0.25">
      <c r="A450" t="s">
        <v>349</v>
      </c>
      <c r="B450" t="s">
        <v>695</v>
      </c>
      <c r="C450" t="str">
        <f>B450</f>
        <v>ics:Zanclean</v>
      </c>
    </row>
    <row r="451" spans="1:6" x14ac:dyDescent="0.25">
      <c r="A451" t="s">
        <v>350</v>
      </c>
      <c r="B451" t="s">
        <v>815</v>
      </c>
      <c r="C451" t="s">
        <v>816</v>
      </c>
    </row>
    <row r="452" spans="1:6" x14ac:dyDescent="0.25">
      <c r="A452" t="s">
        <v>351</v>
      </c>
      <c r="B452" t="s">
        <v>792</v>
      </c>
      <c r="C452" t="s">
        <v>815</v>
      </c>
    </row>
    <row r="453" spans="1:6" x14ac:dyDescent="0.25">
      <c r="A453" t="s">
        <v>352</v>
      </c>
      <c r="B453" t="s">
        <v>690</v>
      </c>
      <c r="C453" t="str">
        <f>B453</f>
        <v>ics:Pliocene</v>
      </c>
    </row>
    <row r="454" spans="1:6" x14ac:dyDescent="0.25">
      <c r="A454" t="s">
        <v>353</v>
      </c>
      <c r="B454" t="s">
        <v>694</v>
      </c>
      <c r="C454" t="s">
        <v>693</v>
      </c>
    </row>
    <row r="455" spans="1:6" x14ac:dyDescent="0.25">
      <c r="A455" t="s">
        <v>354</v>
      </c>
      <c r="B455" t="s">
        <v>744</v>
      </c>
      <c r="C455" t="str">
        <f>B455</f>
        <v>ics:Mesoarchean</v>
      </c>
    </row>
    <row r="456" spans="1:6" x14ac:dyDescent="0.25">
      <c r="A456" t="s">
        <v>355</v>
      </c>
      <c r="B456" t="s">
        <v>790</v>
      </c>
      <c r="C456" t="s">
        <v>793</v>
      </c>
    </row>
    <row r="457" spans="1:6" x14ac:dyDescent="0.25">
      <c r="A457" t="s">
        <v>356</v>
      </c>
      <c r="B457" t="s">
        <v>706</v>
      </c>
      <c r="C457" t="str">
        <f t="shared" ref="C457:C460" si="42">B457</f>
        <v>ics:Campanian</v>
      </c>
    </row>
    <row r="458" spans="1:6" x14ac:dyDescent="0.25">
      <c r="A458" t="s">
        <v>357</v>
      </c>
      <c r="B458" t="s">
        <v>812</v>
      </c>
      <c r="C458" t="str">
        <f t="shared" si="42"/>
        <v>ics:MiddleDevonian</v>
      </c>
    </row>
    <row r="459" spans="1:6" x14ac:dyDescent="0.25">
      <c r="A459" t="s">
        <v>358</v>
      </c>
      <c r="B459" t="s">
        <v>812</v>
      </c>
      <c r="C459" t="str">
        <f t="shared" si="42"/>
        <v>ics:MiddleDevonian</v>
      </c>
    </row>
    <row r="460" spans="1:6" x14ac:dyDescent="0.25">
      <c r="A460" t="s">
        <v>359</v>
      </c>
      <c r="B460" t="s">
        <v>812</v>
      </c>
      <c r="C460" t="str">
        <f t="shared" si="42"/>
        <v>ics:MiddleDevonian</v>
      </c>
      <c r="E460">
        <v>393.3</v>
      </c>
      <c r="F460">
        <v>382.7</v>
      </c>
    </row>
    <row r="461" spans="1:6" x14ac:dyDescent="0.25">
      <c r="A461" t="s">
        <v>360</v>
      </c>
      <c r="B461" t="s">
        <v>742</v>
      </c>
      <c r="C461" t="s">
        <v>743</v>
      </c>
    </row>
    <row r="462" spans="1:6" x14ac:dyDescent="0.25">
      <c r="A462" t="s">
        <v>361</v>
      </c>
      <c r="B462" t="s">
        <v>742</v>
      </c>
      <c r="C462" t="s">
        <v>743</v>
      </c>
    </row>
    <row r="463" spans="1:6" x14ac:dyDescent="0.25">
      <c r="A463" t="s">
        <v>362</v>
      </c>
      <c r="B463" t="s">
        <v>814</v>
      </c>
      <c r="C463" t="str">
        <f>B463</f>
        <v>ics:MiddleJurassic</v>
      </c>
    </row>
    <row r="464" spans="1:6" x14ac:dyDescent="0.25">
      <c r="A464" t="s">
        <v>363</v>
      </c>
      <c r="B464" t="s">
        <v>694</v>
      </c>
      <c r="C464" t="s">
        <v>693</v>
      </c>
    </row>
    <row r="465" spans="1:3" x14ac:dyDescent="0.25">
      <c r="A465" t="s">
        <v>364</v>
      </c>
      <c r="B465" t="s">
        <v>742</v>
      </c>
      <c r="C465" t="str">
        <f>B465</f>
        <v>ics:Lutetian</v>
      </c>
    </row>
    <row r="466" spans="1:3" x14ac:dyDescent="0.25">
      <c r="A466" t="s">
        <v>365</v>
      </c>
      <c r="B466" t="s">
        <v>694</v>
      </c>
      <c r="C466" t="s">
        <v>786</v>
      </c>
    </row>
    <row r="467" spans="1:3" x14ac:dyDescent="0.25">
      <c r="A467" t="s">
        <v>366</v>
      </c>
      <c r="B467" t="s">
        <v>694</v>
      </c>
      <c r="C467" t="s">
        <v>786</v>
      </c>
    </row>
    <row r="468" spans="1:3" x14ac:dyDescent="0.25">
      <c r="A468" t="s">
        <v>367</v>
      </c>
      <c r="B468" t="s">
        <v>762</v>
      </c>
      <c r="C468" t="str">
        <f t="shared" ref="C468:C469" si="43">B468</f>
        <v>ics:Visean</v>
      </c>
    </row>
    <row r="469" spans="1:3" x14ac:dyDescent="0.25">
      <c r="A469" t="s">
        <v>368</v>
      </c>
      <c r="B469" t="s">
        <v>815</v>
      </c>
      <c r="C469" t="str">
        <f t="shared" si="43"/>
        <v>ics:MiddleOrdovician</v>
      </c>
    </row>
    <row r="470" spans="1:3" x14ac:dyDescent="0.25">
      <c r="A470" t="s">
        <v>369</v>
      </c>
      <c r="B470" t="s">
        <v>718</v>
      </c>
      <c r="C470" t="s">
        <v>815</v>
      </c>
    </row>
    <row r="471" spans="1:3" x14ac:dyDescent="0.25">
      <c r="A471" t="s">
        <v>370</v>
      </c>
      <c r="B471" t="s">
        <v>794</v>
      </c>
      <c r="C471" t="str">
        <f t="shared" ref="C471:C472" si="44">B471</f>
        <v>ics:Moscovian</v>
      </c>
    </row>
    <row r="472" spans="1:3" x14ac:dyDescent="0.25">
      <c r="A472" t="s">
        <v>371</v>
      </c>
      <c r="B472" t="s">
        <v>830</v>
      </c>
      <c r="C472" t="str">
        <f t="shared" si="44"/>
        <v>ics:Chibanian</v>
      </c>
    </row>
    <row r="473" spans="1:3" x14ac:dyDescent="0.25">
      <c r="A473" t="s">
        <v>372</v>
      </c>
      <c r="B473" t="s">
        <v>814</v>
      </c>
      <c r="C473" t="s">
        <v>796</v>
      </c>
    </row>
    <row r="474" spans="1:3" x14ac:dyDescent="0.25">
      <c r="A474" t="s">
        <v>373</v>
      </c>
      <c r="B474" t="s">
        <v>682</v>
      </c>
      <c r="C474" t="str">
        <f t="shared" ref="C474:C484" si="45">B474</f>
        <v>ics:Anisian</v>
      </c>
    </row>
    <row r="475" spans="1:3" x14ac:dyDescent="0.25">
      <c r="A475" t="s">
        <v>374</v>
      </c>
      <c r="B475" t="s">
        <v>689</v>
      </c>
      <c r="C475" t="str">
        <f t="shared" si="45"/>
        <v>ics:Miocene</v>
      </c>
    </row>
    <row r="476" spans="1:3" x14ac:dyDescent="0.25">
      <c r="A476" t="s">
        <v>375</v>
      </c>
      <c r="B476" t="s">
        <v>689</v>
      </c>
      <c r="C476" t="str">
        <f t="shared" si="45"/>
        <v>ics:Miocene</v>
      </c>
    </row>
    <row r="477" spans="1:3" x14ac:dyDescent="0.25">
      <c r="A477" t="s">
        <v>376</v>
      </c>
      <c r="B477" t="s">
        <v>689</v>
      </c>
      <c r="C477" t="str">
        <f t="shared" si="45"/>
        <v>ics:Miocene</v>
      </c>
    </row>
    <row r="478" spans="1:3" x14ac:dyDescent="0.25">
      <c r="A478" t="s">
        <v>377</v>
      </c>
      <c r="B478" t="s">
        <v>689</v>
      </c>
      <c r="C478" t="str">
        <f t="shared" si="45"/>
        <v>ics:Miocene</v>
      </c>
    </row>
    <row r="479" spans="1:3" x14ac:dyDescent="0.25">
      <c r="A479" t="s">
        <v>378</v>
      </c>
      <c r="B479" t="s">
        <v>689</v>
      </c>
      <c r="C479" t="str">
        <f t="shared" si="45"/>
        <v>ics:Miocene</v>
      </c>
    </row>
    <row r="480" spans="1:3" x14ac:dyDescent="0.25">
      <c r="A480" t="s">
        <v>379</v>
      </c>
      <c r="B480" t="s">
        <v>786</v>
      </c>
      <c r="C480" t="str">
        <f t="shared" si="45"/>
        <v>ics:Serravallian</v>
      </c>
    </row>
    <row r="481" spans="1:6" x14ac:dyDescent="0.25">
      <c r="A481" t="s">
        <v>380</v>
      </c>
      <c r="B481" t="s">
        <v>689</v>
      </c>
      <c r="C481" t="str">
        <f t="shared" si="45"/>
        <v>ics:Miocene</v>
      </c>
    </row>
    <row r="482" spans="1:6" x14ac:dyDescent="0.25">
      <c r="A482" t="s">
        <v>381</v>
      </c>
      <c r="B482" t="s">
        <v>689</v>
      </c>
      <c r="C482" t="str">
        <f t="shared" si="45"/>
        <v>ics:Miocene</v>
      </c>
    </row>
    <row r="483" spans="1:6" x14ac:dyDescent="0.25">
      <c r="A483" t="s">
        <v>382</v>
      </c>
      <c r="B483" t="s">
        <v>689</v>
      </c>
      <c r="C483" t="str">
        <f t="shared" si="45"/>
        <v>ics:Miocene</v>
      </c>
    </row>
    <row r="484" spans="1:6" x14ac:dyDescent="0.25">
      <c r="A484" t="s">
        <v>383</v>
      </c>
      <c r="B484" t="s">
        <v>755</v>
      </c>
      <c r="C484" t="str">
        <f t="shared" si="45"/>
        <v>ics:Burdigalian</v>
      </c>
    </row>
    <row r="485" spans="1:6" x14ac:dyDescent="0.25">
      <c r="A485" t="s">
        <v>384</v>
      </c>
      <c r="B485" t="s">
        <v>691</v>
      </c>
      <c r="C485" t="s">
        <v>689</v>
      </c>
    </row>
    <row r="486" spans="1:6" x14ac:dyDescent="0.25">
      <c r="A486" t="s">
        <v>385</v>
      </c>
      <c r="B486" t="s">
        <v>832</v>
      </c>
      <c r="C486" t="str">
        <f t="shared" ref="C486:C493" si="46">B486</f>
        <v>ics:UpperPleistocene</v>
      </c>
      <c r="E486">
        <v>0.1215</v>
      </c>
      <c r="F486">
        <v>0.1162</v>
      </c>
    </row>
    <row r="487" spans="1:6" x14ac:dyDescent="0.25">
      <c r="A487" t="s">
        <v>386</v>
      </c>
      <c r="B487" t="s">
        <v>832</v>
      </c>
      <c r="C487" t="str">
        <f t="shared" si="46"/>
        <v>ics:UpperPleistocene</v>
      </c>
      <c r="E487">
        <v>0.13</v>
      </c>
      <c r="F487">
        <v>0.115</v>
      </c>
    </row>
    <row r="488" spans="1:6" x14ac:dyDescent="0.25">
      <c r="A488" t="s">
        <v>387</v>
      </c>
      <c r="B488" t="s">
        <v>832</v>
      </c>
      <c r="C488" t="str">
        <f t="shared" si="46"/>
        <v>ics:UpperPleistocene</v>
      </c>
      <c r="D488" t="s">
        <v>799</v>
      </c>
      <c r="E488">
        <v>0.13</v>
      </c>
      <c r="F488">
        <v>0.115</v>
      </c>
    </row>
    <row r="489" spans="1:6" x14ac:dyDescent="0.25">
      <c r="A489" t="s">
        <v>388</v>
      </c>
      <c r="B489" t="s">
        <v>836</v>
      </c>
      <c r="C489" t="str">
        <f t="shared" si="46"/>
        <v>ics:Northgrippian</v>
      </c>
      <c r="E489">
        <v>7.0999999999999994E-2</v>
      </c>
      <c r="F489">
        <v>5.7000000000000002E-2</v>
      </c>
    </row>
    <row r="490" spans="1:6" x14ac:dyDescent="0.25">
      <c r="A490" t="s">
        <v>389</v>
      </c>
      <c r="B490" t="s">
        <v>830</v>
      </c>
      <c r="C490" t="str">
        <f t="shared" si="46"/>
        <v>ics:Chibanian</v>
      </c>
    </row>
    <row r="491" spans="1:6" x14ac:dyDescent="0.25">
      <c r="A491" t="s">
        <v>390</v>
      </c>
      <c r="B491" t="s">
        <v>716</v>
      </c>
      <c r="C491" t="str">
        <f t="shared" si="46"/>
        <v>ics:Mississippian</v>
      </c>
    </row>
    <row r="492" spans="1:6" x14ac:dyDescent="0.25">
      <c r="A492" t="s">
        <v>391</v>
      </c>
      <c r="B492" t="s">
        <v>761</v>
      </c>
      <c r="C492" t="str">
        <f t="shared" si="46"/>
        <v>ics:Tournaisian</v>
      </c>
    </row>
    <row r="493" spans="1:6" x14ac:dyDescent="0.25">
      <c r="A493" t="s">
        <v>392</v>
      </c>
      <c r="B493" t="s">
        <v>837</v>
      </c>
      <c r="C493" t="str">
        <f t="shared" si="46"/>
        <v>ics:Serpukhovian</v>
      </c>
    </row>
    <row r="494" spans="1:6" x14ac:dyDescent="0.25">
      <c r="A494" t="s">
        <v>393</v>
      </c>
      <c r="B494" t="s">
        <v>716</v>
      </c>
      <c r="C494" t="s">
        <v>704</v>
      </c>
      <c r="D494" t="s">
        <v>799</v>
      </c>
    </row>
    <row r="495" spans="1:6" x14ac:dyDescent="0.25">
      <c r="A495" t="s">
        <v>394</v>
      </c>
      <c r="B495" t="s">
        <v>716</v>
      </c>
      <c r="C495" t="s">
        <v>735</v>
      </c>
    </row>
    <row r="496" spans="1:6" x14ac:dyDescent="0.25">
      <c r="A496" t="s">
        <v>395</v>
      </c>
      <c r="B496" t="s">
        <v>837</v>
      </c>
      <c r="C496" t="str">
        <f t="shared" ref="C496:C497" si="47">B496</f>
        <v>ics:Serpukhovian</v>
      </c>
      <c r="E496">
        <v>326</v>
      </c>
      <c r="F496">
        <v>325</v>
      </c>
    </row>
    <row r="497" spans="1:4" x14ac:dyDescent="0.25">
      <c r="A497" t="s">
        <v>396</v>
      </c>
      <c r="B497" t="s">
        <v>837</v>
      </c>
      <c r="C497" t="str">
        <f t="shared" si="47"/>
        <v>ics:Serpukhovian</v>
      </c>
    </row>
    <row r="498" spans="1:4" x14ac:dyDescent="0.25">
      <c r="A498" t="s">
        <v>397</v>
      </c>
      <c r="B498" t="s">
        <v>716</v>
      </c>
      <c r="C498" t="s">
        <v>721</v>
      </c>
    </row>
    <row r="499" spans="1:4" x14ac:dyDescent="0.25">
      <c r="A499" t="s">
        <v>398</v>
      </c>
      <c r="B499" t="s">
        <v>716</v>
      </c>
      <c r="C499" t="str">
        <f t="shared" ref="C499:C500" si="48">B499</f>
        <v>ics:Mississippian</v>
      </c>
      <c r="D499" t="s">
        <v>799</v>
      </c>
    </row>
    <row r="500" spans="1:4" x14ac:dyDescent="0.25">
      <c r="A500" t="s">
        <v>399</v>
      </c>
      <c r="B500" t="s">
        <v>809</v>
      </c>
      <c r="C500" t="str">
        <f t="shared" si="48"/>
        <v>ics:UpperPennsylvanian</v>
      </c>
    </row>
    <row r="501" spans="1:4" x14ac:dyDescent="0.25">
      <c r="A501" t="s">
        <v>400</v>
      </c>
      <c r="D501" t="s">
        <v>400</v>
      </c>
    </row>
    <row r="502" spans="1:4" x14ac:dyDescent="0.25">
      <c r="A502" t="s">
        <v>401</v>
      </c>
      <c r="B502" t="s">
        <v>688</v>
      </c>
      <c r="C502" t="s">
        <v>691</v>
      </c>
    </row>
    <row r="503" spans="1:4" x14ac:dyDescent="0.25">
      <c r="A503" t="s">
        <v>402</v>
      </c>
      <c r="B503" t="s">
        <v>684</v>
      </c>
      <c r="C503" t="str">
        <f t="shared" ref="C503:C505" si="49">B503</f>
        <v>ics:Meghalayan</v>
      </c>
    </row>
    <row r="504" spans="1:4" x14ac:dyDescent="0.25">
      <c r="A504" t="s">
        <v>403</v>
      </c>
      <c r="B504" t="s">
        <v>684</v>
      </c>
      <c r="C504" t="str">
        <f t="shared" si="49"/>
        <v>ics:Meghalayan</v>
      </c>
    </row>
    <row r="505" spans="1:4" x14ac:dyDescent="0.25">
      <c r="A505" t="s">
        <v>404</v>
      </c>
      <c r="B505" t="s">
        <v>684</v>
      </c>
      <c r="C505" t="str">
        <f t="shared" si="49"/>
        <v>ics:Meghalayan</v>
      </c>
      <c r="D505" t="s">
        <v>838</v>
      </c>
    </row>
    <row r="506" spans="1:4" x14ac:dyDescent="0.25">
      <c r="A506" t="s">
        <v>405</v>
      </c>
      <c r="B506" t="s">
        <v>837</v>
      </c>
      <c r="C506" t="s">
        <v>835</v>
      </c>
    </row>
    <row r="507" spans="1:4" x14ac:dyDescent="0.25">
      <c r="A507" t="s">
        <v>406</v>
      </c>
      <c r="B507" t="s">
        <v>746</v>
      </c>
      <c r="C507" t="s">
        <v>757</v>
      </c>
    </row>
    <row r="508" spans="1:4" x14ac:dyDescent="0.25">
      <c r="A508" t="s">
        <v>407</v>
      </c>
      <c r="B508" t="s">
        <v>831</v>
      </c>
      <c r="C508" t="str">
        <f t="shared" ref="C508:C510" si="50">B508</f>
        <v>ics:Neoarchaen</v>
      </c>
    </row>
    <row r="509" spans="1:4" x14ac:dyDescent="0.25">
      <c r="A509" t="s">
        <v>408</v>
      </c>
      <c r="B509" t="s">
        <v>686</v>
      </c>
      <c r="C509" t="str">
        <f t="shared" si="50"/>
        <v>ics:Neogene</v>
      </c>
    </row>
    <row r="510" spans="1:4" x14ac:dyDescent="0.25">
      <c r="A510" t="s">
        <v>409</v>
      </c>
      <c r="B510" t="s">
        <v>689</v>
      </c>
      <c r="C510" t="str">
        <f t="shared" si="50"/>
        <v>ics:Miocene</v>
      </c>
    </row>
    <row r="511" spans="1:4" x14ac:dyDescent="0.25">
      <c r="A511" t="s">
        <v>410</v>
      </c>
      <c r="B511" t="s">
        <v>676</v>
      </c>
      <c r="C511" t="s">
        <v>755</v>
      </c>
    </row>
    <row r="512" spans="1:4" x14ac:dyDescent="0.25">
      <c r="A512" t="s">
        <v>411</v>
      </c>
      <c r="B512" t="s">
        <v>689</v>
      </c>
      <c r="C512" t="s">
        <v>690</v>
      </c>
    </row>
    <row r="513" spans="1:4" x14ac:dyDescent="0.25">
      <c r="A513" t="s">
        <v>412</v>
      </c>
      <c r="B513" t="s">
        <v>687</v>
      </c>
      <c r="C513" t="str">
        <f t="shared" ref="C513:C514" si="51">B513</f>
        <v>ics:Pleistocene</v>
      </c>
    </row>
    <row r="514" spans="1:4" x14ac:dyDescent="0.25">
      <c r="A514" t="s">
        <v>413</v>
      </c>
      <c r="B514" t="s">
        <v>690</v>
      </c>
      <c r="C514" t="str">
        <f t="shared" si="51"/>
        <v>ics:Pliocene</v>
      </c>
    </row>
    <row r="515" spans="1:4" x14ac:dyDescent="0.25">
      <c r="A515" t="s">
        <v>414</v>
      </c>
      <c r="B515" t="s">
        <v>690</v>
      </c>
      <c r="C515" t="s">
        <v>687</v>
      </c>
    </row>
    <row r="516" spans="1:4" x14ac:dyDescent="0.25">
      <c r="A516" t="s">
        <v>415</v>
      </c>
      <c r="B516" t="s">
        <v>757</v>
      </c>
      <c r="C516" t="str">
        <f>B516</f>
        <v>ics:Neoproterozoic</v>
      </c>
    </row>
    <row r="517" spans="1:4" x14ac:dyDescent="0.25">
      <c r="A517" t="s">
        <v>416</v>
      </c>
      <c r="B517" t="s">
        <v>757</v>
      </c>
      <c r="C517" t="s">
        <v>718</v>
      </c>
    </row>
    <row r="518" spans="1:4" x14ac:dyDescent="0.25">
      <c r="A518" t="s">
        <v>417</v>
      </c>
      <c r="B518" t="s">
        <v>757</v>
      </c>
      <c r="C518" t="s">
        <v>839</v>
      </c>
    </row>
    <row r="519" spans="1:4" x14ac:dyDescent="0.25">
      <c r="A519" t="s">
        <v>418</v>
      </c>
      <c r="B519" t="s">
        <v>719</v>
      </c>
      <c r="C519" t="s">
        <v>754</v>
      </c>
    </row>
    <row r="520" spans="1:4" x14ac:dyDescent="0.25">
      <c r="A520" t="s">
        <v>419</v>
      </c>
      <c r="D520" t="s">
        <v>840</v>
      </c>
    </row>
    <row r="521" spans="1:4" x14ac:dyDescent="0.25">
      <c r="A521" t="s">
        <v>420</v>
      </c>
      <c r="B521" t="s">
        <v>691</v>
      </c>
      <c r="C521" t="str">
        <f>B521</f>
        <v>ics:Oligocene</v>
      </c>
    </row>
    <row r="522" spans="1:4" x14ac:dyDescent="0.25">
      <c r="A522" t="s">
        <v>421</v>
      </c>
      <c r="B522" t="s">
        <v>691</v>
      </c>
      <c r="C522" t="s">
        <v>689</v>
      </c>
    </row>
    <row r="523" spans="1:4" x14ac:dyDescent="0.25">
      <c r="A523" t="s">
        <v>422</v>
      </c>
      <c r="B523" t="s">
        <v>691</v>
      </c>
      <c r="C523" t="s">
        <v>689</v>
      </c>
    </row>
    <row r="524" spans="1:4" x14ac:dyDescent="0.25">
      <c r="A524" t="s">
        <v>423</v>
      </c>
      <c r="B524" t="s">
        <v>691</v>
      </c>
      <c r="C524" t="str">
        <f t="shared" ref="C524:C530" si="52">B524</f>
        <v>ics:Oligocene</v>
      </c>
      <c r="D524" t="s">
        <v>799</v>
      </c>
    </row>
    <row r="525" spans="1:4" x14ac:dyDescent="0.25">
      <c r="A525" t="s">
        <v>424</v>
      </c>
      <c r="B525" t="s">
        <v>691</v>
      </c>
      <c r="C525" t="str">
        <f t="shared" si="52"/>
        <v>ics:Oligocene</v>
      </c>
      <c r="D525" t="s">
        <v>826</v>
      </c>
    </row>
    <row r="526" spans="1:4" x14ac:dyDescent="0.25">
      <c r="A526" t="s">
        <v>425</v>
      </c>
      <c r="B526" t="s">
        <v>691</v>
      </c>
      <c r="C526" t="str">
        <f t="shared" si="52"/>
        <v>ics:Oligocene</v>
      </c>
      <c r="D526" t="s">
        <v>799</v>
      </c>
    </row>
    <row r="527" spans="1:4" x14ac:dyDescent="0.25">
      <c r="A527" t="s">
        <v>426</v>
      </c>
      <c r="B527" t="s">
        <v>738</v>
      </c>
      <c r="C527" t="str">
        <f t="shared" si="52"/>
        <v>ics:Ordovician</v>
      </c>
    </row>
    <row r="528" spans="1:4" x14ac:dyDescent="0.25">
      <c r="A528" t="s">
        <v>427</v>
      </c>
      <c r="B528" t="s">
        <v>738</v>
      </c>
      <c r="C528" t="str">
        <f t="shared" si="52"/>
        <v>ics:Ordovician</v>
      </c>
    </row>
    <row r="529" spans="1:4" x14ac:dyDescent="0.25">
      <c r="A529" t="s">
        <v>428</v>
      </c>
      <c r="B529" t="s">
        <v>738</v>
      </c>
      <c r="C529" t="str">
        <f t="shared" si="52"/>
        <v>ics:Ordovician</v>
      </c>
      <c r="D529" t="s">
        <v>799</v>
      </c>
    </row>
    <row r="530" spans="1:4" x14ac:dyDescent="0.25">
      <c r="A530" t="s">
        <v>429</v>
      </c>
      <c r="B530" t="s">
        <v>792</v>
      </c>
      <c r="C530" t="str">
        <f t="shared" si="52"/>
        <v>ics:LowerOrdovician</v>
      </c>
    </row>
    <row r="531" spans="1:4" x14ac:dyDescent="0.25">
      <c r="A531" t="s">
        <v>430</v>
      </c>
      <c r="B531" t="s">
        <v>757</v>
      </c>
      <c r="C531" t="s">
        <v>792</v>
      </c>
    </row>
    <row r="532" spans="1:4" x14ac:dyDescent="0.25">
      <c r="A532" t="s">
        <v>431</v>
      </c>
      <c r="B532" t="s">
        <v>815</v>
      </c>
      <c r="C532" t="str">
        <f t="shared" ref="C532:C533" si="53">B532</f>
        <v>ics:MiddleOrdovician</v>
      </c>
    </row>
    <row r="533" spans="1:4" x14ac:dyDescent="0.25">
      <c r="A533" t="s">
        <v>432</v>
      </c>
      <c r="B533" t="s">
        <v>816</v>
      </c>
      <c r="C533" t="str">
        <f t="shared" si="53"/>
        <v>ics:UpperOrdovician</v>
      </c>
    </row>
    <row r="534" spans="1:4" x14ac:dyDescent="0.25">
      <c r="A534" t="s">
        <v>433</v>
      </c>
      <c r="B534" t="s">
        <v>760</v>
      </c>
      <c r="C534" t="s">
        <v>816</v>
      </c>
    </row>
    <row r="535" spans="1:4" x14ac:dyDescent="0.25">
      <c r="A535" t="s">
        <v>434</v>
      </c>
      <c r="B535" t="s">
        <v>738</v>
      </c>
      <c r="C535" t="str">
        <f>B535</f>
        <v>ics:Ordovician</v>
      </c>
    </row>
    <row r="536" spans="1:4" x14ac:dyDescent="0.25">
      <c r="A536" t="s">
        <v>435</v>
      </c>
      <c r="B536" t="s">
        <v>738</v>
      </c>
      <c r="C536" t="s">
        <v>740</v>
      </c>
    </row>
    <row r="537" spans="1:4" x14ac:dyDescent="0.25">
      <c r="A537" t="s">
        <v>436</v>
      </c>
      <c r="B537" t="s">
        <v>758</v>
      </c>
      <c r="C537" t="str">
        <f t="shared" ref="C537:C542" si="54">B537</f>
        <v>ics:Paibian</v>
      </c>
    </row>
    <row r="538" spans="1:4" x14ac:dyDescent="0.25">
      <c r="A538" t="s">
        <v>437</v>
      </c>
      <c r="B538" t="s">
        <v>720</v>
      </c>
      <c r="C538" t="str">
        <f t="shared" si="54"/>
        <v>ics:Paleozoic</v>
      </c>
    </row>
    <row r="539" spans="1:4" x14ac:dyDescent="0.25">
      <c r="A539" t="s">
        <v>438</v>
      </c>
      <c r="B539" t="s">
        <v>822</v>
      </c>
      <c r="C539" t="str">
        <f t="shared" si="54"/>
        <v>ics:Paleoarchaen</v>
      </c>
    </row>
    <row r="540" spans="1:4" x14ac:dyDescent="0.25">
      <c r="A540" t="s">
        <v>439</v>
      </c>
      <c r="B540" t="s">
        <v>822</v>
      </c>
      <c r="C540" t="str">
        <f t="shared" si="54"/>
        <v>ics:Paleoarchaen</v>
      </c>
    </row>
    <row r="541" spans="1:4" x14ac:dyDescent="0.25">
      <c r="A541" t="s">
        <v>440</v>
      </c>
      <c r="B541" t="s">
        <v>698</v>
      </c>
      <c r="C541" t="str">
        <f t="shared" si="54"/>
        <v>ics:Paleocene</v>
      </c>
    </row>
    <row r="542" spans="1:4" x14ac:dyDescent="0.25">
      <c r="A542" t="s">
        <v>441</v>
      </c>
      <c r="B542" t="s">
        <v>698</v>
      </c>
      <c r="C542" t="str">
        <f t="shared" si="54"/>
        <v>ics:Paleocene</v>
      </c>
    </row>
    <row r="543" spans="1:4" x14ac:dyDescent="0.25">
      <c r="A543" t="s">
        <v>442</v>
      </c>
      <c r="B543" t="s">
        <v>698</v>
      </c>
      <c r="C543" t="s">
        <v>688</v>
      </c>
    </row>
    <row r="544" spans="1:4" x14ac:dyDescent="0.25">
      <c r="A544" t="s">
        <v>443</v>
      </c>
      <c r="B544" t="s">
        <v>698</v>
      </c>
      <c r="C544" t="s">
        <v>696</v>
      </c>
    </row>
    <row r="545" spans="1:4" x14ac:dyDescent="0.25">
      <c r="A545" t="s">
        <v>444</v>
      </c>
      <c r="B545" t="s">
        <v>698</v>
      </c>
      <c r="C545" t="str">
        <f t="shared" ref="C545:C547" si="55">B545</f>
        <v>ics:Paleocene</v>
      </c>
      <c r="D545" t="s">
        <v>799</v>
      </c>
    </row>
    <row r="546" spans="1:4" x14ac:dyDescent="0.25">
      <c r="A546" t="s">
        <v>445</v>
      </c>
      <c r="B546" t="s">
        <v>698</v>
      </c>
      <c r="C546" t="str">
        <f t="shared" si="55"/>
        <v>ics:Paleocene</v>
      </c>
      <c r="D546" t="s">
        <v>799</v>
      </c>
    </row>
    <row r="547" spans="1:4" x14ac:dyDescent="0.25">
      <c r="A547" t="s">
        <v>446</v>
      </c>
      <c r="B547" t="s">
        <v>698</v>
      </c>
      <c r="C547" t="str">
        <f t="shared" si="55"/>
        <v>ics:Paleocene</v>
      </c>
      <c r="D547" t="s">
        <v>841</v>
      </c>
    </row>
    <row r="548" spans="1:4" x14ac:dyDescent="0.25">
      <c r="A548" t="s">
        <v>447</v>
      </c>
      <c r="B548" t="s">
        <v>698</v>
      </c>
      <c r="C548" t="s">
        <v>688</v>
      </c>
    </row>
    <row r="549" spans="1:4" x14ac:dyDescent="0.25">
      <c r="A549" t="s">
        <v>448</v>
      </c>
      <c r="B549" t="s">
        <v>692</v>
      </c>
      <c r="C549" t="str">
        <f t="shared" ref="C549:C555" si="56">B549</f>
        <v>ics:Paleogene</v>
      </c>
    </row>
    <row r="550" spans="1:4" x14ac:dyDescent="0.25">
      <c r="A550" t="s">
        <v>449</v>
      </c>
      <c r="B550" t="s">
        <v>691</v>
      </c>
      <c r="C550" t="str">
        <f t="shared" si="56"/>
        <v>ics:Oligocene</v>
      </c>
      <c r="D550" t="s">
        <v>799</v>
      </c>
    </row>
    <row r="551" spans="1:4" x14ac:dyDescent="0.25">
      <c r="A551" t="s">
        <v>450</v>
      </c>
      <c r="B551" t="s">
        <v>688</v>
      </c>
      <c r="C551" t="str">
        <f t="shared" si="56"/>
        <v>ics:Eocene</v>
      </c>
    </row>
    <row r="552" spans="1:4" x14ac:dyDescent="0.25">
      <c r="A552" t="s">
        <v>451</v>
      </c>
      <c r="B552" t="s">
        <v>696</v>
      </c>
      <c r="C552" t="str">
        <f t="shared" si="56"/>
        <v>ics:Ypresian</v>
      </c>
    </row>
    <row r="553" spans="1:4" x14ac:dyDescent="0.25">
      <c r="A553" t="s">
        <v>452</v>
      </c>
      <c r="B553" t="s">
        <v>691</v>
      </c>
      <c r="C553" t="str">
        <f t="shared" si="56"/>
        <v>ics:Oligocene</v>
      </c>
    </row>
    <row r="554" spans="1:4" x14ac:dyDescent="0.25">
      <c r="A554" t="s">
        <v>453</v>
      </c>
      <c r="B554" t="s">
        <v>691</v>
      </c>
      <c r="C554" t="str">
        <f t="shared" si="56"/>
        <v>ics:Oligocene</v>
      </c>
    </row>
    <row r="555" spans="1:4" x14ac:dyDescent="0.25">
      <c r="A555" t="s">
        <v>454</v>
      </c>
      <c r="B555" t="s">
        <v>775</v>
      </c>
      <c r="C555" t="str">
        <f t="shared" si="56"/>
        <v>ics:Chattian</v>
      </c>
    </row>
    <row r="556" spans="1:4" x14ac:dyDescent="0.25">
      <c r="A556" t="s">
        <v>455</v>
      </c>
      <c r="B556" t="s">
        <v>691</v>
      </c>
      <c r="C556" t="s">
        <v>689</v>
      </c>
    </row>
    <row r="557" spans="1:4" x14ac:dyDescent="0.25">
      <c r="A557" t="s">
        <v>456</v>
      </c>
      <c r="B557" t="s">
        <v>698</v>
      </c>
      <c r="C557" t="str">
        <f>B557</f>
        <v>ics:Paleocene</v>
      </c>
    </row>
    <row r="558" spans="1:4" x14ac:dyDescent="0.25">
      <c r="A558" t="s">
        <v>457</v>
      </c>
      <c r="B558" t="s">
        <v>707</v>
      </c>
      <c r="C558" t="s">
        <v>698</v>
      </c>
    </row>
    <row r="559" spans="1:4" x14ac:dyDescent="0.25">
      <c r="A559" t="s">
        <v>458</v>
      </c>
      <c r="B559" t="s">
        <v>698</v>
      </c>
      <c r="C559" t="s">
        <v>688</v>
      </c>
    </row>
    <row r="560" spans="1:4" x14ac:dyDescent="0.25">
      <c r="A560" t="s">
        <v>459</v>
      </c>
      <c r="B560" t="s">
        <v>759</v>
      </c>
      <c r="C560" t="str">
        <f t="shared" ref="C560:C586" si="57">B560</f>
        <v>ics:Paleoproterozoic</v>
      </c>
    </row>
    <row r="561" spans="1:4" x14ac:dyDescent="0.25">
      <c r="A561" t="s">
        <v>460</v>
      </c>
      <c r="B561" t="s">
        <v>720</v>
      </c>
      <c r="C561" t="str">
        <f t="shared" si="57"/>
        <v>ics:Paleozoic</v>
      </c>
    </row>
    <row r="562" spans="1:4" x14ac:dyDescent="0.25">
      <c r="A562" t="s">
        <v>461</v>
      </c>
      <c r="B562" t="s">
        <v>720</v>
      </c>
      <c r="C562" t="str">
        <f t="shared" si="57"/>
        <v>ics:Paleozoic</v>
      </c>
    </row>
    <row r="563" spans="1:4" x14ac:dyDescent="0.25">
      <c r="A563" t="s">
        <v>462</v>
      </c>
      <c r="B563" t="s">
        <v>718</v>
      </c>
      <c r="C563" t="str">
        <f t="shared" si="57"/>
        <v>ics:Cambrian</v>
      </c>
    </row>
    <row r="564" spans="1:4" x14ac:dyDescent="0.25">
      <c r="A564" t="s">
        <v>463</v>
      </c>
      <c r="B564" t="s">
        <v>721</v>
      </c>
      <c r="C564" t="str">
        <f t="shared" si="57"/>
        <v>ics:Permian</v>
      </c>
    </row>
    <row r="565" spans="1:4" x14ac:dyDescent="0.25">
      <c r="A565" t="s">
        <v>464</v>
      </c>
      <c r="B565" t="s">
        <v>718</v>
      </c>
      <c r="C565" t="str">
        <f t="shared" si="57"/>
        <v>ics:Cambrian</v>
      </c>
    </row>
    <row r="566" spans="1:4" x14ac:dyDescent="0.25">
      <c r="A566" t="s">
        <v>465</v>
      </c>
      <c r="B566" t="s">
        <v>760</v>
      </c>
      <c r="C566" t="str">
        <f t="shared" si="57"/>
        <v>ics:Terreneuvian</v>
      </c>
    </row>
    <row r="567" spans="1:4" x14ac:dyDescent="0.25">
      <c r="A567" t="s">
        <v>466</v>
      </c>
      <c r="B567" t="s">
        <v>739</v>
      </c>
      <c r="C567" t="str">
        <f t="shared" si="57"/>
        <v>ics:Carboniferous</v>
      </c>
    </row>
    <row r="568" spans="1:4" x14ac:dyDescent="0.25">
      <c r="A568" t="s">
        <v>467</v>
      </c>
      <c r="B568" t="s">
        <v>716</v>
      </c>
      <c r="C568" t="str">
        <f t="shared" si="57"/>
        <v>ics:Mississippian</v>
      </c>
    </row>
    <row r="569" spans="1:4" x14ac:dyDescent="0.25">
      <c r="A569" t="s">
        <v>468</v>
      </c>
      <c r="B569" t="s">
        <v>761</v>
      </c>
      <c r="C569" t="str">
        <f t="shared" si="57"/>
        <v>ics:Tournaisian</v>
      </c>
      <c r="D569" t="str">
        <f>_xlfn.TEXTAFTER(A569,"&gt;",-1)</f>
        <v>Tournaisian</v>
      </c>
    </row>
    <row r="570" spans="1:4" x14ac:dyDescent="0.25">
      <c r="A570" t="s">
        <v>469</v>
      </c>
      <c r="B570" t="s">
        <v>762</v>
      </c>
      <c r="C570" t="str">
        <f t="shared" si="57"/>
        <v>ics:Visean</v>
      </c>
    </row>
    <row r="571" spans="1:4" x14ac:dyDescent="0.25">
      <c r="A571" t="s">
        <v>470</v>
      </c>
      <c r="B571" t="s">
        <v>735</v>
      </c>
      <c r="C571" t="str">
        <f t="shared" si="57"/>
        <v>ics:Pennsylvanian</v>
      </c>
    </row>
    <row r="572" spans="1:4" x14ac:dyDescent="0.25">
      <c r="A572" t="s">
        <v>471</v>
      </c>
      <c r="B572" t="s">
        <v>715</v>
      </c>
      <c r="C572" t="str">
        <f t="shared" si="57"/>
        <v>ics:Devonian</v>
      </c>
    </row>
    <row r="573" spans="1:4" x14ac:dyDescent="0.25">
      <c r="A573" t="s">
        <v>472</v>
      </c>
      <c r="B573" t="s">
        <v>810</v>
      </c>
      <c r="C573" t="str">
        <f t="shared" si="57"/>
        <v>ics:LowerDevonian</v>
      </c>
    </row>
    <row r="574" spans="1:4" x14ac:dyDescent="0.25">
      <c r="A574" t="s">
        <v>473</v>
      </c>
      <c r="B574" t="s">
        <v>811</v>
      </c>
      <c r="C574" t="str">
        <f t="shared" si="57"/>
        <v>ics:UpperDevonian</v>
      </c>
    </row>
    <row r="575" spans="1:4" x14ac:dyDescent="0.25">
      <c r="A575" t="s">
        <v>474</v>
      </c>
      <c r="B575" t="s">
        <v>724</v>
      </c>
      <c r="C575" t="str">
        <f t="shared" si="57"/>
        <v>ics:Famennian</v>
      </c>
    </row>
    <row r="576" spans="1:4" x14ac:dyDescent="0.25">
      <c r="A576" t="s">
        <v>475</v>
      </c>
      <c r="B576" t="s">
        <v>812</v>
      </c>
      <c r="C576" t="str">
        <f t="shared" si="57"/>
        <v>ics:MiddleDevonian</v>
      </c>
    </row>
    <row r="577" spans="1:3" x14ac:dyDescent="0.25">
      <c r="A577" t="s">
        <v>476</v>
      </c>
      <c r="B577" t="s">
        <v>738</v>
      </c>
      <c r="C577" t="str">
        <f t="shared" si="57"/>
        <v>ics:Ordovician</v>
      </c>
    </row>
    <row r="578" spans="1:3" x14ac:dyDescent="0.25">
      <c r="A578" t="s">
        <v>477</v>
      </c>
      <c r="B578" t="s">
        <v>792</v>
      </c>
      <c r="C578" t="str">
        <f t="shared" si="57"/>
        <v>ics:LowerOrdovician</v>
      </c>
    </row>
    <row r="579" spans="1:3" x14ac:dyDescent="0.25">
      <c r="A579" t="s">
        <v>478</v>
      </c>
      <c r="B579" t="s">
        <v>816</v>
      </c>
      <c r="C579" t="str">
        <f t="shared" si="57"/>
        <v>ics:UpperOrdovician</v>
      </c>
    </row>
    <row r="580" spans="1:3" x14ac:dyDescent="0.25">
      <c r="A580" t="s">
        <v>479</v>
      </c>
      <c r="B580" t="s">
        <v>815</v>
      </c>
      <c r="C580" t="str">
        <f t="shared" si="57"/>
        <v>ics:MiddleOrdovician</v>
      </c>
    </row>
    <row r="581" spans="1:3" x14ac:dyDescent="0.25">
      <c r="A581" t="s">
        <v>480</v>
      </c>
      <c r="B581" t="s">
        <v>721</v>
      </c>
      <c r="C581" t="str">
        <f t="shared" si="57"/>
        <v>ics:Permian</v>
      </c>
    </row>
    <row r="582" spans="1:3" x14ac:dyDescent="0.25">
      <c r="A582" t="s">
        <v>481</v>
      </c>
      <c r="B582" t="s">
        <v>763</v>
      </c>
      <c r="C582" t="str">
        <f t="shared" si="57"/>
        <v>ics:Artinskian</v>
      </c>
    </row>
    <row r="583" spans="1:3" x14ac:dyDescent="0.25">
      <c r="A583" t="s">
        <v>482</v>
      </c>
      <c r="B583" t="s">
        <v>764</v>
      </c>
      <c r="C583" t="str">
        <f t="shared" si="57"/>
        <v>ics:Kungurian</v>
      </c>
    </row>
    <row r="584" spans="1:3" x14ac:dyDescent="0.25">
      <c r="A584" t="s">
        <v>483</v>
      </c>
      <c r="B584" t="s">
        <v>842</v>
      </c>
      <c r="C584" t="str">
        <f t="shared" si="57"/>
        <v>ics:Guadalupian</v>
      </c>
    </row>
    <row r="585" spans="1:3" x14ac:dyDescent="0.25">
      <c r="A585" t="s">
        <v>484</v>
      </c>
      <c r="B585" t="s">
        <v>740</v>
      </c>
      <c r="C585" t="str">
        <f t="shared" si="57"/>
        <v>ics:Silurian</v>
      </c>
    </row>
    <row r="586" spans="1:3" x14ac:dyDescent="0.25">
      <c r="A586" t="s">
        <v>485</v>
      </c>
      <c r="B586" t="s">
        <v>833</v>
      </c>
      <c r="C586" t="str">
        <f t="shared" si="57"/>
        <v>ics:Llandovery</v>
      </c>
    </row>
    <row r="587" spans="1:3" x14ac:dyDescent="0.25">
      <c r="A587" t="s">
        <v>486</v>
      </c>
      <c r="B587" t="s">
        <v>741</v>
      </c>
      <c r="C587" t="s">
        <v>776</v>
      </c>
    </row>
    <row r="588" spans="1:3" x14ac:dyDescent="0.25">
      <c r="A588" t="s">
        <v>487</v>
      </c>
      <c r="B588" t="s">
        <v>735</v>
      </c>
      <c r="C588" t="str">
        <f t="shared" ref="C588:C591" si="58">B588</f>
        <v>ics:Pennsylvanian</v>
      </c>
    </row>
    <row r="589" spans="1:3" x14ac:dyDescent="0.25">
      <c r="A589" t="s">
        <v>488</v>
      </c>
      <c r="B589" t="s">
        <v>809</v>
      </c>
      <c r="C589" t="str">
        <f t="shared" si="58"/>
        <v>ics:UpperPennsylvanian</v>
      </c>
    </row>
    <row r="590" spans="1:3" x14ac:dyDescent="0.25">
      <c r="A590" t="s">
        <v>489</v>
      </c>
      <c r="B590" t="s">
        <v>735</v>
      </c>
      <c r="C590" t="str">
        <f t="shared" si="58"/>
        <v>ics:Pennsylvanian</v>
      </c>
    </row>
    <row r="591" spans="1:3" x14ac:dyDescent="0.25">
      <c r="A591" t="s">
        <v>490</v>
      </c>
      <c r="B591" t="s">
        <v>835</v>
      </c>
      <c r="C591" t="str">
        <f t="shared" si="58"/>
        <v>ics:Bashkirian</v>
      </c>
    </row>
    <row r="592" spans="1:3" x14ac:dyDescent="0.25">
      <c r="A592" t="s">
        <v>491</v>
      </c>
      <c r="B592" t="s">
        <v>735</v>
      </c>
      <c r="C592" t="s">
        <v>721</v>
      </c>
    </row>
    <row r="593" spans="1:4" x14ac:dyDescent="0.25">
      <c r="A593" t="s">
        <v>492</v>
      </c>
      <c r="B593" t="s">
        <v>794</v>
      </c>
      <c r="C593" t="str">
        <f>B593</f>
        <v>ics:Moscovian</v>
      </c>
    </row>
    <row r="594" spans="1:4" x14ac:dyDescent="0.25">
      <c r="A594" t="s">
        <v>493</v>
      </c>
      <c r="B594" t="s">
        <v>835</v>
      </c>
      <c r="C594" t="s">
        <v>794</v>
      </c>
    </row>
    <row r="595" spans="1:4" x14ac:dyDescent="0.25">
      <c r="A595" t="s">
        <v>494</v>
      </c>
      <c r="B595" t="s">
        <v>835</v>
      </c>
      <c r="C595" t="str">
        <f>B595</f>
        <v>ics:Bashkirian</v>
      </c>
    </row>
    <row r="596" spans="1:4" x14ac:dyDescent="0.25">
      <c r="A596" t="s">
        <v>495</v>
      </c>
      <c r="B596" t="s">
        <v>716</v>
      </c>
      <c r="C596" t="s">
        <v>735</v>
      </c>
    </row>
    <row r="597" spans="1:4" x14ac:dyDescent="0.25">
      <c r="A597" t="s">
        <v>496</v>
      </c>
      <c r="B597" t="s">
        <v>721</v>
      </c>
      <c r="C597" t="str">
        <f>B597</f>
        <v>ics:Permian</v>
      </c>
    </row>
    <row r="598" spans="1:4" x14ac:dyDescent="0.25">
      <c r="A598" t="s">
        <v>497</v>
      </c>
      <c r="B598" t="s">
        <v>721</v>
      </c>
      <c r="C598" t="s">
        <v>711</v>
      </c>
    </row>
    <row r="599" spans="1:4" x14ac:dyDescent="0.25">
      <c r="A599" t="s">
        <v>498</v>
      </c>
      <c r="B599" t="s">
        <v>843</v>
      </c>
      <c r="C599" t="str">
        <f>B599</f>
        <v>ics:Lopingian</v>
      </c>
    </row>
    <row r="600" spans="1:4" x14ac:dyDescent="0.25">
      <c r="A600" t="s">
        <v>499</v>
      </c>
      <c r="B600" t="s">
        <v>717</v>
      </c>
      <c r="C600" t="s">
        <v>721</v>
      </c>
      <c r="D600" t="s">
        <v>799</v>
      </c>
    </row>
    <row r="601" spans="1:4" x14ac:dyDescent="0.25">
      <c r="A601" t="s">
        <v>500</v>
      </c>
      <c r="B601" t="s">
        <v>721</v>
      </c>
      <c r="C601" t="str">
        <f t="shared" ref="C601:C603" si="59">B601</f>
        <v>ics:Permian</v>
      </c>
      <c r="D601" t="s">
        <v>808</v>
      </c>
    </row>
    <row r="602" spans="1:4" x14ac:dyDescent="0.25">
      <c r="A602" t="s">
        <v>501</v>
      </c>
      <c r="B602" t="s">
        <v>721</v>
      </c>
      <c r="C602" t="str">
        <f t="shared" si="59"/>
        <v>ics:Permian</v>
      </c>
      <c r="D602" t="s">
        <v>808</v>
      </c>
    </row>
    <row r="603" spans="1:4" x14ac:dyDescent="0.25">
      <c r="A603" t="s">
        <v>502</v>
      </c>
      <c r="B603" t="s">
        <v>721</v>
      </c>
      <c r="C603" t="str">
        <f t="shared" si="59"/>
        <v>ics:Permian</v>
      </c>
      <c r="D603" t="s">
        <v>808</v>
      </c>
    </row>
    <row r="604" spans="1:4" x14ac:dyDescent="0.25">
      <c r="A604" t="s">
        <v>503</v>
      </c>
      <c r="B604" t="s">
        <v>721</v>
      </c>
      <c r="C604" t="s">
        <v>711</v>
      </c>
    </row>
    <row r="605" spans="1:4" x14ac:dyDescent="0.25">
      <c r="A605" t="s">
        <v>504</v>
      </c>
      <c r="B605" t="s">
        <v>735</v>
      </c>
      <c r="C605" t="s">
        <v>721</v>
      </c>
    </row>
    <row r="606" spans="1:4" x14ac:dyDescent="0.25">
      <c r="A606" t="s">
        <v>505</v>
      </c>
      <c r="B606" t="s">
        <v>721</v>
      </c>
      <c r="C606" t="s">
        <v>717</v>
      </c>
    </row>
    <row r="607" spans="1:4" x14ac:dyDescent="0.25">
      <c r="A607" t="s">
        <v>506</v>
      </c>
      <c r="B607" t="s">
        <v>765</v>
      </c>
      <c r="C607" t="str">
        <f t="shared" ref="C607:C610" si="60">B607</f>
        <v>ics:Capitanian</v>
      </c>
    </row>
    <row r="608" spans="1:4" x14ac:dyDescent="0.25">
      <c r="A608" t="s">
        <v>507</v>
      </c>
      <c r="B608" t="s">
        <v>766</v>
      </c>
      <c r="C608" t="str">
        <f t="shared" si="60"/>
        <v>ics:Changhsingian</v>
      </c>
    </row>
    <row r="609" spans="1:4" x14ac:dyDescent="0.25">
      <c r="A609" t="s">
        <v>508</v>
      </c>
      <c r="B609" t="s">
        <v>703</v>
      </c>
      <c r="C609" t="str">
        <f t="shared" si="60"/>
        <v>ics:Cisuralian</v>
      </c>
    </row>
    <row r="610" spans="1:4" x14ac:dyDescent="0.25">
      <c r="A610" t="s">
        <v>509</v>
      </c>
      <c r="B610" t="s">
        <v>721</v>
      </c>
      <c r="C610" t="str">
        <f t="shared" si="60"/>
        <v>ics:Permian</v>
      </c>
      <c r="D610" t="s">
        <v>799</v>
      </c>
    </row>
    <row r="611" spans="1:4" x14ac:dyDescent="0.25">
      <c r="A611" t="s">
        <v>510</v>
      </c>
      <c r="B611" t="s">
        <v>739</v>
      </c>
      <c r="C611" t="s">
        <v>721</v>
      </c>
    </row>
    <row r="612" spans="1:4" x14ac:dyDescent="0.25">
      <c r="A612" t="s">
        <v>511</v>
      </c>
      <c r="B612" t="s">
        <v>721</v>
      </c>
      <c r="C612" t="s">
        <v>717</v>
      </c>
    </row>
    <row r="613" spans="1:4" x14ac:dyDescent="0.25">
      <c r="A613" t="s">
        <v>512</v>
      </c>
      <c r="B613" t="s">
        <v>721</v>
      </c>
      <c r="C613" t="s">
        <v>717</v>
      </c>
    </row>
    <row r="614" spans="1:4" x14ac:dyDescent="0.25">
      <c r="A614" t="s">
        <v>513</v>
      </c>
      <c r="B614" t="s">
        <v>721</v>
      </c>
      <c r="C614" t="s">
        <v>717</v>
      </c>
      <c r="D614" t="s">
        <v>844</v>
      </c>
    </row>
    <row r="615" spans="1:4" x14ac:dyDescent="0.25">
      <c r="A615" t="s">
        <v>514</v>
      </c>
      <c r="B615" t="s">
        <v>739</v>
      </c>
      <c r="C615" t="s">
        <v>721</v>
      </c>
    </row>
    <row r="616" spans="1:4" x14ac:dyDescent="0.25">
      <c r="A616" t="s">
        <v>515</v>
      </c>
      <c r="B616" t="s">
        <v>689</v>
      </c>
      <c r="C616" t="str">
        <f t="shared" ref="C616:C628" si="61">B616</f>
        <v>ics:Miocene</v>
      </c>
    </row>
    <row r="617" spans="1:4" x14ac:dyDescent="0.25">
      <c r="A617" t="s">
        <v>516</v>
      </c>
      <c r="B617" t="s">
        <v>704</v>
      </c>
      <c r="C617" t="str">
        <f t="shared" si="61"/>
        <v>ics:Cretaceous</v>
      </c>
    </row>
    <row r="618" spans="1:4" x14ac:dyDescent="0.25">
      <c r="A618" t="s">
        <v>517</v>
      </c>
      <c r="B618" t="s">
        <v>714</v>
      </c>
      <c r="C618" t="str">
        <f t="shared" si="61"/>
        <v>ics:Danian</v>
      </c>
    </row>
    <row r="619" spans="1:4" x14ac:dyDescent="0.25">
      <c r="A619" t="s">
        <v>518</v>
      </c>
      <c r="B619" t="s">
        <v>707</v>
      </c>
      <c r="C619" t="str">
        <f t="shared" si="61"/>
        <v>ics:Maastrichtian</v>
      </c>
    </row>
    <row r="620" spans="1:4" x14ac:dyDescent="0.25">
      <c r="A620" t="s">
        <v>519</v>
      </c>
      <c r="B620" t="s">
        <v>724</v>
      </c>
      <c r="C620" t="str">
        <f t="shared" si="61"/>
        <v>ics:Famennian</v>
      </c>
    </row>
    <row r="621" spans="1:4" x14ac:dyDescent="0.25">
      <c r="A621" t="s">
        <v>520</v>
      </c>
      <c r="B621" t="s">
        <v>726</v>
      </c>
      <c r="C621" t="str">
        <f t="shared" si="61"/>
        <v>ics:Frasnian</v>
      </c>
    </row>
    <row r="622" spans="1:4" x14ac:dyDescent="0.25">
      <c r="A622" t="s">
        <v>521</v>
      </c>
      <c r="B622" t="s">
        <v>711</v>
      </c>
      <c r="C622" t="str">
        <f t="shared" si="61"/>
        <v>ics:Jurassic</v>
      </c>
    </row>
    <row r="623" spans="1:4" x14ac:dyDescent="0.25">
      <c r="A623" t="s">
        <v>522</v>
      </c>
      <c r="B623" t="s">
        <v>707</v>
      </c>
      <c r="C623" t="str">
        <f t="shared" si="61"/>
        <v>ics:Maastrichtian</v>
      </c>
    </row>
    <row r="624" spans="1:4" x14ac:dyDescent="0.25">
      <c r="A624" t="s">
        <v>523</v>
      </c>
      <c r="B624" t="s">
        <v>689</v>
      </c>
      <c r="C624" t="str">
        <f t="shared" si="61"/>
        <v>ics:Miocene</v>
      </c>
    </row>
    <row r="625" spans="1:6" x14ac:dyDescent="0.25">
      <c r="A625" t="s">
        <v>524</v>
      </c>
      <c r="B625" t="s">
        <v>724</v>
      </c>
      <c r="C625" t="str">
        <f t="shared" si="61"/>
        <v>ics:Famennian</v>
      </c>
    </row>
    <row r="626" spans="1:6" x14ac:dyDescent="0.25">
      <c r="A626" t="s">
        <v>525</v>
      </c>
      <c r="B626" t="s">
        <v>726</v>
      </c>
      <c r="C626" t="str">
        <f t="shared" si="61"/>
        <v>ics:Frasnian</v>
      </c>
    </row>
    <row r="627" spans="1:6" x14ac:dyDescent="0.25">
      <c r="A627" t="s">
        <v>526</v>
      </c>
      <c r="B627" t="s">
        <v>738</v>
      </c>
      <c r="C627" t="str">
        <f t="shared" si="61"/>
        <v>ics:Ordovician</v>
      </c>
    </row>
    <row r="628" spans="1:6" x14ac:dyDescent="0.25">
      <c r="A628" t="s">
        <v>527</v>
      </c>
      <c r="B628" t="s">
        <v>687</v>
      </c>
      <c r="C628" t="str">
        <f t="shared" si="61"/>
        <v>ics:Pleistocene</v>
      </c>
    </row>
    <row r="629" spans="1:6" x14ac:dyDescent="0.25">
      <c r="A629" t="s">
        <v>528</v>
      </c>
      <c r="B629" t="s">
        <v>687</v>
      </c>
      <c r="C629" t="s">
        <v>701</v>
      </c>
    </row>
    <row r="630" spans="1:6" x14ac:dyDescent="0.25">
      <c r="A630" t="s">
        <v>529</v>
      </c>
      <c r="B630" t="s">
        <v>687</v>
      </c>
      <c r="C630" t="str">
        <f t="shared" ref="C630:C633" si="62">B630</f>
        <v>ics:Pleistocene</v>
      </c>
    </row>
    <row r="631" spans="1:6" x14ac:dyDescent="0.25">
      <c r="A631" t="s">
        <v>530</v>
      </c>
      <c r="B631" t="s">
        <v>687</v>
      </c>
      <c r="C631" t="str">
        <f t="shared" si="62"/>
        <v>ics:Pleistocene</v>
      </c>
    </row>
    <row r="632" spans="1:6" x14ac:dyDescent="0.25">
      <c r="A632" t="s">
        <v>531</v>
      </c>
      <c r="B632" t="s">
        <v>832</v>
      </c>
      <c r="C632" t="str">
        <f t="shared" si="62"/>
        <v>ics:UpperPleistocene</v>
      </c>
      <c r="E632">
        <v>0.127</v>
      </c>
      <c r="F632">
        <v>0.106</v>
      </c>
    </row>
    <row r="633" spans="1:6" x14ac:dyDescent="0.25">
      <c r="A633" t="s">
        <v>532</v>
      </c>
      <c r="B633" t="s">
        <v>687</v>
      </c>
      <c r="C633" t="str">
        <f t="shared" si="62"/>
        <v>ics:Pleistocene</v>
      </c>
      <c r="D633" t="s">
        <v>799</v>
      </c>
    </row>
    <row r="634" spans="1:6" x14ac:dyDescent="0.25">
      <c r="A634" t="s">
        <v>533</v>
      </c>
      <c r="B634" t="s">
        <v>687</v>
      </c>
      <c r="C634" t="s">
        <v>701</v>
      </c>
    </row>
    <row r="635" spans="1:6" x14ac:dyDescent="0.25">
      <c r="A635" t="s">
        <v>534</v>
      </c>
      <c r="B635" t="s">
        <v>687</v>
      </c>
      <c r="C635" t="str">
        <f>B635</f>
        <v>ics:Pleistocene</v>
      </c>
      <c r="D635" t="s">
        <v>799</v>
      </c>
    </row>
    <row r="636" spans="1:6" x14ac:dyDescent="0.25">
      <c r="A636" t="s">
        <v>535</v>
      </c>
      <c r="B636" t="s">
        <v>690</v>
      </c>
      <c r="C636" t="s">
        <v>687</v>
      </c>
    </row>
    <row r="637" spans="1:6" x14ac:dyDescent="0.25">
      <c r="A637" t="s">
        <v>536</v>
      </c>
      <c r="B637" t="s">
        <v>690</v>
      </c>
      <c r="C637" t="s">
        <v>700</v>
      </c>
    </row>
    <row r="638" spans="1:6" x14ac:dyDescent="0.25">
      <c r="A638" t="s">
        <v>537</v>
      </c>
      <c r="B638" t="s">
        <v>690</v>
      </c>
      <c r="C638" t="str">
        <f>B638</f>
        <v>ics:Pliocene</v>
      </c>
    </row>
    <row r="639" spans="1:6" x14ac:dyDescent="0.25">
      <c r="A639" t="s">
        <v>538</v>
      </c>
      <c r="B639" t="s">
        <v>689</v>
      </c>
      <c r="C639" t="s">
        <v>690</v>
      </c>
    </row>
    <row r="640" spans="1:6" x14ac:dyDescent="0.25">
      <c r="A640" t="s">
        <v>539</v>
      </c>
      <c r="B640" t="s">
        <v>690</v>
      </c>
      <c r="C640" t="s">
        <v>687</v>
      </c>
    </row>
    <row r="641" spans="1:4" x14ac:dyDescent="0.25">
      <c r="A641" t="s">
        <v>540</v>
      </c>
      <c r="B641" t="s">
        <v>690</v>
      </c>
      <c r="C641" t="s">
        <v>687</v>
      </c>
    </row>
    <row r="642" spans="1:4" x14ac:dyDescent="0.25">
      <c r="A642" t="s">
        <v>541</v>
      </c>
      <c r="B642" t="s">
        <v>690</v>
      </c>
      <c r="C642" t="s">
        <v>687</v>
      </c>
    </row>
    <row r="643" spans="1:4" x14ac:dyDescent="0.25">
      <c r="A643" t="s">
        <v>542</v>
      </c>
      <c r="B643" t="s">
        <v>690</v>
      </c>
      <c r="C643" t="s">
        <v>700</v>
      </c>
    </row>
    <row r="644" spans="1:4" x14ac:dyDescent="0.25">
      <c r="A644" t="s">
        <v>543</v>
      </c>
      <c r="B644" t="s">
        <v>690</v>
      </c>
      <c r="C644" t="str">
        <f t="shared" ref="C644:C652" si="63">B644</f>
        <v>ics:Pliocene</v>
      </c>
      <c r="D644" t="s">
        <v>799</v>
      </c>
    </row>
    <row r="645" spans="1:4" x14ac:dyDescent="0.25">
      <c r="A645" t="s">
        <v>544</v>
      </c>
      <c r="B645" t="s">
        <v>695</v>
      </c>
      <c r="C645" t="str">
        <f t="shared" si="63"/>
        <v>ics:Zanclean</v>
      </c>
    </row>
    <row r="646" spans="1:4" x14ac:dyDescent="0.25">
      <c r="A646" t="s">
        <v>545</v>
      </c>
      <c r="B646" t="s">
        <v>690</v>
      </c>
      <c r="C646" t="str">
        <f t="shared" si="63"/>
        <v>ics:Pliocene</v>
      </c>
      <c r="D646" t="s">
        <v>799</v>
      </c>
    </row>
    <row r="647" spans="1:4" x14ac:dyDescent="0.25">
      <c r="A647" t="s">
        <v>546</v>
      </c>
      <c r="B647" t="s">
        <v>690</v>
      </c>
      <c r="C647" t="str">
        <f t="shared" si="63"/>
        <v>ics:Pliocene</v>
      </c>
      <c r="D647" t="s">
        <v>799</v>
      </c>
    </row>
    <row r="648" spans="1:4" x14ac:dyDescent="0.25">
      <c r="A648" t="s">
        <v>547</v>
      </c>
      <c r="B648" t="s">
        <v>737</v>
      </c>
      <c r="C648" t="str">
        <f t="shared" si="63"/>
        <v>ics:Tithonian</v>
      </c>
    </row>
    <row r="649" spans="1:4" x14ac:dyDescent="0.25">
      <c r="A649" t="s">
        <v>548</v>
      </c>
      <c r="B649" t="s">
        <v>767</v>
      </c>
      <c r="C649" t="str">
        <f t="shared" si="63"/>
        <v>ics:Pragian</v>
      </c>
    </row>
    <row r="650" spans="1:4" x14ac:dyDescent="0.25">
      <c r="A650" t="s">
        <v>549</v>
      </c>
      <c r="B650" t="s">
        <v>768</v>
      </c>
      <c r="C650" t="str">
        <f t="shared" si="63"/>
        <v>ics:Precambrian</v>
      </c>
    </row>
    <row r="651" spans="1:4" x14ac:dyDescent="0.25">
      <c r="A651" t="s">
        <v>550</v>
      </c>
      <c r="B651" t="s">
        <v>759</v>
      </c>
      <c r="C651" t="str">
        <f t="shared" si="63"/>
        <v>ics:Paleoproterozoic</v>
      </c>
      <c r="D651" t="s">
        <v>799</v>
      </c>
    </row>
    <row r="652" spans="1:4" x14ac:dyDescent="0.25">
      <c r="A652" t="s">
        <v>551</v>
      </c>
      <c r="B652" t="s">
        <v>768</v>
      </c>
      <c r="C652" t="str">
        <f t="shared" si="63"/>
        <v>ics:Precambrian</v>
      </c>
    </row>
    <row r="653" spans="1:4" x14ac:dyDescent="0.25">
      <c r="A653" t="s">
        <v>552</v>
      </c>
      <c r="B653" t="s">
        <v>768</v>
      </c>
      <c r="C653" t="s">
        <v>738</v>
      </c>
    </row>
    <row r="654" spans="1:4" x14ac:dyDescent="0.25">
      <c r="A654" t="s">
        <v>553</v>
      </c>
      <c r="B654" t="s">
        <v>770</v>
      </c>
      <c r="C654" t="str">
        <f t="shared" ref="C654:C669" si="64">B654</f>
        <v>ics:Stenian</v>
      </c>
    </row>
    <row r="655" spans="1:4" x14ac:dyDescent="0.25">
      <c r="A655" t="s">
        <v>554</v>
      </c>
      <c r="B655" t="s">
        <v>768</v>
      </c>
      <c r="C655" t="str">
        <f t="shared" si="64"/>
        <v>ics:Precambrian</v>
      </c>
      <c r="D655" t="s">
        <v>799</v>
      </c>
    </row>
    <row r="656" spans="1:4" x14ac:dyDescent="0.25">
      <c r="A656" t="s">
        <v>555</v>
      </c>
      <c r="B656" t="s">
        <v>678</v>
      </c>
      <c r="C656" t="str">
        <f t="shared" si="64"/>
        <v>ics:Archean</v>
      </c>
    </row>
    <row r="657" spans="1:3" x14ac:dyDescent="0.25">
      <c r="A657" t="s">
        <v>556</v>
      </c>
      <c r="B657" t="s">
        <v>745</v>
      </c>
      <c r="C657" t="str">
        <f t="shared" si="64"/>
        <v>ics:Neoarchean</v>
      </c>
    </row>
    <row r="658" spans="1:3" x14ac:dyDescent="0.25">
      <c r="A658" t="s">
        <v>557</v>
      </c>
      <c r="B658" t="s">
        <v>722</v>
      </c>
      <c r="C658" t="str">
        <f t="shared" si="64"/>
        <v>ics:Proterozoic</v>
      </c>
    </row>
    <row r="659" spans="1:3" x14ac:dyDescent="0.25">
      <c r="A659" t="s">
        <v>558</v>
      </c>
      <c r="B659" t="s">
        <v>746</v>
      </c>
      <c r="C659" t="str">
        <f t="shared" si="64"/>
        <v>ics:Mesoproterozoic</v>
      </c>
    </row>
    <row r="660" spans="1:3" x14ac:dyDescent="0.25">
      <c r="A660" t="s">
        <v>559</v>
      </c>
      <c r="B660" t="s">
        <v>769</v>
      </c>
      <c r="C660" t="str">
        <f t="shared" si="64"/>
        <v>ics:Calymmian</v>
      </c>
    </row>
    <row r="661" spans="1:3" x14ac:dyDescent="0.25">
      <c r="A661" t="s">
        <v>560</v>
      </c>
      <c r="B661" t="s">
        <v>770</v>
      </c>
      <c r="C661" t="str">
        <f t="shared" si="64"/>
        <v>ics:Stenian</v>
      </c>
    </row>
    <row r="662" spans="1:3" x14ac:dyDescent="0.25">
      <c r="A662" t="s">
        <v>561</v>
      </c>
      <c r="B662" t="s">
        <v>757</v>
      </c>
      <c r="C662" t="str">
        <f t="shared" si="64"/>
        <v>ics:Neoproterozoic</v>
      </c>
    </row>
    <row r="663" spans="1:3" x14ac:dyDescent="0.25">
      <c r="A663" t="s">
        <v>562</v>
      </c>
      <c r="B663" t="s">
        <v>712</v>
      </c>
      <c r="C663" t="str">
        <f t="shared" si="64"/>
        <v>ics:Cryogenian</v>
      </c>
    </row>
    <row r="664" spans="1:3" x14ac:dyDescent="0.25">
      <c r="A664" t="s">
        <v>563</v>
      </c>
      <c r="B664" t="s">
        <v>713</v>
      </c>
      <c r="C664" t="str">
        <f t="shared" si="64"/>
        <v>ics:Ediacaran</v>
      </c>
    </row>
    <row r="665" spans="1:3" x14ac:dyDescent="0.25">
      <c r="A665" t="s">
        <v>564</v>
      </c>
      <c r="B665" t="s">
        <v>759</v>
      </c>
      <c r="C665" t="str">
        <f t="shared" si="64"/>
        <v>ics:Paleoproterozoic</v>
      </c>
    </row>
    <row r="666" spans="1:3" x14ac:dyDescent="0.25">
      <c r="A666" t="s">
        <v>565</v>
      </c>
      <c r="B666" t="s">
        <v>771</v>
      </c>
      <c r="C666" t="str">
        <f t="shared" si="64"/>
        <v>ics:Orosirian</v>
      </c>
    </row>
    <row r="667" spans="1:3" x14ac:dyDescent="0.25">
      <c r="A667" t="s">
        <v>566</v>
      </c>
      <c r="B667" t="s">
        <v>772</v>
      </c>
      <c r="C667" t="str">
        <f t="shared" si="64"/>
        <v>ics:Rhyacian</v>
      </c>
    </row>
    <row r="668" spans="1:3" x14ac:dyDescent="0.25">
      <c r="A668" t="s">
        <v>567</v>
      </c>
      <c r="B668" t="s">
        <v>773</v>
      </c>
      <c r="C668" t="str">
        <f t="shared" si="64"/>
        <v>ics:Siderian</v>
      </c>
    </row>
    <row r="669" spans="1:3" x14ac:dyDescent="0.25">
      <c r="A669" t="s">
        <v>568</v>
      </c>
      <c r="B669" t="s">
        <v>774</v>
      </c>
      <c r="C669" t="str">
        <f t="shared" si="64"/>
        <v>ics:Statherian</v>
      </c>
    </row>
    <row r="670" spans="1:3" x14ac:dyDescent="0.25">
      <c r="A670" t="s">
        <v>569</v>
      </c>
      <c r="B670" t="s">
        <v>697</v>
      </c>
      <c r="C670" t="s">
        <v>775</v>
      </c>
    </row>
    <row r="671" spans="1:3" x14ac:dyDescent="0.25">
      <c r="A671" t="s">
        <v>570</v>
      </c>
      <c r="B671" t="s">
        <v>776</v>
      </c>
      <c r="C671" t="str">
        <f t="shared" ref="C671:C674" si="65">B671</f>
        <v>ics:Pridoli</v>
      </c>
    </row>
    <row r="672" spans="1:3" x14ac:dyDescent="0.25">
      <c r="A672" t="s">
        <v>571</v>
      </c>
      <c r="B672" t="s">
        <v>722</v>
      </c>
      <c r="C672" t="str">
        <f t="shared" si="65"/>
        <v>ics:Proterozoic</v>
      </c>
    </row>
    <row r="673" spans="1:3" x14ac:dyDescent="0.25">
      <c r="A673" t="s">
        <v>572</v>
      </c>
      <c r="B673" t="s">
        <v>722</v>
      </c>
      <c r="C673" t="str">
        <f t="shared" si="65"/>
        <v>ics:Proterozoic</v>
      </c>
    </row>
    <row r="674" spans="1:3" x14ac:dyDescent="0.25">
      <c r="A674" t="s">
        <v>573</v>
      </c>
      <c r="B674" t="s">
        <v>746</v>
      </c>
      <c r="C674" t="str">
        <f t="shared" si="65"/>
        <v>ics:Mesoproterozoic</v>
      </c>
    </row>
    <row r="675" spans="1:3" x14ac:dyDescent="0.25">
      <c r="A675" t="s">
        <v>574</v>
      </c>
      <c r="B675" t="s">
        <v>722</v>
      </c>
      <c r="C675" t="s">
        <v>718</v>
      </c>
    </row>
    <row r="676" spans="1:3" x14ac:dyDescent="0.25">
      <c r="A676" t="s">
        <v>575</v>
      </c>
      <c r="B676" t="s">
        <v>700</v>
      </c>
      <c r="C676" t="str">
        <f t="shared" ref="C676:C677" si="66">B676</f>
        <v>ics:Quaternary</v>
      </c>
    </row>
    <row r="677" spans="1:3" x14ac:dyDescent="0.25">
      <c r="A677" t="s">
        <v>576</v>
      </c>
      <c r="B677" t="s">
        <v>700</v>
      </c>
      <c r="C677" t="str">
        <f t="shared" si="66"/>
        <v>ics:Quaternary</v>
      </c>
    </row>
    <row r="678" spans="1:3" x14ac:dyDescent="0.25">
      <c r="A678" t="s">
        <v>577</v>
      </c>
      <c r="B678" t="s">
        <v>717</v>
      </c>
      <c r="C678" t="s">
        <v>700</v>
      </c>
    </row>
    <row r="679" spans="1:3" x14ac:dyDescent="0.25">
      <c r="A679" t="s">
        <v>578</v>
      </c>
      <c r="B679" t="s">
        <v>700</v>
      </c>
      <c r="C679" t="str">
        <f>B679</f>
        <v>ics:Quaternary</v>
      </c>
    </row>
    <row r="680" spans="1:3" x14ac:dyDescent="0.25">
      <c r="A680" t="s">
        <v>579</v>
      </c>
      <c r="B680" t="s">
        <v>704</v>
      </c>
      <c r="C680" t="s">
        <v>700</v>
      </c>
    </row>
    <row r="681" spans="1:3" x14ac:dyDescent="0.25">
      <c r="A681" t="s">
        <v>580</v>
      </c>
      <c r="B681" t="s">
        <v>701</v>
      </c>
      <c r="C681" t="str">
        <f t="shared" ref="C681:C683" si="67">B681</f>
        <v>ics:Holocene</v>
      </c>
    </row>
    <row r="682" spans="1:3" x14ac:dyDescent="0.25">
      <c r="A682" t="s">
        <v>581</v>
      </c>
      <c r="B682" t="s">
        <v>798</v>
      </c>
      <c r="C682" t="str">
        <f t="shared" si="67"/>
        <v>ics:Cenozoic</v>
      </c>
    </row>
    <row r="683" spans="1:3" x14ac:dyDescent="0.25">
      <c r="A683" t="s">
        <v>582</v>
      </c>
      <c r="B683" t="s">
        <v>798</v>
      </c>
      <c r="C683" t="str">
        <f t="shared" si="67"/>
        <v>ics:Cenozoic</v>
      </c>
    </row>
    <row r="684" spans="1:3" x14ac:dyDescent="0.25">
      <c r="A684" t="s">
        <v>583</v>
      </c>
      <c r="B684" t="s">
        <v>704</v>
      </c>
      <c r="C684" t="s">
        <v>845</v>
      </c>
    </row>
    <row r="685" spans="1:3" x14ac:dyDescent="0.25">
      <c r="A685" t="s">
        <v>584</v>
      </c>
      <c r="B685" t="s">
        <v>701</v>
      </c>
      <c r="C685" t="str">
        <f t="shared" ref="C685:C686" si="68">B685</f>
        <v>ics:Holocene</v>
      </c>
    </row>
    <row r="686" spans="1:3" x14ac:dyDescent="0.25">
      <c r="A686" t="s">
        <v>585</v>
      </c>
      <c r="B686" t="s">
        <v>687</v>
      </c>
      <c r="C686" t="str">
        <f t="shared" si="68"/>
        <v>ics:Pleistocene</v>
      </c>
    </row>
    <row r="687" spans="1:3" x14ac:dyDescent="0.25">
      <c r="A687" t="s">
        <v>586</v>
      </c>
      <c r="B687" t="s">
        <v>687</v>
      </c>
      <c r="C687" t="s">
        <v>701</v>
      </c>
    </row>
    <row r="688" spans="1:3" x14ac:dyDescent="0.25">
      <c r="A688" t="s">
        <v>587</v>
      </c>
      <c r="B688" t="s">
        <v>701</v>
      </c>
      <c r="C688" t="str">
        <f>B688</f>
        <v>ics:Holocene</v>
      </c>
    </row>
    <row r="689" spans="1:4" x14ac:dyDescent="0.25">
      <c r="A689" t="s">
        <v>588</v>
      </c>
      <c r="B689" t="s">
        <v>717</v>
      </c>
      <c r="C689" t="s">
        <v>700</v>
      </c>
    </row>
    <row r="690" spans="1:4" x14ac:dyDescent="0.25">
      <c r="A690" t="s">
        <v>589</v>
      </c>
      <c r="B690" t="s">
        <v>832</v>
      </c>
      <c r="C690" t="str">
        <f t="shared" ref="C690:C693" si="69">B690</f>
        <v>ics:UpperPleistocene</v>
      </c>
    </row>
    <row r="691" spans="1:4" x14ac:dyDescent="0.25">
      <c r="A691" t="s">
        <v>590</v>
      </c>
      <c r="B691" t="s">
        <v>832</v>
      </c>
      <c r="C691" t="str">
        <f t="shared" si="69"/>
        <v>ics:UpperPleistocene</v>
      </c>
    </row>
    <row r="692" spans="1:4" x14ac:dyDescent="0.25">
      <c r="A692" t="s">
        <v>591</v>
      </c>
      <c r="B692" t="s">
        <v>684</v>
      </c>
      <c r="C692" t="str">
        <f t="shared" si="69"/>
        <v>ics:Meghalayan</v>
      </c>
    </row>
    <row r="693" spans="1:4" x14ac:dyDescent="0.25">
      <c r="A693" t="s">
        <v>592</v>
      </c>
      <c r="B693" t="s">
        <v>684</v>
      </c>
      <c r="C693" t="str">
        <f t="shared" si="69"/>
        <v>ics:Meghalayan</v>
      </c>
    </row>
    <row r="694" spans="1:4" x14ac:dyDescent="0.25">
      <c r="A694" t="s">
        <v>593</v>
      </c>
      <c r="B694" t="s">
        <v>691</v>
      </c>
      <c r="C694" t="s">
        <v>690</v>
      </c>
      <c r="D694" t="s">
        <v>846</v>
      </c>
    </row>
    <row r="695" spans="1:4" x14ac:dyDescent="0.25">
      <c r="A695" t="s">
        <v>594</v>
      </c>
      <c r="B695" t="s">
        <v>777</v>
      </c>
      <c r="C695" t="str">
        <f t="shared" ref="C695:C698" si="70">B695</f>
        <v>ics:Rhuddanian</v>
      </c>
    </row>
    <row r="696" spans="1:4" x14ac:dyDescent="0.25">
      <c r="A696" t="s">
        <v>595</v>
      </c>
      <c r="B696" t="s">
        <v>778</v>
      </c>
      <c r="C696" t="str">
        <f t="shared" si="70"/>
        <v>ics:Rupelian</v>
      </c>
    </row>
    <row r="697" spans="1:4" x14ac:dyDescent="0.25">
      <c r="A697" t="s">
        <v>596</v>
      </c>
      <c r="B697" t="s">
        <v>779</v>
      </c>
      <c r="C697" t="str">
        <f t="shared" si="70"/>
        <v>ics:Sandbian</v>
      </c>
    </row>
    <row r="698" spans="1:4" x14ac:dyDescent="0.25">
      <c r="A698" t="s">
        <v>597</v>
      </c>
      <c r="B698" t="s">
        <v>709</v>
      </c>
      <c r="C698" t="str">
        <f t="shared" si="70"/>
        <v>ics:Santonian</v>
      </c>
    </row>
    <row r="699" spans="1:4" x14ac:dyDescent="0.25">
      <c r="A699" t="s">
        <v>598</v>
      </c>
      <c r="B699" t="s">
        <v>709</v>
      </c>
      <c r="C699" t="s">
        <v>706</v>
      </c>
    </row>
    <row r="700" spans="1:4" x14ac:dyDescent="0.25">
      <c r="A700" t="s">
        <v>599</v>
      </c>
      <c r="D700" t="s">
        <v>850</v>
      </c>
    </row>
    <row r="701" spans="1:4" x14ac:dyDescent="0.25">
      <c r="A701" t="s">
        <v>600</v>
      </c>
      <c r="B701" t="s">
        <v>780</v>
      </c>
      <c r="C701" t="str">
        <f t="shared" ref="C701:C703" si="71">B701</f>
        <v>ics:Sheinwoodian</v>
      </c>
    </row>
    <row r="702" spans="1:4" x14ac:dyDescent="0.25">
      <c r="A702" t="s">
        <v>601</v>
      </c>
      <c r="B702" t="s">
        <v>687</v>
      </c>
      <c r="C702" t="str">
        <f t="shared" si="71"/>
        <v>ics:Pleistocene</v>
      </c>
      <c r="D702" t="s">
        <v>847</v>
      </c>
    </row>
    <row r="703" spans="1:4" x14ac:dyDescent="0.25">
      <c r="A703" t="s">
        <v>602</v>
      </c>
      <c r="B703" t="s">
        <v>740</v>
      </c>
      <c r="C703" t="str">
        <f t="shared" si="71"/>
        <v>ics:Silurian</v>
      </c>
    </row>
    <row r="704" spans="1:4" x14ac:dyDescent="0.25">
      <c r="A704" t="s">
        <v>603</v>
      </c>
      <c r="B704" t="s">
        <v>848</v>
      </c>
      <c r="C704" t="s">
        <v>776</v>
      </c>
    </row>
    <row r="705" spans="1:4" x14ac:dyDescent="0.25">
      <c r="A705" t="s">
        <v>604</v>
      </c>
      <c r="B705" t="s">
        <v>740</v>
      </c>
      <c r="C705" t="str">
        <f>B705</f>
        <v>ics:Silurian</v>
      </c>
      <c r="D705" t="s">
        <v>849</v>
      </c>
    </row>
    <row r="706" spans="1:4" x14ac:dyDescent="0.25">
      <c r="A706" t="s">
        <v>605</v>
      </c>
      <c r="B706" t="s">
        <v>740</v>
      </c>
      <c r="C706" t="s">
        <v>715</v>
      </c>
    </row>
    <row r="707" spans="1:4" x14ac:dyDescent="0.25">
      <c r="A707" t="s">
        <v>606</v>
      </c>
      <c r="B707" t="s">
        <v>740</v>
      </c>
      <c r="C707" t="str">
        <f t="shared" ref="C707:C709" si="72">B707</f>
        <v>ics:Silurian</v>
      </c>
      <c r="D707" t="s">
        <v>799</v>
      </c>
    </row>
    <row r="708" spans="1:4" x14ac:dyDescent="0.25">
      <c r="A708" t="s">
        <v>607</v>
      </c>
      <c r="B708" t="s">
        <v>759</v>
      </c>
      <c r="C708" t="str">
        <f t="shared" si="72"/>
        <v>ics:Paleoproterozoic</v>
      </c>
    </row>
    <row r="709" spans="1:4" x14ac:dyDescent="0.25">
      <c r="A709" t="s">
        <v>608</v>
      </c>
      <c r="B709" t="s">
        <v>770</v>
      </c>
      <c r="C709" t="str">
        <f t="shared" si="72"/>
        <v>ics:Stenian</v>
      </c>
    </row>
    <row r="710" spans="1:4" x14ac:dyDescent="0.25">
      <c r="A710" t="s">
        <v>609</v>
      </c>
      <c r="B710" t="s">
        <v>794</v>
      </c>
      <c r="C710" t="s">
        <v>809</v>
      </c>
    </row>
    <row r="711" spans="1:4" x14ac:dyDescent="0.25">
      <c r="A711" t="s">
        <v>610</v>
      </c>
      <c r="B711" t="s">
        <v>809</v>
      </c>
      <c r="C711" t="str">
        <f>B711</f>
        <v>ics:UpperPennsylvanian</v>
      </c>
    </row>
    <row r="712" spans="1:4" x14ac:dyDescent="0.25">
      <c r="A712" t="s">
        <v>611</v>
      </c>
      <c r="D712" t="s">
        <v>850</v>
      </c>
    </row>
    <row r="713" spans="1:4" x14ac:dyDescent="0.25">
      <c r="A713" t="s">
        <v>612</v>
      </c>
      <c r="B713" t="s">
        <v>738</v>
      </c>
      <c r="C713" t="str">
        <f t="shared" ref="C713:C714" si="73">B713</f>
        <v>ics:Ordovician</v>
      </c>
      <c r="D713" t="s">
        <v>850</v>
      </c>
    </row>
    <row r="714" spans="1:4" x14ac:dyDescent="0.25">
      <c r="A714" t="s">
        <v>613</v>
      </c>
      <c r="B714" t="s">
        <v>781</v>
      </c>
      <c r="C714" t="str">
        <f t="shared" si="73"/>
        <v>ics:Telychian</v>
      </c>
    </row>
    <row r="715" spans="1:4" x14ac:dyDescent="0.25">
      <c r="A715" t="s">
        <v>614</v>
      </c>
      <c r="B715" t="s">
        <v>692</v>
      </c>
      <c r="C715" t="s">
        <v>689</v>
      </c>
    </row>
    <row r="716" spans="1:4" x14ac:dyDescent="0.25">
      <c r="A716" t="s">
        <v>615</v>
      </c>
      <c r="B716" t="s">
        <v>692</v>
      </c>
      <c r="C716" t="s">
        <v>700</v>
      </c>
    </row>
    <row r="717" spans="1:4" x14ac:dyDescent="0.25">
      <c r="A717" t="s">
        <v>616</v>
      </c>
      <c r="B717" t="s">
        <v>692</v>
      </c>
      <c r="C717" t="s">
        <v>700</v>
      </c>
    </row>
    <row r="718" spans="1:4" x14ac:dyDescent="0.25">
      <c r="A718" t="s">
        <v>617</v>
      </c>
      <c r="B718" t="s">
        <v>692</v>
      </c>
      <c r="C718" t="s">
        <v>689</v>
      </c>
    </row>
    <row r="719" spans="1:4" x14ac:dyDescent="0.25">
      <c r="A719" t="s">
        <v>618</v>
      </c>
      <c r="B719" t="s">
        <v>689</v>
      </c>
      <c r="C719" t="str">
        <f t="shared" ref="C719:C722" si="74">B719</f>
        <v>ics:Miocene</v>
      </c>
    </row>
    <row r="720" spans="1:4" x14ac:dyDescent="0.25">
      <c r="A720" t="s">
        <v>619</v>
      </c>
      <c r="B720" t="s">
        <v>737</v>
      </c>
      <c r="C720" t="str">
        <f t="shared" si="74"/>
        <v>ics:Tithonian</v>
      </c>
    </row>
    <row r="721" spans="1:4" x14ac:dyDescent="0.25">
      <c r="A721" t="s">
        <v>620</v>
      </c>
      <c r="B721" t="s">
        <v>737</v>
      </c>
      <c r="C721" t="str">
        <f t="shared" si="74"/>
        <v>ics:Tithonian</v>
      </c>
    </row>
    <row r="722" spans="1:4" x14ac:dyDescent="0.25">
      <c r="A722" t="s">
        <v>621</v>
      </c>
      <c r="B722" t="s">
        <v>782</v>
      </c>
      <c r="C722" t="str">
        <f t="shared" si="74"/>
        <v>ics:Tonian</v>
      </c>
    </row>
    <row r="723" spans="1:4" x14ac:dyDescent="0.25">
      <c r="A723" t="s">
        <v>622</v>
      </c>
      <c r="B723" t="s">
        <v>782</v>
      </c>
      <c r="C723" t="s">
        <v>713</v>
      </c>
      <c r="D723" t="s">
        <v>799</v>
      </c>
    </row>
    <row r="724" spans="1:4" x14ac:dyDescent="0.25">
      <c r="A724" t="s">
        <v>623</v>
      </c>
      <c r="B724" t="s">
        <v>761</v>
      </c>
      <c r="C724" t="s">
        <v>762</v>
      </c>
    </row>
    <row r="725" spans="1:4" x14ac:dyDescent="0.25">
      <c r="A725" t="s">
        <v>624</v>
      </c>
      <c r="B725" t="s">
        <v>783</v>
      </c>
      <c r="C725" t="str">
        <f t="shared" ref="C725:C726" si="75">B725</f>
        <v>ics:Tremadocian</v>
      </c>
    </row>
    <row r="726" spans="1:4" x14ac:dyDescent="0.25">
      <c r="A726" t="s">
        <v>625</v>
      </c>
      <c r="B726" t="s">
        <v>717</v>
      </c>
      <c r="C726" t="str">
        <f t="shared" si="75"/>
        <v>ics:Triassic</v>
      </c>
    </row>
    <row r="727" spans="1:4" x14ac:dyDescent="0.25">
      <c r="A727" t="s">
        <v>626</v>
      </c>
      <c r="B727" t="s">
        <v>717</v>
      </c>
      <c r="C727" t="s">
        <v>711</v>
      </c>
    </row>
    <row r="728" spans="1:4" x14ac:dyDescent="0.25">
      <c r="A728" t="s">
        <v>627</v>
      </c>
      <c r="B728" t="s">
        <v>817</v>
      </c>
      <c r="C728" t="str">
        <f>B728</f>
        <v>ics:UpperTriassic</v>
      </c>
    </row>
    <row r="729" spans="1:4" x14ac:dyDescent="0.25">
      <c r="A729" t="s">
        <v>628</v>
      </c>
      <c r="B729" t="s">
        <v>717</v>
      </c>
      <c r="C729" t="s">
        <v>704</v>
      </c>
    </row>
    <row r="730" spans="1:4" x14ac:dyDescent="0.25">
      <c r="A730" t="s">
        <v>629</v>
      </c>
      <c r="B730" t="s">
        <v>717</v>
      </c>
      <c r="C730" t="s">
        <v>711</v>
      </c>
    </row>
    <row r="731" spans="1:4" x14ac:dyDescent="0.25">
      <c r="A731" t="s">
        <v>630</v>
      </c>
      <c r="B731" t="s">
        <v>823</v>
      </c>
      <c r="C731" t="s">
        <v>784</v>
      </c>
    </row>
    <row r="732" spans="1:4" x14ac:dyDescent="0.25">
      <c r="A732" t="s">
        <v>631</v>
      </c>
      <c r="B732" t="s">
        <v>719</v>
      </c>
      <c r="C732" t="str">
        <f t="shared" ref="C732:C733" si="76">B732</f>
        <v>ics:Norian</v>
      </c>
    </row>
    <row r="733" spans="1:4" x14ac:dyDescent="0.25">
      <c r="A733" t="s">
        <v>632</v>
      </c>
      <c r="B733" t="s">
        <v>754</v>
      </c>
      <c r="C733" t="str">
        <f t="shared" si="76"/>
        <v>ics:Rhaetian</v>
      </c>
    </row>
    <row r="734" spans="1:4" x14ac:dyDescent="0.25">
      <c r="A734" t="s">
        <v>633</v>
      </c>
      <c r="B734" t="s">
        <v>717</v>
      </c>
      <c r="C734" t="s">
        <v>711</v>
      </c>
    </row>
    <row r="735" spans="1:4" x14ac:dyDescent="0.25">
      <c r="A735" t="s">
        <v>634</v>
      </c>
      <c r="B735" t="s">
        <v>710</v>
      </c>
      <c r="C735" t="str">
        <f>B735</f>
        <v>ics:Turonian</v>
      </c>
    </row>
    <row r="736" spans="1:4" x14ac:dyDescent="0.25">
      <c r="A736" t="s">
        <v>635</v>
      </c>
      <c r="B736" t="s">
        <v>710</v>
      </c>
      <c r="C736" t="s">
        <v>709</v>
      </c>
    </row>
    <row r="737" spans="1:4" x14ac:dyDescent="0.25">
      <c r="A737" t="s">
        <v>636</v>
      </c>
      <c r="D737" t="s">
        <v>636</v>
      </c>
    </row>
    <row r="738" spans="1:4" x14ac:dyDescent="0.25">
      <c r="A738" t="s">
        <v>637</v>
      </c>
      <c r="D738" t="s">
        <v>636</v>
      </c>
    </row>
    <row r="739" spans="1:4" x14ac:dyDescent="0.25">
      <c r="A739" t="s">
        <v>638</v>
      </c>
      <c r="B739" t="s">
        <v>742</v>
      </c>
      <c r="C739" t="s">
        <v>743</v>
      </c>
    </row>
    <row r="740" spans="1:4" x14ac:dyDescent="0.25">
      <c r="A740" t="s">
        <v>639</v>
      </c>
      <c r="B740" t="s">
        <v>705</v>
      </c>
      <c r="C740" t="str">
        <f t="shared" ref="C740:C741" si="77">B740</f>
        <v>ics:Aptian</v>
      </c>
    </row>
    <row r="741" spans="1:4" x14ac:dyDescent="0.25">
      <c r="A741" t="s">
        <v>640</v>
      </c>
      <c r="B741" t="s">
        <v>705</v>
      </c>
      <c r="C741" t="str">
        <f t="shared" si="77"/>
        <v>ics:Aptian</v>
      </c>
    </row>
    <row r="742" spans="1:4" x14ac:dyDescent="0.25">
      <c r="A742" t="s">
        <v>641</v>
      </c>
      <c r="B742" t="s">
        <v>676</v>
      </c>
      <c r="C742" t="s">
        <v>755</v>
      </c>
    </row>
    <row r="743" spans="1:4" x14ac:dyDescent="0.25">
      <c r="A743" t="s">
        <v>642</v>
      </c>
      <c r="B743" t="s">
        <v>743</v>
      </c>
      <c r="C743" t="s">
        <v>697</v>
      </c>
    </row>
    <row r="744" spans="1:4" x14ac:dyDescent="0.25">
      <c r="A744" t="s">
        <v>643</v>
      </c>
      <c r="B744" t="s">
        <v>743</v>
      </c>
      <c r="C744" t="s">
        <v>697</v>
      </c>
    </row>
    <row r="745" spans="1:4" x14ac:dyDescent="0.25">
      <c r="A745" t="s">
        <v>644</v>
      </c>
      <c r="B745" t="s">
        <v>706</v>
      </c>
      <c r="C745" t="s">
        <v>707</v>
      </c>
    </row>
    <row r="746" spans="1:4" x14ac:dyDescent="0.25">
      <c r="A746" t="s">
        <v>645</v>
      </c>
      <c r="B746" t="s">
        <v>706</v>
      </c>
      <c r="C746" t="s">
        <v>707</v>
      </c>
    </row>
    <row r="747" spans="1:4" x14ac:dyDescent="0.25">
      <c r="A747" t="s">
        <v>646</v>
      </c>
      <c r="B747" t="s">
        <v>806</v>
      </c>
      <c r="C747" t="str">
        <f t="shared" ref="C747:C751" si="78">B747</f>
        <v>ics:UpperCretaceous</v>
      </c>
    </row>
    <row r="748" spans="1:4" x14ac:dyDescent="0.25">
      <c r="A748" t="s">
        <v>647</v>
      </c>
      <c r="B748" t="s">
        <v>806</v>
      </c>
      <c r="C748" t="str">
        <f t="shared" si="78"/>
        <v>ics:UpperCretaceous</v>
      </c>
      <c r="D748" t="s">
        <v>799</v>
      </c>
    </row>
    <row r="749" spans="1:4" x14ac:dyDescent="0.25">
      <c r="A749" t="s">
        <v>648</v>
      </c>
      <c r="B749" t="s">
        <v>811</v>
      </c>
      <c r="C749" t="str">
        <f t="shared" si="78"/>
        <v>ics:UpperDevonian</v>
      </c>
    </row>
    <row r="750" spans="1:4" x14ac:dyDescent="0.25">
      <c r="A750" t="s">
        <v>649</v>
      </c>
      <c r="B750" t="s">
        <v>724</v>
      </c>
      <c r="C750" t="str">
        <f t="shared" si="78"/>
        <v>ics:Famennian</v>
      </c>
    </row>
    <row r="751" spans="1:4" x14ac:dyDescent="0.25">
      <c r="A751" t="s">
        <v>650</v>
      </c>
      <c r="B751" t="s">
        <v>796</v>
      </c>
      <c r="C751" t="str">
        <f t="shared" si="78"/>
        <v>ics:UpperJurassic</v>
      </c>
    </row>
    <row r="752" spans="1:4" x14ac:dyDescent="0.25">
      <c r="A752" t="s">
        <v>651</v>
      </c>
      <c r="B752" t="s">
        <v>800</v>
      </c>
      <c r="C752" t="s">
        <v>693</v>
      </c>
    </row>
    <row r="753" spans="1:3" x14ac:dyDescent="0.25">
      <c r="A753" t="s">
        <v>652</v>
      </c>
      <c r="B753" t="s">
        <v>800</v>
      </c>
      <c r="C753" t="s">
        <v>693</v>
      </c>
    </row>
    <row r="754" spans="1:3" x14ac:dyDescent="0.25">
      <c r="A754" t="s">
        <v>653</v>
      </c>
      <c r="B754" t="s">
        <v>811</v>
      </c>
      <c r="C754" t="s">
        <v>837</v>
      </c>
    </row>
    <row r="755" spans="1:3" x14ac:dyDescent="0.25">
      <c r="A755" t="s">
        <v>654</v>
      </c>
      <c r="B755" t="s">
        <v>816</v>
      </c>
      <c r="C755" t="str">
        <f t="shared" ref="C755:C756" si="79">B755</f>
        <v>ics:UpperOrdovician</v>
      </c>
    </row>
    <row r="756" spans="1:3" x14ac:dyDescent="0.25">
      <c r="A756" t="s">
        <v>655</v>
      </c>
      <c r="B756" t="s">
        <v>834</v>
      </c>
      <c r="C756" t="str">
        <f t="shared" si="79"/>
        <v>ics:Piacenzian</v>
      </c>
    </row>
    <row r="757" spans="1:3" x14ac:dyDescent="0.25">
      <c r="A757" t="s">
        <v>656</v>
      </c>
      <c r="B757" t="s">
        <v>834</v>
      </c>
      <c r="C757" t="s">
        <v>687</v>
      </c>
    </row>
    <row r="758" spans="1:3" x14ac:dyDescent="0.25">
      <c r="A758" t="s">
        <v>657</v>
      </c>
      <c r="B758" t="s">
        <v>817</v>
      </c>
      <c r="C758" t="str">
        <f t="shared" ref="C758:C763" si="80">B758</f>
        <v>ics:UpperTriassic</v>
      </c>
    </row>
    <row r="759" spans="1:3" x14ac:dyDescent="0.25">
      <c r="A759" t="s">
        <v>658</v>
      </c>
      <c r="B759" t="s">
        <v>754</v>
      </c>
      <c r="C759" t="str">
        <f t="shared" si="80"/>
        <v>ics:Rhaetian</v>
      </c>
    </row>
    <row r="760" spans="1:3" x14ac:dyDescent="0.25">
      <c r="A760" t="s">
        <v>659</v>
      </c>
      <c r="B760" t="s">
        <v>785</v>
      </c>
      <c r="C760" t="str">
        <f t="shared" si="80"/>
        <v>ics:Valanginian</v>
      </c>
    </row>
    <row r="761" spans="1:3" x14ac:dyDescent="0.25">
      <c r="A761" t="s">
        <v>660</v>
      </c>
      <c r="B761" t="s">
        <v>785</v>
      </c>
      <c r="C761" t="str">
        <f t="shared" si="80"/>
        <v>ics:Valanginian</v>
      </c>
    </row>
    <row r="762" spans="1:3" x14ac:dyDescent="0.25">
      <c r="A762" t="s">
        <v>661</v>
      </c>
      <c r="B762" t="s">
        <v>713</v>
      </c>
      <c r="C762" t="str">
        <f t="shared" si="80"/>
        <v>ics:Ediacaran</v>
      </c>
    </row>
    <row r="763" spans="1:3" x14ac:dyDescent="0.25">
      <c r="A763" t="s">
        <v>662</v>
      </c>
      <c r="B763" t="s">
        <v>762</v>
      </c>
      <c r="C763" t="str">
        <f t="shared" si="80"/>
        <v>ics:Visean</v>
      </c>
    </row>
    <row r="764" spans="1:3" x14ac:dyDescent="0.25">
      <c r="A764" t="s">
        <v>663</v>
      </c>
      <c r="B764" t="s">
        <v>732</v>
      </c>
      <c r="C764" t="s">
        <v>737</v>
      </c>
    </row>
    <row r="765" spans="1:3" x14ac:dyDescent="0.25">
      <c r="A765" t="s">
        <v>664</v>
      </c>
      <c r="B765" t="s">
        <v>794</v>
      </c>
      <c r="C765" t="str">
        <f t="shared" ref="C765:C769" si="81">B765</f>
        <v>ics:Moscovian</v>
      </c>
    </row>
    <row r="766" spans="1:3" x14ac:dyDescent="0.25">
      <c r="A766" t="s">
        <v>665</v>
      </c>
      <c r="B766" t="s">
        <v>794</v>
      </c>
      <c r="C766" t="str">
        <f t="shared" si="81"/>
        <v>ics:Moscovian</v>
      </c>
    </row>
    <row r="767" spans="1:3" x14ac:dyDescent="0.25">
      <c r="A767" t="s">
        <v>666</v>
      </c>
      <c r="B767" t="s">
        <v>794</v>
      </c>
      <c r="C767" t="str">
        <f t="shared" si="81"/>
        <v>ics:Moscovian</v>
      </c>
    </row>
    <row r="768" spans="1:3" x14ac:dyDescent="0.25">
      <c r="A768" t="s">
        <v>667</v>
      </c>
      <c r="B768" t="s">
        <v>794</v>
      </c>
      <c r="C768" t="str">
        <f t="shared" si="81"/>
        <v>ics:Moscovian</v>
      </c>
    </row>
    <row r="769" spans="1:4" x14ac:dyDescent="0.25">
      <c r="A769" t="s">
        <v>668</v>
      </c>
      <c r="B769" t="s">
        <v>696</v>
      </c>
      <c r="C769" t="str">
        <f t="shared" si="81"/>
        <v>ics:Ypresian</v>
      </c>
    </row>
    <row r="770" spans="1:4" x14ac:dyDescent="0.25">
      <c r="A770" t="s">
        <v>669</v>
      </c>
      <c r="D770" t="s">
        <v>851</v>
      </c>
    </row>
  </sheetData>
  <autoFilter ref="A1:G770" xr:uid="{FA99D2D6-EA52-4122-A20D-92989F86F3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755B-4252-4C4D-BA9B-C71ACE24EE04}">
  <dimension ref="A1:A10"/>
  <sheetViews>
    <sheetView tabSelected="1" workbookViewId="0">
      <selection activeCell="A2" sqref="A2:A10"/>
    </sheetView>
  </sheetViews>
  <sheetFormatPr defaultRowHeight="15" x14ac:dyDescent="0.25"/>
  <cols>
    <col min="1" max="1" width="26.5703125" customWidth="1"/>
  </cols>
  <sheetData>
    <row r="1" spans="1:1" x14ac:dyDescent="0.25">
      <c r="A1" s="4" t="s">
        <v>672</v>
      </c>
    </row>
    <row r="2" spans="1:1" x14ac:dyDescent="0.25">
      <c r="A2" t="s">
        <v>921</v>
      </c>
    </row>
    <row r="4" spans="1:1" x14ac:dyDescent="0.25">
      <c r="A4" t="s">
        <v>303</v>
      </c>
    </row>
    <row r="5" spans="1:1" x14ac:dyDescent="0.25">
      <c r="A5" t="s">
        <v>931</v>
      </c>
    </row>
    <row r="6" spans="1:1" x14ac:dyDescent="0.25">
      <c r="A6" t="s">
        <v>920</v>
      </c>
    </row>
    <row r="7" spans="1:1" x14ac:dyDescent="0.25">
      <c r="A7" t="s">
        <v>930</v>
      </c>
    </row>
    <row r="8" spans="1:1" x14ac:dyDescent="0.25">
      <c r="A8" t="s">
        <v>919</v>
      </c>
    </row>
    <row r="9" spans="1:1" x14ac:dyDescent="0.25">
      <c r="A9" t="s">
        <v>851</v>
      </c>
    </row>
    <row r="10" spans="1:1" x14ac:dyDescent="0.25">
      <c r="A10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geologic_age_lkup</vt:lpstr>
      <vt:lpstr>geologic_age_lookupv1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Richard</cp:lastModifiedBy>
  <dcterms:created xsi:type="dcterms:W3CDTF">2024-09-06T02:55:45Z</dcterms:created>
  <dcterms:modified xsi:type="dcterms:W3CDTF">2025-02-08T16:04:51Z</dcterms:modified>
</cp:coreProperties>
</file>